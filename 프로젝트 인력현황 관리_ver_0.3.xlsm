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13af4bd5050476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135" yWindow="90" windowWidth="21030" windowHeight="12390" firstSheet="1" activeTab="1"/>
  </bookViews>
  <sheets>
    <sheet name="공휴일" sheetId="8" state="hidden" r:id="rId1"/>
    <sheet name="도움말" sheetId="16" r:id="rId2"/>
    <sheet name="프로젝트입력" sheetId="9" r:id="rId3"/>
    <sheet name="실투입취합" sheetId="20" r:id="rId4"/>
    <sheet name="프로젝트별현황" sheetId="11" r:id="rId5"/>
    <sheet name="직원별현황" sheetId="12" state="hidden" r:id="rId6"/>
    <sheet name="Sheet2" sheetId="10" state="hidden" r:id="rId7"/>
    <sheet name="Sheet7" sheetId="15" state="hidden" r:id="rId8"/>
    <sheet name="인력별현황" sheetId="17" r:id="rId9"/>
    <sheet name="월별인력현황" sheetId="19" r:id="rId10"/>
    <sheet name="실투입입력양식" sheetId="21" r:id="rId11"/>
  </sheets>
  <functionGroups/>
  <definedNames>
    <definedName name="_xlnm._FilterDatabase" localSheetId="6" hidden="1">Sheet2!$C$8:$F$11</definedName>
    <definedName name="_xlnm._FilterDatabase" localSheetId="3" hidden="1">실투입취합!$A$1:$L$9262</definedName>
    <definedName name="_xlnm._FilterDatabase" localSheetId="9" hidden="1">월별인력현황!$A$1:$J$1</definedName>
    <definedName name="_xlnm._FilterDatabase" localSheetId="8" hidden="1">인력별현황!$A$9:$Z$13</definedName>
    <definedName name="_xlnm._FilterDatabase" localSheetId="4" hidden="1">프로젝트별현황!#REF!</definedName>
    <definedName name="_xlnm._FilterDatabase" localSheetId="2" hidden="1">프로젝트입력!$A$2:$L$51</definedName>
    <definedName name="총입력개수">#REF!</definedName>
  </definedNames>
  <calcPr calcId="125725"/>
  <pivotCaches>
    <pivotCache cacheId="64" r:id="rId12"/>
  </pivotCaches>
</workbook>
</file>

<file path=xl/calcChain.xml><?xml version="1.0" encoding="utf-8"?>
<calcChain xmlns="http://schemas.openxmlformats.org/spreadsheetml/2006/main">
  <c r="M97" i="17"/>
  <c r="L97"/>
  <c r="K97"/>
  <c r="J97"/>
  <c r="M96"/>
  <c r="L96"/>
  <c r="K96"/>
  <c r="J96"/>
  <c r="M95"/>
  <c r="L95"/>
  <c r="K95"/>
  <c r="J95"/>
  <c r="M94"/>
  <c r="L94"/>
  <c r="K94"/>
  <c r="J94"/>
  <c r="M93"/>
  <c r="L93"/>
  <c r="K93"/>
  <c r="J93"/>
  <c r="M92"/>
  <c r="L92"/>
  <c r="K92"/>
  <c r="J92"/>
  <c r="M91"/>
  <c r="L91"/>
  <c r="K91"/>
  <c r="J91"/>
  <c r="M90"/>
  <c r="L90"/>
  <c r="K90"/>
  <c r="J90"/>
  <c r="M89"/>
  <c r="L89"/>
  <c r="K89"/>
  <c r="J89"/>
  <c r="M88"/>
  <c r="L88"/>
  <c r="K88"/>
  <c r="J88"/>
  <c r="M87"/>
  <c r="L87"/>
  <c r="K87"/>
  <c r="J87"/>
  <c r="M86"/>
  <c r="L86"/>
  <c r="K86"/>
  <c r="J86"/>
  <c r="M85"/>
  <c r="L85"/>
  <c r="K85"/>
  <c r="J85"/>
  <c r="M84"/>
  <c r="L84"/>
  <c r="K84"/>
  <c r="J84"/>
  <c r="M83"/>
  <c r="L83"/>
  <c r="K83"/>
  <c r="J83"/>
  <c r="M82"/>
  <c r="L82"/>
  <c r="K82"/>
  <c r="J82"/>
  <c r="M81"/>
  <c r="L81"/>
  <c r="K81"/>
  <c r="J81"/>
  <c r="M80"/>
  <c r="L80"/>
  <c r="K80"/>
  <c r="J80"/>
  <c r="M79"/>
  <c r="L79"/>
  <c r="K79"/>
  <c r="J79"/>
  <c r="M78"/>
  <c r="L78"/>
  <c r="K78"/>
  <c r="J78"/>
  <c r="M77"/>
  <c r="L77"/>
  <c r="K77"/>
  <c r="J77"/>
  <c r="M76"/>
  <c r="L76"/>
  <c r="K76"/>
  <c r="J76"/>
  <c r="M75"/>
  <c r="L75"/>
  <c r="K75"/>
  <c r="J75"/>
  <c r="M74"/>
  <c r="L74"/>
  <c r="K74"/>
  <c r="J74"/>
  <c r="M73"/>
  <c r="L73"/>
  <c r="K73"/>
  <c r="J73"/>
  <c r="M72"/>
  <c r="L72"/>
  <c r="K72"/>
  <c r="J72"/>
  <c r="M71"/>
  <c r="L71"/>
  <c r="K71"/>
  <c r="J71"/>
  <c r="M70"/>
  <c r="L70"/>
  <c r="K70"/>
  <c r="J70"/>
  <c r="M69"/>
  <c r="L69"/>
  <c r="K69"/>
  <c r="J69"/>
  <c r="M68"/>
  <c r="L68"/>
  <c r="K68"/>
  <c r="J68"/>
  <c r="M67"/>
  <c r="L67"/>
  <c r="K67"/>
  <c r="J67"/>
  <c r="M66"/>
  <c r="L66"/>
  <c r="K66"/>
  <c r="J66"/>
  <c r="M65"/>
  <c r="L65"/>
  <c r="K65"/>
  <c r="J65"/>
  <c r="M64"/>
  <c r="L64"/>
  <c r="K64"/>
  <c r="J64"/>
  <c r="M63"/>
  <c r="L63"/>
  <c r="K63"/>
  <c r="J63"/>
  <c r="M62"/>
  <c r="L62"/>
  <c r="K62"/>
  <c r="J62"/>
  <c r="M61"/>
  <c r="L61"/>
  <c r="K61"/>
  <c r="J61"/>
  <c r="M60"/>
  <c r="L60"/>
  <c r="K60"/>
  <c r="J60"/>
  <c r="M59"/>
  <c r="L59"/>
  <c r="K59"/>
  <c r="J59"/>
  <c r="M58"/>
  <c r="L58"/>
  <c r="K58"/>
  <c r="J58"/>
  <c r="M57"/>
  <c r="L57"/>
  <c r="K57"/>
  <c r="J57"/>
  <c r="M56"/>
  <c r="L56"/>
  <c r="K56"/>
  <c r="J56"/>
  <c r="M55"/>
  <c r="L55"/>
  <c r="K55"/>
  <c r="J55"/>
  <c r="M54"/>
  <c r="L54"/>
  <c r="K54"/>
  <c r="J54"/>
  <c r="M53"/>
  <c r="L53"/>
  <c r="K53"/>
  <c r="J53"/>
  <c r="M52"/>
  <c r="L52"/>
  <c r="K52"/>
  <c r="J52"/>
  <c r="M51"/>
  <c r="L51"/>
  <c r="K51"/>
  <c r="J51"/>
  <c r="M50"/>
  <c r="L50"/>
  <c r="K50"/>
  <c r="J50"/>
  <c r="M49"/>
  <c r="L49"/>
  <c r="K49"/>
  <c r="J49"/>
  <c r="M48"/>
  <c r="L48"/>
  <c r="K48"/>
  <c r="J48"/>
  <c r="M47"/>
  <c r="L47"/>
  <c r="K47"/>
  <c r="J47"/>
  <c r="M46"/>
  <c r="L46"/>
  <c r="K46"/>
  <c r="J46"/>
  <c r="M45"/>
  <c r="L45"/>
  <c r="K45"/>
  <c r="J45"/>
  <c r="M44"/>
  <c r="L44"/>
  <c r="K44"/>
  <c r="J44"/>
  <c r="M43"/>
  <c r="L43"/>
  <c r="K43"/>
  <c r="J43"/>
  <c r="M42"/>
  <c r="L42"/>
  <c r="K42"/>
  <c r="J42"/>
  <c r="M41"/>
  <c r="L41"/>
  <c r="K41"/>
  <c r="J41"/>
  <c r="M40"/>
  <c r="L40"/>
  <c r="K40"/>
  <c r="J40"/>
  <c r="M39"/>
  <c r="L39"/>
  <c r="K39"/>
  <c r="J39"/>
  <c r="M38"/>
  <c r="L38"/>
  <c r="K38"/>
  <c r="J38"/>
  <c r="M37"/>
  <c r="L37"/>
  <c r="K37"/>
  <c r="J37"/>
  <c r="M36"/>
  <c r="L36"/>
  <c r="K36"/>
  <c r="J36"/>
  <c r="M35"/>
  <c r="L35"/>
  <c r="K35"/>
  <c r="J35"/>
  <c r="M34"/>
  <c r="L34"/>
  <c r="K34"/>
  <c r="J34"/>
  <c r="M33"/>
  <c r="L33"/>
  <c r="K33"/>
  <c r="J33"/>
  <c r="M32"/>
  <c r="L32"/>
  <c r="K32"/>
  <c r="J32"/>
  <c r="M31"/>
  <c r="L31"/>
  <c r="K31"/>
  <c r="J31"/>
  <c r="M30"/>
  <c r="L30"/>
  <c r="K30"/>
  <c r="J30"/>
  <c r="M29"/>
  <c r="L29"/>
  <c r="K29"/>
  <c r="J29"/>
  <c r="M28"/>
  <c r="L28"/>
  <c r="K28"/>
  <c r="J28"/>
  <c r="M27"/>
  <c r="L27"/>
  <c r="K27"/>
  <c r="J27"/>
  <c r="M26"/>
  <c r="L26"/>
  <c r="K26"/>
  <c r="J26"/>
  <c r="M25"/>
  <c r="L25"/>
  <c r="K25"/>
  <c r="J25"/>
  <c r="M24"/>
  <c r="L24"/>
  <c r="K24"/>
  <c r="J24"/>
  <c r="M23"/>
  <c r="L23"/>
  <c r="K23"/>
  <c r="J23"/>
  <c r="M22"/>
  <c r="L22"/>
  <c r="K22"/>
  <c r="J22"/>
  <c r="M21"/>
  <c r="L21"/>
  <c r="K21"/>
  <c r="J21"/>
  <c r="M20"/>
  <c r="L20"/>
  <c r="K20"/>
  <c r="J20"/>
  <c r="M19"/>
  <c r="L19"/>
  <c r="K19"/>
  <c r="J19"/>
  <c r="M18"/>
  <c r="L18"/>
  <c r="K18"/>
  <c r="J18"/>
  <c r="M17"/>
  <c r="L17"/>
  <c r="K17"/>
  <c r="J17"/>
  <c r="M16"/>
  <c r="L16"/>
  <c r="K16"/>
  <c r="J16"/>
  <c r="M15"/>
  <c r="L15"/>
  <c r="K15"/>
  <c r="J15"/>
  <c r="M14"/>
  <c r="L14"/>
  <c r="K14"/>
  <c r="J14"/>
  <c r="K76" i="11"/>
  <c r="L76" s="1"/>
  <c r="J76"/>
  <c r="M76" s="1"/>
  <c r="K75"/>
  <c r="J75"/>
  <c r="M75" s="1"/>
  <c r="M74"/>
  <c r="K74"/>
  <c r="L74" s="1"/>
  <c r="J74"/>
  <c r="M73"/>
  <c r="K73"/>
  <c r="L73" s="1"/>
  <c r="J73"/>
  <c r="K72"/>
  <c r="L72" s="1"/>
  <c r="J72"/>
  <c r="M72" s="1"/>
  <c r="K71"/>
  <c r="J71"/>
  <c r="M71" s="1"/>
  <c r="M70"/>
  <c r="K70"/>
  <c r="L70" s="1"/>
  <c r="J70"/>
  <c r="M69"/>
  <c r="K69"/>
  <c r="L69" s="1"/>
  <c r="J69"/>
  <c r="K68"/>
  <c r="L68" s="1"/>
  <c r="J68"/>
  <c r="M68" s="1"/>
  <c r="K67"/>
  <c r="J67"/>
  <c r="M67" s="1"/>
  <c r="M66"/>
  <c r="K66"/>
  <c r="L66" s="1"/>
  <c r="J66"/>
  <c r="M65"/>
  <c r="K65"/>
  <c r="L65" s="1"/>
  <c r="J65"/>
  <c r="K64"/>
  <c r="L64" s="1"/>
  <c r="J64"/>
  <c r="M64" s="1"/>
  <c r="K63"/>
  <c r="J63"/>
  <c r="M63" s="1"/>
  <c r="M62"/>
  <c r="K62"/>
  <c r="L62" s="1"/>
  <c r="J62"/>
  <c r="M61"/>
  <c r="K61"/>
  <c r="L61" s="1"/>
  <c r="J61"/>
  <c r="K60"/>
  <c r="L60" s="1"/>
  <c r="J60"/>
  <c r="M60" s="1"/>
  <c r="K59"/>
  <c r="J59"/>
  <c r="M59" s="1"/>
  <c r="M58"/>
  <c r="K58"/>
  <c r="L58" s="1"/>
  <c r="J58"/>
  <c r="M57"/>
  <c r="K57"/>
  <c r="L57" s="1"/>
  <c r="J57"/>
  <c r="K56"/>
  <c r="L56" s="1"/>
  <c r="J56"/>
  <c r="M56" s="1"/>
  <c r="K55"/>
  <c r="J55"/>
  <c r="M55" s="1"/>
  <c r="M54"/>
  <c r="K54"/>
  <c r="L54" s="1"/>
  <c r="J54"/>
  <c r="M53"/>
  <c r="K53"/>
  <c r="L53" s="1"/>
  <c r="J53"/>
  <c r="K52"/>
  <c r="L52" s="1"/>
  <c r="J52"/>
  <c r="M52" s="1"/>
  <c r="K51"/>
  <c r="J51"/>
  <c r="M51" s="1"/>
  <c r="M50"/>
  <c r="K50"/>
  <c r="L50" s="1"/>
  <c r="J50"/>
  <c r="M49"/>
  <c r="K49"/>
  <c r="L49" s="1"/>
  <c r="J49"/>
  <c r="K48"/>
  <c r="L48" s="1"/>
  <c r="J48"/>
  <c r="M48" s="1"/>
  <c r="K47"/>
  <c r="J47"/>
  <c r="M47" s="1"/>
  <c r="M46"/>
  <c r="K46"/>
  <c r="L46" s="1"/>
  <c r="J46"/>
  <c r="M45"/>
  <c r="K45"/>
  <c r="L45" s="1"/>
  <c r="J45"/>
  <c r="K44"/>
  <c r="L44" s="1"/>
  <c r="J44"/>
  <c r="M44" s="1"/>
  <c r="K43"/>
  <c r="J43"/>
  <c r="M43" s="1"/>
  <c r="M42"/>
  <c r="K42"/>
  <c r="L42" s="1"/>
  <c r="J42"/>
  <c r="M41"/>
  <c r="K41"/>
  <c r="L41" s="1"/>
  <c r="J41"/>
  <c r="K40"/>
  <c r="L40" s="1"/>
  <c r="J40"/>
  <c r="M40" s="1"/>
  <c r="K39"/>
  <c r="J39"/>
  <c r="M39" s="1"/>
  <c r="M38"/>
  <c r="K38"/>
  <c r="L38" s="1"/>
  <c r="J38"/>
  <c r="M37"/>
  <c r="K37"/>
  <c r="L37" s="1"/>
  <c r="J37"/>
  <c r="K36"/>
  <c r="L36" s="1"/>
  <c r="J36"/>
  <c r="M36" s="1"/>
  <c r="K35"/>
  <c r="J35"/>
  <c r="M35" s="1"/>
  <c r="M34"/>
  <c r="K34"/>
  <c r="L34" s="1"/>
  <c r="J34"/>
  <c r="M33"/>
  <c r="K33"/>
  <c r="L33" s="1"/>
  <c r="J33"/>
  <c r="K32"/>
  <c r="L32" s="1"/>
  <c r="J32"/>
  <c r="M32" s="1"/>
  <c r="K31"/>
  <c r="J31"/>
  <c r="M31" s="1"/>
  <c r="M30"/>
  <c r="K30"/>
  <c r="L30" s="1"/>
  <c r="J30"/>
  <c r="M29"/>
  <c r="K29"/>
  <c r="L29" s="1"/>
  <c r="J29"/>
  <c r="K28"/>
  <c r="L28" s="1"/>
  <c r="J28"/>
  <c r="M28" s="1"/>
  <c r="K27"/>
  <c r="J27"/>
  <c r="M27" s="1"/>
  <c r="M26"/>
  <c r="K26"/>
  <c r="L26" s="1"/>
  <c r="J26"/>
  <c r="M25"/>
  <c r="K25"/>
  <c r="L25" s="1"/>
  <c r="J25"/>
  <c r="K24"/>
  <c r="L24" s="1"/>
  <c r="J24"/>
  <c r="M24" s="1"/>
  <c r="K23"/>
  <c r="J23"/>
  <c r="M23" s="1"/>
  <c r="M22"/>
  <c r="K22"/>
  <c r="L22" s="1"/>
  <c r="J22"/>
  <c r="M21"/>
  <c r="K21"/>
  <c r="L21" s="1"/>
  <c r="J21"/>
  <c r="K20"/>
  <c r="L20" s="1"/>
  <c r="J20"/>
  <c r="M20" s="1"/>
  <c r="K19"/>
  <c r="J19"/>
  <c r="M19" s="1"/>
  <c r="M18"/>
  <c r="K18"/>
  <c r="L18" s="1"/>
  <c r="J18"/>
  <c r="M17"/>
  <c r="K17"/>
  <c r="L17" s="1"/>
  <c r="J17"/>
  <c r="K16"/>
  <c r="L16" s="1"/>
  <c r="J16"/>
  <c r="M16" s="1"/>
  <c r="K15"/>
  <c r="J15"/>
  <c r="M15" s="1"/>
  <c r="K14"/>
  <c r="J14"/>
  <c r="L14" s="1"/>
  <c r="G353" i="19"/>
  <c r="F353"/>
  <c r="D353"/>
  <c r="E353" s="1"/>
  <c r="F352"/>
  <c r="G352" s="1"/>
  <c r="D352"/>
  <c r="E352" s="1"/>
  <c r="D351"/>
  <c r="E351" s="1"/>
  <c r="F351" s="1"/>
  <c r="G351" s="1"/>
  <c r="D350"/>
  <c r="E350" s="1"/>
  <c r="F350" s="1"/>
  <c r="G350" s="1"/>
  <c r="G349"/>
  <c r="F349"/>
  <c r="D349"/>
  <c r="E349" s="1"/>
  <c r="F348"/>
  <c r="G348" s="1"/>
  <c r="D348"/>
  <c r="E348" s="1"/>
  <c r="D347"/>
  <c r="E347" s="1"/>
  <c r="F347" s="1"/>
  <c r="G347" s="1"/>
  <c r="D346"/>
  <c r="E346" s="1"/>
  <c r="F346" s="1"/>
  <c r="G346" s="1"/>
  <c r="G345"/>
  <c r="F345"/>
  <c r="D345"/>
  <c r="E345" s="1"/>
  <c r="F344"/>
  <c r="G344" s="1"/>
  <c r="D344"/>
  <c r="E344" s="1"/>
  <c r="D343"/>
  <c r="E343" s="1"/>
  <c r="F343" s="1"/>
  <c r="G343" s="1"/>
  <c r="D342"/>
  <c r="E342" s="1"/>
  <c r="F342" s="1"/>
  <c r="G342" s="1"/>
  <c r="G341"/>
  <c r="F341"/>
  <c r="D341"/>
  <c r="E341" s="1"/>
  <c r="F340"/>
  <c r="G340" s="1"/>
  <c r="D340"/>
  <c r="E340" s="1"/>
  <c r="D339"/>
  <c r="E339" s="1"/>
  <c r="F339" s="1"/>
  <c r="G339" s="1"/>
  <c r="D338"/>
  <c r="E338" s="1"/>
  <c r="F338" s="1"/>
  <c r="G338" s="1"/>
  <c r="G337"/>
  <c r="F337"/>
  <c r="D337"/>
  <c r="E337" s="1"/>
  <c r="F336"/>
  <c r="G336" s="1"/>
  <c r="D336"/>
  <c r="E336" s="1"/>
  <c r="D335"/>
  <c r="E335" s="1"/>
  <c r="F335" s="1"/>
  <c r="G335" s="1"/>
  <c r="D334"/>
  <c r="E334" s="1"/>
  <c r="F334" s="1"/>
  <c r="G334" s="1"/>
  <c r="G333"/>
  <c r="F333"/>
  <c r="D333"/>
  <c r="E333" s="1"/>
  <c r="F332"/>
  <c r="G332" s="1"/>
  <c r="D332"/>
  <c r="E332" s="1"/>
  <c r="D331"/>
  <c r="E331" s="1"/>
  <c r="F331" s="1"/>
  <c r="G331" s="1"/>
  <c r="D330"/>
  <c r="E330" s="1"/>
  <c r="F330" s="1"/>
  <c r="G330" s="1"/>
  <c r="G329"/>
  <c r="F329"/>
  <c r="D329"/>
  <c r="E329" s="1"/>
  <c r="F328"/>
  <c r="G328" s="1"/>
  <c r="D328"/>
  <c r="E328" s="1"/>
  <c r="D327"/>
  <c r="E327" s="1"/>
  <c r="F327" s="1"/>
  <c r="G327" s="1"/>
  <c r="D326"/>
  <c r="E326" s="1"/>
  <c r="F326" s="1"/>
  <c r="G326" s="1"/>
  <c r="G325"/>
  <c r="F325"/>
  <c r="D325"/>
  <c r="E325" s="1"/>
  <c r="F324"/>
  <c r="G324" s="1"/>
  <c r="D324"/>
  <c r="E324" s="1"/>
  <c r="D323"/>
  <c r="E323" s="1"/>
  <c r="F323" s="1"/>
  <c r="G323" s="1"/>
  <c r="D322"/>
  <c r="E322" s="1"/>
  <c r="F322" s="1"/>
  <c r="G322" s="1"/>
  <c r="G321"/>
  <c r="F321"/>
  <c r="D321"/>
  <c r="E321" s="1"/>
  <c r="F320"/>
  <c r="G320" s="1"/>
  <c r="D320"/>
  <c r="E320" s="1"/>
  <c r="D319"/>
  <c r="E319" s="1"/>
  <c r="D318"/>
  <c r="E318" s="1"/>
  <c r="F318" s="1"/>
  <c r="G318" s="1"/>
  <c r="G317"/>
  <c r="F317"/>
  <c r="D317"/>
  <c r="E317" s="1"/>
  <c r="F316"/>
  <c r="G316" s="1"/>
  <c r="D316"/>
  <c r="E316" s="1"/>
  <c r="D315"/>
  <c r="E315" s="1"/>
  <c r="G314"/>
  <c r="F314"/>
  <c r="D314"/>
  <c r="E314" s="1"/>
  <c r="G313"/>
  <c r="F313"/>
  <c r="D313"/>
  <c r="E313" s="1"/>
  <c r="F312"/>
  <c r="G312" s="1"/>
  <c r="D312"/>
  <c r="E312" s="1"/>
  <c r="D311"/>
  <c r="E311" s="1"/>
  <c r="G310"/>
  <c r="F310"/>
  <c r="D310"/>
  <c r="E310" s="1"/>
  <c r="G309"/>
  <c r="F309"/>
  <c r="D309"/>
  <c r="E309" s="1"/>
  <c r="F308"/>
  <c r="G308" s="1"/>
  <c r="D308"/>
  <c r="E308" s="1"/>
  <c r="D307"/>
  <c r="E307" s="1"/>
  <c r="G306"/>
  <c r="F306"/>
  <c r="D306"/>
  <c r="E306" s="1"/>
  <c r="G305"/>
  <c r="F305"/>
  <c r="D305"/>
  <c r="E305" s="1"/>
  <c r="F304"/>
  <c r="G304" s="1"/>
  <c r="D304"/>
  <c r="E304" s="1"/>
  <c r="D303"/>
  <c r="E303" s="1"/>
  <c r="G302"/>
  <c r="F302"/>
  <c r="D302"/>
  <c r="E302" s="1"/>
  <c r="G301"/>
  <c r="F301"/>
  <c r="D301"/>
  <c r="E301" s="1"/>
  <c r="F300"/>
  <c r="G300" s="1"/>
  <c r="D300"/>
  <c r="E300" s="1"/>
  <c r="D299"/>
  <c r="E299" s="1"/>
  <c r="G298"/>
  <c r="F298"/>
  <c r="D298"/>
  <c r="E298" s="1"/>
  <c r="G297"/>
  <c r="F297"/>
  <c r="D297"/>
  <c r="E297" s="1"/>
  <c r="F296"/>
  <c r="G296" s="1"/>
  <c r="D296"/>
  <c r="E296" s="1"/>
  <c r="D295"/>
  <c r="E295" s="1"/>
  <c r="G294"/>
  <c r="F294"/>
  <c r="D294"/>
  <c r="E294" s="1"/>
  <c r="G293"/>
  <c r="F293"/>
  <c r="D293"/>
  <c r="E293" s="1"/>
  <c r="F292"/>
  <c r="G292" s="1"/>
  <c r="D292"/>
  <c r="E292" s="1"/>
  <c r="D291"/>
  <c r="E291" s="1"/>
  <c r="G290"/>
  <c r="F290"/>
  <c r="D290"/>
  <c r="E290" s="1"/>
  <c r="G289"/>
  <c r="F289"/>
  <c r="D289"/>
  <c r="E289" s="1"/>
  <c r="F288"/>
  <c r="G288" s="1"/>
  <c r="D288"/>
  <c r="E288" s="1"/>
  <c r="D287"/>
  <c r="E287" s="1"/>
  <c r="G286"/>
  <c r="F286"/>
  <c r="D286"/>
  <c r="E286" s="1"/>
  <c r="G285"/>
  <c r="F285"/>
  <c r="D285"/>
  <c r="E285" s="1"/>
  <c r="F284"/>
  <c r="G284" s="1"/>
  <c r="D284"/>
  <c r="E284" s="1"/>
  <c r="D283"/>
  <c r="E283" s="1"/>
  <c r="G282"/>
  <c r="F282"/>
  <c r="D282"/>
  <c r="E282" s="1"/>
  <c r="G281"/>
  <c r="F281"/>
  <c r="D281"/>
  <c r="E281" s="1"/>
  <c r="F280"/>
  <c r="G280" s="1"/>
  <c r="D280"/>
  <c r="E280" s="1"/>
  <c r="D279"/>
  <c r="E279" s="1"/>
  <c r="G278"/>
  <c r="F278"/>
  <c r="D278"/>
  <c r="E278" s="1"/>
  <c r="G277"/>
  <c r="F277"/>
  <c r="D277"/>
  <c r="E277" s="1"/>
  <c r="F276"/>
  <c r="G276" s="1"/>
  <c r="D276"/>
  <c r="E276" s="1"/>
  <c r="D275"/>
  <c r="E275" s="1"/>
  <c r="G274"/>
  <c r="F274"/>
  <c r="D274"/>
  <c r="E274" s="1"/>
  <c r="G273"/>
  <c r="F273"/>
  <c r="D273"/>
  <c r="E273" s="1"/>
  <c r="F272"/>
  <c r="G272" s="1"/>
  <c r="D272"/>
  <c r="E272" s="1"/>
  <c r="D271"/>
  <c r="E271" s="1"/>
  <c r="G270"/>
  <c r="F270"/>
  <c r="D270"/>
  <c r="E270" s="1"/>
  <c r="G269"/>
  <c r="F269"/>
  <c r="D269"/>
  <c r="E269" s="1"/>
  <c r="F268"/>
  <c r="G268" s="1"/>
  <c r="D268"/>
  <c r="E268" s="1"/>
  <c r="D267"/>
  <c r="E267" s="1"/>
  <c r="G266"/>
  <c r="F266"/>
  <c r="D266"/>
  <c r="E266" s="1"/>
  <c r="G265"/>
  <c r="F265"/>
  <c r="D265"/>
  <c r="E265" s="1"/>
  <c r="F264"/>
  <c r="G264" s="1"/>
  <c r="D264"/>
  <c r="E264" s="1"/>
  <c r="D263"/>
  <c r="E263" s="1"/>
  <c r="G262"/>
  <c r="F262"/>
  <c r="D262"/>
  <c r="E262" s="1"/>
  <c r="G261"/>
  <c r="F261"/>
  <c r="D261"/>
  <c r="E261" s="1"/>
  <c r="F260"/>
  <c r="G260" s="1"/>
  <c r="D260"/>
  <c r="E260" s="1"/>
  <c r="D259"/>
  <c r="E259" s="1"/>
  <c r="G258"/>
  <c r="F258"/>
  <c r="D258"/>
  <c r="E258" s="1"/>
  <c r="G257"/>
  <c r="F257"/>
  <c r="D257"/>
  <c r="E257" s="1"/>
  <c r="F256"/>
  <c r="G256" s="1"/>
  <c r="D256"/>
  <c r="E256" s="1"/>
  <c r="D255"/>
  <c r="E255" s="1"/>
  <c r="G254"/>
  <c r="F254"/>
  <c r="D254"/>
  <c r="E254" s="1"/>
  <c r="G253"/>
  <c r="F253"/>
  <c r="D253"/>
  <c r="E253" s="1"/>
  <c r="F252"/>
  <c r="G252" s="1"/>
  <c r="D252"/>
  <c r="E252" s="1"/>
  <c r="D251"/>
  <c r="E251" s="1"/>
  <c r="G250"/>
  <c r="F250"/>
  <c r="D250"/>
  <c r="E250" s="1"/>
  <c r="G249"/>
  <c r="F249"/>
  <c r="D249"/>
  <c r="E249" s="1"/>
  <c r="F248"/>
  <c r="G248" s="1"/>
  <c r="D248"/>
  <c r="E248" s="1"/>
  <c r="D247"/>
  <c r="E247" s="1"/>
  <c r="G246"/>
  <c r="F246"/>
  <c r="D246"/>
  <c r="E246" s="1"/>
  <c r="G245"/>
  <c r="F245"/>
  <c r="D245"/>
  <c r="E245" s="1"/>
  <c r="F244"/>
  <c r="G244" s="1"/>
  <c r="D244"/>
  <c r="E244" s="1"/>
  <c r="D243"/>
  <c r="E243" s="1"/>
  <c r="G242"/>
  <c r="F242"/>
  <c r="D242"/>
  <c r="E242" s="1"/>
  <c r="G241"/>
  <c r="F241"/>
  <c r="D241"/>
  <c r="E241" s="1"/>
  <c r="F240"/>
  <c r="G240" s="1"/>
  <c r="D240"/>
  <c r="E240" s="1"/>
  <c r="D239"/>
  <c r="E239" s="1"/>
  <c r="G238"/>
  <c r="F238"/>
  <c r="D238"/>
  <c r="E238" s="1"/>
  <c r="G237"/>
  <c r="F237"/>
  <c r="D237"/>
  <c r="E237" s="1"/>
  <c r="F236"/>
  <c r="G236" s="1"/>
  <c r="D236"/>
  <c r="E236" s="1"/>
  <c r="D235"/>
  <c r="E235" s="1"/>
  <c r="G234"/>
  <c r="F234"/>
  <c r="D234"/>
  <c r="E234" s="1"/>
  <c r="G233"/>
  <c r="F233"/>
  <c r="D233"/>
  <c r="E233" s="1"/>
  <c r="F232"/>
  <c r="G232" s="1"/>
  <c r="D232"/>
  <c r="E232" s="1"/>
  <c r="D231"/>
  <c r="E231" s="1"/>
  <c r="G230"/>
  <c r="F230"/>
  <c r="D230"/>
  <c r="E230" s="1"/>
  <c r="G229"/>
  <c r="F229"/>
  <c r="D229"/>
  <c r="E229" s="1"/>
  <c r="F228"/>
  <c r="G228" s="1"/>
  <c r="D228"/>
  <c r="E228" s="1"/>
  <c r="D227"/>
  <c r="E227" s="1"/>
  <c r="G226"/>
  <c r="F226"/>
  <c r="D226"/>
  <c r="E226" s="1"/>
  <c r="G225"/>
  <c r="F225"/>
  <c r="D225"/>
  <c r="E225" s="1"/>
  <c r="F224"/>
  <c r="G224" s="1"/>
  <c r="D224"/>
  <c r="E224" s="1"/>
  <c r="D223"/>
  <c r="E223" s="1"/>
  <c r="G222"/>
  <c r="F222"/>
  <c r="D222"/>
  <c r="E222" s="1"/>
  <c r="G221"/>
  <c r="F221"/>
  <c r="D221"/>
  <c r="E221" s="1"/>
  <c r="F220"/>
  <c r="G220" s="1"/>
  <c r="D220"/>
  <c r="E220" s="1"/>
  <c r="D219"/>
  <c r="E219" s="1"/>
  <c r="G218"/>
  <c r="F218"/>
  <c r="D218"/>
  <c r="E218" s="1"/>
  <c r="G217"/>
  <c r="F217"/>
  <c r="D217"/>
  <c r="E217" s="1"/>
  <c r="F216"/>
  <c r="G216" s="1"/>
  <c r="D216"/>
  <c r="E216" s="1"/>
  <c r="D215"/>
  <c r="E215" s="1"/>
  <c r="G214"/>
  <c r="F214"/>
  <c r="D214"/>
  <c r="E214" s="1"/>
  <c r="G213"/>
  <c r="F213"/>
  <c r="D213"/>
  <c r="E213" s="1"/>
  <c r="F212"/>
  <c r="G212" s="1"/>
  <c r="D212"/>
  <c r="E212" s="1"/>
  <c r="D211"/>
  <c r="E211" s="1"/>
  <c r="G210"/>
  <c r="F210"/>
  <c r="D210"/>
  <c r="E210" s="1"/>
  <c r="G209"/>
  <c r="F209"/>
  <c r="D209"/>
  <c r="E209" s="1"/>
  <c r="F208"/>
  <c r="G208" s="1"/>
  <c r="D208"/>
  <c r="E208" s="1"/>
  <c r="D207"/>
  <c r="E207" s="1"/>
  <c r="G206"/>
  <c r="F206"/>
  <c r="D206"/>
  <c r="E206" s="1"/>
  <c r="G205"/>
  <c r="F205"/>
  <c r="D205"/>
  <c r="E205" s="1"/>
  <c r="F204"/>
  <c r="G204" s="1"/>
  <c r="D204"/>
  <c r="E204" s="1"/>
  <c r="D203"/>
  <c r="E203" s="1"/>
  <c r="G202"/>
  <c r="F202"/>
  <c r="D202"/>
  <c r="E202" s="1"/>
  <c r="G201"/>
  <c r="F201"/>
  <c r="D201"/>
  <c r="E201" s="1"/>
  <c r="F200"/>
  <c r="G200" s="1"/>
  <c r="D200"/>
  <c r="E200" s="1"/>
  <c r="D199"/>
  <c r="E199" s="1"/>
  <c r="G198"/>
  <c r="F198"/>
  <c r="D198"/>
  <c r="E198" s="1"/>
  <c r="G197"/>
  <c r="F197"/>
  <c r="D197"/>
  <c r="E197" s="1"/>
  <c r="F196"/>
  <c r="G196" s="1"/>
  <c r="D196"/>
  <c r="E196" s="1"/>
  <c r="D195"/>
  <c r="E195" s="1"/>
  <c r="G194"/>
  <c r="F194"/>
  <c r="D194"/>
  <c r="E194" s="1"/>
  <c r="G193"/>
  <c r="F193"/>
  <c r="D193"/>
  <c r="E193" s="1"/>
  <c r="F192"/>
  <c r="G192" s="1"/>
  <c r="D192"/>
  <c r="E192" s="1"/>
  <c r="D191"/>
  <c r="E191" s="1"/>
  <c r="G190"/>
  <c r="F190"/>
  <c r="D190"/>
  <c r="E190" s="1"/>
  <c r="G189"/>
  <c r="F189"/>
  <c r="D189"/>
  <c r="E189" s="1"/>
  <c r="F188"/>
  <c r="G188" s="1"/>
  <c r="D188"/>
  <c r="E188" s="1"/>
  <c r="D187"/>
  <c r="E187" s="1"/>
  <c r="G186"/>
  <c r="F186"/>
  <c r="D186"/>
  <c r="E186" s="1"/>
  <c r="G185"/>
  <c r="F185"/>
  <c r="D185"/>
  <c r="E185" s="1"/>
  <c r="F184"/>
  <c r="G184" s="1"/>
  <c r="D184"/>
  <c r="E184" s="1"/>
  <c r="D183"/>
  <c r="E183" s="1"/>
  <c r="G182"/>
  <c r="F182"/>
  <c r="D182"/>
  <c r="E182" s="1"/>
  <c r="G181"/>
  <c r="F181"/>
  <c r="D181"/>
  <c r="E181" s="1"/>
  <c r="F180"/>
  <c r="G180" s="1"/>
  <c r="D180"/>
  <c r="E180" s="1"/>
  <c r="D179"/>
  <c r="E179" s="1"/>
  <c r="G178"/>
  <c r="F178"/>
  <c r="D178"/>
  <c r="E178" s="1"/>
  <c r="G177"/>
  <c r="F177"/>
  <c r="D177"/>
  <c r="E177" s="1"/>
  <c r="F176"/>
  <c r="G176" s="1"/>
  <c r="D176"/>
  <c r="E176" s="1"/>
  <c r="D175"/>
  <c r="E175" s="1"/>
  <c r="G174"/>
  <c r="F174"/>
  <c r="D174"/>
  <c r="E174" s="1"/>
  <c r="G173"/>
  <c r="F173"/>
  <c r="D173"/>
  <c r="E173" s="1"/>
  <c r="F172"/>
  <c r="G172" s="1"/>
  <c r="D172"/>
  <c r="E172" s="1"/>
  <c r="D171"/>
  <c r="E171" s="1"/>
  <c r="G170"/>
  <c r="F170"/>
  <c r="D170"/>
  <c r="E170" s="1"/>
  <c r="G169"/>
  <c r="F169"/>
  <c r="D169"/>
  <c r="E169" s="1"/>
  <c r="F168"/>
  <c r="G168" s="1"/>
  <c r="D168"/>
  <c r="E168" s="1"/>
  <c r="D167"/>
  <c r="E167" s="1"/>
  <c r="G166"/>
  <c r="F166"/>
  <c r="D166"/>
  <c r="E166" s="1"/>
  <c r="G165"/>
  <c r="F165"/>
  <c r="D165"/>
  <c r="E165" s="1"/>
  <c r="F164"/>
  <c r="G164" s="1"/>
  <c r="D164"/>
  <c r="E164" s="1"/>
  <c r="D163"/>
  <c r="E163" s="1"/>
  <c r="G162"/>
  <c r="F162"/>
  <c r="D162"/>
  <c r="E162" s="1"/>
  <c r="G161"/>
  <c r="F161"/>
  <c r="D161"/>
  <c r="E161" s="1"/>
  <c r="F160"/>
  <c r="G160" s="1"/>
  <c r="D160"/>
  <c r="E160" s="1"/>
  <c r="D159"/>
  <c r="E159" s="1"/>
  <c r="G158"/>
  <c r="F158"/>
  <c r="D158"/>
  <c r="E158" s="1"/>
  <c r="G157"/>
  <c r="F157"/>
  <c r="D157"/>
  <c r="E157" s="1"/>
  <c r="F156"/>
  <c r="G156" s="1"/>
  <c r="D156"/>
  <c r="E156" s="1"/>
  <c r="D155"/>
  <c r="E155" s="1"/>
  <c r="G154"/>
  <c r="F154"/>
  <c r="D154"/>
  <c r="E154" s="1"/>
  <c r="G153"/>
  <c r="F153"/>
  <c r="D153"/>
  <c r="E153" s="1"/>
  <c r="F152"/>
  <c r="G152" s="1"/>
  <c r="D152"/>
  <c r="E152" s="1"/>
  <c r="D151"/>
  <c r="E151" s="1"/>
  <c r="G150"/>
  <c r="F150"/>
  <c r="D150"/>
  <c r="E150" s="1"/>
  <c r="G149"/>
  <c r="F149"/>
  <c r="D149"/>
  <c r="E149" s="1"/>
  <c r="F148"/>
  <c r="G148" s="1"/>
  <c r="D148"/>
  <c r="E148" s="1"/>
  <c r="D147"/>
  <c r="E147" s="1"/>
  <c r="G146"/>
  <c r="F146"/>
  <c r="D146"/>
  <c r="E146" s="1"/>
  <c r="G145"/>
  <c r="F145"/>
  <c r="D145"/>
  <c r="E145" s="1"/>
  <c r="F144"/>
  <c r="G144" s="1"/>
  <c r="D144"/>
  <c r="E144" s="1"/>
  <c r="D143"/>
  <c r="E143" s="1"/>
  <c r="G142"/>
  <c r="F142"/>
  <c r="D142"/>
  <c r="E142" s="1"/>
  <c r="G141"/>
  <c r="F141"/>
  <c r="D141"/>
  <c r="E141" s="1"/>
  <c r="F140"/>
  <c r="G140" s="1"/>
  <c r="D140"/>
  <c r="E140" s="1"/>
  <c r="D139"/>
  <c r="E139" s="1"/>
  <c r="G138"/>
  <c r="F138"/>
  <c r="D138"/>
  <c r="E138" s="1"/>
  <c r="G137"/>
  <c r="F137"/>
  <c r="D137"/>
  <c r="E137" s="1"/>
  <c r="F136"/>
  <c r="G136" s="1"/>
  <c r="D136"/>
  <c r="E136" s="1"/>
  <c r="D135"/>
  <c r="E135" s="1"/>
  <c r="G134"/>
  <c r="F134"/>
  <c r="D134"/>
  <c r="E134" s="1"/>
  <c r="G133"/>
  <c r="F133"/>
  <c r="D133"/>
  <c r="E133" s="1"/>
  <c r="F132"/>
  <c r="G132" s="1"/>
  <c r="D132"/>
  <c r="E132" s="1"/>
  <c r="D131"/>
  <c r="E131" s="1"/>
  <c r="G130"/>
  <c r="F130"/>
  <c r="D130"/>
  <c r="E130" s="1"/>
  <c r="G129"/>
  <c r="F129"/>
  <c r="D129"/>
  <c r="E129" s="1"/>
  <c r="F128"/>
  <c r="G128" s="1"/>
  <c r="D128"/>
  <c r="E128" s="1"/>
  <c r="D127"/>
  <c r="E127" s="1"/>
  <c r="G126"/>
  <c r="F126"/>
  <c r="D126"/>
  <c r="E126" s="1"/>
  <c r="G125"/>
  <c r="F125"/>
  <c r="D125"/>
  <c r="E125" s="1"/>
  <c r="F124"/>
  <c r="G124" s="1"/>
  <c r="D124"/>
  <c r="E124" s="1"/>
  <c r="D123"/>
  <c r="E123" s="1"/>
  <c r="G122"/>
  <c r="F122"/>
  <c r="D122"/>
  <c r="E122" s="1"/>
  <c r="G121"/>
  <c r="F121"/>
  <c r="D121"/>
  <c r="E121" s="1"/>
  <c r="F120"/>
  <c r="G120" s="1"/>
  <c r="D120"/>
  <c r="E120" s="1"/>
  <c r="D119"/>
  <c r="E119" s="1"/>
  <c r="G118"/>
  <c r="F118"/>
  <c r="D118"/>
  <c r="E118" s="1"/>
  <c r="G117"/>
  <c r="F117"/>
  <c r="D117"/>
  <c r="E117" s="1"/>
  <c r="F116"/>
  <c r="G116" s="1"/>
  <c r="D116"/>
  <c r="E116" s="1"/>
  <c r="D115"/>
  <c r="E115" s="1"/>
  <c r="G114"/>
  <c r="F114"/>
  <c r="D114"/>
  <c r="E114" s="1"/>
  <c r="G113"/>
  <c r="F113"/>
  <c r="D113"/>
  <c r="E113" s="1"/>
  <c r="F112"/>
  <c r="G112" s="1"/>
  <c r="D112"/>
  <c r="E112" s="1"/>
  <c r="D111"/>
  <c r="E111" s="1"/>
  <c r="G110"/>
  <c r="F110"/>
  <c r="D110"/>
  <c r="E110" s="1"/>
  <c r="G109"/>
  <c r="F109"/>
  <c r="D109"/>
  <c r="E109" s="1"/>
  <c r="F108"/>
  <c r="G108" s="1"/>
  <c r="D108"/>
  <c r="E108" s="1"/>
  <c r="D107"/>
  <c r="E107" s="1"/>
  <c r="G106"/>
  <c r="F106"/>
  <c r="D106"/>
  <c r="E106" s="1"/>
  <c r="G105"/>
  <c r="F105"/>
  <c r="D105"/>
  <c r="E105" s="1"/>
  <c r="F104"/>
  <c r="G104" s="1"/>
  <c r="D104"/>
  <c r="E104" s="1"/>
  <c r="D103"/>
  <c r="E103" s="1"/>
  <c r="G102"/>
  <c r="F102"/>
  <c r="D102"/>
  <c r="E102" s="1"/>
  <c r="G101"/>
  <c r="F101"/>
  <c r="D101"/>
  <c r="E101" s="1"/>
  <c r="F100"/>
  <c r="G100" s="1"/>
  <c r="D100"/>
  <c r="E100" s="1"/>
  <c r="D99"/>
  <c r="E99" s="1"/>
  <c r="G98"/>
  <c r="F98"/>
  <c r="D98"/>
  <c r="E98" s="1"/>
  <c r="G97"/>
  <c r="F97"/>
  <c r="E97"/>
  <c r="D97"/>
  <c r="G96"/>
  <c r="F96"/>
  <c r="E96"/>
  <c r="D96"/>
  <c r="G95"/>
  <c r="F95"/>
  <c r="E95"/>
  <c r="D95"/>
  <c r="G94"/>
  <c r="F94"/>
  <c r="E94"/>
  <c r="D94"/>
  <c r="G93"/>
  <c r="F93"/>
  <c r="E93"/>
  <c r="D93"/>
  <c r="G92"/>
  <c r="F92"/>
  <c r="E92"/>
  <c r="D92"/>
  <c r="G91"/>
  <c r="F91"/>
  <c r="E91"/>
  <c r="D91"/>
  <c r="G90"/>
  <c r="F90"/>
  <c r="E90"/>
  <c r="D90"/>
  <c r="G89"/>
  <c r="F89"/>
  <c r="E89"/>
  <c r="D89"/>
  <c r="G88"/>
  <c r="F88"/>
  <c r="E88"/>
  <c r="D88"/>
  <c r="G87"/>
  <c r="F87"/>
  <c r="E87"/>
  <c r="D87"/>
  <c r="G86"/>
  <c r="F86"/>
  <c r="E86"/>
  <c r="D86"/>
  <c r="G85"/>
  <c r="F85"/>
  <c r="E85"/>
  <c r="D85"/>
  <c r="G84"/>
  <c r="F84"/>
  <c r="E84"/>
  <c r="D84"/>
  <c r="G83"/>
  <c r="F83"/>
  <c r="E83"/>
  <c r="D83"/>
  <c r="G82"/>
  <c r="F82"/>
  <c r="E82"/>
  <c r="D82"/>
  <c r="G81"/>
  <c r="F81"/>
  <c r="E81"/>
  <c r="D81"/>
  <c r="G80"/>
  <c r="F80"/>
  <c r="E80"/>
  <c r="D80"/>
  <c r="G79"/>
  <c r="F79"/>
  <c r="E79"/>
  <c r="D79"/>
  <c r="G78"/>
  <c r="F78"/>
  <c r="E78"/>
  <c r="D78"/>
  <c r="G77"/>
  <c r="F77"/>
  <c r="E77"/>
  <c r="D77"/>
  <c r="G76"/>
  <c r="F76"/>
  <c r="E76"/>
  <c r="D76"/>
  <c r="G75"/>
  <c r="F75"/>
  <c r="E75"/>
  <c r="D75"/>
  <c r="G74"/>
  <c r="F74"/>
  <c r="E74"/>
  <c r="D74"/>
  <c r="G73"/>
  <c r="F73"/>
  <c r="E73"/>
  <c r="D73"/>
  <c r="G72"/>
  <c r="F72"/>
  <c r="E72"/>
  <c r="D72"/>
  <c r="G71"/>
  <c r="F71"/>
  <c r="E71"/>
  <c r="D71"/>
  <c r="G70"/>
  <c r="F70"/>
  <c r="E70"/>
  <c r="D70"/>
  <c r="G69"/>
  <c r="F69"/>
  <c r="E69"/>
  <c r="D69"/>
  <c r="G68"/>
  <c r="F68"/>
  <c r="E68"/>
  <c r="D68"/>
  <c r="G67"/>
  <c r="F67"/>
  <c r="E67"/>
  <c r="D67"/>
  <c r="G66"/>
  <c r="F66"/>
  <c r="E66"/>
  <c r="D66"/>
  <c r="G65"/>
  <c r="F65"/>
  <c r="E65"/>
  <c r="D65"/>
  <c r="G64"/>
  <c r="F64"/>
  <c r="E64"/>
  <c r="D64"/>
  <c r="G63"/>
  <c r="F63"/>
  <c r="E63"/>
  <c r="D63"/>
  <c r="G62"/>
  <c r="F62"/>
  <c r="E62"/>
  <c r="D62"/>
  <c r="G61"/>
  <c r="F61"/>
  <c r="E61"/>
  <c r="D61"/>
  <c r="G60"/>
  <c r="F60"/>
  <c r="E60"/>
  <c r="D60"/>
  <c r="G59"/>
  <c r="F59"/>
  <c r="E59"/>
  <c r="D59"/>
  <c r="G58"/>
  <c r="F58"/>
  <c r="E58"/>
  <c r="D58"/>
  <c r="G57"/>
  <c r="F57"/>
  <c r="E57"/>
  <c r="D57"/>
  <c r="G56"/>
  <c r="F56"/>
  <c r="E56"/>
  <c r="D56"/>
  <c r="G55"/>
  <c r="F55"/>
  <c r="E55"/>
  <c r="D55"/>
  <c r="G54"/>
  <c r="F54"/>
  <c r="E54"/>
  <c r="D54"/>
  <c r="G53"/>
  <c r="F53"/>
  <c r="E53"/>
  <c r="D53"/>
  <c r="G52"/>
  <c r="F52"/>
  <c r="E52"/>
  <c r="D52"/>
  <c r="G51"/>
  <c r="F51"/>
  <c r="E51"/>
  <c r="D51"/>
  <c r="G50"/>
  <c r="F50"/>
  <c r="E50"/>
  <c r="D50"/>
  <c r="G49"/>
  <c r="F49"/>
  <c r="E49"/>
  <c r="D49"/>
  <c r="G48"/>
  <c r="F48"/>
  <c r="E48"/>
  <c r="D48"/>
  <c r="G47"/>
  <c r="F47"/>
  <c r="E47"/>
  <c r="D47"/>
  <c r="G46"/>
  <c r="F46"/>
  <c r="E46"/>
  <c r="D46"/>
  <c r="G45"/>
  <c r="F45"/>
  <c r="E45"/>
  <c r="D45"/>
  <c r="G44"/>
  <c r="F44"/>
  <c r="E44"/>
  <c r="D44"/>
  <c r="G43"/>
  <c r="F43"/>
  <c r="E43"/>
  <c r="D43"/>
  <c r="G42"/>
  <c r="F42"/>
  <c r="E42"/>
  <c r="D42"/>
  <c r="G41"/>
  <c r="F41"/>
  <c r="E41"/>
  <c r="D41"/>
  <c r="G40"/>
  <c r="F40"/>
  <c r="E40"/>
  <c r="D40"/>
  <c r="G39"/>
  <c r="F39"/>
  <c r="E39"/>
  <c r="D39"/>
  <c r="G38"/>
  <c r="F38"/>
  <c r="E38"/>
  <c r="D38"/>
  <c r="G37"/>
  <c r="F37"/>
  <c r="E37"/>
  <c r="D37"/>
  <c r="G36"/>
  <c r="F36"/>
  <c r="E36"/>
  <c r="D36"/>
  <c r="G35"/>
  <c r="F35"/>
  <c r="E35"/>
  <c r="D35"/>
  <c r="G34"/>
  <c r="F34"/>
  <c r="E34"/>
  <c r="D34"/>
  <c r="G33"/>
  <c r="F33"/>
  <c r="E33"/>
  <c r="D33"/>
  <c r="G32"/>
  <c r="F32"/>
  <c r="E32"/>
  <c r="D32"/>
  <c r="G31"/>
  <c r="F31"/>
  <c r="E31"/>
  <c r="D31"/>
  <c r="G30"/>
  <c r="F30"/>
  <c r="E30"/>
  <c r="D30"/>
  <c r="G29"/>
  <c r="F29"/>
  <c r="E29"/>
  <c r="D29"/>
  <c r="G28"/>
  <c r="F28"/>
  <c r="E28"/>
  <c r="D28"/>
  <c r="G27"/>
  <c r="F27"/>
  <c r="E27"/>
  <c r="D27"/>
  <c r="G26"/>
  <c r="F26"/>
  <c r="E26"/>
  <c r="D26"/>
  <c r="G25"/>
  <c r="F25"/>
  <c r="E25"/>
  <c r="D25"/>
  <c r="G24"/>
  <c r="F24"/>
  <c r="E24"/>
  <c r="D24"/>
  <c r="G23"/>
  <c r="F23"/>
  <c r="E23"/>
  <c r="D23"/>
  <c r="G22"/>
  <c r="F22"/>
  <c r="E22"/>
  <c r="D22"/>
  <c r="G21"/>
  <c r="F21"/>
  <c r="E21"/>
  <c r="D21"/>
  <c r="G20"/>
  <c r="F20"/>
  <c r="E20"/>
  <c r="D20"/>
  <c r="G19"/>
  <c r="F19"/>
  <c r="E19"/>
  <c r="D19"/>
  <c r="G18"/>
  <c r="F18"/>
  <c r="E18"/>
  <c r="D18"/>
  <c r="G17"/>
  <c r="F17"/>
  <c r="E17"/>
  <c r="D17"/>
  <c r="G16"/>
  <c r="F16"/>
  <c r="E16"/>
  <c r="D16"/>
  <c r="G15"/>
  <c r="F15"/>
  <c r="E15"/>
  <c r="D15"/>
  <c r="G14"/>
  <c r="F14"/>
  <c r="E14"/>
  <c r="D14"/>
  <c r="G13"/>
  <c r="F13"/>
  <c r="E13"/>
  <c r="D13"/>
  <c r="G12"/>
  <c r="F12"/>
  <c r="E12"/>
  <c r="D12"/>
  <c r="G11"/>
  <c r="F11"/>
  <c r="E11"/>
  <c r="D11"/>
  <c r="G10"/>
  <c r="F10"/>
  <c r="E10"/>
  <c r="D10"/>
  <c r="G9"/>
  <c r="F9"/>
  <c r="E9"/>
  <c r="D9"/>
  <c r="G8"/>
  <c r="F8"/>
  <c r="E8"/>
  <c r="D8"/>
  <c r="G7"/>
  <c r="F7"/>
  <c r="E7"/>
  <c r="D7"/>
  <c r="G6"/>
  <c r="F6"/>
  <c r="E6"/>
  <c r="D6"/>
  <c r="G5"/>
  <c r="F5"/>
  <c r="E5"/>
  <c r="D5"/>
  <c r="G4"/>
  <c r="F4"/>
  <c r="E4"/>
  <c r="D4"/>
  <c r="G3"/>
  <c r="F3"/>
  <c r="E3"/>
  <c r="D3"/>
  <c r="G2"/>
  <c r="F2"/>
  <c r="E2"/>
  <c r="D2"/>
  <c r="L15" i="11" l="1"/>
  <c r="L19"/>
  <c r="L23"/>
  <c r="L27"/>
  <c r="L31"/>
  <c r="L35"/>
  <c r="L39"/>
  <c r="L43"/>
  <c r="L47"/>
  <c r="L51"/>
  <c r="L55"/>
  <c r="L59"/>
  <c r="L63"/>
  <c r="L67"/>
  <c r="L71"/>
  <c r="L75"/>
  <c r="M14"/>
  <c r="F99" i="19"/>
  <c r="G99" s="1"/>
  <c r="F103"/>
  <c r="G103" s="1"/>
  <c r="F107"/>
  <c r="G107" s="1"/>
  <c r="F111"/>
  <c r="G111" s="1"/>
  <c r="F115"/>
  <c r="G115" s="1"/>
  <c r="F119"/>
  <c r="G119" s="1"/>
  <c r="F123"/>
  <c r="G123" s="1"/>
  <c r="F127"/>
  <c r="G127" s="1"/>
  <c r="F131"/>
  <c r="G131" s="1"/>
  <c r="F135"/>
  <c r="G135" s="1"/>
  <c r="F139"/>
  <c r="G139" s="1"/>
  <c r="F143"/>
  <c r="G143" s="1"/>
  <c r="F147"/>
  <c r="G147" s="1"/>
  <c r="F151"/>
  <c r="G151" s="1"/>
  <c r="F155"/>
  <c r="G155" s="1"/>
  <c r="F159"/>
  <c r="G159" s="1"/>
  <c r="F163"/>
  <c r="G163" s="1"/>
  <c r="F167"/>
  <c r="G167" s="1"/>
  <c r="F171"/>
  <c r="G171" s="1"/>
  <c r="F175"/>
  <c r="G175" s="1"/>
  <c r="F179"/>
  <c r="G179" s="1"/>
  <c r="F183"/>
  <c r="G183" s="1"/>
  <c r="F187"/>
  <c r="G187" s="1"/>
  <c r="F191"/>
  <c r="G191" s="1"/>
  <c r="F195"/>
  <c r="G195" s="1"/>
  <c r="F199"/>
  <c r="G199" s="1"/>
  <c r="F203"/>
  <c r="G203" s="1"/>
  <c r="F207"/>
  <c r="G207" s="1"/>
  <c r="F211"/>
  <c r="G211" s="1"/>
  <c r="F215"/>
  <c r="G215" s="1"/>
  <c r="F219"/>
  <c r="G219" s="1"/>
  <c r="F223"/>
  <c r="G223" s="1"/>
  <c r="F227"/>
  <c r="G227" s="1"/>
  <c r="F231"/>
  <c r="G231" s="1"/>
  <c r="F235"/>
  <c r="G235" s="1"/>
  <c r="F239"/>
  <c r="G239" s="1"/>
  <c r="F243"/>
  <c r="G243" s="1"/>
  <c r="F247"/>
  <c r="G247" s="1"/>
  <c r="F251"/>
  <c r="G251" s="1"/>
  <c r="F255"/>
  <c r="G255" s="1"/>
  <c r="F259"/>
  <c r="G259" s="1"/>
  <c r="F263"/>
  <c r="G263" s="1"/>
  <c r="F267"/>
  <c r="G267" s="1"/>
  <c r="F271"/>
  <c r="G271" s="1"/>
  <c r="F275"/>
  <c r="G275" s="1"/>
  <c r="F279"/>
  <c r="G279" s="1"/>
  <c r="F283"/>
  <c r="G283" s="1"/>
  <c r="F287"/>
  <c r="G287" s="1"/>
  <c r="F291"/>
  <c r="G291" s="1"/>
  <c r="F295"/>
  <c r="G295" s="1"/>
  <c r="F299"/>
  <c r="G299" s="1"/>
  <c r="F303"/>
  <c r="G303" s="1"/>
  <c r="F307"/>
  <c r="G307" s="1"/>
  <c r="F311"/>
  <c r="G311" s="1"/>
  <c r="F315"/>
  <c r="G315" s="1"/>
  <c r="F319"/>
  <c r="G319" s="1"/>
  <c r="A1101" i="2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B7"/>
  <c r="AD7" s="1"/>
  <c r="A7"/>
  <c r="D7" l="1"/>
  <c r="B8"/>
  <c r="AD8" s="1"/>
  <c r="L7"/>
  <c r="T7"/>
  <c r="AB7"/>
  <c r="AB8"/>
  <c r="H7"/>
  <c r="P7"/>
  <c r="X7"/>
  <c r="AF7"/>
  <c r="C8"/>
  <c r="P8"/>
  <c r="AF8"/>
  <c r="X8"/>
  <c r="B9"/>
  <c r="X9" s="1"/>
  <c r="C7"/>
  <c r="T8"/>
  <c r="F8"/>
  <c r="V8"/>
  <c r="F7"/>
  <c r="J7"/>
  <c r="N7"/>
  <c r="R7"/>
  <c r="V7"/>
  <c r="Z7"/>
  <c r="R8"/>
  <c r="Z8"/>
  <c r="T9" l="1"/>
  <c r="J8"/>
  <c r="N8"/>
  <c r="P9"/>
  <c r="D8"/>
  <c r="L8"/>
  <c r="H8"/>
  <c r="Z9"/>
  <c r="AF9"/>
  <c r="D9"/>
  <c r="J9"/>
  <c r="L9"/>
  <c r="AB9"/>
  <c r="R9"/>
  <c r="H9"/>
  <c r="B10"/>
  <c r="AD9"/>
  <c r="C9"/>
  <c r="V9"/>
  <c r="F9"/>
  <c r="N9"/>
  <c r="AD10" l="1"/>
  <c r="N10"/>
  <c r="V10"/>
  <c r="F10"/>
  <c r="D10"/>
  <c r="X10"/>
  <c r="R10"/>
  <c r="P10"/>
  <c r="AF10"/>
  <c r="H10"/>
  <c r="J10"/>
  <c r="AB10"/>
  <c r="C10"/>
  <c r="L10"/>
  <c r="B11"/>
  <c r="T10"/>
  <c r="Z10"/>
  <c r="AF11" l="1"/>
  <c r="V11"/>
  <c r="F11"/>
  <c r="L11"/>
  <c r="H11"/>
  <c r="Z11"/>
  <c r="J11"/>
  <c r="AB11"/>
  <c r="P11"/>
  <c r="AD11"/>
  <c r="N11"/>
  <c r="C11"/>
  <c r="X11"/>
  <c r="D11"/>
  <c r="R11"/>
  <c r="B12"/>
  <c r="T11"/>
  <c r="F12" l="1"/>
  <c r="R12"/>
  <c r="X12"/>
  <c r="T12"/>
  <c r="AD12"/>
  <c r="H12"/>
  <c r="L12"/>
  <c r="N12"/>
  <c r="Z12"/>
  <c r="AF12"/>
  <c r="AB12"/>
  <c r="P12"/>
  <c r="V12"/>
  <c r="B13"/>
  <c r="D12"/>
  <c r="J12"/>
  <c r="C12"/>
  <c r="T13" l="1"/>
  <c r="D13"/>
  <c r="N13"/>
  <c r="AD13"/>
  <c r="X13"/>
  <c r="H13"/>
  <c r="V13"/>
  <c r="J13"/>
  <c r="AB13"/>
  <c r="L13"/>
  <c r="C13"/>
  <c r="R13"/>
  <c r="AF13"/>
  <c r="P13"/>
  <c r="B14"/>
  <c r="Z13"/>
  <c r="F13"/>
  <c r="D14" l="1"/>
  <c r="C14"/>
  <c r="L14"/>
  <c r="J14"/>
  <c r="F14"/>
  <c r="H14"/>
  <c r="T14"/>
  <c r="P14"/>
  <c r="R14"/>
  <c r="N14"/>
  <c r="V14"/>
  <c r="AF14"/>
  <c r="X14"/>
  <c r="Z14"/>
  <c r="AD14"/>
  <c r="B15"/>
  <c r="AB14"/>
  <c r="Z15" l="1"/>
  <c r="J15"/>
  <c r="AF15"/>
  <c r="AB15"/>
  <c r="B16"/>
  <c r="R15"/>
  <c r="C15"/>
  <c r="P15"/>
  <c r="D15"/>
  <c r="V15"/>
  <c r="F15"/>
  <c r="X15"/>
  <c r="T15"/>
  <c r="AD15"/>
  <c r="N15"/>
  <c r="L15"/>
  <c r="H15"/>
  <c r="R16" l="1"/>
  <c r="N16"/>
  <c r="C16"/>
  <c r="L16"/>
  <c r="Z16"/>
  <c r="F16"/>
  <c r="AB16"/>
  <c r="V16"/>
  <c r="T16"/>
  <c r="P16"/>
  <c r="H16"/>
  <c r="AF16"/>
  <c r="AD16"/>
  <c r="J16"/>
  <c r="X16"/>
  <c r="B17"/>
  <c r="D16"/>
  <c r="X17" l="1"/>
  <c r="H17"/>
  <c r="AD17"/>
  <c r="AB17"/>
  <c r="L17"/>
  <c r="C17"/>
  <c r="R17"/>
  <c r="B18"/>
  <c r="T17"/>
  <c r="D17"/>
  <c r="F17"/>
  <c r="V17"/>
  <c r="J17"/>
  <c r="AF17"/>
  <c r="P17"/>
  <c r="Z17"/>
  <c r="N17"/>
  <c r="P18" l="1"/>
  <c r="X18"/>
  <c r="D18"/>
  <c r="AD18"/>
  <c r="B19"/>
  <c r="T18"/>
  <c r="Z18"/>
  <c r="F18"/>
  <c r="AF18"/>
  <c r="AB18"/>
  <c r="H18"/>
  <c r="J18"/>
  <c r="N18"/>
  <c r="C18"/>
  <c r="L18"/>
  <c r="R18"/>
  <c r="V18"/>
  <c r="B20" l="1"/>
  <c r="V19"/>
  <c r="F19"/>
  <c r="L19"/>
  <c r="X19"/>
  <c r="T19"/>
  <c r="Z19"/>
  <c r="J19"/>
  <c r="AF19"/>
  <c r="AB19"/>
  <c r="AD19"/>
  <c r="N19"/>
  <c r="H19"/>
  <c r="R19"/>
  <c r="C19"/>
  <c r="P19"/>
  <c r="D19"/>
  <c r="N20" l="1"/>
  <c r="AD20"/>
  <c r="J20"/>
  <c r="B21"/>
  <c r="D20"/>
  <c r="V20"/>
  <c r="H20"/>
  <c r="L20"/>
  <c r="C20"/>
  <c r="R20"/>
  <c r="AF20"/>
  <c r="T20"/>
  <c r="P20"/>
  <c r="Z20"/>
  <c r="F20"/>
  <c r="AB20"/>
  <c r="X20"/>
  <c r="X21" l="1"/>
  <c r="H21"/>
  <c r="V21"/>
  <c r="AD21"/>
  <c r="AB21"/>
  <c r="L21"/>
  <c r="J21"/>
  <c r="AF21"/>
  <c r="B22"/>
  <c r="F21"/>
  <c r="T21"/>
  <c r="D21"/>
  <c r="Z21"/>
  <c r="N21"/>
  <c r="C21"/>
  <c r="P21"/>
  <c r="R21"/>
  <c r="AF22" l="1"/>
  <c r="X22"/>
  <c r="Z22"/>
  <c r="AD22"/>
  <c r="R22"/>
  <c r="B23"/>
  <c r="AB22"/>
  <c r="H22"/>
  <c r="D22"/>
  <c r="C22"/>
  <c r="L22"/>
  <c r="J22"/>
  <c r="F22"/>
  <c r="N22"/>
  <c r="P22"/>
  <c r="T22"/>
  <c r="V22"/>
  <c r="V23" l="1"/>
  <c r="F23"/>
  <c r="AF23"/>
  <c r="AB23"/>
  <c r="B24"/>
  <c r="R23"/>
  <c r="T23"/>
  <c r="X23"/>
  <c r="L23"/>
  <c r="Z23"/>
  <c r="J23"/>
  <c r="H23"/>
  <c r="AD23"/>
  <c r="N23"/>
  <c r="C23"/>
  <c r="D23"/>
  <c r="P23"/>
  <c r="R24" l="1"/>
  <c r="X24"/>
  <c r="T24"/>
  <c r="P24"/>
  <c r="Z24"/>
  <c r="F24"/>
  <c r="B25"/>
  <c r="D24"/>
  <c r="AD24"/>
  <c r="J24"/>
  <c r="H24"/>
  <c r="L24"/>
  <c r="C24"/>
  <c r="N24"/>
  <c r="V24"/>
  <c r="AB24"/>
  <c r="AF24"/>
  <c r="T25" l="1"/>
  <c r="D25"/>
  <c r="N25"/>
  <c r="J25"/>
  <c r="X25"/>
  <c r="H25"/>
  <c r="AD25"/>
  <c r="R25"/>
  <c r="AF25"/>
  <c r="P25"/>
  <c r="B26"/>
  <c r="F25"/>
  <c r="V25"/>
  <c r="AB25"/>
  <c r="L25"/>
  <c r="C25"/>
  <c r="Z25"/>
  <c r="T26" l="1"/>
  <c r="AF26"/>
  <c r="D26"/>
  <c r="N26"/>
  <c r="F26"/>
  <c r="B27"/>
  <c r="P26"/>
  <c r="R26"/>
  <c r="AD26"/>
  <c r="H26"/>
  <c r="X26"/>
  <c r="Z26"/>
  <c r="AB26"/>
  <c r="C26"/>
  <c r="L26"/>
  <c r="J26"/>
  <c r="V26"/>
  <c r="Z27" l="1"/>
  <c r="J27"/>
  <c r="P27"/>
  <c r="D27"/>
  <c r="R27"/>
  <c r="AF27"/>
  <c r="AD27"/>
  <c r="N27"/>
  <c r="L27"/>
  <c r="X27"/>
  <c r="T27"/>
  <c r="C27"/>
  <c r="B28"/>
  <c r="AB27"/>
  <c r="V27"/>
  <c r="F27"/>
  <c r="H27"/>
  <c r="N28" l="1"/>
  <c r="V28"/>
  <c r="T28"/>
  <c r="P28"/>
  <c r="F28"/>
  <c r="R28"/>
  <c r="C28"/>
  <c r="Z28"/>
  <c r="H28"/>
  <c r="AB28"/>
  <c r="X28"/>
  <c r="AD28"/>
  <c r="J28"/>
  <c r="AF28"/>
  <c r="B29"/>
  <c r="D28"/>
  <c r="L28"/>
  <c r="T29" l="1"/>
  <c r="D29"/>
  <c r="C29"/>
  <c r="R29"/>
  <c r="F29"/>
  <c r="AB29"/>
  <c r="L29"/>
  <c r="B30"/>
  <c r="V29"/>
  <c r="AF29"/>
  <c r="P29"/>
  <c r="AD29"/>
  <c r="J29"/>
  <c r="X29"/>
  <c r="H29"/>
  <c r="Z29"/>
  <c r="N29"/>
  <c r="D30" l="1"/>
  <c r="AB30"/>
  <c r="Z30"/>
  <c r="AD30"/>
  <c r="T30"/>
  <c r="N30"/>
  <c r="P30"/>
  <c r="AF30"/>
  <c r="H30"/>
  <c r="X30"/>
  <c r="C30"/>
  <c r="L30"/>
  <c r="J30"/>
  <c r="F30"/>
  <c r="V30"/>
  <c r="B31"/>
  <c r="R30"/>
  <c r="V31" l="1"/>
  <c r="F31"/>
  <c r="T31"/>
  <c r="P31"/>
  <c r="D31"/>
  <c r="Z31"/>
  <c r="J31"/>
  <c r="X31"/>
  <c r="L31"/>
  <c r="AD31"/>
  <c r="N31"/>
  <c r="AF31"/>
  <c r="AB31"/>
  <c r="C31"/>
  <c r="R31"/>
  <c r="B32"/>
  <c r="H31"/>
  <c r="F32" l="1"/>
  <c r="AB32"/>
  <c r="X32"/>
  <c r="N32"/>
  <c r="J32"/>
  <c r="B33"/>
  <c r="D32"/>
  <c r="V32"/>
  <c r="R32"/>
  <c r="P32"/>
  <c r="L32"/>
  <c r="C32"/>
  <c r="AD32"/>
  <c r="Z32"/>
  <c r="AF32"/>
  <c r="T32"/>
  <c r="H32"/>
  <c r="AB33" l="1"/>
  <c r="L33"/>
  <c r="C33"/>
  <c r="J33"/>
  <c r="D33"/>
  <c r="X33"/>
  <c r="H33"/>
  <c r="N33"/>
  <c r="AD33"/>
  <c r="AF33"/>
  <c r="P33"/>
  <c r="B34"/>
  <c r="R33"/>
  <c r="F33"/>
  <c r="T33"/>
  <c r="Z33"/>
  <c r="V33"/>
  <c r="H34" l="1"/>
  <c r="C34"/>
  <c r="L34"/>
  <c r="J34"/>
  <c r="N34"/>
  <c r="T34"/>
  <c r="P34"/>
  <c r="R34"/>
  <c r="F34"/>
  <c r="AD34"/>
  <c r="AB34"/>
  <c r="X34"/>
  <c r="V34"/>
  <c r="B35"/>
  <c r="AF34"/>
  <c r="D34"/>
  <c r="Z34"/>
  <c r="V35" l="1"/>
  <c r="F35"/>
  <c r="L35"/>
  <c r="P35"/>
  <c r="Z35"/>
  <c r="J35"/>
  <c r="T35"/>
  <c r="X35"/>
  <c r="D35"/>
  <c r="AD35"/>
  <c r="N35"/>
  <c r="AF35"/>
  <c r="AB35"/>
  <c r="B36"/>
  <c r="H35"/>
  <c r="C35"/>
  <c r="R35"/>
  <c r="J36" l="1"/>
  <c r="N36"/>
  <c r="X36"/>
  <c r="B37"/>
  <c r="D36"/>
  <c r="L36"/>
  <c r="AD36"/>
  <c r="F36"/>
  <c r="AB36"/>
  <c r="AF36"/>
  <c r="R36"/>
  <c r="V36"/>
  <c r="C36"/>
  <c r="H36"/>
  <c r="Z36"/>
  <c r="T36"/>
  <c r="P36"/>
  <c r="J37" l="1"/>
  <c r="H37"/>
  <c r="R37"/>
  <c r="AB37"/>
  <c r="L37"/>
  <c r="C37"/>
  <c r="Z37"/>
  <c r="N37"/>
  <c r="AF37"/>
  <c r="P37"/>
  <c r="B38"/>
  <c r="AD37"/>
  <c r="T37"/>
  <c r="D37"/>
  <c r="F37"/>
  <c r="X37"/>
  <c r="V37"/>
  <c r="D38" l="1"/>
  <c r="N38"/>
  <c r="B39"/>
  <c r="H38"/>
  <c r="V38"/>
  <c r="L38"/>
  <c r="C38"/>
  <c r="P38"/>
  <c r="R38"/>
  <c r="AD38"/>
  <c r="X38"/>
  <c r="T38"/>
  <c r="Z38"/>
  <c r="AB38"/>
  <c r="F38"/>
  <c r="AF38"/>
  <c r="J38"/>
  <c r="C39" l="1"/>
  <c r="R39"/>
  <c r="P39"/>
  <c r="D39"/>
  <c r="B40"/>
  <c r="V39"/>
  <c r="F39"/>
  <c r="X39"/>
  <c r="T39"/>
  <c r="AD39"/>
  <c r="N39"/>
  <c r="L39"/>
  <c r="H39"/>
  <c r="Z39"/>
  <c r="J39"/>
  <c r="AF39"/>
  <c r="AB39"/>
  <c r="AD40" l="1"/>
  <c r="F40"/>
  <c r="B41"/>
  <c r="D40"/>
  <c r="C40"/>
  <c r="N40"/>
  <c r="L40"/>
  <c r="H40"/>
  <c r="R40"/>
  <c r="T40"/>
  <c r="Z40"/>
  <c r="AB40"/>
  <c r="J40"/>
  <c r="P40"/>
  <c r="X40"/>
  <c r="V40"/>
  <c r="AF40"/>
  <c r="T41" l="1"/>
  <c r="D41"/>
  <c r="F41"/>
  <c r="J41"/>
  <c r="P41"/>
  <c r="X41"/>
  <c r="H41"/>
  <c r="V41"/>
  <c r="R41"/>
  <c r="AB41"/>
  <c r="L41"/>
  <c r="C41"/>
  <c r="Z41"/>
  <c r="N41"/>
  <c r="AF41"/>
  <c r="B42"/>
  <c r="AD41"/>
  <c r="L42" l="1"/>
  <c r="C42"/>
  <c r="P42"/>
  <c r="R42"/>
  <c r="F42"/>
  <c r="X42"/>
  <c r="T42"/>
  <c r="Z42"/>
  <c r="V42"/>
  <c r="N42"/>
  <c r="AB42"/>
  <c r="D42"/>
  <c r="AD42"/>
  <c r="B43"/>
  <c r="AF42"/>
  <c r="H42"/>
  <c r="J42"/>
  <c r="B44" l="1"/>
  <c r="V43"/>
  <c r="F43"/>
  <c r="AF43"/>
  <c r="T43"/>
  <c r="H43"/>
  <c r="AD43"/>
  <c r="N43"/>
  <c r="L43"/>
  <c r="P43"/>
  <c r="C43"/>
  <c r="R43"/>
  <c r="AB43"/>
  <c r="X43"/>
  <c r="D43"/>
  <c r="Z43"/>
  <c r="J43"/>
  <c r="N44" l="1"/>
  <c r="P44"/>
  <c r="T44"/>
  <c r="H44"/>
  <c r="V44"/>
  <c r="Z44"/>
  <c r="B45"/>
  <c r="D44"/>
  <c r="J44"/>
  <c r="R44"/>
  <c r="AF44"/>
  <c r="AB44"/>
  <c r="X44"/>
  <c r="AD44"/>
  <c r="F44"/>
  <c r="C44"/>
  <c r="L44"/>
  <c r="AF45" l="1"/>
  <c r="P45"/>
  <c r="AD45"/>
  <c r="J45"/>
  <c r="T45"/>
  <c r="D45"/>
  <c r="C45"/>
  <c r="R45"/>
  <c r="X45"/>
  <c r="H45"/>
  <c r="Z45"/>
  <c r="F45"/>
  <c r="AB45"/>
  <c r="L45"/>
  <c r="N45"/>
  <c r="B46"/>
  <c r="V45"/>
  <c r="X46" l="1"/>
  <c r="T46"/>
  <c r="R46"/>
  <c r="AD46"/>
  <c r="AF46"/>
  <c r="B47"/>
  <c r="AB46"/>
  <c r="Z46"/>
  <c r="H46"/>
  <c r="C46"/>
  <c r="D46"/>
  <c r="N46"/>
  <c r="F46"/>
  <c r="J46"/>
  <c r="P46"/>
  <c r="L46"/>
  <c r="V46"/>
  <c r="B48" l="1"/>
  <c r="R47"/>
  <c r="C47"/>
  <c r="L47"/>
  <c r="P47"/>
  <c r="Z47"/>
  <c r="AF47"/>
  <c r="T47"/>
  <c r="AD47"/>
  <c r="N47"/>
  <c r="H47"/>
  <c r="V47"/>
  <c r="F47"/>
  <c r="AB47"/>
  <c r="X47"/>
  <c r="D47"/>
  <c r="J47"/>
  <c r="AD48" l="1"/>
  <c r="R48"/>
  <c r="X48"/>
  <c r="T48"/>
  <c r="AF48"/>
  <c r="H48"/>
  <c r="N48"/>
  <c r="F48"/>
  <c r="B49"/>
  <c r="D48"/>
  <c r="V48"/>
  <c r="J48"/>
  <c r="P48"/>
  <c r="L48"/>
  <c r="C48"/>
  <c r="Z48"/>
  <c r="AB48"/>
  <c r="AB49" l="1"/>
  <c r="L49"/>
  <c r="C49"/>
  <c r="R49"/>
  <c r="B50"/>
  <c r="F49"/>
  <c r="T49"/>
  <c r="D49"/>
  <c r="AD49"/>
  <c r="X49"/>
  <c r="H49"/>
  <c r="V49"/>
  <c r="J49"/>
  <c r="AF49"/>
  <c r="P49"/>
  <c r="Z49"/>
  <c r="N49"/>
  <c r="B51" l="1"/>
  <c r="P50"/>
  <c r="R50"/>
  <c r="V50"/>
  <c r="AD50"/>
  <c r="AF50"/>
  <c r="C50"/>
  <c r="L50"/>
  <c r="J50"/>
  <c r="F50"/>
  <c r="H50"/>
  <c r="X50"/>
  <c r="Z50"/>
  <c r="N50"/>
  <c r="T50"/>
  <c r="AB50"/>
  <c r="D50"/>
  <c r="Z51" l="1"/>
  <c r="J51"/>
  <c r="AB51"/>
  <c r="X51"/>
  <c r="AF51"/>
  <c r="R51"/>
  <c r="B52"/>
  <c r="H51"/>
  <c r="V51"/>
  <c r="F51"/>
  <c r="T51"/>
  <c r="P51"/>
  <c r="AD51"/>
  <c r="N51"/>
  <c r="C51"/>
  <c r="L51"/>
  <c r="D51"/>
  <c r="F52" l="1"/>
  <c r="V52"/>
  <c r="T52"/>
  <c r="H52"/>
  <c r="AF52"/>
  <c r="J52"/>
  <c r="B53"/>
  <c r="C52"/>
  <c r="N52"/>
  <c r="L52"/>
  <c r="R52"/>
  <c r="Z52"/>
  <c r="P52"/>
  <c r="AB52"/>
  <c r="AD52"/>
  <c r="X52"/>
  <c r="D52"/>
  <c r="AF53" l="1"/>
  <c r="P53"/>
  <c r="B54"/>
  <c r="N53"/>
  <c r="T53"/>
  <c r="D53"/>
  <c r="F53"/>
  <c r="X53"/>
  <c r="H53"/>
  <c r="AD53"/>
  <c r="J53"/>
  <c r="AB53"/>
  <c r="L53"/>
  <c r="C53"/>
  <c r="R53"/>
  <c r="Z53"/>
  <c r="V53"/>
  <c r="H54" l="1"/>
  <c r="X54"/>
  <c r="Z54"/>
  <c r="F54"/>
  <c r="T54"/>
  <c r="D54"/>
  <c r="AB54"/>
  <c r="C54"/>
  <c r="L54"/>
  <c r="J54"/>
  <c r="N54"/>
  <c r="B55"/>
  <c r="P54"/>
  <c r="R54"/>
  <c r="AD54"/>
  <c r="AF54"/>
  <c r="V54"/>
  <c r="C55" l="1"/>
  <c r="R55"/>
  <c r="B56"/>
  <c r="D55"/>
  <c r="P55"/>
  <c r="Z55"/>
  <c r="J55"/>
  <c r="AF55"/>
  <c r="AB55"/>
  <c r="AD55"/>
  <c r="N55"/>
  <c r="H55"/>
  <c r="V55"/>
  <c r="F55"/>
  <c r="T55"/>
  <c r="X55"/>
  <c r="L55"/>
  <c r="R56" l="1"/>
  <c r="N56"/>
  <c r="B57"/>
  <c r="D56"/>
  <c r="AD56"/>
  <c r="V56"/>
  <c r="H56"/>
  <c r="L56"/>
  <c r="C56"/>
  <c r="Z56"/>
  <c r="X56"/>
  <c r="T56"/>
  <c r="P56"/>
  <c r="F56"/>
  <c r="J56"/>
  <c r="AB56"/>
  <c r="AF56"/>
  <c r="AB57" l="1"/>
  <c r="L57"/>
  <c r="C57"/>
  <c r="R57"/>
  <c r="AF57"/>
  <c r="P57"/>
  <c r="B58"/>
  <c r="Z57"/>
  <c r="N57"/>
  <c r="T57"/>
  <c r="D57"/>
  <c r="F57"/>
  <c r="AD57"/>
  <c r="X57"/>
  <c r="H57"/>
  <c r="V57"/>
  <c r="J57"/>
  <c r="T58" l="1"/>
  <c r="AF58"/>
  <c r="L58"/>
  <c r="J58"/>
  <c r="V58"/>
  <c r="P58"/>
  <c r="B59"/>
  <c r="X58"/>
  <c r="Z58"/>
  <c r="F58"/>
  <c r="D58"/>
  <c r="AB58"/>
  <c r="H58"/>
  <c r="AD58"/>
  <c r="N58"/>
  <c r="C58"/>
  <c r="R58"/>
  <c r="Z59" l="1"/>
  <c r="J59"/>
  <c r="D59"/>
  <c r="H59"/>
  <c r="C59"/>
  <c r="X59"/>
  <c r="B60"/>
  <c r="V59"/>
  <c r="F59"/>
  <c r="AF59"/>
  <c r="T59"/>
  <c r="AD59"/>
  <c r="N59"/>
  <c r="AB59"/>
  <c r="P59"/>
  <c r="R59"/>
  <c r="L59"/>
  <c r="AD60" l="1"/>
  <c r="AF60"/>
  <c r="P60"/>
  <c r="F60"/>
  <c r="D60"/>
  <c r="R60"/>
  <c r="N60"/>
  <c r="H60"/>
  <c r="L60"/>
  <c r="Z60"/>
  <c r="V60"/>
  <c r="X60"/>
  <c r="T60"/>
  <c r="C60"/>
  <c r="AB60"/>
  <c r="J60"/>
  <c r="B61"/>
  <c r="P61" l="1"/>
  <c r="T61"/>
  <c r="N61"/>
  <c r="V61"/>
  <c r="AB61"/>
  <c r="L61"/>
  <c r="C61"/>
  <c r="R61"/>
  <c r="AF61"/>
  <c r="B62"/>
  <c r="Z61"/>
  <c r="F61"/>
  <c r="D61"/>
  <c r="AD61"/>
  <c r="X61"/>
  <c r="H61"/>
  <c r="J61"/>
  <c r="L62" l="1"/>
  <c r="AB62"/>
  <c r="D62"/>
  <c r="AD62"/>
  <c r="X62"/>
  <c r="AF62"/>
  <c r="H62"/>
  <c r="J62"/>
  <c r="N62"/>
  <c r="B63"/>
  <c r="T62"/>
  <c r="Z62"/>
  <c r="V62"/>
  <c r="C62"/>
  <c r="P62"/>
  <c r="R62"/>
  <c r="F62"/>
  <c r="V63" l="1"/>
  <c r="F63"/>
  <c r="T63"/>
  <c r="X63"/>
  <c r="L63"/>
  <c r="Z63"/>
  <c r="J63"/>
  <c r="AF63"/>
  <c r="AB63"/>
  <c r="AD63"/>
  <c r="N63"/>
  <c r="C63"/>
  <c r="H63"/>
  <c r="D63"/>
  <c r="R63"/>
  <c r="B64"/>
  <c r="P63"/>
  <c r="V64" l="1"/>
  <c r="R64"/>
  <c r="AB64"/>
  <c r="AF64"/>
  <c r="AD64"/>
  <c r="Z64"/>
  <c r="B65"/>
  <c r="D64"/>
  <c r="C64"/>
  <c r="F64"/>
  <c r="P64"/>
  <c r="L64"/>
  <c r="H64"/>
  <c r="N64"/>
  <c r="J64"/>
  <c r="T64"/>
  <c r="X64"/>
  <c r="AB65" l="1"/>
  <c r="L65"/>
  <c r="C65"/>
  <c r="R65"/>
  <c r="AF65"/>
  <c r="P65"/>
  <c r="B66"/>
  <c r="Z65"/>
  <c r="N65"/>
  <c r="T65"/>
  <c r="D65"/>
  <c r="F65"/>
  <c r="AD65"/>
  <c r="X65"/>
  <c r="H65"/>
  <c r="V65"/>
  <c r="J65"/>
  <c r="B67" l="1"/>
  <c r="AF66"/>
  <c r="D66"/>
  <c r="H66"/>
  <c r="L66"/>
  <c r="J66"/>
  <c r="F66"/>
  <c r="AB66"/>
  <c r="X66"/>
  <c r="Z66"/>
  <c r="AD66"/>
  <c r="C66"/>
  <c r="N66"/>
  <c r="T66"/>
  <c r="P66"/>
  <c r="R66"/>
  <c r="V66"/>
  <c r="V67" l="1"/>
  <c r="F67"/>
  <c r="P67"/>
  <c r="D67"/>
  <c r="AD67"/>
  <c r="N67"/>
  <c r="AF67"/>
  <c r="B68"/>
  <c r="R67"/>
  <c r="AB67"/>
  <c r="H67"/>
  <c r="Z67"/>
  <c r="J67"/>
  <c r="X67"/>
  <c r="L67"/>
  <c r="C67"/>
  <c r="T67"/>
  <c r="J68" l="1"/>
  <c r="AB68"/>
  <c r="AF68"/>
  <c r="N68"/>
  <c r="B69"/>
  <c r="D68"/>
  <c r="R68"/>
  <c r="L68"/>
  <c r="H68"/>
  <c r="F68"/>
  <c r="T68"/>
  <c r="V68"/>
  <c r="AD68"/>
  <c r="Z68"/>
  <c r="X68"/>
  <c r="P68"/>
  <c r="C68"/>
  <c r="T69" l="1"/>
  <c r="D69"/>
  <c r="Z69"/>
  <c r="N69"/>
  <c r="AF69"/>
  <c r="P69"/>
  <c r="B70"/>
  <c r="F69"/>
  <c r="X69"/>
  <c r="H69"/>
  <c r="V69"/>
  <c r="AD69"/>
  <c r="AB69"/>
  <c r="L69"/>
  <c r="C69"/>
  <c r="J69"/>
  <c r="R69"/>
  <c r="AB70" l="1"/>
  <c r="B71"/>
  <c r="P70"/>
  <c r="J70"/>
  <c r="F70"/>
  <c r="AF70"/>
  <c r="AD70"/>
  <c r="T70"/>
  <c r="C70"/>
  <c r="H70"/>
  <c r="N70"/>
  <c r="D70"/>
  <c r="X70"/>
  <c r="R70"/>
  <c r="V70"/>
  <c r="L70"/>
  <c r="Z70"/>
  <c r="AD71" l="1"/>
  <c r="N71"/>
  <c r="C71"/>
  <c r="X71"/>
  <c r="L71"/>
  <c r="V71"/>
  <c r="F71"/>
  <c r="T71"/>
  <c r="Z71"/>
  <c r="J71"/>
  <c r="P71"/>
  <c r="D71"/>
  <c r="R71"/>
  <c r="B72"/>
  <c r="AF71"/>
  <c r="AB71"/>
  <c r="H71"/>
  <c r="AD72" l="1"/>
  <c r="J72"/>
  <c r="C72"/>
  <c r="L72"/>
  <c r="N72"/>
  <c r="Z72"/>
  <c r="AF72"/>
  <c r="AB72"/>
  <c r="X72"/>
  <c r="B73"/>
  <c r="F72"/>
  <c r="R72"/>
  <c r="P72"/>
  <c r="T72"/>
  <c r="H72"/>
  <c r="V72"/>
  <c r="D72"/>
  <c r="X73" l="1"/>
  <c r="H73"/>
  <c r="R73"/>
  <c r="F73"/>
  <c r="AB73"/>
  <c r="L73"/>
  <c r="B74"/>
  <c r="Z73"/>
  <c r="N73"/>
  <c r="AF73"/>
  <c r="P73"/>
  <c r="V73"/>
  <c r="T73"/>
  <c r="C73"/>
  <c r="J73"/>
  <c r="AD73"/>
  <c r="D73"/>
  <c r="C74" l="1"/>
  <c r="P74"/>
  <c r="R74"/>
  <c r="V74"/>
  <c r="AB74"/>
  <c r="AD74"/>
  <c r="B75"/>
  <c r="T74"/>
  <c r="Z74"/>
  <c r="N74"/>
  <c r="H74"/>
  <c r="D74"/>
  <c r="X74"/>
  <c r="AF74"/>
  <c r="L74"/>
  <c r="J74"/>
  <c r="F74"/>
  <c r="C75" l="1"/>
  <c r="R75"/>
  <c r="B76"/>
  <c r="AB75"/>
  <c r="AF75"/>
  <c r="T75"/>
  <c r="V75"/>
  <c r="F75"/>
  <c r="H75"/>
  <c r="J75"/>
  <c r="P75"/>
  <c r="AD75"/>
  <c r="N75"/>
  <c r="D75"/>
  <c r="X75"/>
  <c r="L75"/>
  <c r="Z75"/>
  <c r="AD76" l="1"/>
  <c r="P76"/>
  <c r="C76"/>
  <c r="F76"/>
  <c r="T76"/>
  <c r="H76"/>
  <c r="N76"/>
  <c r="J76"/>
  <c r="AB76"/>
  <c r="X76"/>
  <c r="V76"/>
  <c r="R76"/>
  <c r="B77"/>
  <c r="D76"/>
  <c r="Z76"/>
  <c r="L76"/>
  <c r="AF76"/>
  <c r="X77" l="1"/>
  <c r="H77"/>
  <c r="N77"/>
  <c r="AD77"/>
  <c r="AF77"/>
  <c r="P77"/>
  <c r="B78"/>
  <c r="R77"/>
  <c r="F77"/>
  <c r="T77"/>
  <c r="Z77"/>
  <c r="V77"/>
  <c r="AB77"/>
  <c r="L77"/>
  <c r="C77"/>
  <c r="J77"/>
  <c r="D77"/>
  <c r="B79" l="1"/>
  <c r="AB78"/>
  <c r="D78"/>
  <c r="N78"/>
  <c r="T78"/>
  <c r="P78"/>
  <c r="R78"/>
  <c r="AD78"/>
  <c r="AF78"/>
  <c r="X78"/>
  <c r="Z78"/>
  <c r="F78"/>
  <c r="H78"/>
  <c r="C78"/>
  <c r="L78"/>
  <c r="J78"/>
  <c r="V78"/>
  <c r="Z79" l="1"/>
  <c r="J79"/>
  <c r="T79"/>
  <c r="H79"/>
  <c r="AD79"/>
  <c r="N79"/>
  <c r="C79"/>
  <c r="P79"/>
  <c r="D79"/>
  <c r="R79"/>
  <c r="B80"/>
  <c r="X79"/>
  <c r="L79"/>
  <c r="V79"/>
  <c r="F79"/>
  <c r="AF79"/>
  <c r="AB79"/>
  <c r="F80" l="1"/>
  <c r="J80"/>
  <c r="AB80"/>
  <c r="AF80"/>
  <c r="Z80"/>
  <c r="C80"/>
  <c r="H80"/>
  <c r="R80"/>
  <c r="N80"/>
  <c r="B81"/>
  <c r="D80"/>
  <c r="V80"/>
  <c r="L80"/>
  <c r="AD80"/>
  <c r="X80"/>
  <c r="T80"/>
  <c r="P80"/>
  <c r="X81" l="1"/>
  <c r="H81"/>
  <c r="AD81"/>
  <c r="J81"/>
  <c r="AF81"/>
  <c r="P81"/>
  <c r="B82"/>
  <c r="F81"/>
  <c r="T81"/>
  <c r="D81"/>
  <c r="N81"/>
  <c r="AB81"/>
  <c r="L81"/>
  <c r="C81"/>
  <c r="R81"/>
  <c r="Z81"/>
  <c r="V81"/>
  <c r="T82" l="1"/>
  <c r="P82"/>
  <c r="R82"/>
  <c r="F82"/>
  <c r="H82"/>
  <c r="L82"/>
  <c r="AF82"/>
  <c r="X82"/>
  <c r="Z82"/>
  <c r="V82"/>
  <c r="B83"/>
  <c r="AB82"/>
  <c r="D82"/>
  <c r="N82"/>
  <c r="AD82"/>
  <c r="C82"/>
  <c r="J82"/>
  <c r="R83" l="1"/>
  <c r="B84"/>
  <c r="L83"/>
  <c r="P83"/>
  <c r="V83"/>
  <c r="AB83"/>
  <c r="X83"/>
  <c r="D83"/>
  <c r="Z83"/>
  <c r="J83"/>
  <c r="AF83"/>
  <c r="T83"/>
  <c r="AD83"/>
  <c r="N83"/>
  <c r="C83"/>
  <c r="H83"/>
  <c r="F83"/>
  <c r="F84" l="1"/>
  <c r="J84"/>
  <c r="P84"/>
  <c r="AB84"/>
  <c r="X84"/>
  <c r="R84"/>
  <c r="N84"/>
  <c r="AF84"/>
  <c r="B85"/>
  <c r="D84"/>
  <c r="AD84"/>
  <c r="V84"/>
  <c r="C84"/>
  <c r="L84"/>
  <c r="Z84"/>
  <c r="T84"/>
  <c r="H84"/>
  <c r="AB85" l="1"/>
  <c r="L85"/>
  <c r="C85"/>
  <c r="Z85"/>
  <c r="AF85"/>
  <c r="P85"/>
  <c r="B86"/>
  <c r="F85"/>
  <c r="N85"/>
  <c r="T85"/>
  <c r="D85"/>
  <c r="V85"/>
  <c r="J85"/>
  <c r="X85"/>
  <c r="H85"/>
  <c r="AD85"/>
  <c r="R85"/>
  <c r="B87" l="1"/>
  <c r="AF86"/>
  <c r="H86"/>
  <c r="X86"/>
  <c r="AB86"/>
  <c r="Z86"/>
  <c r="AD86"/>
  <c r="D86"/>
  <c r="C86"/>
  <c r="L86"/>
  <c r="J86"/>
  <c r="F86"/>
  <c r="P86"/>
  <c r="T86"/>
  <c r="R86"/>
  <c r="N86"/>
  <c r="V86"/>
  <c r="R87" l="1"/>
  <c r="B88"/>
  <c r="L87"/>
  <c r="AF87"/>
  <c r="T87"/>
  <c r="V87"/>
  <c r="F87"/>
  <c r="C87"/>
  <c r="H87"/>
  <c r="J87"/>
  <c r="P87"/>
  <c r="N87"/>
  <c r="X87"/>
  <c r="AB87"/>
  <c r="Z87"/>
  <c r="AD87"/>
  <c r="D87"/>
  <c r="AF88" l="1"/>
  <c r="R88"/>
  <c r="D88"/>
  <c r="L88"/>
  <c r="J88"/>
  <c r="F88"/>
  <c r="T88"/>
  <c r="X88"/>
  <c r="V88"/>
  <c r="N88"/>
  <c r="AB88"/>
  <c r="AD88"/>
  <c r="B89"/>
  <c r="C88"/>
  <c r="Z88"/>
  <c r="H88"/>
  <c r="P88"/>
  <c r="T89" l="1"/>
  <c r="D89"/>
  <c r="Z89"/>
  <c r="V89"/>
  <c r="AB89"/>
  <c r="L89"/>
  <c r="C89"/>
  <c r="J89"/>
  <c r="AF89"/>
  <c r="P89"/>
  <c r="B90"/>
  <c r="R89"/>
  <c r="N89"/>
  <c r="X89"/>
  <c r="H89"/>
  <c r="F89"/>
  <c r="AD89"/>
  <c r="L90" l="1"/>
  <c r="C90"/>
  <c r="P90"/>
  <c r="R90"/>
  <c r="AD90"/>
  <c r="X90"/>
  <c r="T90"/>
  <c r="Z90"/>
  <c r="F90"/>
  <c r="AB90"/>
  <c r="D90"/>
  <c r="V90"/>
  <c r="B91"/>
  <c r="AF90"/>
  <c r="H90"/>
  <c r="J90"/>
  <c r="N90"/>
  <c r="B92" l="1"/>
  <c r="V91"/>
  <c r="F91"/>
  <c r="X91"/>
  <c r="T91"/>
  <c r="AF91"/>
  <c r="AD91"/>
  <c r="N91"/>
  <c r="H91"/>
  <c r="C91"/>
  <c r="R91"/>
  <c r="L91"/>
  <c r="P91"/>
  <c r="D91"/>
  <c r="Z91"/>
  <c r="J91"/>
  <c r="AB91"/>
  <c r="AF92" l="1"/>
  <c r="V92"/>
  <c r="AB92"/>
  <c r="X92"/>
  <c r="R92"/>
  <c r="Z92"/>
  <c r="F92"/>
  <c r="B93"/>
  <c r="D92"/>
  <c r="AD92"/>
  <c r="J92"/>
  <c r="H92"/>
  <c r="L92"/>
  <c r="C92"/>
  <c r="N92"/>
  <c r="T92"/>
  <c r="P92"/>
  <c r="AB93" l="1"/>
  <c r="L93"/>
  <c r="C93"/>
  <c r="J93"/>
  <c r="T93"/>
  <c r="D93"/>
  <c r="Z93"/>
  <c r="V93"/>
  <c r="X93"/>
  <c r="H93"/>
  <c r="N93"/>
  <c r="AD93"/>
  <c r="AF93"/>
  <c r="P93"/>
  <c r="B94"/>
  <c r="R93"/>
  <c r="F93"/>
  <c r="AF94" l="1"/>
  <c r="X94"/>
  <c r="Z94"/>
  <c r="AD94"/>
  <c r="L94"/>
  <c r="C94"/>
  <c r="H94"/>
  <c r="T94"/>
  <c r="P94"/>
  <c r="R94"/>
  <c r="N94"/>
  <c r="V94"/>
  <c r="B95"/>
  <c r="AB94"/>
  <c r="D94"/>
  <c r="J94"/>
  <c r="F94"/>
  <c r="AD95" l="1"/>
  <c r="N95"/>
  <c r="C95"/>
  <c r="D95"/>
  <c r="P95"/>
  <c r="V95"/>
  <c r="AB95"/>
  <c r="Z95"/>
  <c r="J95"/>
  <c r="H95"/>
  <c r="B96"/>
  <c r="R95"/>
  <c r="T95"/>
  <c r="X95"/>
  <c r="L95"/>
  <c r="F95"/>
  <c r="AF95"/>
  <c r="N96" l="1"/>
  <c r="H96"/>
  <c r="C96"/>
  <c r="P96"/>
  <c r="Z96"/>
  <c r="AB96"/>
  <c r="AD96"/>
  <c r="F96"/>
  <c r="B97"/>
  <c r="D96"/>
  <c r="L96"/>
  <c r="J96"/>
  <c r="R96"/>
  <c r="AF96"/>
  <c r="T96"/>
  <c r="V96"/>
  <c r="X96"/>
  <c r="T97" l="1"/>
  <c r="D97"/>
  <c r="Z97"/>
  <c r="N97"/>
  <c r="H97"/>
  <c r="V97"/>
  <c r="L97"/>
  <c r="J97"/>
  <c r="AF97"/>
  <c r="P97"/>
  <c r="B98"/>
  <c r="F97"/>
  <c r="X97"/>
  <c r="AD97"/>
  <c r="AB97"/>
  <c r="C97"/>
  <c r="R97"/>
  <c r="X98" l="1"/>
  <c r="D98"/>
  <c r="AD98"/>
  <c r="B99"/>
  <c r="AF98"/>
  <c r="H98"/>
  <c r="J98"/>
  <c r="N98"/>
  <c r="F98"/>
  <c r="P98"/>
  <c r="C98"/>
  <c r="L98"/>
  <c r="R98"/>
  <c r="V98"/>
  <c r="AB98"/>
  <c r="T98"/>
  <c r="Z98"/>
  <c r="AD99" l="1"/>
  <c r="N99"/>
  <c r="AB99"/>
  <c r="P99"/>
  <c r="J99"/>
  <c r="T99"/>
  <c r="H99"/>
  <c r="R99"/>
  <c r="B100"/>
  <c r="C99"/>
  <c r="D99"/>
  <c r="X99"/>
  <c r="V99"/>
  <c r="F99"/>
  <c r="L99"/>
  <c r="AF99"/>
  <c r="Z99"/>
  <c r="F100" l="1"/>
  <c r="R100"/>
  <c r="L100"/>
  <c r="N100"/>
  <c r="P100"/>
  <c r="T100"/>
  <c r="AB100"/>
  <c r="AD100"/>
  <c r="J100"/>
  <c r="AF100"/>
  <c r="B101"/>
  <c r="D100"/>
  <c r="C100"/>
  <c r="V100"/>
  <c r="Z100"/>
  <c r="X100"/>
  <c r="H100"/>
  <c r="F101" l="1"/>
  <c r="B102"/>
  <c r="T101"/>
  <c r="D101"/>
  <c r="V101"/>
  <c r="R101"/>
  <c r="X101"/>
  <c r="H101"/>
  <c r="AD101"/>
  <c r="Z101"/>
  <c r="AB101"/>
  <c r="L101"/>
  <c r="C101"/>
  <c r="AF101"/>
  <c r="P101"/>
  <c r="N101"/>
  <c r="J101"/>
  <c r="X102" l="1"/>
  <c r="AF102"/>
  <c r="L102"/>
  <c r="J102"/>
  <c r="C102"/>
  <c r="P102"/>
  <c r="R102"/>
  <c r="F102"/>
  <c r="H102"/>
  <c r="AB102"/>
  <c r="D102"/>
  <c r="AD102"/>
  <c r="B103"/>
  <c r="T102"/>
  <c r="Z102"/>
  <c r="V102"/>
  <c r="N102"/>
  <c r="Z103" l="1"/>
  <c r="J103"/>
  <c r="D103"/>
  <c r="X103"/>
  <c r="V103"/>
  <c r="AD103"/>
  <c r="N103"/>
  <c r="L103"/>
  <c r="AF103"/>
  <c r="C103"/>
  <c r="R103"/>
  <c r="B104"/>
  <c r="T103"/>
  <c r="H103"/>
  <c r="F103"/>
  <c r="AB103"/>
  <c r="P103"/>
  <c r="V104" l="1"/>
  <c r="N104"/>
  <c r="AB104"/>
  <c r="AF104"/>
  <c r="AD104"/>
  <c r="R104"/>
  <c r="B105"/>
  <c r="D104"/>
  <c r="C104"/>
  <c r="J104"/>
  <c r="F104"/>
  <c r="T104"/>
  <c r="P104"/>
  <c r="Z104"/>
  <c r="X104"/>
  <c r="L104"/>
  <c r="H104"/>
  <c r="Z105" l="1"/>
  <c r="X105"/>
  <c r="H105"/>
  <c r="N105"/>
  <c r="AD105"/>
  <c r="AF105"/>
  <c r="P105"/>
  <c r="B106"/>
  <c r="R105"/>
  <c r="F105"/>
  <c r="T105"/>
  <c r="D105"/>
  <c r="V105"/>
  <c r="AB105"/>
  <c r="L105"/>
  <c r="C105"/>
  <c r="J105"/>
  <c r="L106" l="1"/>
  <c r="AB106"/>
  <c r="Z106"/>
  <c r="N106"/>
  <c r="T106"/>
  <c r="C106"/>
  <c r="H106"/>
  <c r="AD106"/>
  <c r="AF106"/>
  <c r="B107"/>
  <c r="P106"/>
  <c r="J106"/>
  <c r="F106"/>
  <c r="D106"/>
  <c r="X106"/>
  <c r="R106"/>
  <c r="V106"/>
  <c r="AD107" l="1"/>
  <c r="N107"/>
  <c r="C107"/>
  <c r="X107"/>
  <c r="L107"/>
  <c r="R107"/>
  <c r="B108"/>
  <c r="AF107"/>
  <c r="AB107"/>
  <c r="V107"/>
  <c r="F107"/>
  <c r="T107"/>
  <c r="H107"/>
  <c r="Z107"/>
  <c r="J107"/>
  <c r="P107"/>
  <c r="D107"/>
  <c r="N108" l="1"/>
  <c r="L108"/>
  <c r="H108"/>
  <c r="J108"/>
  <c r="R108"/>
  <c r="P108"/>
  <c r="T108"/>
  <c r="X108"/>
  <c r="V108"/>
  <c r="Z108"/>
  <c r="AB108"/>
  <c r="AF108"/>
  <c r="AD108"/>
  <c r="F108"/>
  <c r="B109"/>
  <c r="D108"/>
  <c r="C108"/>
  <c r="T109" l="1"/>
  <c r="D109"/>
  <c r="F109"/>
  <c r="V109"/>
  <c r="X109"/>
  <c r="H109"/>
  <c r="AD109"/>
  <c r="J109"/>
  <c r="AB109"/>
  <c r="L109"/>
  <c r="C109"/>
  <c r="R109"/>
  <c r="AF109"/>
  <c r="P109"/>
  <c r="B110"/>
  <c r="Z109"/>
  <c r="N109"/>
  <c r="T110" l="1"/>
  <c r="C110"/>
  <c r="D110"/>
  <c r="V110"/>
  <c r="AF110"/>
  <c r="B111"/>
  <c r="L110"/>
  <c r="J110"/>
  <c r="N110"/>
  <c r="H110"/>
  <c r="X110"/>
  <c r="R110"/>
  <c r="AD110"/>
  <c r="P110"/>
  <c r="AB110"/>
  <c r="Z110"/>
  <c r="F110"/>
  <c r="Z111" l="1"/>
  <c r="J111"/>
  <c r="AF111"/>
  <c r="AB111"/>
  <c r="AD111"/>
  <c r="H111"/>
  <c r="R111"/>
  <c r="B112"/>
  <c r="P111"/>
  <c r="F111"/>
  <c r="L111"/>
  <c r="T111"/>
  <c r="N111"/>
  <c r="D111"/>
  <c r="V111"/>
  <c r="C111"/>
  <c r="X111"/>
  <c r="N112" l="1"/>
  <c r="P112"/>
  <c r="T112"/>
  <c r="H112"/>
  <c r="F112"/>
  <c r="Z112"/>
  <c r="B113"/>
  <c r="D112"/>
  <c r="R112"/>
  <c r="AD112"/>
  <c r="J112"/>
  <c r="C112"/>
  <c r="L112"/>
  <c r="V112"/>
  <c r="AF112"/>
  <c r="AB112"/>
  <c r="X112"/>
  <c r="T113" l="1"/>
  <c r="D113"/>
  <c r="C113"/>
  <c r="J113"/>
  <c r="AF113"/>
  <c r="P113"/>
  <c r="AD113"/>
  <c r="X113"/>
  <c r="H113"/>
  <c r="R113"/>
  <c r="F113"/>
  <c r="AB113"/>
  <c r="L113"/>
  <c r="B114"/>
  <c r="Z113"/>
  <c r="N113"/>
  <c r="V113"/>
  <c r="H114" l="1"/>
  <c r="C114"/>
  <c r="L114"/>
  <c r="J114"/>
  <c r="X114"/>
  <c r="AB114"/>
  <c r="Z114"/>
  <c r="V114"/>
  <c r="N114"/>
  <c r="AF114"/>
  <c r="D114"/>
  <c r="AD114"/>
  <c r="P114"/>
  <c r="T114"/>
  <c r="R114"/>
  <c r="F114"/>
  <c r="B115"/>
  <c r="B116" l="1"/>
  <c r="V115"/>
  <c r="F115"/>
  <c r="X115"/>
  <c r="L115"/>
  <c r="C115"/>
  <c r="R115"/>
  <c r="P115"/>
  <c r="D115"/>
  <c r="Z115"/>
  <c r="J115"/>
  <c r="AF115"/>
  <c r="AB115"/>
  <c r="AD115"/>
  <c r="N115"/>
  <c r="T115"/>
  <c r="H115"/>
  <c r="Z116" l="1"/>
  <c r="F116"/>
  <c r="B117"/>
  <c r="D116"/>
  <c r="C116"/>
  <c r="AD116"/>
  <c r="N116"/>
  <c r="X116"/>
  <c r="T116"/>
  <c r="P116"/>
  <c r="V116"/>
  <c r="AB116"/>
  <c r="AF116"/>
  <c r="R116"/>
  <c r="J116"/>
  <c r="L116"/>
  <c r="H116"/>
  <c r="AB117" l="1"/>
  <c r="L117"/>
  <c r="C117"/>
  <c r="R117"/>
  <c r="T117"/>
  <c r="D117"/>
  <c r="N117"/>
  <c r="V117"/>
  <c r="X117"/>
  <c r="H117"/>
  <c r="AD117"/>
  <c r="J117"/>
  <c r="AF117"/>
  <c r="P117"/>
  <c r="B118"/>
  <c r="Z117"/>
  <c r="F117"/>
  <c r="T118" l="1"/>
  <c r="C118"/>
  <c r="H118"/>
  <c r="V118"/>
  <c r="AB118"/>
  <c r="B119"/>
  <c r="P118"/>
  <c r="J118"/>
  <c r="F118"/>
  <c r="X118"/>
  <c r="N118"/>
  <c r="AF118"/>
  <c r="D118"/>
  <c r="R118"/>
  <c r="L118"/>
  <c r="Z118"/>
  <c r="AD118"/>
  <c r="V119" l="1"/>
  <c r="F119"/>
  <c r="AF119"/>
  <c r="AB119"/>
  <c r="AD119"/>
  <c r="P119"/>
  <c r="C119"/>
  <c r="R119"/>
  <c r="B120"/>
  <c r="X119"/>
  <c r="L119"/>
  <c r="Z119"/>
  <c r="J119"/>
  <c r="D119"/>
  <c r="H119"/>
  <c r="N119"/>
  <c r="T119"/>
  <c r="T120" l="1"/>
  <c r="Z120"/>
  <c r="AF120"/>
  <c r="AB120"/>
  <c r="P120"/>
  <c r="F120"/>
  <c r="J120"/>
  <c r="B121"/>
  <c r="D120"/>
  <c r="R120"/>
  <c r="N120"/>
  <c r="H120"/>
  <c r="L120"/>
  <c r="AD120"/>
  <c r="V120"/>
  <c r="X120"/>
  <c r="C120"/>
  <c r="AB121" l="1"/>
  <c r="L121"/>
  <c r="C121"/>
  <c r="Z121"/>
  <c r="F121"/>
  <c r="AF121"/>
  <c r="P121"/>
  <c r="B122"/>
  <c r="V121"/>
  <c r="T121"/>
  <c r="D121"/>
  <c r="J121"/>
  <c r="X121"/>
  <c r="AD121"/>
  <c r="N121"/>
  <c r="H121"/>
  <c r="R121"/>
  <c r="H122" l="1"/>
  <c r="C122"/>
  <c r="L122"/>
  <c r="J122"/>
  <c r="AD122"/>
  <c r="B123"/>
  <c r="AB122"/>
  <c r="D122"/>
  <c r="F122"/>
  <c r="T122"/>
  <c r="P122"/>
  <c r="R122"/>
  <c r="N122"/>
  <c r="AF122"/>
  <c r="X122"/>
  <c r="Z122"/>
  <c r="V122"/>
  <c r="R123" l="1"/>
  <c r="B124"/>
  <c r="L123"/>
  <c r="P123"/>
  <c r="D123"/>
  <c r="F123"/>
  <c r="X123"/>
  <c r="T123"/>
  <c r="Z123"/>
  <c r="J123"/>
  <c r="C123"/>
  <c r="AF123"/>
  <c r="AB123"/>
  <c r="AD123"/>
  <c r="N123"/>
  <c r="H123"/>
  <c r="V123"/>
  <c r="J124" l="1"/>
  <c r="AF124"/>
  <c r="AB124"/>
  <c r="X124"/>
  <c r="R124"/>
  <c r="F124"/>
  <c r="B125"/>
  <c r="D124"/>
  <c r="Z124"/>
  <c r="N124"/>
  <c r="C124"/>
  <c r="L124"/>
  <c r="AD124"/>
  <c r="V124"/>
  <c r="P124"/>
  <c r="T124"/>
  <c r="H124"/>
  <c r="AF125" l="1"/>
  <c r="P125"/>
  <c r="B126"/>
  <c r="Z125"/>
  <c r="F125"/>
  <c r="AB125"/>
  <c r="L125"/>
  <c r="C125"/>
  <c r="R125"/>
  <c r="T125"/>
  <c r="D125"/>
  <c r="N125"/>
  <c r="V125"/>
  <c r="X125"/>
  <c r="H125"/>
  <c r="AD125"/>
  <c r="J125"/>
  <c r="AB126" l="1"/>
  <c r="H126"/>
  <c r="D126"/>
  <c r="AD126"/>
  <c r="AF126"/>
  <c r="P126"/>
  <c r="L126"/>
  <c r="J126"/>
  <c r="F126"/>
  <c r="T126"/>
  <c r="C126"/>
  <c r="R126"/>
  <c r="V126"/>
  <c r="X126"/>
  <c r="B127"/>
  <c r="Z126"/>
  <c r="N126"/>
  <c r="C127" l="1"/>
  <c r="R127"/>
  <c r="X127"/>
  <c r="B128"/>
  <c r="V127"/>
  <c r="F127"/>
  <c r="T127"/>
  <c r="Z127"/>
  <c r="J127"/>
  <c r="L127"/>
  <c r="H127"/>
  <c r="AD127"/>
  <c r="N127"/>
  <c r="AB127"/>
  <c r="P127"/>
  <c r="D127"/>
  <c r="AF127"/>
  <c r="AD128" l="1"/>
  <c r="N128"/>
  <c r="P128"/>
  <c r="T128"/>
  <c r="C128"/>
  <c r="B129"/>
  <c r="Z128"/>
  <c r="J128"/>
  <c r="H128"/>
  <c r="L128"/>
  <c r="R128"/>
  <c r="AF128"/>
  <c r="AB128"/>
  <c r="X128"/>
  <c r="V128"/>
  <c r="F128"/>
  <c r="D128"/>
  <c r="X129" l="1"/>
  <c r="H129"/>
  <c r="V129"/>
  <c r="J129"/>
  <c r="AB129"/>
  <c r="L129"/>
  <c r="C129"/>
  <c r="R129"/>
  <c r="AF129"/>
  <c r="P129"/>
  <c r="B130"/>
  <c r="Z129"/>
  <c r="N129"/>
  <c r="T129"/>
  <c r="D129"/>
  <c r="F129"/>
  <c r="AD129"/>
  <c r="T130" l="1"/>
  <c r="D130"/>
  <c r="R130"/>
  <c r="V130"/>
  <c r="AB130"/>
  <c r="AD130"/>
  <c r="AF130"/>
  <c r="P130"/>
  <c r="B131"/>
  <c r="J130"/>
  <c r="F130"/>
  <c r="X130"/>
  <c r="H130"/>
  <c r="Z130"/>
  <c r="N130"/>
  <c r="L130"/>
  <c r="C130"/>
  <c r="B132" l="1"/>
  <c r="V131"/>
  <c r="F131"/>
  <c r="P131"/>
  <c r="D131"/>
  <c r="AD131"/>
  <c r="N131"/>
  <c r="AF131"/>
  <c r="AB131"/>
  <c r="C131"/>
  <c r="L131"/>
  <c r="H131"/>
  <c r="Z131"/>
  <c r="J131"/>
  <c r="X131"/>
  <c r="T131"/>
  <c r="R131"/>
  <c r="V132" l="1"/>
  <c r="F132"/>
  <c r="X132"/>
  <c r="AB132"/>
  <c r="AF132"/>
  <c r="N132"/>
  <c r="C132"/>
  <c r="L132"/>
  <c r="R132"/>
  <c r="H132"/>
  <c r="T132"/>
  <c r="P132"/>
  <c r="Z132"/>
  <c r="J132"/>
  <c r="B133"/>
  <c r="D132"/>
  <c r="AD132"/>
  <c r="AB133" l="1"/>
  <c r="L133"/>
  <c r="C133"/>
  <c r="V133"/>
  <c r="AF133"/>
  <c r="P133"/>
  <c r="B134"/>
  <c r="F133"/>
  <c r="J133"/>
  <c r="T133"/>
  <c r="D133"/>
  <c r="N133"/>
  <c r="R133"/>
  <c r="X133"/>
  <c r="H133"/>
  <c r="AD133"/>
  <c r="Z133"/>
  <c r="T134" l="1"/>
  <c r="D134"/>
  <c r="V134"/>
  <c r="H134"/>
  <c r="AB134"/>
  <c r="L134"/>
  <c r="C134"/>
  <c r="AD134"/>
  <c r="AF134"/>
  <c r="P134"/>
  <c r="B135"/>
  <c r="J134"/>
  <c r="F134"/>
  <c r="R134"/>
  <c r="X134"/>
  <c r="Z134"/>
  <c r="N134"/>
  <c r="AD135" l="1"/>
  <c r="C135"/>
  <c r="R135"/>
  <c r="T135"/>
  <c r="B136"/>
  <c r="V135"/>
  <c r="F135"/>
  <c r="D135"/>
  <c r="Z135"/>
  <c r="J135"/>
  <c r="X135"/>
  <c r="L135"/>
  <c r="N135"/>
  <c r="AF135"/>
  <c r="AB135"/>
  <c r="H135"/>
  <c r="P135"/>
  <c r="AD136" l="1"/>
  <c r="N136"/>
  <c r="X136"/>
  <c r="AB136"/>
  <c r="P136"/>
  <c r="R136"/>
  <c r="AF136"/>
  <c r="B137"/>
  <c r="D136"/>
  <c r="V136"/>
  <c r="F136"/>
  <c r="C136"/>
  <c r="L136"/>
  <c r="Z136"/>
  <c r="J136"/>
  <c r="H136"/>
  <c r="T136"/>
  <c r="AF137" l="1"/>
  <c r="P137"/>
  <c r="B138"/>
  <c r="Z137"/>
  <c r="F137"/>
  <c r="T137"/>
  <c r="D137"/>
  <c r="N137"/>
  <c r="V137"/>
  <c r="X137"/>
  <c r="H137"/>
  <c r="J137"/>
  <c r="AB137"/>
  <c r="L137"/>
  <c r="C137"/>
  <c r="R137"/>
  <c r="AD137"/>
  <c r="AB138" l="1"/>
  <c r="L138"/>
  <c r="C138"/>
  <c r="V138"/>
  <c r="AF138"/>
  <c r="P138"/>
  <c r="B139"/>
  <c r="N138"/>
  <c r="X138"/>
  <c r="H138"/>
  <c r="Z138"/>
  <c r="F138"/>
  <c r="J138"/>
  <c r="T138"/>
  <c r="D138"/>
  <c r="R138"/>
  <c r="AD138"/>
  <c r="C139" l="1"/>
  <c r="R139"/>
  <c r="T139"/>
  <c r="P139"/>
  <c r="B140"/>
  <c r="V139"/>
  <c r="F139"/>
  <c r="X139"/>
  <c r="L139"/>
  <c r="Z139"/>
  <c r="J139"/>
  <c r="AF139"/>
  <c r="AB139"/>
  <c r="AD139"/>
  <c r="N139"/>
  <c r="D139"/>
  <c r="H139"/>
  <c r="R140" l="1"/>
  <c r="H140"/>
  <c r="T140"/>
  <c r="X140"/>
  <c r="V140"/>
  <c r="AB140"/>
  <c r="AF140"/>
  <c r="Z140"/>
  <c r="J140"/>
  <c r="D140"/>
  <c r="N140"/>
  <c r="L140"/>
  <c r="F140"/>
  <c r="B141"/>
  <c r="AD140"/>
  <c r="C140"/>
  <c r="P140"/>
  <c r="AB141" l="1"/>
  <c r="L141"/>
  <c r="C141"/>
  <c r="R141"/>
  <c r="F141"/>
  <c r="AF141"/>
  <c r="P141"/>
  <c r="B142"/>
  <c r="Z141"/>
  <c r="N141"/>
  <c r="T141"/>
  <c r="D141"/>
  <c r="V141"/>
  <c r="X141"/>
  <c r="H141"/>
  <c r="AD141"/>
  <c r="J141"/>
  <c r="X142" l="1"/>
  <c r="H142"/>
  <c r="Z142"/>
  <c r="F142"/>
  <c r="R142"/>
  <c r="AB142"/>
  <c r="L142"/>
  <c r="C142"/>
  <c r="V142"/>
  <c r="AF142"/>
  <c r="P142"/>
  <c r="B143"/>
  <c r="J142"/>
  <c r="N142"/>
  <c r="T142"/>
  <c r="D142"/>
  <c r="AD142"/>
  <c r="B144" l="1"/>
  <c r="AD143"/>
  <c r="N143"/>
  <c r="AB143"/>
  <c r="X143"/>
  <c r="L143"/>
  <c r="C143"/>
  <c r="AF143"/>
  <c r="V143"/>
  <c r="Z143"/>
  <c r="J143"/>
  <c r="P143"/>
  <c r="R143"/>
  <c r="T143"/>
  <c r="F143"/>
  <c r="H143"/>
  <c r="D143"/>
  <c r="V144" l="1"/>
  <c r="F144"/>
  <c r="AF144"/>
  <c r="T144"/>
  <c r="P144"/>
  <c r="R144"/>
  <c r="H144"/>
  <c r="L144"/>
  <c r="C144"/>
  <c r="Z144"/>
  <c r="J144"/>
  <c r="AB144"/>
  <c r="X144"/>
  <c r="AD144"/>
  <c r="N144"/>
  <c r="B145"/>
  <c r="D144"/>
  <c r="AB145" l="1"/>
  <c r="L145"/>
  <c r="C145"/>
  <c r="R145"/>
  <c r="Z145"/>
  <c r="T145"/>
  <c r="N145"/>
  <c r="X145"/>
  <c r="H145"/>
  <c r="AD145"/>
  <c r="J145"/>
  <c r="AF145"/>
  <c r="P145"/>
  <c r="B146"/>
  <c r="F145"/>
  <c r="D145"/>
  <c r="V145"/>
  <c r="AB146" l="1"/>
  <c r="L146"/>
  <c r="R146"/>
  <c r="AD146"/>
  <c r="T146"/>
  <c r="D146"/>
  <c r="C146"/>
  <c r="F146"/>
  <c r="X146"/>
  <c r="H146"/>
  <c r="J146"/>
  <c r="V146"/>
  <c r="AF146"/>
  <c r="P146"/>
  <c r="B147"/>
  <c r="Z146"/>
  <c r="N146"/>
  <c r="C147" l="1"/>
  <c r="R147"/>
  <c r="H147"/>
  <c r="V147"/>
  <c r="F147"/>
  <c r="P147"/>
  <c r="L147"/>
  <c r="D147"/>
  <c r="B148"/>
  <c r="AD147"/>
  <c r="N147"/>
  <c r="AB147"/>
  <c r="AF147"/>
  <c r="T147"/>
  <c r="Z147"/>
  <c r="J147"/>
  <c r="X147"/>
  <c r="V148" l="1"/>
  <c r="F148"/>
  <c r="B149"/>
  <c r="D148"/>
  <c r="Z148"/>
  <c r="J148"/>
  <c r="C148"/>
  <c r="L148"/>
  <c r="AD148"/>
  <c r="N148"/>
  <c r="P148"/>
  <c r="T148"/>
  <c r="H148"/>
  <c r="R148"/>
  <c r="AF148"/>
  <c r="AB148"/>
  <c r="X148"/>
  <c r="AF149" l="1"/>
  <c r="P149"/>
  <c r="B150"/>
  <c r="Z149"/>
  <c r="N149"/>
  <c r="T149"/>
  <c r="V149"/>
  <c r="AB149"/>
  <c r="L149"/>
  <c r="R149"/>
  <c r="F149"/>
  <c r="D149"/>
  <c r="AD149"/>
  <c r="X149"/>
  <c r="H149"/>
  <c r="C149"/>
  <c r="J149"/>
  <c r="X150" l="1"/>
  <c r="H150"/>
  <c r="Z150"/>
  <c r="AB150"/>
  <c r="C150"/>
  <c r="AF150"/>
  <c r="P150"/>
  <c r="B151"/>
  <c r="J150"/>
  <c r="N150"/>
  <c r="T150"/>
  <c r="D150"/>
  <c r="R150"/>
  <c r="AD150"/>
  <c r="F150"/>
  <c r="L150"/>
  <c r="V150"/>
  <c r="AD151" l="1"/>
  <c r="N151"/>
  <c r="D151"/>
  <c r="X151"/>
  <c r="T151"/>
  <c r="V151"/>
  <c r="F151"/>
  <c r="AB151"/>
  <c r="H151"/>
  <c r="B152"/>
  <c r="Z151"/>
  <c r="J151"/>
  <c r="P151"/>
  <c r="C151"/>
  <c r="R151"/>
  <c r="L151"/>
  <c r="AF151"/>
  <c r="AD152" l="1"/>
  <c r="N152"/>
  <c r="B153"/>
  <c r="D152"/>
  <c r="R152"/>
  <c r="P152"/>
  <c r="L152"/>
  <c r="V152"/>
  <c r="F152"/>
  <c r="AF152"/>
  <c r="T152"/>
  <c r="H152"/>
  <c r="Z152"/>
  <c r="J152"/>
  <c r="AB152"/>
  <c r="X152"/>
  <c r="C152"/>
  <c r="T153" l="1"/>
  <c r="D153"/>
  <c r="Z153"/>
  <c r="V153"/>
  <c r="X153"/>
  <c r="H153"/>
  <c r="N153"/>
  <c r="AD153"/>
  <c r="AB153"/>
  <c r="L153"/>
  <c r="C153"/>
  <c r="J153"/>
  <c r="AF153"/>
  <c r="P153"/>
  <c r="B154"/>
  <c r="R153"/>
  <c r="F153"/>
  <c r="T154" l="1"/>
  <c r="D154"/>
  <c r="R154"/>
  <c r="X154"/>
  <c r="H154"/>
  <c r="Z154"/>
  <c r="F154"/>
  <c r="AB154"/>
  <c r="L154"/>
  <c r="C154"/>
  <c r="N154"/>
  <c r="V154"/>
  <c r="AF154"/>
  <c r="P154"/>
  <c r="B155"/>
  <c r="J154"/>
  <c r="AD154"/>
  <c r="B156" l="1"/>
  <c r="V155"/>
  <c r="F155"/>
  <c r="X155"/>
  <c r="D155"/>
  <c r="Z155"/>
  <c r="J155"/>
  <c r="AF155"/>
  <c r="T155"/>
  <c r="AD155"/>
  <c r="N155"/>
  <c r="L155"/>
  <c r="H155"/>
  <c r="C155"/>
  <c r="R155"/>
  <c r="AB155"/>
  <c r="P155"/>
  <c r="AD156" l="1"/>
  <c r="N156"/>
  <c r="H156"/>
  <c r="T156"/>
  <c r="AB156"/>
  <c r="V156"/>
  <c r="F156"/>
  <c r="B157"/>
  <c r="C156"/>
  <c r="R156"/>
  <c r="X156"/>
  <c r="P156"/>
  <c r="AF156"/>
  <c r="D156"/>
  <c r="Z156"/>
  <c r="J156"/>
  <c r="L156"/>
  <c r="X157" l="1"/>
  <c r="H157"/>
  <c r="AD157"/>
  <c r="J157"/>
  <c r="AF157"/>
  <c r="B158"/>
  <c r="F157"/>
  <c r="AB157"/>
  <c r="L157"/>
  <c r="C157"/>
  <c r="R157"/>
  <c r="P157"/>
  <c r="Z157"/>
  <c r="T157"/>
  <c r="D157"/>
  <c r="N157"/>
  <c r="V157"/>
  <c r="X158" l="1"/>
  <c r="H158"/>
  <c r="Z158"/>
  <c r="N158"/>
  <c r="AB158"/>
  <c r="L158"/>
  <c r="C158"/>
  <c r="V158"/>
  <c r="AF158"/>
  <c r="P158"/>
  <c r="B159"/>
  <c r="J158"/>
  <c r="F158"/>
  <c r="T158"/>
  <c r="D158"/>
  <c r="R158"/>
  <c r="AD158"/>
  <c r="B160" l="1"/>
  <c r="V159"/>
  <c r="F159"/>
  <c r="X159"/>
  <c r="L159"/>
  <c r="Z159"/>
  <c r="J159"/>
  <c r="AF159"/>
  <c r="AB159"/>
  <c r="AD159"/>
  <c r="N159"/>
  <c r="D159"/>
  <c r="H159"/>
  <c r="C159"/>
  <c r="R159"/>
  <c r="T159"/>
  <c r="P159"/>
  <c r="AD160" l="1"/>
  <c r="N160"/>
  <c r="P160"/>
  <c r="L160"/>
  <c r="C160"/>
  <c r="R160"/>
  <c r="AF160"/>
  <c r="T160"/>
  <c r="H160"/>
  <c r="V160"/>
  <c r="F160"/>
  <c r="AB160"/>
  <c r="X160"/>
  <c r="Z160"/>
  <c r="J160"/>
  <c r="B161"/>
  <c r="D160"/>
  <c r="AF161" l="1"/>
  <c r="P161"/>
  <c r="B162"/>
  <c r="N161"/>
  <c r="V161"/>
  <c r="L161"/>
  <c r="Z161"/>
  <c r="T161"/>
  <c r="D161"/>
  <c r="AD161"/>
  <c r="J161"/>
  <c r="X161"/>
  <c r="H161"/>
  <c r="C161"/>
  <c r="R161"/>
  <c r="AB161"/>
  <c r="F161"/>
  <c r="X162" l="1"/>
  <c r="H162"/>
  <c r="Z162"/>
  <c r="AD162"/>
  <c r="AF162"/>
  <c r="P162"/>
  <c r="B163"/>
  <c r="J162"/>
  <c r="T162"/>
  <c r="D162"/>
  <c r="R162"/>
  <c r="N162"/>
  <c r="AB162"/>
  <c r="L162"/>
  <c r="C162"/>
  <c r="V162"/>
  <c r="F162"/>
  <c r="C163" l="1"/>
  <c r="R163"/>
  <c r="P163"/>
  <c r="L163"/>
  <c r="V163"/>
  <c r="F163"/>
  <c r="X163"/>
  <c r="T163"/>
  <c r="B164"/>
  <c r="AD163"/>
  <c r="N163"/>
  <c r="D163"/>
  <c r="H163"/>
  <c r="Z163"/>
  <c r="J163"/>
  <c r="AF163"/>
  <c r="AB163"/>
  <c r="AD164" l="1"/>
  <c r="N164"/>
  <c r="C164"/>
  <c r="L164"/>
  <c r="H164"/>
  <c r="R164"/>
  <c r="AF164"/>
  <c r="T164"/>
  <c r="P164"/>
  <c r="V164"/>
  <c r="F164"/>
  <c r="AB164"/>
  <c r="X164"/>
  <c r="Z164"/>
  <c r="J164"/>
  <c r="B165"/>
  <c r="D164"/>
  <c r="AB165" l="1"/>
  <c r="L165"/>
  <c r="R165"/>
  <c r="F165"/>
  <c r="X165"/>
  <c r="C165"/>
  <c r="AF165"/>
  <c r="P165"/>
  <c r="B166"/>
  <c r="Z165"/>
  <c r="N165"/>
  <c r="T165"/>
  <c r="D165"/>
  <c r="AD165"/>
  <c r="V165"/>
  <c r="H165"/>
  <c r="J165"/>
  <c r="T166" l="1"/>
  <c r="D166"/>
  <c r="J166"/>
  <c r="X166"/>
  <c r="H166"/>
  <c r="R166"/>
  <c r="AB166"/>
  <c r="L166"/>
  <c r="Z166"/>
  <c r="N166"/>
  <c r="AF166"/>
  <c r="B167"/>
  <c r="V166"/>
  <c r="F166"/>
  <c r="P166"/>
  <c r="C166"/>
  <c r="AD166"/>
  <c r="Z167" l="1"/>
  <c r="J167"/>
  <c r="AF167"/>
  <c r="T167"/>
  <c r="AD167"/>
  <c r="N167"/>
  <c r="L167"/>
  <c r="H167"/>
  <c r="C167"/>
  <c r="R167"/>
  <c r="AB167"/>
  <c r="P167"/>
  <c r="B168"/>
  <c r="V167"/>
  <c r="F167"/>
  <c r="X167"/>
  <c r="D167"/>
  <c r="AD168" l="1"/>
  <c r="N168"/>
  <c r="B169"/>
  <c r="D168"/>
  <c r="P168"/>
  <c r="V168"/>
  <c r="H168"/>
  <c r="X168"/>
  <c r="Z168"/>
  <c r="J168"/>
  <c r="AB168"/>
  <c r="AF168"/>
  <c r="C168"/>
  <c r="R168"/>
  <c r="L168"/>
  <c r="F168"/>
  <c r="T168"/>
  <c r="X169" l="1"/>
  <c r="H169"/>
  <c r="AD169"/>
  <c r="J169"/>
  <c r="AB169"/>
  <c r="L169"/>
  <c r="C169"/>
  <c r="R169"/>
  <c r="AF169"/>
  <c r="P169"/>
  <c r="B170"/>
  <c r="Z169"/>
  <c r="N169"/>
  <c r="T169"/>
  <c r="D169"/>
  <c r="F169"/>
  <c r="V169"/>
  <c r="X170" l="1"/>
  <c r="H170"/>
  <c r="Z170"/>
  <c r="AD170"/>
  <c r="AB170"/>
  <c r="L170"/>
  <c r="C170"/>
  <c r="V170"/>
  <c r="T170"/>
  <c r="D170"/>
  <c r="R170"/>
  <c r="N170"/>
  <c r="AF170"/>
  <c r="P170"/>
  <c r="B171"/>
  <c r="J170"/>
  <c r="F170"/>
  <c r="V171" l="1"/>
  <c r="F171"/>
  <c r="X171"/>
  <c r="T171"/>
  <c r="Z171"/>
  <c r="J171"/>
  <c r="AB171"/>
  <c r="AD171"/>
  <c r="N171"/>
  <c r="H171"/>
  <c r="C171"/>
  <c r="P171"/>
  <c r="AF171"/>
  <c r="B172"/>
  <c r="D171"/>
  <c r="R171"/>
  <c r="L171"/>
  <c r="Z172" l="1"/>
  <c r="J172"/>
  <c r="AB172"/>
  <c r="AF172"/>
  <c r="N172"/>
  <c r="D172"/>
  <c r="V172"/>
  <c r="F172"/>
  <c r="T172"/>
  <c r="X172"/>
  <c r="AD172"/>
  <c r="B173"/>
  <c r="C172"/>
  <c r="R172"/>
  <c r="H172"/>
  <c r="L172"/>
  <c r="P172"/>
  <c r="AF173" l="1"/>
  <c r="P173"/>
  <c r="B174"/>
  <c r="Z173"/>
  <c r="N173"/>
  <c r="T173"/>
  <c r="F173"/>
  <c r="AB173"/>
  <c r="L173"/>
  <c r="C173"/>
  <c r="R173"/>
  <c r="D173"/>
  <c r="V173"/>
  <c r="X173"/>
  <c r="H173"/>
  <c r="AD173"/>
  <c r="J173"/>
  <c r="AB174" l="1"/>
  <c r="L174"/>
  <c r="C174"/>
  <c r="AD174"/>
  <c r="AF174"/>
  <c r="P174"/>
  <c r="B175"/>
  <c r="J174"/>
  <c r="N174"/>
  <c r="T174"/>
  <c r="D174"/>
  <c r="R174"/>
  <c r="X174"/>
  <c r="H174"/>
  <c r="Z174"/>
  <c r="F174"/>
  <c r="V174"/>
  <c r="AD175" l="1"/>
  <c r="N175"/>
  <c r="D175"/>
  <c r="H175"/>
  <c r="C175"/>
  <c r="R175"/>
  <c r="T175"/>
  <c r="P175"/>
  <c r="B176"/>
  <c r="V175"/>
  <c r="F175"/>
  <c r="X175"/>
  <c r="L175"/>
  <c r="Z175"/>
  <c r="J175"/>
  <c r="AF175"/>
  <c r="AB175"/>
  <c r="V176" l="1"/>
  <c r="F176"/>
  <c r="T176"/>
  <c r="X176"/>
  <c r="L176"/>
  <c r="Z176"/>
  <c r="J176"/>
  <c r="P176"/>
  <c r="AB176"/>
  <c r="AF176"/>
  <c r="AD176"/>
  <c r="N176"/>
  <c r="B177"/>
  <c r="D176"/>
  <c r="R176"/>
  <c r="C176"/>
  <c r="H176"/>
  <c r="AB177" l="1"/>
  <c r="L177"/>
  <c r="C177"/>
  <c r="R177"/>
  <c r="T177"/>
  <c r="F177"/>
  <c r="X177"/>
  <c r="H177"/>
  <c r="AD177"/>
  <c r="J177"/>
  <c r="AF177"/>
  <c r="P177"/>
  <c r="B178"/>
  <c r="Z177"/>
  <c r="N177"/>
  <c r="D177"/>
  <c r="V177"/>
  <c r="X178" l="1"/>
  <c r="H178"/>
  <c r="Z178"/>
  <c r="N178"/>
  <c r="L178"/>
  <c r="AD178"/>
  <c r="AF178"/>
  <c r="P178"/>
  <c r="B179"/>
  <c r="J178"/>
  <c r="F178"/>
  <c r="T178"/>
  <c r="D178"/>
  <c r="R178"/>
  <c r="V178"/>
  <c r="AB178"/>
  <c r="C178"/>
  <c r="B180" l="1"/>
  <c r="V179"/>
  <c r="F179"/>
  <c r="X179"/>
  <c r="L179"/>
  <c r="Z179"/>
  <c r="J179"/>
  <c r="AF179"/>
  <c r="T179"/>
  <c r="C179"/>
  <c r="R179"/>
  <c r="AB179"/>
  <c r="P179"/>
  <c r="AD179"/>
  <c r="N179"/>
  <c r="D179"/>
  <c r="H179"/>
  <c r="AD180" l="1"/>
  <c r="N180"/>
  <c r="C180"/>
  <c r="L180"/>
  <c r="P180"/>
  <c r="V180"/>
  <c r="F180"/>
  <c r="H180"/>
  <c r="AB180"/>
  <c r="X180"/>
  <c r="Z180"/>
  <c r="J180"/>
  <c r="AF180"/>
  <c r="B181"/>
  <c r="D180"/>
  <c r="R180"/>
  <c r="T180"/>
  <c r="AB181" l="1"/>
  <c r="L181"/>
  <c r="C181"/>
  <c r="J181"/>
  <c r="T181"/>
  <c r="V181"/>
  <c r="X181"/>
  <c r="H181"/>
  <c r="N181"/>
  <c r="AD181"/>
  <c r="AF181"/>
  <c r="P181"/>
  <c r="B182"/>
  <c r="R181"/>
  <c r="F181"/>
  <c r="D181"/>
  <c r="Z181"/>
  <c r="X182" l="1"/>
  <c r="H182"/>
  <c r="Z182"/>
  <c r="N182"/>
  <c r="AB182"/>
  <c r="L182"/>
  <c r="C182"/>
  <c r="AD182"/>
  <c r="F182"/>
  <c r="AF182"/>
  <c r="J182"/>
  <c r="T182"/>
  <c r="D182"/>
  <c r="R182"/>
  <c r="P182"/>
  <c r="B183"/>
  <c r="V182"/>
  <c r="Z183" l="1"/>
  <c r="J183"/>
  <c r="AF183"/>
  <c r="T183"/>
  <c r="AD183"/>
  <c r="N183"/>
  <c r="D183"/>
  <c r="H183"/>
  <c r="C183"/>
  <c r="R183"/>
  <c r="AB183"/>
  <c r="P183"/>
  <c r="B184"/>
  <c r="V183"/>
  <c r="F183"/>
  <c r="X183"/>
  <c r="L183"/>
  <c r="R184" l="1"/>
  <c r="P184"/>
  <c r="T184"/>
  <c r="X184"/>
  <c r="V184"/>
  <c r="AB184"/>
  <c r="Z184"/>
  <c r="J184"/>
  <c r="B185"/>
  <c r="D184"/>
  <c r="AD184"/>
  <c r="N184"/>
  <c r="C184"/>
  <c r="L184"/>
  <c r="H184"/>
  <c r="F184"/>
  <c r="AF184"/>
  <c r="X185" l="1"/>
  <c r="AD185"/>
  <c r="AB185"/>
  <c r="L185"/>
  <c r="C185"/>
  <c r="AF185"/>
  <c r="P185"/>
  <c r="B186"/>
  <c r="Z185"/>
  <c r="N185"/>
  <c r="T185"/>
  <c r="D185"/>
  <c r="F185"/>
  <c r="V185"/>
  <c r="H185"/>
  <c r="J185"/>
  <c r="R185"/>
  <c r="AB186" l="1"/>
  <c r="L186"/>
  <c r="R186"/>
  <c r="AF186"/>
  <c r="P186"/>
  <c r="B187"/>
  <c r="Z186"/>
  <c r="F186"/>
  <c r="T186"/>
  <c r="D186"/>
  <c r="C186"/>
  <c r="V186"/>
  <c r="N186"/>
  <c r="H186"/>
  <c r="AD186"/>
  <c r="X186"/>
  <c r="J186"/>
  <c r="Z187" l="1"/>
  <c r="J187"/>
  <c r="D187"/>
  <c r="H187"/>
  <c r="AD187"/>
  <c r="N187"/>
  <c r="T187"/>
  <c r="P187"/>
  <c r="C187"/>
  <c r="R187"/>
  <c r="AB187"/>
  <c r="X187"/>
  <c r="B188"/>
  <c r="V187"/>
  <c r="F187"/>
  <c r="AF187"/>
  <c r="L187"/>
  <c r="Z188" l="1"/>
  <c r="J188"/>
  <c r="B189"/>
  <c r="D188"/>
  <c r="C188"/>
  <c r="R188"/>
  <c r="P188"/>
  <c r="T188"/>
  <c r="H188"/>
  <c r="V188"/>
  <c r="F188"/>
  <c r="AF188"/>
  <c r="AB188"/>
  <c r="X188"/>
  <c r="AD188"/>
  <c r="N188"/>
  <c r="L188"/>
  <c r="AF189" l="1"/>
  <c r="P189"/>
  <c r="B190"/>
  <c r="R189"/>
  <c r="F189"/>
  <c r="T189"/>
  <c r="D189"/>
  <c r="Z189"/>
  <c r="V189"/>
  <c r="X189"/>
  <c r="H189"/>
  <c r="N189"/>
  <c r="AD189"/>
  <c r="AB189"/>
  <c r="L189"/>
  <c r="C189"/>
  <c r="J189"/>
  <c r="AB190" l="1"/>
  <c r="L190"/>
  <c r="C190"/>
  <c r="N190"/>
  <c r="P190"/>
  <c r="J190"/>
  <c r="T190"/>
  <c r="D190"/>
  <c r="R190"/>
  <c r="V190"/>
  <c r="X190"/>
  <c r="H190"/>
  <c r="Z190"/>
  <c r="AD190"/>
  <c r="AF190"/>
  <c r="B191"/>
  <c r="F190"/>
  <c r="AD191" l="1"/>
  <c r="N191"/>
  <c r="L191"/>
  <c r="P191"/>
  <c r="C191"/>
  <c r="R191"/>
  <c r="AB191"/>
  <c r="X191"/>
  <c r="Z191"/>
  <c r="J191"/>
  <c r="D191"/>
  <c r="H191"/>
  <c r="B192"/>
  <c r="V191"/>
  <c r="F191"/>
  <c r="AF191"/>
  <c r="T191"/>
  <c r="V192" l="1"/>
  <c r="F192"/>
  <c r="C192"/>
  <c r="L192"/>
  <c r="Z192"/>
  <c r="J192"/>
  <c r="H192"/>
  <c r="AD192"/>
  <c r="N192"/>
  <c r="AB192"/>
  <c r="R192"/>
  <c r="B193"/>
  <c r="T192"/>
  <c r="X192"/>
  <c r="P192"/>
  <c r="AF192"/>
  <c r="D192"/>
  <c r="T193" l="1"/>
  <c r="D193"/>
  <c r="N193"/>
  <c r="J193"/>
  <c r="X193"/>
  <c r="H193"/>
  <c r="AD193"/>
  <c r="R193"/>
  <c r="AB193"/>
  <c r="L193"/>
  <c r="C193"/>
  <c r="Z193"/>
  <c r="F193"/>
  <c r="AF193"/>
  <c r="P193"/>
  <c r="B194"/>
  <c r="V193"/>
  <c r="AB194" l="1"/>
  <c r="L194"/>
  <c r="C194"/>
  <c r="AD194"/>
  <c r="AF194"/>
  <c r="P194"/>
  <c r="B195"/>
  <c r="J194"/>
  <c r="F194"/>
  <c r="T194"/>
  <c r="D194"/>
  <c r="R194"/>
  <c r="N194"/>
  <c r="X194"/>
  <c r="H194"/>
  <c r="Z194"/>
  <c r="V194"/>
  <c r="B196" l="1"/>
  <c r="AD195"/>
  <c r="N195"/>
  <c r="T195"/>
  <c r="X195"/>
  <c r="L195"/>
  <c r="Z195"/>
  <c r="J195"/>
  <c r="D195"/>
  <c r="P195"/>
  <c r="C195"/>
  <c r="R195"/>
  <c r="AF195"/>
  <c r="AB195"/>
  <c r="V195"/>
  <c r="F195"/>
  <c r="H195"/>
  <c r="R196" l="1"/>
  <c r="X196"/>
  <c r="L196"/>
  <c r="H196"/>
  <c r="V196"/>
  <c r="F196"/>
  <c r="T196"/>
  <c r="P196"/>
  <c r="Z196"/>
  <c r="J196"/>
  <c r="AB196"/>
  <c r="AF196"/>
  <c r="AD196"/>
  <c r="N196"/>
  <c r="B197"/>
  <c r="D196"/>
  <c r="C196"/>
  <c r="X197" l="1"/>
  <c r="H197"/>
  <c r="V197"/>
  <c r="J197"/>
  <c r="L197"/>
  <c r="R197"/>
  <c r="T197"/>
  <c r="D197"/>
  <c r="F197"/>
  <c r="AD197"/>
  <c r="AB197"/>
  <c r="C197"/>
  <c r="AF197"/>
  <c r="P197"/>
  <c r="B198"/>
  <c r="Z197"/>
  <c r="N197"/>
  <c r="T198" l="1"/>
  <c r="D198"/>
  <c r="R198"/>
  <c r="AD198"/>
  <c r="X198"/>
  <c r="H198"/>
  <c r="Z198"/>
  <c r="F198"/>
  <c r="AB198"/>
  <c r="L198"/>
  <c r="V198"/>
  <c r="AF198"/>
  <c r="P198"/>
  <c r="B199"/>
  <c r="J198"/>
  <c r="N198"/>
  <c r="C198"/>
  <c r="C199" l="1"/>
  <c r="R199"/>
  <c r="AB199"/>
  <c r="P199"/>
  <c r="Z199"/>
  <c r="AF199"/>
  <c r="AD199"/>
  <c r="N199"/>
  <c r="L199"/>
  <c r="H199"/>
  <c r="B200"/>
  <c r="V199"/>
  <c r="F199"/>
  <c r="X199"/>
  <c r="D199"/>
  <c r="J199"/>
  <c r="T199"/>
  <c r="R200" l="1"/>
  <c r="X200"/>
  <c r="T200"/>
  <c r="H200"/>
  <c r="V200"/>
  <c r="F200"/>
  <c r="AB200"/>
  <c r="AF200"/>
  <c r="Z200"/>
  <c r="J200"/>
  <c r="B201"/>
  <c r="D200"/>
  <c r="N200"/>
  <c r="P200"/>
  <c r="L200"/>
  <c r="AD200"/>
  <c r="C200"/>
  <c r="T201" l="1"/>
  <c r="D201"/>
  <c r="F201"/>
  <c r="AD201"/>
  <c r="X201"/>
  <c r="H201"/>
  <c r="V201"/>
  <c r="J201"/>
  <c r="AB201"/>
  <c r="L201"/>
  <c r="C201"/>
  <c r="R201"/>
  <c r="AF201"/>
  <c r="P201"/>
  <c r="B202"/>
  <c r="Z201"/>
  <c r="N201"/>
  <c r="Z202" l="1"/>
  <c r="AB202"/>
  <c r="L202"/>
  <c r="C202"/>
  <c r="V202"/>
  <c r="AF202"/>
  <c r="P202"/>
  <c r="B203"/>
  <c r="J202"/>
  <c r="N202"/>
  <c r="T202"/>
  <c r="D202"/>
  <c r="R202"/>
  <c r="AD202"/>
  <c r="X202"/>
  <c r="H202"/>
  <c r="F202"/>
  <c r="AD203" l="1"/>
  <c r="N203"/>
  <c r="AF203"/>
  <c r="AB203"/>
  <c r="B204"/>
  <c r="F203"/>
  <c r="D203"/>
  <c r="Z203"/>
  <c r="J203"/>
  <c r="X203"/>
  <c r="T203"/>
  <c r="C203"/>
  <c r="R203"/>
  <c r="L203"/>
  <c r="H203"/>
  <c r="V203"/>
  <c r="P203"/>
  <c r="J204" l="1"/>
  <c r="R204"/>
  <c r="AB204"/>
  <c r="V204"/>
  <c r="F204"/>
  <c r="B205"/>
  <c r="D204"/>
  <c r="Z204"/>
  <c r="C204"/>
  <c r="L204"/>
  <c r="AD204"/>
  <c r="N204"/>
  <c r="H204"/>
  <c r="T204"/>
  <c r="P204"/>
  <c r="X204"/>
  <c r="AF204"/>
  <c r="X205" l="1"/>
  <c r="H205"/>
  <c r="C205"/>
  <c r="R205"/>
  <c r="J205"/>
  <c r="AB205"/>
  <c r="L205"/>
  <c r="Z205"/>
  <c r="N205"/>
  <c r="AF205"/>
  <c r="P205"/>
  <c r="B206"/>
  <c r="F205"/>
  <c r="AD205"/>
  <c r="T205"/>
  <c r="D205"/>
  <c r="V205"/>
  <c r="T206" l="1"/>
  <c r="D206"/>
  <c r="R206"/>
  <c r="N206"/>
  <c r="AF206"/>
  <c r="P206"/>
  <c r="B207"/>
  <c r="J206"/>
  <c r="F206"/>
  <c r="X206"/>
  <c r="H206"/>
  <c r="Z206"/>
  <c r="AD206"/>
  <c r="AB206"/>
  <c r="L206"/>
  <c r="C206"/>
  <c r="V206"/>
  <c r="B208" l="1"/>
  <c r="V207"/>
  <c r="F207"/>
  <c r="X207"/>
  <c r="D207"/>
  <c r="Z207"/>
  <c r="J207"/>
  <c r="AF207"/>
  <c r="T207"/>
  <c r="AD207"/>
  <c r="N207"/>
  <c r="L207"/>
  <c r="H207"/>
  <c r="C207"/>
  <c r="R207"/>
  <c r="AB207"/>
  <c r="P207"/>
  <c r="Z208" l="1"/>
  <c r="J208"/>
  <c r="AB208"/>
  <c r="AF208"/>
  <c r="AD208"/>
  <c r="N208"/>
  <c r="B209"/>
  <c r="D208"/>
  <c r="C208"/>
  <c r="R208"/>
  <c r="L208"/>
  <c r="H208"/>
  <c r="V208"/>
  <c r="F208"/>
  <c r="X208"/>
  <c r="T208"/>
  <c r="P208"/>
  <c r="T209" l="1"/>
  <c r="D209"/>
  <c r="Z209"/>
  <c r="V209"/>
  <c r="X209"/>
  <c r="H209"/>
  <c r="N209"/>
  <c r="AD209"/>
  <c r="AB209"/>
  <c r="L209"/>
  <c r="C209"/>
  <c r="J209"/>
  <c r="AF209"/>
  <c r="P209"/>
  <c r="B210"/>
  <c r="R209"/>
  <c r="F209"/>
  <c r="T210" l="1"/>
  <c r="D210"/>
  <c r="R210"/>
  <c r="N210"/>
  <c r="F210"/>
  <c r="AB210"/>
  <c r="L210"/>
  <c r="C210"/>
  <c r="AD210"/>
  <c r="AF210"/>
  <c r="P210"/>
  <c r="B211"/>
  <c r="J210"/>
  <c r="X210"/>
  <c r="H210"/>
  <c r="Z210"/>
  <c r="V210"/>
  <c r="Z211" l="1"/>
  <c r="J211"/>
  <c r="X211"/>
  <c r="L211"/>
  <c r="B212"/>
  <c r="V211"/>
  <c r="F211"/>
  <c r="P211"/>
  <c r="D211"/>
  <c r="AD211"/>
  <c r="N211"/>
  <c r="AF211"/>
  <c r="AB211"/>
  <c r="C211"/>
  <c r="R211"/>
  <c r="T211"/>
  <c r="H211"/>
  <c r="R212" l="1"/>
  <c r="H212"/>
  <c r="L212"/>
  <c r="C212"/>
  <c r="V212"/>
  <c r="F212"/>
  <c r="X212"/>
  <c r="T212"/>
  <c r="P212"/>
  <c r="Z212"/>
  <c r="J212"/>
  <c r="AB212"/>
  <c r="AF212"/>
  <c r="AD212"/>
  <c r="N212"/>
  <c r="B213"/>
  <c r="D212"/>
  <c r="AF213" l="1"/>
  <c r="P213"/>
  <c r="B214"/>
  <c r="Z213"/>
  <c r="N213"/>
  <c r="T213"/>
  <c r="D213"/>
  <c r="F213"/>
  <c r="AD213"/>
  <c r="X213"/>
  <c r="H213"/>
  <c r="V213"/>
  <c r="J213"/>
  <c r="AB213"/>
  <c r="L213"/>
  <c r="C213"/>
  <c r="R213"/>
  <c r="X214" l="1"/>
  <c r="H214"/>
  <c r="Z214"/>
  <c r="N214"/>
  <c r="V214"/>
  <c r="L214"/>
  <c r="C214"/>
  <c r="AD214"/>
  <c r="AF214"/>
  <c r="P214"/>
  <c r="B215"/>
  <c r="J214"/>
  <c r="T214"/>
  <c r="D214"/>
  <c r="R214"/>
  <c r="F214"/>
  <c r="AB214"/>
  <c r="N215" l="1"/>
  <c r="H215"/>
  <c r="T215"/>
  <c r="B216"/>
  <c r="V215"/>
  <c r="F215"/>
  <c r="X215"/>
  <c r="L215"/>
  <c r="Z215"/>
  <c r="J215"/>
  <c r="AF215"/>
  <c r="AB215"/>
  <c r="AD215"/>
  <c r="D215"/>
  <c r="C215"/>
  <c r="R215"/>
  <c r="P215"/>
  <c r="R216" l="1"/>
  <c r="L216"/>
  <c r="H216"/>
  <c r="Z216"/>
  <c r="AF216"/>
  <c r="AD216"/>
  <c r="N216"/>
  <c r="B217"/>
  <c r="D216"/>
  <c r="C216"/>
  <c r="V216"/>
  <c r="F216"/>
  <c r="P216"/>
  <c r="T216"/>
  <c r="X216"/>
  <c r="J216"/>
  <c r="AB216"/>
  <c r="T217" l="1"/>
  <c r="D217"/>
  <c r="V217"/>
  <c r="J217"/>
  <c r="X217"/>
  <c r="H217"/>
  <c r="AD217"/>
  <c r="R217"/>
  <c r="AB217"/>
  <c r="L217"/>
  <c r="C217"/>
  <c r="Z217"/>
  <c r="AF217"/>
  <c r="P217"/>
  <c r="B218"/>
  <c r="F217"/>
  <c r="N217"/>
  <c r="AF218" l="1"/>
  <c r="P218"/>
  <c r="B219"/>
  <c r="J218"/>
  <c r="T218"/>
  <c r="D218"/>
  <c r="R218"/>
  <c r="N218"/>
  <c r="F218"/>
  <c r="X218"/>
  <c r="H218"/>
  <c r="AD218"/>
  <c r="V218"/>
  <c r="AB218"/>
  <c r="L218"/>
  <c r="C218"/>
  <c r="Z218"/>
  <c r="B220" l="1"/>
  <c r="V219"/>
  <c r="F219"/>
  <c r="AF219"/>
  <c r="T219"/>
  <c r="P219"/>
  <c r="C219"/>
  <c r="R219"/>
  <c r="X219"/>
  <c r="L219"/>
  <c r="Z219"/>
  <c r="J219"/>
  <c r="D219"/>
  <c r="H219"/>
  <c r="AD219"/>
  <c r="N219"/>
  <c r="AB219"/>
  <c r="R220" l="1"/>
  <c r="X220"/>
  <c r="L220"/>
  <c r="H220"/>
  <c r="V220"/>
  <c r="F220"/>
  <c r="T220"/>
  <c r="P220"/>
  <c r="Z220"/>
  <c r="J220"/>
  <c r="AB220"/>
  <c r="AF220"/>
  <c r="AD220"/>
  <c r="N220"/>
  <c r="B221"/>
  <c r="D220"/>
  <c r="C220"/>
  <c r="X221" l="1"/>
  <c r="H221"/>
  <c r="N221"/>
  <c r="AD221"/>
  <c r="F221"/>
  <c r="T221"/>
  <c r="D221"/>
  <c r="Z221"/>
  <c r="V221"/>
  <c r="AB221"/>
  <c r="L221"/>
  <c r="C221"/>
  <c r="J221"/>
  <c r="AF221"/>
  <c r="P221"/>
  <c r="B222"/>
  <c r="R221"/>
  <c r="AB222" l="1"/>
  <c r="L222"/>
  <c r="C222"/>
  <c r="V222"/>
  <c r="AF222"/>
  <c r="P222"/>
  <c r="B223"/>
  <c r="J222"/>
  <c r="N222"/>
  <c r="T222"/>
  <c r="D222"/>
  <c r="R222"/>
  <c r="AD222"/>
  <c r="X222"/>
  <c r="H222"/>
  <c r="Z222"/>
  <c r="F222"/>
  <c r="V223" l="1"/>
  <c r="F223"/>
  <c r="AF223"/>
  <c r="AB223"/>
  <c r="AD223"/>
  <c r="P223"/>
  <c r="C223"/>
  <c r="R223"/>
  <c r="X223"/>
  <c r="L223"/>
  <c r="Z223"/>
  <c r="J223"/>
  <c r="H223"/>
  <c r="B224"/>
  <c r="N223"/>
  <c r="T223"/>
  <c r="D223"/>
  <c r="R224" l="1"/>
  <c r="X224"/>
  <c r="L224"/>
  <c r="H224"/>
  <c r="Z224"/>
  <c r="J224"/>
  <c r="AB224"/>
  <c r="AD224"/>
  <c r="N224"/>
  <c r="B225"/>
  <c r="D224"/>
  <c r="C224"/>
  <c r="V224"/>
  <c r="F224"/>
  <c r="T224"/>
  <c r="P224"/>
  <c r="AF224"/>
  <c r="AB225" l="1"/>
  <c r="AF225"/>
  <c r="P225"/>
  <c r="B226"/>
  <c r="R225"/>
  <c r="F225"/>
  <c r="D225"/>
  <c r="X225"/>
  <c r="H225"/>
  <c r="N225"/>
  <c r="AD225"/>
  <c r="L225"/>
  <c r="C225"/>
  <c r="J225"/>
  <c r="T225"/>
  <c r="Z225"/>
  <c r="V225"/>
  <c r="P226" l="1"/>
  <c r="J226"/>
  <c r="T226"/>
  <c r="D226"/>
  <c r="R226"/>
  <c r="N226"/>
  <c r="X226"/>
  <c r="H226"/>
  <c r="Z226"/>
  <c r="V226"/>
  <c r="AB226"/>
  <c r="L226"/>
  <c r="C226"/>
  <c r="AD226"/>
  <c r="AF226"/>
  <c r="B227"/>
  <c r="F226"/>
  <c r="AD227" l="1"/>
  <c r="N227"/>
  <c r="X227"/>
  <c r="L227"/>
  <c r="C227"/>
  <c r="R227"/>
  <c r="AF227"/>
  <c r="T227"/>
  <c r="B228"/>
  <c r="F227"/>
  <c r="H227"/>
  <c r="Z227"/>
  <c r="J227"/>
  <c r="AB227"/>
  <c r="P227"/>
  <c r="V227"/>
  <c r="D227"/>
  <c r="R228" l="1"/>
  <c r="L228"/>
  <c r="H228"/>
  <c r="V228"/>
  <c r="F228"/>
  <c r="P228"/>
  <c r="T228"/>
  <c r="X228"/>
  <c r="Z228"/>
  <c r="J228"/>
  <c r="AB228"/>
  <c r="AF228"/>
  <c r="C228"/>
  <c r="AD228"/>
  <c r="N228"/>
  <c r="B229"/>
  <c r="D228"/>
  <c r="AB229" l="1"/>
  <c r="L229"/>
  <c r="C229"/>
  <c r="R229"/>
  <c r="AF229"/>
  <c r="P229"/>
  <c r="B230"/>
  <c r="Z229"/>
  <c r="N229"/>
  <c r="T229"/>
  <c r="D229"/>
  <c r="F229"/>
  <c r="AD229"/>
  <c r="V229"/>
  <c r="X229"/>
  <c r="H229"/>
  <c r="J229"/>
  <c r="AB230" l="1"/>
  <c r="L230"/>
  <c r="C230"/>
  <c r="N230"/>
  <c r="AF230"/>
  <c r="P230"/>
  <c r="B231"/>
  <c r="J230"/>
  <c r="F230"/>
  <c r="T230"/>
  <c r="D230"/>
  <c r="R230"/>
  <c r="V230"/>
  <c r="X230"/>
  <c r="H230"/>
  <c r="Z230"/>
  <c r="AD230"/>
  <c r="L231" l="1"/>
  <c r="T231"/>
  <c r="B232"/>
  <c r="V231"/>
  <c r="F231"/>
  <c r="D231"/>
  <c r="Z231"/>
  <c r="J231"/>
  <c r="AF231"/>
  <c r="AB231"/>
  <c r="AD231"/>
  <c r="N231"/>
  <c r="H231"/>
  <c r="C231"/>
  <c r="R231"/>
  <c r="P231"/>
  <c r="X231"/>
  <c r="V232" l="1"/>
  <c r="F232"/>
  <c r="AB232"/>
  <c r="AF232"/>
  <c r="N232"/>
  <c r="H232"/>
  <c r="R232"/>
  <c r="X232"/>
  <c r="T232"/>
  <c r="P232"/>
  <c r="Z232"/>
  <c r="J232"/>
  <c r="B233"/>
  <c r="D232"/>
  <c r="AD232"/>
  <c r="C232"/>
  <c r="L232"/>
  <c r="AF233" l="1"/>
  <c r="P233"/>
  <c r="B234"/>
  <c r="Z233"/>
  <c r="N233"/>
  <c r="D233"/>
  <c r="AD233"/>
  <c r="X233"/>
  <c r="H233"/>
  <c r="V233"/>
  <c r="J233"/>
  <c r="AB233"/>
  <c r="L233"/>
  <c r="C233"/>
  <c r="R233"/>
  <c r="T233"/>
  <c r="F233"/>
  <c r="AF234" l="1"/>
  <c r="P234"/>
  <c r="B235"/>
  <c r="J234"/>
  <c r="F234"/>
  <c r="AB234"/>
  <c r="L234"/>
  <c r="C234"/>
  <c r="AD234"/>
  <c r="T234"/>
  <c r="D234"/>
  <c r="R234"/>
  <c r="N234"/>
  <c r="X234"/>
  <c r="H234"/>
  <c r="Z234"/>
  <c r="V234"/>
  <c r="B236" l="1"/>
  <c r="V235"/>
  <c r="F235"/>
  <c r="P235"/>
  <c r="D235"/>
  <c r="Z235"/>
  <c r="J235"/>
  <c r="X235"/>
  <c r="T235"/>
  <c r="AD235"/>
  <c r="N235"/>
  <c r="AF235"/>
  <c r="AB235"/>
  <c r="C235"/>
  <c r="R235"/>
  <c r="L235"/>
  <c r="H235"/>
  <c r="Z236" l="1"/>
  <c r="J236"/>
  <c r="B237"/>
  <c r="D236"/>
  <c r="P236"/>
  <c r="V236"/>
  <c r="F236"/>
  <c r="AB236"/>
  <c r="X236"/>
  <c r="AD236"/>
  <c r="N236"/>
  <c r="H236"/>
  <c r="L236"/>
  <c r="C236"/>
  <c r="R236"/>
  <c r="AF236"/>
  <c r="T236"/>
  <c r="AB237" l="1"/>
  <c r="L237"/>
  <c r="C237"/>
  <c r="J237"/>
  <c r="AF237"/>
  <c r="P237"/>
  <c r="B238"/>
  <c r="R237"/>
  <c r="F237"/>
  <c r="T237"/>
  <c r="D237"/>
  <c r="Z237"/>
  <c r="N237"/>
  <c r="X237"/>
  <c r="H237"/>
  <c r="V237"/>
  <c r="AD237"/>
  <c r="AF238" l="1"/>
  <c r="P238"/>
  <c r="B239"/>
  <c r="J238"/>
  <c r="F238"/>
  <c r="T238"/>
  <c r="D238"/>
  <c r="V238"/>
  <c r="AB238"/>
  <c r="L238"/>
  <c r="C238"/>
  <c r="AD238"/>
  <c r="R238"/>
  <c r="X238"/>
  <c r="H238"/>
  <c r="Z238"/>
  <c r="N238"/>
  <c r="F239" l="1"/>
  <c r="Z239"/>
  <c r="X239"/>
  <c r="N239"/>
  <c r="AB239"/>
  <c r="C239"/>
  <c r="R239"/>
  <c r="D239"/>
  <c r="H239"/>
  <c r="B240"/>
  <c r="V239"/>
  <c r="P239"/>
  <c r="L239"/>
  <c r="J239"/>
  <c r="T239"/>
  <c r="AD239"/>
  <c r="AF239"/>
  <c r="V240" l="1"/>
  <c r="F240"/>
  <c r="B241"/>
  <c r="D240"/>
  <c r="Z240"/>
  <c r="J240"/>
  <c r="C240"/>
  <c r="L240"/>
  <c r="AD240"/>
  <c r="N240"/>
  <c r="H240"/>
  <c r="T240"/>
  <c r="P240"/>
  <c r="R240"/>
  <c r="AF240"/>
  <c r="AB240"/>
  <c r="X240"/>
  <c r="AF241" l="1"/>
  <c r="P241"/>
  <c r="B242"/>
  <c r="R241"/>
  <c r="F241"/>
  <c r="X241"/>
  <c r="H241"/>
  <c r="V241"/>
  <c r="AD241"/>
  <c r="AB241"/>
  <c r="L241"/>
  <c r="C241"/>
  <c r="J241"/>
  <c r="T241"/>
  <c r="D241"/>
  <c r="Z241"/>
  <c r="N241"/>
  <c r="AF242" l="1"/>
  <c r="P242"/>
  <c r="B243"/>
  <c r="J242"/>
  <c r="N242"/>
  <c r="X242"/>
  <c r="Z242"/>
  <c r="AB242"/>
  <c r="L242"/>
  <c r="C242"/>
  <c r="AD242"/>
  <c r="T242"/>
  <c r="D242"/>
  <c r="R242"/>
  <c r="V242"/>
  <c r="H242"/>
  <c r="F242"/>
  <c r="C243" l="1"/>
  <c r="R243"/>
  <c r="AB243"/>
  <c r="X243"/>
  <c r="D243"/>
  <c r="AD243"/>
  <c r="N243"/>
  <c r="T243"/>
  <c r="P243"/>
  <c r="B244"/>
  <c r="V243"/>
  <c r="F243"/>
  <c r="AF243"/>
  <c r="L243"/>
  <c r="Z243"/>
  <c r="J243"/>
  <c r="H243"/>
  <c r="Z244" l="1"/>
  <c r="J244"/>
  <c r="C244"/>
  <c r="L244"/>
  <c r="AD244"/>
  <c r="N244"/>
  <c r="P244"/>
  <c r="T244"/>
  <c r="H244"/>
  <c r="R244"/>
  <c r="X244"/>
  <c r="AB244"/>
  <c r="AF244"/>
  <c r="V244"/>
  <c r="F244"/>
  <c r="B245"/>
  <c r="D244"/>
  <c r="AB245" l="1"/>
  <c r="L245"/>
  <c r="C245"/>
  <c r="Z245"/>
  <c r="X245"/>
  <c r="H245"/>
  <c r="AD245"/>
  <c r="R245"/>
  <c r="AF245"/>
  <c r="P245"/>
  <c r="B246"/>
  <c r="F245"/>
  <c r="V245"/>
  <c r="T245"/>
  <c r="D245"/>
  <c r="N245"/>
  <c r="J245"/>
  <c r="AB246" l="1"/>
  <c r="L246"/>
  <c r="C246"/>
  <c r="AD246"/>
  <c r="AF246"/>
  <c r="P246"/>
  <c r="B247"/>
  <c r="J246"/>
  <c r="N246"/>
  <c r="X246"/>
  <c r="H246"/>
  <c r="Z246"/>
  <c r="F246"/>
  <c r="T246"/>
  <c r="D246"/>
  <c r="R246"/>
  <c r="V246"/>
  <c r="C247" l="1"/>
  <c r="R247"/>
  <c r="T247"/>
  <c r="P247"/>
  <c r="V247"/>
  <c r="X247"/>
  <c r="L247"/>
  <c r="Z247"/>
  <c r="J247"/>
  <c r="AB247"/>
  <c r="D247"/>
  <c r="B248"/>
  <c r="F247"/>
  <c r="AF247"/>
  <c r="AD247"/>
  <c r="N247"/>
  <c r="H247"/>
  <c r="AD248" l="1"/>
  <c r="N248"/>
  <c r="P248"/>
  <c r="T248"/>
  <c r="H248"/>
  <c r="R248"/>
  <c r="AF248"/>
  <c r="AB248"/>
  <c r="X248"/>
  <c r="F248"/>
  <c r="D248"/>
  <c r="J248"/>
  <c r="L248"/>
  <c r="V248"/>
  <c r="B249"/>
  <c r="Z248"/>
  <c r="C248"/>
  <c r="B250" l="1"/>
  <c r="V249"/>
  <c r="AB249"/>
  <c r="L249"/>
  <c r="C249"/>
  <c r="R249"/>
  <c r="AF249"/>
  <c r="P249"/>
  <c r="Z249"/>
  <c r="N249"/>
  <c r="T249"/>
  <c r="D249"/>
  <c r="F249"/>
  <c r="AD249"/>
  <c r="X249"/>
  <c r="H249"/>
  <c r="J249"/>
  <c r="AF250" l="1"/>
  <c r="J250"/>
  <c r="T250"/>
  <c r="D250"/>
  <c r="R250"/>
  <c r="N250"/>
  <c r="X250"/>
  <c r="H250"/>
  <c r="Z250"/>
  <c r="AD250"/>
  <c r="AB250"/>
  <c r="L250"/>
  <c r="C250"/>
  <c r="V250"/>
  <c r="P250"/>
  <c r="B251"/>
  <c r="F250"/>
  <c r="B252" l="1"/>
  <c r="V251"/>
  <c r="F251"/>
  <c r="X251"/>
  <c r="L251"/>
  <c r="AD251"/>
  <c r="N251"/>
  <c r="D251"/>
  <c r="C251"/>
  <c r="R251"/>
  <c r="T251"/>
  <c r="P251"/>
  <c r="Z251"/>
  <c r="J251"/>
  <c r="AF251"/>
  <c r="AB251"/>
  <c r="H251"/>
  <c r="AD252" l="1"/>
  <c r="N252"/>
  <c r="H252"/>
  <c r="L252"/>
  <c r="C252"/>
  <c r="V252"/>
  <c r="F252"/>
  <c r="AB252"/>
  <c r="X252"/>
  <c r="Z252"/>
  <c r="J252"/>
  <c r="B253"/>
  <c r="D252"/>
  <c r="R252"/>
  <c r="AF252"/>
  <c r="T252"/>
  <c r="P252"/>
  <c r="AB253" l="1"/>
  <c r="L253"/>
  <c r="C253"/>
  <c r="J253"/>
  <c r="T253"/>
  <c r="D253"/>
  <c r="N253"/>
  <c r="X253"/>
  <c r="H253"/>
  <c r="V253"/>
  <c r="AD253"/>
  <c r="AF253"/>
  <c r="P253"/>
  <c r="B254"/>
  <c r="R253"/>
  <c r="F253"/>
  <c r="Z253"/>
  <c r="AF254" l="1"/>
  <c r="P254"/>
  <c r="B255"/>
  <c r="J254"/>
  <c r="F254"/>
  <c r="X254"/>
  <c r="H254"/>
  <c r="Z254"/>
  <c r="AD254"/>
  <c r="L254"/>
  <c r="C254"/>
  <c r="T254"/>
  <c r="D254"/>
  <c r="R254"/>
  <c r="N254"/>
  <c r="AB254"/>
  <c r="V254"/>
  <c r="C255" l="1"/>
  <c r="R255"/>
  <c r="L255"/>
  <c r="H255"/>
  <c r="B256"/>
  <c r="V255"/>
  <c r="F255"/>
  <c r="P255"/>
  <c r="D255"/>
  <c r="AF255"/>
  <c r="Z255"/>
  <c r="J255"/>
  <c r="X255"/>
  <c r="T255"/>
  <c r="AD255"/>
  <c r="N255"/>
  <c r="AB255"/>
  <c r="V256" l="1"/>
  <c r="AB256"/>
  <c r="Z256"/>
  <c r="J256"/>
  <c r="B257"/>
  <c r="D256"/>
  <c r="AD256"/>
  <c r="N256"/>
  <c r="H256"/>
  <c r="L256"/>
  <c r="C256"/>
  <c r="R256"/>
  <c r="AF256"/>
  <c r="T256"/>
  <c r="P256"/>
  <c r="F256"/>
  <c r="X256"/>
  <c r="AF257" l="1"/>
  <c r="P257"/>
  <c r="B258"/>
  <c r="R257"/>
  <c r="F257"/>
  <c r="T257"/>
  <c r="Z257"/>
  <c r="N257"/>
  <c r="AB257"/>
  <c r="L257"/>
  <c r="C257"/>
  <c r="J257"/>
  <c r="D257"/>
  <c r="X257"/>
  <c r="H257"/>
  <c r="V257"/>
  <c r="AD257"/>
  <c r="X258" l="1"/>
  <c r="H258"/>
  <c r="Z258"/>
  <c r="AD258"/>
  <c r="AF258"/>
  <c r="P258"/>
  <c r="B259"/>
  <c r="F258"/>
  <c r="T258"/>
  <c r="D258"/>
  <c r="R258"/>
  <c r="V258"/>
  <c r="AB258"/>
  <c r="L258"/>
  <c r="C258"/>
  <c r="N258"/>
  <c r="J258"/>
  <c r="Z259" l="1"/>
  <c r="J259"/>
  <c r="L259"/>
  <c r="H259"/>
  <c r="AD259"/>
  <c r="N259"/>
  <c r="AB259"/>
  <c r="P259"/>
  <c r="C259"/>
  <c r="R259"/>
  <c r="X259"/>
  <c r="D259"/>
  <c r="B260"/>
  <c r="V259"/>
  <c r="F259"/>
  <c r="AF259"/>
  <c r="T259"/>
  <c r="R260" l="1"/>
  <c r="P260"/>
  <c r="T260"/>
  <c r="X260"/>
  <c r="Z260"/>
  <c r="J260"/>
  <c r="B261"/>
  <c r="D260"/>
  <c r="AD260"/>
  <c r="N260"/>
  <c r="C260"/>
  <c r="L260"/>
  <c r="H260"/>
  <c r="V260"/>
  <c r="F260"/>
  <c r="AB260"/>
  <c r="AF260"/>
  <c r="AF261" l="1"/>
  <c r="P261"/>
  <c r="B262"/>
  <c r="Z261"/>
  <c r="N261"/>
  <c r="X261"/>
  <c r="H261"/>
  <c r="V261"/>
  <c r="J261"/>
  <c r="AB261"/>
  <c r="L261"/>
  <c r="C261"/>
  <c r="R261"/>
  <c r="T261"/>
  <c r="D261"/>
  <c r="F261"/>
  <c r="AD261"/>
  <c r="AF262" l="1"/>
  <c r="P262"/>
  <c r="B263"/>
  <c r="J262"/>
  <c r="F262"/>
  <c r="AB262"/>
  <c r="L262"/>
  <c r="AD262"/>
  <c r="T262"/>
  <c r="D262"/>
  <c r="R262"/>
  <c r="V262"/>
  <c r="X262"/>
  <c r="H262"/>
  <c r="Z262"/>
  <c r="N262"/>
  <c r="C262"/>
  <c r="B264" l="1"/>
  <c r="V263"/>
  <c r="F263"/>
  <c r="X263"/>
  <c r="L263"/>
  <c r="C263"/>
  <c r="R263"/>
  <c r="T263"/>
  <c r="P263"/>
  <c r="Z263"/>
  <c r="J263"/>
  <c r="AF263"/>
  <c r="AB263"/>
  <c r="AD263"/>
  <c r="N263"/>
  <c r="D263"/>
  <c r="H263"/>
  <c r="AD264" l="1"/>
  <c r="N264"/>
  <c r="P264"/>
  <c r="L264"/>
  <c r="C264"/>
  <c r="R264"/>
  <c r="T264"/>
  <c r="H264"/>
  <c r="V264"/>
  <c r="F264"/>
  <c r="AB264"/>
  <c r="X264"/>
  <c r="AF264"/>
  <c r="Z264"/>
  <c r="J264"/>
  <c r="B265"/>
  <c r="D264"/>
  <c r="T265" l="1"/>
  <c r="D265"/>
  <c r="Z265"/>
  <c r="N265"/>
  <c r="X265"/>
  <c r="H265"/>
  <c r="V265"/>
  <c r="AD265"/>
  <c r="AF265"/>
  <c r="P265"/>
  <c r="B266"/>
  <c r="R265"/>
  <c r="F265"/>
  <c r="AB265"/>
  <c r="L265"/>
  <c r="C265"/>
  <c r="J265"/>
  <c r="AF266" l="1"/>
  <c r="P266"/>
  <c r="B267"/>
  <c r="J266"/>
  <c r="F266"/>
  <c r="X266"/>
  <c r="Z266"/>
  <c r="V266"/>
  <c r="T266"/>
  <c r="D266"/>
  <c r="R266"/>
  <c r="N266"/>
  <c r="H266"/>
  <c r="AB266"/>
  <c r="L266"/>
  <c r="C266"/>
  <c r="AD266"/>
  <c r="C267" l="1"/>
  <c r="R267"/>
  <c r="AB267"/>
  <c r="X267"/>
  <c r="B268"/>
  <c r="V267"/>
  <c r="F267"/>
  <c r="AF267"/>
  <c r="T267"/>
  <c r="Z267"/>
  <c r="J267"/>
  <c r="D267"/>
  <c r="H267"/>
  <c r="AD267"/>
  <c r="N267"/>
  <c r="L267"/>
  <c r="P267"/>
  <c r="R268" l="1"/>
  <c r="P268"/>
  <c r="T268"/>
  <c r="X268"/>
  <c r="V268"/>
  <c r="F268"/>
  <c r="AB268"/>
  <c r="AF268"/>
  <c r="AD268"/>
  <c r="N268"/>
  <c r="C268"/>
  <c r="L268"/>
  <c r="H268"/>
  <c r="Z268"/>
  <c r="J268"/>
  <c r="B269"/>
  <c r="D268"/>
  <c r="AB269" l="1"/>
  <c r="L269"/>
  <c r="C269"/>
  <c r="Z269"/>
  <c r="N269"/>
  <c r="D269"/>
  <c r="J269"/>
  <c r="AF269"/>
  <c r="P269"/>
  <c r="B270"/>
  <c r="AD269"/>
  <c r="T269"/>
  <c r="F269"/>
  <c r="X269"/>
  <c r="H269"/>
  <c r="V269"/>
  <c r="R269"/>
  <c r="X270" l="1"/>
  <c r="H270"/>
  <c r="Z270"/>
  <c r="AD270"/>
  <c r="AB270"/>
  <c r="C270"/>
  <c r="N270"/>
  <c r="AF270"/>
  <c r="P270"/>
  <c r="J270"/>
  <c r="T270"/>
  <c r="R270"/>
  <c r="L270"/>
  <c r="B271"/>
  <c r="F270"/>
  <c r="D270"/>
  <c r="V270"/>
  <c r="AD271" l="1"/>
  <c r="N271"/>
  <c r="D271"/>
  <c r="T271"/>
  <c r="J271"/>
  <c r="B272"/>
  <c r="R271"/>
  <c r="AB271"/>
  <c r="H271"/>
  <c r="C271"/>
  <c r="V271"/>
  <c r="F271"/>
  <c r="P271"/>
  <c r="AF271"/>
  <c r="Z271"/>
  <c r="X271"/>
  <c r="L271"/>
  <c r="B273" l="1"/>
  <c r="N272"/>
  <c r="H272"/>
  <c r="AF272"/>
  <c r="F272"/>
  <c r="AD272"/>
  <c r="X272"/>
  <c r="L272"/>
  <c r="Z272"/>
  <c r="C272"/>
  <c r="D272"/>
  <c r="V272"/>
  <c r="J272"/>
  <c r="T272"/>
  <c r="R272"/>
  <c r="P272"/>
  <c r="AB272"/>
  <c r="Z273" l="1"/>
  <c r="J273"/>
  <c r="C273"/>
  <c r="D273"/>
  <c r="AD273"/>
  <c r="N273"/>
  <c r="H273"/>
  <c r="T273"/>
  <c r="AF273"/>
  <c r="R273"/>
  <c r="X273"/>
  <c r="L273"/>
  <c r="P273"/>
  <c r="V273"/>
  <c r="F273"/>
  <c r="B274"/>
  <c r="AB273"/>
  <c r="P274" l="1"/>
  <c r="J274"/>
  <c r="N274"/>
  <c r="L274"/>
  <c r="AB274"/>
  <c r="F274"/>
  <c r="D274"/>
  <c r="C274"/>
  <c r="R274"/>
  <c r="V274"/>
  <c r="T274"/>
  <c r="X274"/>
  <c r="H274"/>
  <c r="AF274"/>
  <c r="Z274"/>
  <c r="B275"/>
  <c r="AD274"/>
  <c r="X275" l="1"/>
  <c r="H275"/>
  <c r="B276"/>
  <c r="R275"/>
  <c r="AB275"/>
  <c r="L275"/>
  <c r="J275"/>
  <c r="C275"/>
  <c r="AF275"/>
  <c r="P275"/>
  <c r="Z275"/>
  <c r="N275"/>
  <c r="F275"/>
  <c r="T275"/>
  <c r="D275"/>
  <c r="AD275"/>
  <c r="V275"/>
  <c r="C276" l="1"/>
  <c r="T276"/>
  <c r="AD276"/>
  <c r="Z276"/>
  <c r="AB276"/>
  <c r="N276"/>
  <c r="AF276"/>
  <c r="P276"/>
  <c r="V276"/>
  <c r="J276"/>
  <c r="B277"/>
  <c r="X276"/>
  <c r="D276"/>
  <c r="H276"/>
  <c r="F276"/>
  <c r="L276"/>
  <c r="R276"/>
  <c r="N277" l="1"/>
  <c r="H277"/>
  <c r="R277"/>
  <c r="P277"/>
  <c r="V277"/>
  <c r="F277"/>
  <c r="X277"/>
  <c r="L277"/>
  <c r="Z277"/>
  <c r="J277"/>
  <c r="AF277"/>
  <c r="AB277"/>
  <c r="AD277"/>
  <c r="C277"/>
  <c r="D277"/>
  <c r="B278"/>
  <c r="T277"/>
  <c r="AD278" l="1"/>
  <c r="N278"/>
  <c r="AB278"/>
  <c r="C278"/>
  <c r="AF278"/>
  <c r="R278"/>
  <c r="B279"/>
  <c r="D278"/>
  <c r="P278"/>
  <c r="V278"/>
  <c r="L278"/>
  <c r="H278"/>
  <c r="Z278"/>
  <c r="J278"/>
  <c r="T278"/>
  <c r="X278"/>
  <c r="F278"/>
  <c r="AF279" l="1"/>
  <c r="P279"/>
  <c r="Z279"/>
  <c r="B280"/>
  <c r="V279"/>
  <c r="T279"/>
  <c r="D279"/>
  <c r="C279"/>
  <c r="N279"/>
  <c r="X279"/>
  <c r="H279"/>
  <c r="J279"/>
  <c r="AD279"/>
  <c r="AB279"/>
  <c r="L279"/>
  <c r="F279"/>
  <c r="R279"/>
  <c r="AF280" l="1"/>
  <c r="AD280"/>
  <c r="C280"/>
  <c r="T280"/>
  <c r="D280"/>
  <c r="B281"/>
  <c r="X280"/>
  <c r="H280"/>
  <c r="N280"/>
  <c r="R280"/>
  <c r="AB280"/>
  <c r="L280"/>
  <c r="V280"/>
  <c r="J280"/>
  <c r="P280"/>
  <c r="Z280"/>
  <c r="F280"/>
  <c r="AD281" l="1"/>
  <c r="C281"/>
  <c r="T281"/>
  <c r="B282"/>
  <c r="D281"/>
  <c r="V281"/>
  <c r="F281"/>
  <c r="X281"/>
  <c r="L281"/>
  <c r="Z281"/>
  <c r="J281"/>
  <c r="AF281"/>
  <c r="AB281"/>
  <c r="N281"/>
  <c r="H281"/>
  <c r="R281"/>
  <c r="P281"/>
  <c r="AD282" l="1"/>
  <c r="N282"/>
  <c r="AB282"/>
  <c r="C282"/>
  <c r="AF282"/>
  <c r="B283"/>
  <c r="P282"/>
  <c r="V282"/>
  <c r="F282"/>
  <c r="L282"/>
  <c r="H282"/>
  <c r="Z282"/>
  <c r="J282"/>
  <c r="T282"/>
  <c r="X282"/>
  <c r="R282"/>
  <c r="D282"/>
  <c r="AB283" l="1"/>
  <c r="L283"/>
  <c r="R283"/>
  <c r="F283"/>
  <c r="AF283"/>
  <c r="Z283"/>
  <c r="V283"/>
  <c r="T283"/>
  <c r="D283"/>
  <c r="C283"/>
  <c r="N283"/>
  <c r="X283"/>
  <c r="H283"/>
  <c r="J283"/>
  <c r="AD283"/>
  <c r="P283"/>
  <c r="B284"/>
  <c r="AB284" l="1"/>
  <c r="L284"/>
  <c r="V284"/>
  <c r="J284"/>
  <c r="C284"/>
  <c r="T284"/>
  <c r="D284"/>
  <c r="F284"/>
  <c r="B285"/>
  <c r="X284"/>
  <c r="H284"/>
  <c r="N284"/>
  <c r="R284"/>
  <c r="AF284"/>
  <c r="P284"/>
  <c r="AD284"/>
  <c r="Z284"/>
  <c r="AD285" l="1"/>
  <c r="N285"/>
  <c r="C285"/>
  <c r="H285"/>
  <c r="D285"/>
  <c r="R285"/>
  <c r="B286"/>
  <c r="P285"/>
  <c r="T285"/>
  <c r="Z285"/>
  <c r="J285"/>
  <c r="AF285"/>
  <c r="AB285"/>
  <c r="V285"/>
  <c r="F285"/>
  <c r="X285"/>
  <c r="L285"/>
  <c r="R286" l="1"/>
  <c r="B287"/>
  <c r="D286"/>
  <c r="P286"/>
  <c r="V286"/>
  <c r="F286"/>
  <c r="L286"/>
  <c r="H286"/>
  <c r="Z286"/>
  <c r="J286"/>
  <c r="T286"/>
  <c r="X286"/>
  <c r="N286"/>
  <c r="AB286"/>
  <c r="C286"/>
  <c r="AD286"/>
  <c r="AF286"/>
  <c r="AF287" l="1"/>
  <c r="P287"/>
  <c r="Z287"/>
  <c r="V287"/>
  <c r="F287"/>
  <c r="X287"/>
  <c r="J287"/>
  <c r="AB287"/>
  <c r="L287"/>
  <c r="R287"/>
  <c r="AD287"/>
  <c r="T287"/>
  <c r="D287"/>
  <c r="C287"/>
  <c r="B288"/>
  <c r="H287"/>
  <c r="N287"/>
  <c r="AF288" l="1"/>
  <c r="P288"/>
  <c r="F288"/>
  <c r="AB288"/>
  <c r="L288"/>
  <c r="AD288"/>
  <c r="Z288"/>
  <c r="C288"/>
  <c r="T288"/>
  <c r="D288"/>
  <c r="N288"/>
  <c r="R288"/>
  <c r="B289"/>
  <c r="X288"/>
  <c r="H288"/>
  <c r="V288"/>
  <c r="J288"/>
  <c r="R289" l="1"/>
  <c r="B290"/>
  <c r="P289"/>
  <c r="D289"/>
  <c r="V289"/>
  <c r="F289"/>
  <c r="X289"/>
  <c r="L289"/>
  <c r="Z289"/>
  <c r="J289"/>
  <c r="AB289"/>
  <c r="AD289"/>
  <c r="N289"/>
  <c r="H289"/>
  <c r="T289"/>
  <c r="AF289"/>
  <c r="C289"/>
  <c r="AD290" l="1"/>
  <c r="N290"/>
  <c r="AB290"/>
  <c r="C290"/>
  <c r="P290"/>
  <c r="T290"/>
  <c r="R290"/>
  <c r="B291"/>
  <c r="D290"/>
  <c r="AF290"/>
  <c r="V290"/>
  <c r="F290"/>
  <c r="L290"/>
  <c r="H290"/>
  <c r="Z290"/>
  <c r="J290"/>
  <c r="X290"/>
  <c r="AF291" l="1"/>
  <c r="P291"/>
  <c r="Z291"/>
  <c r="V291"/>
  <c r="F291"/>
  <c r="X291"/>
  <c r="H291"/>
  <c r="J291"/>
  <c r="T291"/>
  <c r="D291"/>
  <c r="C291"/>
  <c r="B292"/>
  <c r="N291"/>
  <c r="AB291"/>
  <c r="L291"/>
  <c r="R291"/>
  <c r="AD291"/>
  <c r="C292" l="1"/>
  <c r="T292"/>
  <c r="D292"/>
  <c r="F292"/>
  <c r="B293"/>
  <c r="X292"/>
  <c r="H292"/>
  <c r="N292"/>
  <c r="R292"/>
  <c r="AB292"/>
  <c r="L292"/>
  <c r="V292"/>
  <c r="J292"/>
  <c r="AF292"/>
  <c r="P292"/>
  <c r="AD292"/>
  <c r="Z292"/>
  <c r="Z293" l="1"/>
  <c r="J293"/>
  <c r="AF293"/>
  <c r="AB293"/>
  <c r="V293"/>
  <c r="F293"/>
  <c r="X293"/>
  <c r="AD293"/>
  <c r="N293"/>
  <c r="C293"/>
  <c r="H293"/>
  <c r="T293"/>
  <c r="R293"/>
  <c r="B294"/>
  <c r="P293"/>
  <c r="D293"/>
  <c r="L293"/>
  <c r="AD294" l="1"/>
  <c r="N294"/>
  <c r="AB294"/>
  <c r="C294"/>
  <c r="P294"/>
  <c r="V294"/>
  <c r="L294"/>
  <c r="R294"/>
  <c r="B295"/>
  <c r="D294"/>
  <c r="AF294"/>
  <c r="F294"/>
  <c r="H294"/>
  <c r="Z294"/>
  <c r="J294"/>
  <c r="T294"/>
  <c r="X294"/>
  <c r="AB295" l="1"/>
  <c r="L295"/>
  <c r="R295"/>
  <c r="AD295"/>
  <c r="T295"/>
  <c r="D295"/>
  <c r="C295"/>
  <c r="B296"/>
  <c r="X295"/>
  <c r="H295"/>
  <c r="J295"/>
  <c r="N295"/>
  <c r="AF295"/>
  <c r="P295"/>
  <c r="Z295"/>
  <c r="V295"/>
  <c r="F295"/>
  <c r="B297" l="1"/>
  <c r="X296"/>
  <c r="H296"/>
  <c r="N296"/>
  <c r="J296"/>
  <c r="AF296"/>
  <c r="P296"/>
  <c r="AD296"/>
  <c r="R296"/>
  <c r="C296"/>
  <c r="T296"/>
  <c r="D296"/>
  <c r="F296"/>
  <c r="AB296"/>
  <c r="L296"/>
  <c r="V296"/>
  <c r="Z296"/>
  <c r="Z297" l="1"/>
  <c r="J297"/>
  <c r="AF297"/>
  <c r="AB297"/>
  <c r="AD297"/>
  <c r="N297"/>
  <c r="H297"/>
  <c r="D297"/>
  <c r="R297"/>
  <c r="B298"/>
  <c r="P297"/>
  <c r="X297"/>
  <c r="C297"/>
  <c r="T297"/>
  <c r="V297"/>
  <c r="F297"/>
  <c r="L297"/>
  <c r="Z298" l="1"/>
  <c r="J298"/>
  <c r="T298"/>
  <c r="X298"/>
  <c r="R298"/>
  <c r="D298"/>
  <c r="V298"/>
  <c r="F298"/>
  <c r="L298"/>
  <c r="H298"/>
  <c r="AD298"/>
  <c r="N298"/>
  <c r="AB298"/>
  <c r="C298"/>
  <c r="P298"/>
  <c r="B299"/>
  <c r="AF298"/>
  <c r="AB299" l="1"/>
  <c r="L299"/>
  <c r="R299"/>
  <c r="F299"/>
  <c r="AF299"/>
  <c r="P299"/>
  <c r="Z299"/>
  <c r="B300"/>
  <c r="V299"/>
  <c r="T299"/>
  <c r="D299"/>
  <c r="C299"/>
  <c r="N299"/>
  <c r="X299"/>
  <c r="H299"/>
  <c r="J299"/>
  <c r="AD299"/>
  <c r="C300" l="1"/>
  <c r="T300"/>
  <c r="D300"/>
  <c r="F300"/>
  <c r="AB300"/>
  <c r="V300"/>
  <c r="AF300"/>
  <c r="P300"/>
  <c r="AD300"/>
  <c r="R300"/>
  <c r="B301"/>
  <c r="X300"/>
  <c r="H300"/>
  <c r="N300"/>
  <c r="J300"/>
  <c r="L300"/>
  <c r="Z300"/>
  <c r="D301" l="1"/>
  <c r="P301"/>
  <c r="V301"/>
  <c r="F301"/>
  <c r="X301"/>
  <c r="L301"/>
  <c r="Z301"/>
  <c r="J301"/>
  <c r="AF301"/>
  <c r="AB301"/>
  <c r="AD301"/>
  <c r="N301"/>
  <c r="C301"/>
  <c r="H301"/>
  <c r="R301"/>
  <c r="B302"/>
  <c r="T301"/>
  <c r="AD302" l="1"/>
  <c r="N302"/>
  <c r="AB302"/>
  <c r="C302"/>
  <c r="P302"/>
  <c r="R302"/>
  <c r="B303"/>
  <c r="D302"/>
  <c r="AF302"/>
  <c r="V302"/>
  <c r="L302"/>
  <c r="H302"/>
  <c r="Z302"/>
  <c r="J302"/>
  <c r="T302"/>
  <c r="X302"/>
  <c r="F302"/>
  <c r="T303" l="1"/>
  <c r="D303"/>
  <c r="C303"/>
  <c r="B304"/>
  <c r="H303"/>
  <c r="N303"/>
  <c r="AB303"/>
  <c r="L303"/>
  <c r="R303"/>
  <c r="AD303"/>
  <c r="AF303"/>
  <c r="P303"/>
  <c r="Z303"/>
  <c r="V303"/>
  <c r="F303"/>
  <c r="X303"/>
  <c r="J303"/>
  <c r="F304" l="1"/>
  <c r="B305"/>
  <c r="H304"/>
  <c r="R304"/>
  <c r="V304"/>
  <c r="AF304"/>
  <c r="P304"/>
  <c r="AD304"/>
  <c r="Z304"/>
  <c r="C304"/>
  <c r="T304"/>
  <c r="D304"/>
  <c r="X304"/>
  <c r="N304"/>
  <c r="AB304"/>
  <c r="L304"/>
  <c r="J304"/>
  <c r="X305" l="1"/>
  <c r="Z305"/>
  <c r="AF305"/>
  <c r="AD305"/>
  <c r="C305"/>
  <c r="R305"/>
  <c r="B306"/>
  <c r="P305"/>
  <c r="D305"/>
  <c r="V305"/>
  <c r="F305"/>
  <c r="L305"/>
  <c r="J305"/>
  <c r="AB305"/>
  <c r="N305"/>
  <c r="H305"/>
  <c r="T305"/>
  <c r="AD306" l="1"/>
  <c r="N306"/>
  <c r="AB306"/>
  <c r="C306"/>
  <c r="AF306"/>
  <c r="R306"/>
  <c r="D306"/>
  <c r="P306"/>
  <c r="Z306"/>
  <c r="J306"/>
  <c r="T306"/>
  <c r="X306"/>
  <c r="B307"/>
  <c r="V306"/>
  <c r="F306"/>
  <c r="L306"/>
  <c r="H306"/>
  <c r="AF307" l="1"/>
  <c r="P307"/>
  <c r="Z307"/>
  <c r="F307"/>
  <c r="V307"/>
  <c r="T307"/>
  <c r="D307"/>
  <c r="C307"/>
  <c r="B308"/>
  <c r="X307"/>
  <c r="H307"/>
  <c r="J307"/>
  <c r="N307"/>
  <c r="AB307"/>
  <c r="L307"/>
  <c r="R307"/>
  <c r="AD307"/>
  <c r="C308" l="1"/>
  <c r="T308"/>
  <c r="D308"/>
  <c r="F308"/>
  <c r="R308"/>
  <c r="B309"/>
  <c r="X308"/>
  <c r="H308"/>
  <c r="N308"/>
  <c r="J308"/>
  <c r="AB308"/>
  <c r="L308"/>
  <c r="V308"/>
  <c r="Z308"/>
  <c r="P308"/>
  <c r="AF308"/>
  <c r="AD308"/>
  <c r="R309" l="1"/>
  <c r="P309"/>
  <c r="V309"/>
  <c r="F309"/>
  <c r="X309"/>
  <c r="AF309"/>
  <c r="AD309"/>
  <c r="N309"/>
  <c r="C309"/>
  <c r="H309"/>
  <c r="T309"/>
  <c r="B310"/>
  <c r="D309"/>
  <c r="L309"/>
  <c r="Z309"/>
  <c r="J309"/>
  <c r="AB309"/>
  <c r="Z310" l="1"/>
  <c r="J310"/>
  <c r="T310"/>
  <c r="X310"/>
  <c r="AD310"/>
  <c r="N310"/>
  <c r="AB310"/>
  <c r="C310"/>
  <c r="AF310"/>
  <c r="R310"/>
  <c r="B311"/>
  <c r="D310"/>
  <c r="P310"/>
  <c r="F310"/>
  <c r="H310"/>
  <c r="V310"/>
  <c r="L310"/>
  <c r="AB311" l="1"/>
  <c r="L311"/>
  <c r="R311"/>
  <c r="F311"/>
  <c r="AF311"/>
  <c r="P311"/>
  <c r="Z311"/>
  <c r="B312"/>
  <c r="V311"/>
  <c r="T311"/>
  <c r="D311"/>
  <c r="C311"/>
  <c r="N311"/>
  <c r="X311"/>
  <c r="H311"/>
  <c r="J311"/>
  <c r="AD311"/>
  <c r="AB312" l="1"/>
  <c r="L312"/>
  <c r="V312"/>
  <c r="Z312"/>
  <c r="AF312"/>
  <c r="P312"/>
  <c r="AD312"/>
  <c r="R312"/>
  <c r="C312"/>
  <c r="T312"/>
  <c r="D312"/>
  <c r="F312"/>
  <c r="B313"/>
  <c r="X312"/>
  <c r="H312"/>
  <c r="N312"/>
  <c r="J312"/>
  <c r="Z313" l="1"/>
  <c r="J313"/>
  <c r="AF313"/>
  <c r="AB313"/>
  <c r="AD313"/>
  <c r="N313"/>
  <c r="C313"/>
  <c r="H313"/>
  <c r="D313"/>
  <c r="R313"/>
  <c r="B314"/>
  <c r="P313"/>
  <c r="T313"/>
  <c r="V313"/>
  <c r="F313"/>
  <c r="X313"/>
  <c r="L313"/>
  <c r="Z314" l="1"/>
  <c r="T314"/>
  <c r="AD314"/>
  <c r="N314"/>
  <c r="AB314"/>
  <c r="C314"/>
  <c r="AF314"/>
  <c r="R314"/>
  <c r="B315"/>
  <c r="D314"/>
  <c r="P314"/>
  <c r="V314"/>
  <c r="F314"/>
  <c r="L314"/>
  <c r="H314"/>
  <c r="J314"/>
  <c r="X314"/>
  <c r="H315" l="1"/>
  <c r="AB315"/>
  <c r="L315"/>
  <c r="R315"/>
  <c r="V315"/>
  <c r="AF315"/>
  <c r="P315"/>
  <c r="Z315"/>
  <c r="B316"/>
  <c r="F315"/>
  <c r="T315"/>
  <c r="D315"/>
  <c r="C315"/>
  <c r="N315"/>
  <c r="X315"/>
  <c r="J315"/>
  <c r="AD315"/>
  <c r="C316" l="1"/>
  <c r="T316"/>
  <c r="D316"/>
  <c r="F316"/>
  <c r="AF316"/>
  <c r="AD316"/>
  <c r="B317"/>
  <c r="X316"/>
  <c r="H316"/>
  <c r="N316"/>
  <c r="J316"/>
  <c r="AB316"/>
  <c r="L316"/>
  <c r="V316"/>
  <c r="Z316"/>
  <c r="P316"/>
  <c r="R316"/>
  <c r="V317" l="1"/>
  <c r="F317"/>
  <c r="X317"/>
  <c r="L317"/>
  <c r="AD317"/>
  <c r="N317"/>
  <c r="C317"/>
  <c r="T317"/>
  <c r="Z317"/>
  <c r="J317"/>
  <c r="AF317"/>
  <c r="AB317"/>
  <c r="H317"/>
  <c r="R317"/>
  <c r="B318"/>
  <c r="P317"/>
  <c r="D317"/>
  <c r="R318" l="1"/>
  <c r="B319"/>
  <c r="D318"/>
  <c r="AF318"/>
  <c r="F318"/>
  <c r="L318"/>
  <c r="Z318"/>
  <c r="J318"/>
  <c r="X318"/>
  <c r="V318"/>
  <c r="H318"/>
  <c r="T318"/>
  <c r="AD318"/>
  <c r="N318"/>
  <c r="AB318"/>
  <c r="C318"/>
  <c r="P318"/>
  <c r="AB319" l="1"/>
  <c r="L319"/>
  <c r="R319"/>
  <c r="AD319"/>
  <c r="X319"/>
  <c r="H319"/>
  <c r="J319"/>
  <c r="N319"/>
  <c r="AF319"/>
  <c r="P319"/>
  <c r="Z319"/>
  <c r="F319"/>
  <c r="V319"/>
  <c r="T319"/>
  <c r="D319"/>
  <c r="C319"/>
  <c r="B320"/>
  <c r="AD320" l="1"/>
  <c r="T320"/>
  <c r="F320"/>
  <c r="B321"/>
  <c r="X320"/>
  <c r="H320"/>
  <c r="N320"/>
  <c r="J320"/>
  <c r="AB320"/>
  <c r="L320"/>
  <c r="V320"/>
  <c r="Z320"/>
  <c r="AF320"/>
  <c r="P320"/>
  <c r="R320"/>
  <c r="C320"/>
  <c r="D320"/>
  <c r="J321" l="1"/>
  <c r="N321"/>
  <c r="C321"/>
  <c r="D321"/>
  <c r="R321"/>
  <c r="B322"/>
  <c r="P321"/>
  <c r="T321"/>
  <c r="V321"/>
  <c r="F321"/>
  <c r="X321"/>
  <c r="L321"/>
  <c r="Z321"/>
  <c r="AF321"/>
  <c r="AB321"/>
  <c r="AD321"/>
  <c r="H321"/>
  <c r="V322" l="1"/>
  <c r="H322"/>
  <c r="Z322"/>
  <c r="J322"/>
  <c r="T322"/>
  <c r="X322"/>
  <c r="AD322"/>
  <c r="N322"/>
  <c r="AB322"/>
  <c r="C322"/>
  <c r="P322"/>
  <c r="R322"/>
  <c r="B323"/>
  <c r="D322"/>
  <c r="AF322"/>
  <c r="F322"/>
  <c r="L322"/>
  <c r="T323" l="1"/>
  <c r="D323"/>
  <c r="C323"/>
  <c r="V323"/>
  <c r="X323"/>
  <c r="H323"/>
  <c r="J323"/>
  <c r="N323"/>
  <c r="AB323"/>
  <c r="L323"/>
  <c r="R323"/>
  <c r="AD323"/>
  <c r="AF323"/>
  <c r="P323"/>
  <c r="Z323"/>
  <c r="B324"/>
  <c r="F323"/>
  <c r="B325" l="1"/>
  <c r="X324"/>
  <c r="H324"/>
  <c r="N324"/>
  <c r="R324"/>
  <c r="AB324"/>
  <c r="L324"/>
  <c r="V324"/>
  <c r="J324"/>
  <c r="AF324"/>
  <c r="P324"/>
  <c r="AD324"/>
  <c r="Z324"/>
  <c r="C324"/>
  <c r="T324"/>
  <c r="F324"/>
  <c r="D324"/>
  <c r="AD325" l="1"/>
  <c r="N325"/>
  <c r="C325"/>
  <c r="H325"/>
  <c r="T325"/>
  <c r="R325"/>
  <c r="B326"/>
  <c r="P325"/>
  <c r="D325"/>
  <c r="V325"/>
  <c r="F325"/>
  <c r="X325"/>
  <c r="L325"/>
  <c r="Z325"/>
  <c r="J325"/>
  <c r="AF325"/>
  <c r="AB325"/>
  <c r="Z326" l="1"/>
  <c r="J326"/>
  <c r="T326"/>
  <c r="X326"/>
  <c r="AD326"/>
  <c r="N326"/>
  <c r="AB326"/>
  <c r="C326"/>
  <c r="P326"/>
  <c r="R326"/>
  <c r="B327"/>
  <c r="D326"/>
  <c r="AF326"/>
  <c r="V326"/>
  <c r="F326"/>
  <c r="L326"/>
  <c r="H326"/>
  <c r="T327" l="1"/>
  <c r="D327"/>
  <c r="C327"/>
  <c r="N327"/>
  <c r="X327"/>
  <c r="H327"/>
  <c r="J327"/>
  <c r="AD327"/>
  <c r="AB327"/>
  <c r="L327"/>
  <c r="R327"/>
  <c r="V327"/>
  <c r="AF327"/>
  <c r="P327"/>
  <c r="Z327"/>
  <c r="B328"/>
  <c r="F327"/>
  <c r="B329" l="1"/>
  <c r="X328"/>
  <c r="H328"/>
  <c r="N328"/>
  <c r="J328"/>
  <c r="AB328"/>
  <c r="L328"/>
  <c r="V328"/>
  <c r="Z328"/>
  <c r="AF328"/>
  <c r="P328"/>
  <c r="AD328"/>
  <c r="R328"/>
  <c r="C328"/>
  <c r="T328"/>
  <c r="D328"/>
  <c r="F328"/>
  <c r="R329" l="1"/>
  <c r="B330"/>
  <c r="P329"/>
  <c r="D329"/>
  <c r="V329"/>
  <c r="F329"/>
  <c r="X329"/>
  <c r="L329"/>
  <c r="Z329"/>
  <c r="J329"/>
  <c r="AF329"/>
  <c r="AB329"/>
  <c r="AD329"/>
  <c r="N329"/>
  <c r="C329"/>
  <c r="H329"/>
  <c r="T329"/>
  <c r="R330" l="1"/>
  <c r="B331"/>
  <c r="D330"/>
  <c r="AF330"/>
  <c r="V330"/>
  <c r="F330"/>
  <c r="L330"/>
  <c r="H330"/>
  <c r="Z330"/>
  <c r="J330"/>
  <c r="T330"/>
  <c r="X330"/>
  <c r="AD330"/>
  <c r="N330"/>
  <c r="AB330"/>
  <c r="C330"/>
  <c r="P330"/>
  <c r="AF331" l="1"/>
  <c r="P331"/>
  <c r="Z331"/>
  <c r="B332"/>
  <c r="V331"/>
  <c r="D331"/>
  <c r="C331"/>
  <c r="X331"/>
  <c r="J331"/>
  <c r="AD331"/>
  <c r="L331"/>
  <c r="F331"/>
  <c r="T331"/>
  <c r="N331"/>
  <c r="H331"/>
  <c r="AB331"/>
  <c r="R331"/>
  <c r="B333" l="1"/>
  <c r="X332"/>
  <c r="H332"/>
  <c r="N332"/>
  <c r="J332"/>
  <c r="AB332"/>
  <c r="L332"/>
  <c r="V332"/>
  <c r="Z332"/>
  <c r="AF332"/>
  <c r="P332"/>
  <c r="AD332"/>
  <c r="R332"/>
  <c r="C332"/>
  <c r="T332"/>
  <c r="D332"/>
  <c r="F332"/>
  <c r="R333" l="1"/>
  <c r="B334"/>
  <c r="P333"/>
  <c r="T333"/>
  <c r="AF333"/>
  <c r="AD333"/>
  <c r="N333"/>
  <c r="C333"/>
  <c r="H333"/>
  <c r="D333"/>
  <c r="V333"/>
  <c r="F333"/>
  <c r="X333"/>
  <c r="L333"/>
  <c r="Z333"/>
  <c r="J333"/>
  <c r="AB333"/>
  <c r="V334" l="1"/>
  <c r="F334"/>
  <c r="L334"/>
  <c r="H334"/>
  <c r="Z334"/>
  <c r="J334"/>
  <c r="T334"/>
  <c r="X334"/>
  <c r="R334"/>
  <c r="B335"/>
  <c r="D334"/>
  <c r="AF334"/>
  <c r="AD334"/>
  <c r="N334"/>
  <c r="AB334"/>
  <c r="C334"/>
  <c r="P334"/>
  <c r="T335" l="1"/>
  <c r="D335"/>
  <c r="C335"/>
  <c r="B336"/>
  <c r="P335"/>
  <c r="V335"/>
  <c r="X335"/>
  <c r="H335"/>
  <c r="J335"/>
  <c r="N335"/>
  <c r="AB335"/>
  <c r="L335"/>
  <c r="R335"/>
  <c r="AD335"/>
  <c r="AF335"/>
  <c r="Z335"/>
  <c r="F335"/>
  <c r="AB336" l="1"/>
  <c r="L336"/>
  <c r="V336"/>
  <c r="J336"/>
  <c r="B337"/>
  <c r="X336"/>
  <c r="H336"/>
  <c r="N336"/>
  <c r="R336"/>
  <c r="AF336"/>
  <c r="P336"/>
  <c r="AD336"/>
  <c r="Z336"/>
  <c r="C336"/>
  <c r="T336"/>
  <c r="D336"/>
  <c r="F336"/>
  <c r="V337" l="1"/>
  <c r="F337"/>
  <c r="X337"/>
  <c r="L337"/>
  <c r="Z337"/>
  <c r="J337"/>
  <c r="AF337"/>
  <c r="AB337"/>
  <c r="C337"/>
  <c r="T337"/>
  <c r="R337"/>
  <c r="B338"/>
  <c r="P337"/>
  <c r="D337"/>
  <c r="AD337"/>
  <c r="N337"/>
  <c r="H337"/>
  <c r="AD338" l="1"/>
  <c r="N338"/>
  <c r="AB338"/>
  <c r="C338"/>
  <c r="P338"/>
  <c r="R338"/>
  <c r="B339"/>
  <c r="D338"/>
  <c r="AF338"/>
  <c r="V338"/>
  <c r="F338"/>
  <c r="L338"/>
  <c r="H338"/>
  <c r="Z338"/>
  <c r="J338"/>
  <c r="T338"/>
  <c r="X338"/>
  <c r="R339" l="1"/>
  <c r="AF339"/>
  <c r="P339"/>
  <c r="Z339"/>
  <c r="V339"/>
  <c r="F339"/>
  <c r="T339"/>
  <c r="D339"/>
  <c r="C339"/>
  <c r="B340"/>
  <c r="X339"/>
  <c r="H339"/>
  <c r="J339"/>
  <c r="N339"/>
  <c r="AB339"/>
  <c r="L339"/>
  <c r="AD339"/>
  <c r="C340" l="1"/>
  <c r="T340"/>
  <c r="D340"/>
  <c r="F340"/>
  <c r="B341"/>
  <c r="X340"/>
  <c r="H340"/>
  <c r="N340"/>
  <c r="J340"/>
  <c r="AF340"/>
  <c r="P340"/>
  <c r="AD340"/>
  <c r="R340"/>
  <c r="AB340"/>
  <c r="L340"/>
  <c r="V340"/>
  <c r="Z340"/>
  <c r="AD341" l="1"/>
  <c r="N341"/>
  <c r="C341"/>
  <c r="H341"/>
  <c r="L341"/>
  <c r="R341"/>
  <c r="B342"/>
  <c r="P341"/>
  <c r="AB341"/>
  <c r="V341"/>
  <c r="F341"/>
  <c r="X341"/>
  <c r="T341"/>
  <c r="Z341"/>
  <c r="J341"/>
  <c r="AF341"/>
  <c r="D341"/>
  <c r="X342" l="1"/>
  <c r="AD342"/>
  <c r="AB342"/>
  <c r="AF342"/>
  <c r="B343"/>
  <c r="V342"/>
  <c r="F342"/>
  <c r="L342"/>
  <c r="H342"/>
  <c r="Z342"/>
  <c r="J342"/>
  <c r="T342"/>
  <c r="N342"/>
  <c r="C342"/>
  <c r="R342"/>
  <c r="D342"/>
  <c r="P342"/>
  <c r="AF343" l="1"/>
  <c r="Z343"/>
  <c r="N343"/>
  <c r="H343"/>
  <c r="AD343"/>
  <c r="AB343"/>
  <c r="L343"/>
  <c r="R343"/>
  <c r="F343"/>
  <c r="P343"/>
  <c r="B344"/>
  <c r="V343"/>
  <c r="T343"/>
  <c r="D343"/>
  <c r="C343"/>
  <c r="X343"/>
  <c r="J343"/>
  <c r="B345" l="1"/>
  <c r="X344"/>
  <c r="H344"/>
  <c r="N344"/>
  <c r="R344"/>
  <c r="V344"/>
  <c r="AF344"/>
  <c r="P344"/>
  <c r="AD344"/>
  <c r="Z344"/>
  <c r="C344"/>
  <c r="T344"/>
  <c r="D344"/>
  <c r="F344"/>
  <c r="AB344"/>
  <c r="L344"/>
  <c r="J344"/>
  <c r="AD345" l="1"/>
  <c r="N345"/>
  <c r="C345"/>
  <c r="H345"/>
  <c r="AB345"/>
  <c r="R345"/>
  <c r="B346"/>
  <c r="P345"/>
  <c r="V345"/>
  <c r="F345"/>
  <c r="X345"/>
  <c r="D345"/>
  <c r="Z345"/>
  <c r="J345"/>
  <c r="AF345"/>
  <c r="L345"/>
  <c r="T345"/>
  <c r="AD346" l="1"/>
  <c r="C346"/>
  <c r="R346"/>
  <c r="B347"/>
  <c r="D346"/>
  <c r="V346"/>
  <c r="F346"/>
  <c r="L346"/>
  <c r="H346"/>
  <c r="Z346"/>
  <c r="J346"/>
  <c r="T346"/>
  <c r="X346"/>
  <c r="N346"/>
  <c r="AB346"/>
  <c r="P346"/>
  <c r="AF346"/>
  <c r="AB347" l="1"/>
  <c r="L347"/>
  <c r="R347"/>
  <c r="F347"/>
  <c r="AF347"/>
  <c r="P347"/>
  <c r="Z347"/>
  <c r="B348"/>
  <c r="V347"/>
  <c r="T347"/>
  <c r="D347"/>
  <c r="C347"/>
  <c r="N347"/>
  <c r="X347"/>
  <c r="H347"/>
  <c r="J347"/>
  <c r="AD347"/>
  <c r="B349" l="1"/>
  <c r="X348"/>
  <c r="H348"/>
  <c r="N348"/>
  <c r="J348"/>
  <c r="AF348"/>
  <c r="AD348"/>
  <c r="R348"/>
  <c r="C348"/>
  <c r="T348"/>
  <c r="D348"/>
  <c r="F348"/>
  <c r="AB348"/>
  <c r="L348"/>
  <c r="V348"/>
  <c r="Z348"/>
  <c r="P348"/>
  <c r="J349" l="1"/>
  <c r="C349"/>
  <c r="T349"/>
  <c r="R349"/>
  <c r="B350"/>
  <c r="P349"/>
  <c r="D349"/>
  <c r="V349"/>
  <c r="F349"/>
  <c r="X349"/>
  <c r="L349"/>
  <c r="Z349"/>
  <c r="AF349"/>
  <c r="AB349"/>
  <c r="AD349"/>
  <c r="N349"/>
  <c r="H349"/>
  <c r="AD350" l="1"/>
  <c r="N350"/>
  <c r="AB350"/>
  <c r="C350"/>
  <c r="P350"/>
  <c r="R350"/>
  <c r="B351"/>
  <c r="D350"/>
  <c r="AF350"/>
  <c r="V350"/>
  <c r="F350"/>
  <c r="L350"/>
  <c r="H350"/>
  <c r="Z350"/>
  <c r="J350"/>
  <c r="X350"/>
  <c r="T350"/>
  <c r="T351" l="1"/>
  <c r="D351"/>
  <c r="X351"/>
  <c r="H351"/>
  <c r="J351"/>
  <c r="V351"/>
  <c r="F351"/>
  <c r="R351"/>
  <c r="N351"/>
  <c r="AF351"/>
  <c r="P351"/>
  <c r="Z351"/>
  <c r="C351"/>
  <c r="AD351"/>
  <c r="AB351"/>
  <c r="L351"/>
  <c r="B352"/>
  <c r="C352" l="1"/>
  <c r="T352"/>
  <c r="F352"/>
  <c r="H352"/>
  <c r="J352"/>
  <c r="AB352"/>
  <c r="L352"/>
  <c r="V352"/>
  <c r="Z352"/>
  <c r="AF352"/>
  <c r="P352"/>
  <c r="AD352"/>
  <c r="R352"/>
  <c r="D352"/>
  <c r="B353"/>
  <c r="X352"/>
  <c r="N352"/>
  <c r="C353" l="1"/>
  <c r="P353"/>
  <c r="F353"/>
  <c r="L353"/>
  <c r="Z353"/>
  <c r="J353"/>
  <c r="AF353"/>
  <c r="AB353"/>
  <c r="AD353"/>
  <c r="N353"/>
  <c r="H353"/>
  <c r="D353"/>
  <c r="R353"/>
  <c r="B354"/>
  <c r="T353"/>
  <c r="V353"/>
  <c r="X353"/>
  <c r="Z354" l="1"/>
  <c r="J354"/>
  <c r="T354"/>
  <c r="X354"/>
  <c r="AD354"/>
  <c r="N354"/>
  <c r="AB354"/>
  <c r="C354"/>
  <c r="P354"/>
  <c r="R354"/>
  <c r="B355"/>
  <c r="D354"/>
  <c r="AF354"/>
  <c r="V354"/>
  <c r="F354"/>
  <c r="L354"/>
  <c r="H354"/>
  <c r="T355" l="1"/>
  <c r="D355"/>
  <c r="C355"/>
  <c r="N355"/>
  <c r="X355"/>
  <c r="H355"/>
  <c r="J355"/>
  <c r="AD355"/>
  <c r="AB355"/>
  <c r="L355"/>
  <c r="R355"/>
  <c r="V355"/>
  <c r="P355"/>
  <c r="B356"/>
  <c r="AF355"/>
  <c r="Z355"/>
  <c r="F355"/>
  <c r="AF356" l="1"/>
  <c r="P356"/>
  <c r="AD356"/>
  <c r="R356"/>
  <c r="AB356"/>
  <c r="L356"/>
  <c r="V356"/>
  <c r="Z356"/>
  <c r="C356"/>
  <c r="T356"/>
  <c r="D356"/>
  <c r="F356"/>
  <c r="B357"/>
  <c r="X356"/>
  <c r="H356"/>
  <c r="N356"/>
  <c r="J356"/>
  <c r="Z357" l="1"/>
  <c r="J357"/>
  <c r="AF357"/>
  <c r="AB357"/>
  <c r="R357"/>
  <c r="P357"/>
  <c r="V357"/>
  <c r="F357"/>
  <c r="X357"/>
  <c r="L357"/>
  <c r="AD357"/>
  <c r="N357"/>
  <c r="C357"/>
  <c r="H357"/>
  <c r="D357"/>
  <c r="B358"/>
  <c r="T357"/>
  <c r="AD358" l="1"/>
  <c r="N358"/>
  <c r="AB358"/>
  <c r="C358"/>
  <c r="P358"/>
  <c r="R358"/>
  <c r="B359"/>
  <c r="D358"/>
  <c r="AF358"/>
  <c r="V358"/>
  <c r="F358"/>
  <c r="L358"/>
  <c r="H358"/>
  <c r="Z358"/>
  <c r="J358"/>
  <c r="T358"/>
  <c r="X358"/>
  <c r="AF359" l="1"/>
  <c r="P359"/>
  <c r="Z359"/>
  <c r="AD359"/>
  <c r="F359"/>
  <c r="T359"/>
  <c r="D359"/>
  <c r="C359"/>
  <c r="V359"/>
  <c r="X359"/>
  <c r="H359"/>
  <c r="J359"/>
  <c r="B360"/>
  <c r="AB359"/>
  <c r="L359"/>
  <c r="R359"/>
  <c r="N359"/>
  <c r="T360" l="1"/>
  <c r="F360"/>
  <c r="B361"/>
  <c r="H360"/>
  <c r="R360"/>
  <c r="AB360"/>
  <c r="L360"/>
  <c r="V360"/>
  <c r="J360"/>
  <c r="AF360"/>
  <c r="P360"/>
  <c r="AD360"/>
  <c r="Z360"/>
  <c r="C360"/>
  <c r="D360"/>
  <c r="X360"/>
  <c r="N360"/>
  <c r="V361" l="1"/>
  <c r="L361"/>
  <c r="AF361"/>
  <c r="N361"/>
  <c r="H361"/>
  <c r="R361"/>
  <c r="B362"/>
  <c r="P361"/>
  <c r="D361"/>
  <c r="F361"/>
  <c r="X361"/>
  <c r="Z361"/>
  <c r="J361"/>
  <c r="AB361"/>
  <c r="AD361"/>
  <c r="C361"/>
  <c r="T361"/>
  <c r="V362" l="1"/>
  <c r="F362"/>
  <c r="L362"/>
  <c r="H362"/>
  <c r="R362"/>
  <c r="B363"/>
  <c r="D362"/>
  <c r="P362"/>
  <c r="Z362"/>
  <c r="J362"/>
  <c r="T362"/>
  <c r="X362"/>
  <c r="AD362"/>
  <c r="N362"/>
  <c r="AB362"/>
  <c r="C362"/>
  <c r="AF362"/>
  <c r="X363" l="1"/>
  <c r="R363"/>
  <c r="AD363"/>
  <c r="C363"/>
  <c r="AB363"/>
  <c r="L363"/>
  <c r="B364"/>
  <c r="V363"/>
  <c r="T363"/>
  <c r="H363"/>
  <c r="N363"/>
  <c r="Z363"/>
  <c r="AF363"/>
  <c r="P363"/>
  <c r="D363"/>
  <c r="J363"/>
  <c r="F363"/>
  <c r="V364" l="1"/>
  <c r="N364"/>
  <c r="AB364"/>
  <c r="X364"/>
  <c r="P364"/>
  <c r="AF364"/>
  <c r="C364"/>
  <c r="F364"/>
  <c r="Z364"/>
  <c r="AD364"/>
  <c r="B365"/>
  <c r="L364"/>
  <c r="H364"/>
  <c r="D364"/>
  <c r="T364"/>
  <c r="R364"/>
  <c r="J364"/>
  <c r="R365" l="1"/>
  <c r="AF365"/>
  <c r="L365"/>
  <c r="T365"/>
  <c r="D365"/>
  <c r="N365"/>
  <c r="P365"/>
  <c r="V365"/>
  <c r="F365"/>
  <c r="C365"/>
  <c r="Z365"/>
  <c r="J365"/>
  <c r="AB365"/>
  <c r="H365"/>
  <c r="AD365"/>
  <c r="X365"/>
  <c r="B366"/>
  <c r="B367" l="1"/>
  <c r="H366"/>
  <c r="J366"/>
  <c r="AB366"/>
  <c r="F366"/>
  <c r="Z366"/>
  <c r="L366"/>
  <c r="AD366"/>
  <c r="C366"/>
  <c r="D366"/>
  <c r="R366"/>
  <c r="N366"/>
  <c r="T366"/>
  <c r="V366"/>
  <c r="P366"/>
  <c r="X366"/>
  <c r="AF366"/>
  <c r="AF367" l="1"/>
  <c r="R367"/>
  <c r="T367"/>
  <c r="N367"/>
  <c r="X367"/>
  <c r="H367"/>
  <c r="F367"/>
  <c r="AB367"/>
  <c r="L367"/>
  <c r="B368"/>
  <c r="J367"/>
  <c r="P367"/>
  <c r="C367"/>
  <c r="Z367"/>
  <c r="D367"/>
  <c r="V367"/>
  <c r="AD367"/>
  <c r="V368" l="1"/>
  <c r="R368"/>
  <c r="N368"/>
  <c r="AF368"/>
  <c r="AB368"/>
  <c r="X368"/>
  <c r="P368"/>
  <c r="J368"/>
  <c r="C368"/>
  <c r="F368"/>
  <c r="Z368"/>
  <c r="AD368"/>
  <c r="B369"/>
  <c r="L368"/>
  <c r="H368"/>
  <c r="D368"/>
  <c r="T368"/>
  <c r="V369" l="1"/>
  <c r="F369"/>
  <c r="L369"/>
  <c r="H369"/>
  <c r="R369"/>
  <c r="AF369"/>
  <c r="B370"/>
  <c r="Z369"/>
  <c r="J369"/>
  <c r="AB369"/>
  <c r="T369"/>
  <c r="AD369"/>
  <c r="N369"/>
  <c r="P369"/>
  <c r="C369"/>
  <c r="D369"/>
  <c r="X369"/>
  <c r="B371" l="1"/>
  <c r="H370"/>
  <c r="J370"/>
  <c r="AB370"/>
  <c r="F370"/>
  <c r="X370"/>
  <c r="AF370"/>
  <c r="N370"/>
  <c r="T370"/>
  <c r="V370"/>
  <c r="P370"/>
  <c r="Z370"/>
  <c r="L370"/>
  <c r="AD370"/>
  <c r="C370"/>
  <c r="D370"/>
  <c r="R370"/>
  <c r="X371" l="1"/>
  <c r="H371"/>
  <c r="N371"/>
  <c r="AB371"/>
  <c r="L371"/>
  <c r="R371"/>
  <c r="J371"/>
  <c r="V371"/>
  <c r="AF371"/>
  <c r="P371"/>
  <c r="AD371"/>
  <c r="Z371"/>
  <c r="D371"/>
  <c r="F371"/>
  <c r="T371"/>
  <c r="B372"/>
  <c r="C371"/>
  <c r="V372" l="1"/>
  <c r="N372"/>
  <c r="AF372"/>
  <c r="AB372"/>
  <c r="X372"/>
  <c r="P372"/>
  <c r="J372"/>
  <c r="C372"/>
  <c r="F372"/>
  <c r="Z372"/>
  <c r="AD372"/>
  <c r="B373"/>
  <c r="L372"/>
  <c r="H372"/>
  <c r="D372"/>
  <c r="T372"/>
  <c r="R372"/>
  <c r="Z373" l="1"/>
  <c r="L373"/>
  <c r="D373"/>
  <c r="AD373"/>
  <c r="N373"/>
  <c r="C373"/>
  <c r="R373"/>
  <c r="AF373"/>
  <c r="AB373"/>
  <c r="H373"/>
  <c r="V373"/>
  <c r="F373"/>
  <c r="X373"/>
  <c r="B374"/>
  <c r="J373"/>
  <c r="P373"/>
  <c r="T373"/>
  <c r="X374" l="1"/>
  <c r="Z374"/>
  <c r="AF374"/>
  <c r="L374"/>
  <c r="H374"/>
  <c r="F374"/>
  <c r="N374"/>
  <c r="T374"/>
  <c r="V374"/>
  <c r="P374"/>
  <c r="AD374"/>
  <c r="C374"/>
  <c r="D374"/>
  <c r="R374"/>
  <c r="B375"/>
  <c r="J374"/>
  <c r="AB374"/>
  <c r="T375" l="1"/>
  <c r="D375"/>
  <c r="N375"/>
  <c r="V375"/>
  <c r="X375"/>
  <c r="H375"/>
  <c r="AD375"/>
  <c r="F375"/>
  <c r="AB375"/>
  <c r="L375"/>
  <c r="B376"/>
  <c r="J375"/>
  <c r="AF375"/>
  <c r="P375"/>
  <c r="R375"/>
  <c r="C375"/>
  <c r="Z375"/>
  <c r="L376" l="1"/>
  <c r="D376"/>
  <c r="V376"/>
  <c r="R376"/>
  <c r="AF376"/>
  <c r="AB376"/>
  <c r="X376"/>
  <c r="P376"/>
  <c r="J376"/>
  <c r="C376"/>
  <c r="F376"/>
  <c r="Z376"/>
  <c r="AD376"/>
  <c r="B377"/>
  <c r="H376"/>
  <c r="T376"/>
  <c r="N376"/>
  <c r="R377" l="1"/>
  <c r="AF377"/>
  <c r="X377"/>
  <c r="H377"/>
  <c r="V377"/>
  <c r="F377"/>
  <c r="L377"/>
  <c r="Z377"/>
  <c r="J377"/>
  <c r="AB377"/>
  <c r="T377"/>
  <c r="B378"/>
  <c r="AD377"/>
  <c r="P377"/>
  <c r="C377"/>
  <c r="N377"/>
  <c r="D377"/>
  <c r="N378" l="1"/>
  <c r="X378"/>
  <c r="AF378"/>
  <c r="AD378"/>
  <c r="C378"/>
  <c r="R378"/>
  <c r="P378"/>
  <c r="B379"/>
  <c r="H378"/>
  <c r="J378"/>
  <c r="AB378"/>
  <c r="F378"/>
  <c r="T378"/>
  <c r="V378"/>
  <c r="Z378"/>
  <c r="L378"/>
  <c r="D378"/>
  <c r="B380" l="1"/>
  <c r="P379"/>
  <c r="C379"/>
  <c r="D379"/>
  <c r="V379"/>
  <c r="X379"/>
  <c r="H379"/>
  <c r="AD379"/>
  <c r="F379"/>
  <c r="AB379"/>
  <c r="L379"/>
  <c r="J379"/>
  <c r="AF379"/>
  <c r="R379"/>
  <c r="Z379"/>
  <c r="T379"/>
  <c r="N379"/>
  <c r="AB380" l="1"/>
  <c r="X380"/>
  <c r="P380"/>
  <c r="AF380"/>
  <c r="C380"/>
  <c r="F380"/>
  <c r="Z380"/>
  <c r="D380"/>
  <c r="B381"/>
  <c r="L380"/>
  <c r="H380"/>
  <c r="N380"/>
  <c r="J380"/>
  <c r="T380"/>
  <c r="V380"/>
  <c r="R380"/>
  <c r="AD380"/>
  <c r="R381" l="1"/>
  <c r="V381"/>
  <c r="F381"/>
  <c r="X381"/>
  <c r="Z381"/>
  <c r="J381"/>
  <c r="P381"/>
  <c r="L381"/>
  <c r="B382"/>
  <c r="H381"/>
  <c r="AD381"/>
  <c r="N381"/>
  <c r="C381"/>
  <c r="D381"/>
  <c r="AF381"/>
  <c r="AB381"/>
  <c r="T381"/>
  <c r="N382" l="1"/>
  <c r="T382"/>
  <c r="V382"/>
  <c r="P382"/>
  <c r="X382"/>
  <c r="Z382"/>
  <c r="AF382"/>
  <c r="L382"/>
  <c r="AD382"/>
  <c r="C382"/>
  <c r="D382"/>
  <c r="R382"/>
  <c r="B383"/>
  <c r="H382"/>
  <c r="J382"/>
  <c r="F382"/>
  <c r="AB382"/>
  <c r="AF383" l="1"/>
  <c r="P383"/>
  <c r="R383"/>
  <c r="C383"/>
  <c r="Z383"/>
  <c r="N383"/>
  <c r="X383"/>
  <c r="H383"/>
  <c r="AD383"/>
  <c r="F383"/>
  <c r="AB383"/>
  <c r="L383"/>
  <c r="B384"/>
  <c r="J383"/>
  <c r="T383"/>
  <c r="D383"/>
  <c r="V383"/>
  <c r="B385" l="1"/>
  <c r="L384"/>
  <c r="H384"/>
  <c r="N384"/>
  <c r="J384"/>
  <c r="AD384"/>
  <c r="C384"/>
  <c r="F384"/>
  <c r="Z384"/>
  <c r="D384"/>
  <c r="V384"/>
  <c r="R384"/>
  <c r="T384"/>
  <c r="AF384"/>
  <c r="AB384"/>
  <c r="X384"/>
  <c r="P384"/>
  <c r="X385" l="1"/>
  <c r="V385"/>
  <c r="F385"/>
  <c r="D385"/>
  <c r="J385"/>
  <c r="B386"/>
  <c r="AD385"/>
  <c r="N385"/>
  <c r="P385"/>
  <c r="C385"/>
  <c r="R385"/>
  <c r="AF385"/>
  <c r="T385"/>
  <c r="L385"/>
  <c r="Z385"/>
  <c r="AB385"/>
  <c r="H385"/>
  <c r="N386" l="1"/>
  <c r="T386"/>
  <c r="V386"/>
  <c r="P386"/>
  <c r="B387"/>
  <c r="H386"/>
  <c r="J386"/>
  <c r="L386"/>
  <c r="F386"/>
  <c r="X386"/>
  <c r="Z386"/>
  <c r="AF386"/>
  <c r="R386"/>
  <c r="AD386"/>
  <c r="C386"/>
  <c r="D386"/>
  <c r="AB386"/>
  <c r="X387" l="1"/>
  <c r="H387"/>
  <c r="AD387"/>
  <c r="F387"/>
  <c r="AB387"/>
  <c r="L387"/>
  <c r="J387"/>
  <c r="AF387"/>
  <c r="P387"/>
  <c r="R387"/>
  <c r="C387"/>
  <c r="Z387"/>
  <c r="T387"/>
  <c r="D387"/>
  <c r="N387"/>
  <c r="V387"/>
  <c r="B388"/>
  <c r="AD388" l="1"/>
  <c r="AB388"/>
  <c r="X388"/>
  <c r="P388"/>
  <c r="T388"/>
  <c r="C388"/>
  <c r="F388"/>
  <c r="Z388"/>
  <c r="D388"/>
  <c r="B389"/>
  <c r="L388"/>
  <c r="H388"/>
  <c r="N388"/>
  <c r="J388"/>
  <c r="V388"/>
  <c r="R388"/>
  <c r="AF388"/>
  <c r="AD389" l="1"/>
  <c r="N389"/>
  <c r="P389"/>
  <c r="C389"/>
  <c r="H389"/>
  <c r="V389"/>
  <c r="L389"/>
  <c r="Z389"/>
  <c r="J389"/>
  <c r="AB389"/>
  <c r="T389"/>
  <c r="R389"/>
  <c r="AF389"/>
  <c r="X389"/>
  <c r="D389"/>
  <c r="F389"/>
  <c r="B390"/>
  <c r="AD390" l="1"/>
  <c r="C390"/>
  <c r="D390"/>
  <c r="AB390"/>
  <c r="B391"/>
  <c r="H390"/>
  <c r="L390"/>
  <c r="X390"/>
  <c r="Z390"/>
  <c r="AF390"/>
  <c r="R390"/>
  <c r="J390"/>
  <c r="P390"/>
  <c r="N390"/>
  <c r="T390"/>
  <c r="V390"/>
  <c r="F390"/>
  <c r="X391" l="1"/>
  <c r="H391"/>
  <c r="AD391"/>
  <c r="F391"/>
  <c r="D391"/>
  <c r="V391"/>
  <c r="AB391"/>
  <c r="L391"/>
  <c r="B392"/>
  <c r="J391"/>
  <c r="AF391"/>
  <c r="P391"/>
  <c r="R391"/>
  <c r="C391"/>
  <c r="Z391"/>
  <c r="T391"/>
  <c r="N391"/>
  <c r="B393" l="1"/>
  <c r="L392"/>
  <c r="H392"/>
  <c r="N392"/>
  <c r="J392"/>
  <c r="AB392"/>
  <c r="X392"/>
  <c r="P392"/>
  <c r="AD392"/>
  <c r="C392"/>
  <c r="F392"/>
  <c r="Z392"/>
  <c r="D392"/>
  <c r="V392"/>
  <c r="R392"/>
  <c r="T392"/>
  <c r="AF392"/>
  <c r="R393" l="1"/>
  <c r="AF393"/>
  <c r="X393"/>
  <c r="D393"/>
  <c r="AD393"/>
  <c r="P393"/>
  <c r="V393"/>
  <c r="F393"/>
  <c r="L393"/>
  <c r="T393"/>
  <c r="H393"/>
  <c r="Z393"/>
  <c r="J393"/>
  <c r="AB393"/>
  <c r="B394"/>
  <c r="N393"/>
  <c r="C393"/>
  <c r="X394" l="1"/>
  <c r="Z394"/>
  <c r="AF394"/>
  <c r="L394"/>
  <c r="B395"/>
  <c r="H394"/>
  <c r="J394"/>
  <c r="AB394"/>
  <c r="F394"/>
  <c r="T394"/>
  <c r="AD394"/>
  <c r="C394"/>
  <c r="D394"/>
  <c r="R394"/>
  <c r="P394"/>
  <c r="N394"/>
  <c r="V394"/>
  <c r="AF395" l="1"/>
  <c r="P395"/>
  <c r="AD395"/>
  <c r="F395"/>
  <c r="AB395"/>
  <c r="L395"/>
  <c r="R395"/>
  <c r="J395"/>
  <c r="T395"/>
  <c r="D395"/>
  <c r="B396"/>
  <c r="C395"/>
  <c r="Z395"/>
  <c r="X395"/>
  <c r="H395"/>
  <c r="N395"/>
  <c r="V395"/>
  <c r="C396" l="1"/>
  <c r="F396"/>
  <c r="Z396"/>
  <c r="D396"/>
  <c r="B397"/>
  <c r="H396"/>
  <c r="N396"/>
  <c r="AB396"/>
  <c r="X396"/>
  <c r="P396"/>
  <c r="T396"/>
  <c r="L396"/>
  <c r="J396"/>
  <c r="V396"/>
  <c r="R396"/>
  <c r="AD396"/>
  <c r="AF396"/>
  <c r="R397" l="1"/>
  <c r="AF397"/>
  <c r="C397"/>
  <c r="B398"/>
  <c r="V397"/>
  <c r="F397"/>
  <c r="AB397"/>
  <c r="T397"/>
  <c r="J397"/>
  <c r="X397"/>
  <c r="H397"/>
  <c r="AD397"/>
  <c r="N397"/>
  <c r="P397"/>
  <c r="L397"/>
  <c r="D397"/>
  <c r="Z397"/>
  <c r="B399" l="1"/>
  <c r="H398"/>
  <c r="J398"/>
  <c r="L398"/>
  <c r="P398"/>
  <c r="N398"/>
  <c r="T398"/>
  <c r="V398"/>
  <c r="F398"/>
  <c r="X398"/>
  <c r="Z398"/>
  <c r="AF398"/>
  <c r="R398"/>
  <c r="D398"/>
  <c r="AD398"/>
  <c r="C398"/>
  <c r="AB398"/>
  <c r="T399" l="1"/>
  <c r="D399"/>
  <c r="V399"/>
  <c r="H399"/>
  <c r="AD399"/>
  <c r="J399"/>
  <c r="AF399"/>
  <c r="P399"/>
  <c r="R399"/>
  <c r="C399"/>
  <c r="Z399"/>
  <c r="N399"/>
  <c r="X399"/>
  <c r="F399"/>
  <c r="AB399"/>
  <c r="L399"/>
  <c r="B400"/>
  <c r="V400" l="1"/>
  <c r="AD400"/>
  <c r="P400"/>
  <c r="C400"/>
  <c r="F400"/>
  <c r="Z400"/>
  <c r="D400"/>
  <c r="B401"/>
  <c r="L400"/>
  <c r="H400"/>
  <c r="N400"/>
  <c r="J400"/>
  <c r="R400"/>
  <c r="AF400"/>
  <c r="AB400"/>
  <c r="X400"/>
  <c r="T400"/>
  <c r="Z401" l="1"/>
  <c r="J401"/>
  <c r="AB401"/>
  <c r="B402"/>
  <c r="H401"/>
  <c r="AD401"/>
  <c r="N401"/>
  <c r="P401"/>
  <c r="C401"/>
  <c r="V401"/>
  <c r="F401"/>
  <c r="L401"/>
  <c r="T401"/>
  <c r="R401"/>
  <c r="AF401"/>
  <c r="X401"/>
  <c r="D401"/>
  <c r="X402" l="1"/>
  <c r="Z402"/>
  <c r="AF402"/>
  <c r="R402"/>
  <c r="AD402"/>
  <c r="C402"/>
  <c r="D402"/>
  <c r="AB402"/>
  <c r="B403"/>
  <c r="H402"/>
  <c r="J402"/>
  <c r="L402"/>
  <c r="F402"/>
  <c r="N402"/>
  <c r="T402"/>
  <c r="V402"/>
  <c r="P402"/>
  <c r="T403" l="1"/>
  <c r="D403"/>
  <c r="N403"/>
  <c r="F403"/>
  <c r="X403"/>
  <c r="H403"/>
  <c r="AD403"/>
  <c r="V403"/>
  <c r="L403"/>
  <c r="J403"/>
  <c r="AF403"/>
  <c r="P403"/>
  <c r="C403"/>
  <c r="AB403"/>
  <c r="B404"/>
  <c r="R403"/>
  <c r="Z403"/>
  <c r="C404" l="1"/>
  <c r="F404"/>
  <c r="Z404"/>
  <c r="D404"/>
  <c r="B405"/>
  <c r="L404"/>
  <c r="H404"/>
  <c r="J404"/>
  <c r="V404"/>
  <c r="R404"/>
  <c r="AD404"/>
  <c r="AF404"/>
  <c r="AB404"/>
  <c r="X404"/>
  <c r="P404"/>
  <c r="T404"/>
  <c r="N404"/>
  <c r="R405" l="1"/>
  <c r="AF405"/>
  <c r="X405"/>
  <c r="D405"/>
  <c r="V405"/>
  <c r="F405"/>
  <c r="L405"/>
  <c r="B406"/>
  <c r="Z405"/>
  <c r="J405"/>
  <c r="T405"/>
  <c r="AD405"/>
  <c r="N405"/>
  <c r="P405"/>
  <c r="C405"/>
  <c r="H405"/>
  <c r="AB405"/>
  <c r="B407" l="1"/>
  <c r="H406"/>
  <c r="J406"/>
  <c r="AB406"/>
  <c r="F406"/>
  <c r="T406"/>
  <c r="P406"/>
  <c r="X406"/>
  <c r="Z406"/>
  <c r="AF406"/>
  <c r="L406"/>
  <c r="AD406"/>
  <c r="C406"/>
  <c r="D406"/>
  <c r="R406"/>
  <c r="N406"/>
  <c r="V406"/>
  <c r="AB407" l="1"/>
  <c r="L407"/>
  <c r="B408"/>
  <c r="J407"/>
  <c r="T407"/>
  <c r="D407"/>
  <c r="N407"/>
  <c r="F407"/>
  <c r="X407"/>
  <c r="H407"/>
  <c r="AD407"/>
  <c r="V407"/>
  <c r="AF407"/>
  <c r="P407"/>
  <c r="R407"/>
  <c r="C407"/>
  <c r="Z407"/>
  <c r="C408" l="1"/>
  <c r="F408"/>
  <c r="Z408"/>
  <c r="D408"/>
  <c r="B409"/>
  <c r="L408"/>
  <c r="H408"/>
  <c r="N408"/>
  <c r="J408"/>
  <c r="V408"/>
  <c r="R408"/>
  <c r="AD408"/>
  <c r="AF408"/>
  <c r="AB408"/>
  <c r="X408"/>
  <c r="P408"/>
  <c r="T408"/>
  <c r="Z409" l="1"/>
  <c r="J409"/>
  <c r="AB409"/>
  <c r="B410"/>
  <c r="AD409"/>
  <c r="N409"/>
  <c r="P409"/>
  <c r="C409"/>
  <c r="H409"/>
  <c r="V409"/>
  <c r="F409"/>
  <c r="L409"/>
  <c r="T409"/>
  <c r="R409"/>
  <c r="AF409"/>
  <c r="X409"/>
  <c r="D409"/>
  <c r="N410" l="1"/>
  <c r="T410"/>
  <c r="V410"/>
  <c r="P410"/>
  <c r="C410"/>
  <c r="R410"/>
  <c r="B411"/>
  <c r="H410"/>
  <c r="J410"/>
  <c r="AB410"/>
  <c r="F410"/>
  <c r="X410"/>
  <c r="Z410"/>
  <c r="AF410"/>
  <c r="L410"/>
  <c r="AD410"/>
  <c r="D410"/>
  <c r="AF411" l="1"/>
  <c r="P411"/>
  <c r="R411"/>
  <c r="C411"/>
  <c r="Z411"/>
  <c r="X411"/>
  <c r="H411"/>
  <c r="AD411"/>
  <c r="V411"/>
  <c r="AB411"/>
  <c r="L411"/>
  <c r="B412"/>
  <c r="J411"/>
  <c r="T411"/>
  <c r="D411"/>
  <c r="N411"/>
  <c r="F411"/>
  <c r="C412" l="1"/>
  <c r="F412"/>
  <c r="Z412"/>
  <c r="D412"/>
  <c r="V412"/>
  <c r="R412"/>
  <c r="AD412"/>
  <c r="AF412"/>
  <c r="AB412"/>
  <c r="X412"/>
  <c r="P412"/>
  <c r="T412"/>
  <c r="B413"/>
  <c r="L412"/>
  <c r="H412"/>
  <c r="N412"/>
  <c r="J412"/>
  <c r="AD413" l="1"/>
  <c r="N413"/>
  <c r="P413"/>
  <c r="C413"/>
  <c r="H413"/>
  <c r="R413"/>
  <c r="AF413"/>
  <c r="X413"/>
  <c r="D413"/>
  <c r="F413"/>
  <c r="T413"/>
  <c r="AB413"/>
  <c r="V413"/>
  <c r="L413"/>
  <c r="Z413"/>
  <c r="J413"/>
  <c r="B414"/>
  <c r="B415" l="1"/>
  <c r="H414"/>
  <c r="J414"/>
  <c r="AB414"/>
  <c r="F414"/>
  <c r="Z414"/>
  <c r="L414"/>
  <c r="AD414"/>
  <c r="C414"/>
  <c r="D414"/>
  <c r="R414"/>
  <c r="N414"/>
  <c r="T414"/>
  <c r="V414"/>
  <c r="P414"/>
  <c r="X414"/>
  <c r="AF414"/>
  <c r="AB415" l="1"/>
  <c r="L415"/>
  <c r="B416"/>
  <c r="J415"/>
  <c r="AF415"/>
  <c r="R415"/>
  <c r="C415"/>
  <c r="Z415"/>
  <c r="D415"/>
  <c r="X415"/>
  <c r="H415"/>
  <c r="F415"/>
  <c r="P415"/>
  <c r="T415"/>
  <c r="N415"/>
  <c r="V415"/>
  <c r="AD415"/>
  <c r="V416" l="1"/>
  <c r="R416"/>
  <c r="T416"/>
  <c r="AF416"/>
  <c r="C416"/>
  <c r="F416"/>
  <c r="Z416"/>
  <c r="D416"/>
  <c r="B417"/>
  <c r="L416"/>
  <c r="H416"/>
  <c r="N416"/>
  <c r="J416"/>
  <c r="AB416"/>
  <c r="X416"/>
  <c r="P416"/>
  <c r="AD416"/>
  <c r="AD417" l="1"/>
  <c r="N417"/>
  <c r="P417"/>
  <c r="C417"/>
  <c r="H417"/>
  <c r="R417"/>
  <c r="AF417"/>
  <c r="X417"/>
  <c r="T417"/>
  <c r="V417"/>
  <c r="F417"/>
  <c r="L417"/>
  <c r="D417"/>
  <c r="Z417"/>
  <c r="J417"/>
  <c r="AB417"/>
  <c r="B418"/>
  <c r="B419" l="1"/>
  <c r="H418"/>
  <c r="J418"/>
  <c r="L418"/>
  <c r="F418"/>
  <c r="X418"/>
  <c r="AF418"/>
  <c r="N418"/>
  <c r="T418"/>
  <c r="V418"/>
  <c r="P418"/>
  <c r="Z418"/>
  <c r="R418"/>
  <c r="AD418"/>
  <c r="C418"/>
  <c r="D418"/>
  <c r="AB418"/>
  <c r="AF419" l="1"/>
  <c r="P419"/>
  <c r="R419"/>
  <c r="C419"/>
  <c r="Z419"/>
  <c r="AB419"/>
  <c r="L419"/>
  <c r="J419"/>
  <c r="T419"/>
  <c r="D419"/>
  <c r="N419"/>
  <c r="F419"/>
  <c r="X419"/>
  <c r="H419"/>
  <c r="AD419"/>
  <c r="V419"/>
  <c r="B420"/>
  <c r="AF420" l="1"/>
  <c r="B421"/>
  <c r="Z420"/>
  <c r="P420"/>
  <c r="V420"/>
  <c r="T420"/>
  <c r="F420"/>
  <c r="AD420"/>
  <c r="J420"/>
  <c r="X420"/>
  <c r="L420"/>
  <c r="H420"/>
  <c r="D420"/>
  <c r="AB420"/>
  <c r="C420"/>
  <c r="N420"/>
  <c r="R420"/>
  <c r="AD421" l="1"/>
  <c r="N421"/>
  <c r="X421"/>
  <c r="L421"/>
  <c r="C421"/>
  <c r="R421"/>
  <c r="AF421"/>
  <c r="AB421"/>
  <c r="B422"/>
  <c r="V421"/>
  <c r="H421"/>
  <c r="T421"/>
  <c r="Z421"/>
  <c r="J421"/>
  <c r="P421"/>
  <c r="D421"/>
  <c r="F421"/>
  <c r="N422" l="1"/>
  <c r="X422"/>
  <c r="R422"/>
  <c r="B423"/>
  <c r="D422"/>
  <c r="P422"/>
  <c r="V422"/>
  <c r="F422"/>
  <c r="L422"/>
  <c r="C422"/>
  <c r="Z422"/>
  <c r="J422"/>
  <c r="T422"/>
  <c r="H422"/>
  <c r="AD422"/>
  <c r="AB422"/>
  <c r="AF422"/>
  <c r="AB423" l="1"/>
  <c r="L423"/>
  <c r="R423"/>
  <c r="V423"/>
  <c r="AF423"/>
  <c r="P423"/>
  <c r="Z423"/>
  <c r="C423"/>
  <c r="N423"/>
  <c r="T423"/>
  <c r="D423"/>
  <c r="B424"/>
  <c r="AD423"/>
  <c r="X423"/>
  <c r="H423"/>
  <c r="J423"/>
  <c r="F423"/>
  <c r="T424" l="1"/>
  <c r="D424"/>
  <c r="R424"/>
  <c r="F424"/>
  <c r="X424"/>
  <c r="H424"/>
  <c r="Z424"/>
  <c r="N424"/>
  <c r="AB424"/>
  <c r="L424"/>
  <c r="C424"/>
  <c r="AD424"/>
  <c r="AF424"/>
  <c r="P424"/>
  <c r="B425"/>
  <c r="J424"/>
  <c r="V424"/>
  <c r="Z425" l="1"/>
  <c r="P425"/>
  <c r="N425"/>
  <c r="L425"/>
  <c r="C425"/>
  <c r="AF425"/>
  <c r="B426"/>
  <c r="V425"/>
  <c r="F425"/>
  <c r="H425"/>
  <c r="T425"/>
  <c r="J425"/>
  <c r="D425"/>
  <c r="AD425"/>
  <c r="X425"/>
  <c r="R425"/>
  <c r="AB425"/>
  <c r="AD426" l="1"/>
  <c r="N426"/>
  <c r="AB426"/>
  <c r="X426"/>
  <c r="AF426"/>
  <c r="V426"/>
  <c r="F426"/>
  <c r="C426"/>
  <c r="Z426"/>
  <c r="J426"/>
  <c r="T426"/>
  <c r="H426"/>
  <c r="R426"/>
  <c r="B427"/>
  <c r="D426"/>
  <c r="P426"/>
  <c r="L426"/>
  <c r="X427" l="1"/>
  <c r="H427"/>
  <c r="J427"/>
  <c r="F427"/>
  <c r="AB427"/>
  <c r="L427"/>
  <c r="R427"/>
  <c r="V427"/>
  <c r="AF427"/>
  <c r="P427"/>
  <c r="Z427"/>
  <c r="C427"/>
  <c r="N427"/>
  <c r="B428"/>
  <c r="T427"/>
  <c r="D427"/>
  <c r="AD427"/>
  <c r="P428" l="1"/>
  <c r="F428"/>
  <c r="T428"/>
  <c r="D428"/>
  <c r="R428"/>
  <c r="V428"/>
  <c r="X428"/>
  <c r="H428"/>
  <c r="Z428"/>
  <c r="N428"/>
  <c r="AB428"/>
  <c r="L428"/>
  <c r="C428"/>
  <c r="AD428"/>
  <c r="AF428"/>
  <c r="B429"/>
  <c r="J428"/>
  <c r="Z429" l="1"/>
  <c r="J429"/>
  <c r="P429"/>
  <c r="L429"/>
  <c r="B430"/>
  <c r="F429"/>
  <c r="AD429"/>
  <c r="N429"/>
  <c r="X429"/>
  <c r="AB429"/>
  <c r="D429"/>
  <c r="C429"/>
  <c r="R429"/>
  <c r="AF429"/>
  <c r="T429"/>
  <c r="V429"/>
  <c r="H429"/>
  <c r="Z430" l="1"/>
  <c r="J430"/>
  <c r="T430"/>
  <c r="H430"/>
  <c r="AD430"/>
  <c r="N430"/>
  <c r="AB430"/>
  <c r="X430"/>
  <c r="AF430"/>
  <c r="R430"/>
  <c r="B431"/>
  <c r="D430"/>
  <c r="P430"/>
  <c r="F430"/>
  <c r="C430"/>
  <c r="V430"/>
  <c r="L430"/>
  <c r="AF431" l="1"/>
  <c r="P431"/>
  <c r="Z431"/>
  <c r="C431"/>
  <c r="N431"/>
  <c r="T431"/>
  <c r="D431"/>
  <c r="B432"/>
  <c r="AD431"/>
  <c r="X431"/>
  <c r="H431"/>
  <c r="J431"/>
  <c r="F431"/>
  <c r="AB431"/>
  <c r="L431"/>
  <c r="R431"/>
  <c r="V431"/>
  <c r="B433" l="1"/>
  <c r="V432"/>
  <c r="T432"/>
  <c r="D432"/>
  <c r="F432"/>
  <c r="X432"/>
  <c r="H432"/>
  <c r="Z432"/>
  <c r="N432"/>
  <c r="AB432"/>
  <c r="L432"/>
  <c r="C432"/>
  <c r="AD432"/>
  <c r="AF432"/>
  <c r="P432"/>
  <c r="J432"/>
  <c r="R432"/>
  <c r="B434" l="1"/>
  <c r="V433"/>
  <c r="F433"/>
  <c r="H433"/>
  <c r="T433"/>
  <c r="Z433"/>
  <c r="P433"/>
  <c r="AD433"/>
  <c r="N433"/>
  <c r="X433"/>
  <c r="L433"/>
  <c r="C433"/>
  <c r="R433"/>
  <c r="AF433"/>
  <c r="AB433"/>
  <c r="J433"/>
  <c r="D433"/>
  <c r="AB434" l="1"/>
  <c r="R434"/>
  <c r="D434"/>
  <c r="V434"/>
  <c r="F434"/>
  <c r="C434"/>
  <c r="Z434"/>
  <c r="J434"/>
  <c r="T434"/>
  <c r="H434"/>
  <c r="AD434"/>
  <c r="N434"/>
  <c r="X434"/>
  <c r="AF434"/>
  <c r="B435"/>
  <c r="P434"/>
  <c r="L434"/>
  <c r="Z435" l="1"/>
  <c r="N435"/>
  <c r="T435"/>
  <c r="B436"/>
  <c r="AD435"/>
  <c r="X435"/>
  <c r="H435"/>
  <c r="J435"/>
  <c r="F435"/>
  <c r="AB435"/>
  <c r="L435"/>
  <c r="R435"/>
  <c r="V435"/>
  <c r="AF435"/>
  <c r="P435"/>
  <c r="C435"/>
  <c r="D435"/>
  <c r="X436" l="1"/>
  <c r="H436"/>
  <c r="Z436"/>
  <c r="N436"/>
  <c r="T436"/>
  <c r="D436"/>
  <c r="R436"/>
  <c r="V436"/>
  <c r="AB436"/>
  <c r="L436"/>
  <c r="C436"/>
  <c r="AD436"/>
  <c r="AF436"/>
  <c r="P436"/>
  <c r="B437"/>
  <c r="J436"/>
  <c r="F436"/>
  <c r="C437" l="1"/>
  <c r="R437"/>
  <c r="AF437"/>
  <c r="AB437"/>
  <c r="V437"/>
  <c r="H437"/>
  <c r="Z437"/>
  <c r="J437"/>
  <c r="P437"/>
  <c r="T437"/>
  <c r="AD437"/>
  <c r="N437"/>
  <c r="X437"/>
  <c r="L437"/>
  <c r="B438"/>
  <c r="F437"/>
  <c r="D437"/>
  <c r="AD438" l="1"/>
  <c r="N438"/>
  <c r="AB438"/>
  <c r="X438"/>
  <c r="AF438"/>
  <c r="R438"/>
  <c r="B439"/>
  <c r="D438"/>
  <c r="P438"/>
  <c r="V438"/>
  <c r="F438"/>
  <c r="L438"/>
  <c r="C438"/>
  <c r="Z438"/>
  <c r="J438"/>
  <c r="T438"/>
  <c r="H438"/>
  <c r="X439" l="1"/>
  <c r="H439"/>
  <c r="J439"/>
  <c r="F439"/>
  <c r="AB439"/>
  <c r="L439"/>
  <c r="R439"/>
  <c r="V439"/>
  <c r="AF439"/>
  <c r="P439"/>
  <c r="Z439"/>
  <c r="C439"/>
  <c r="N439"/>
  <c r="T439"/>
  <c r="D439"/>
  <c r="B440"/>
  <c r="AD439"/>
  <c r="AB440" l="1"/>
  <c r="L440"/>
  <c r="C440"/>
  <c r="AD440"/>
  <c r="P440"/>
  <c r="J440"/>
  <c r="T440"/>
  <c r="D440"/>
  <c r="R440"/>
  <c r="F440"/>
  <c r="X440"/>
  <c r="H440"/>
  <c r="Z440"/>
  <c r="N440"/>
  <c r="AF440"/>
  <c r="B441"/>
  <c r="V440"/>
  <c r="AD441" l="1"/>
  <c r="N441"/>
  <c r="X441"/>
  <c r="L441"/>
  <c r="C441"/>
  <c r="R441"/>
  <c r="AB441"/>
  <c r="B442"/>
  <c r="V441"/>
  <c r="F441"/>
  <c r="H441"/>
  <c r="D441"/>
  <c r="Z441"/>
  <c r="J441"/>
  <c r="P441"/>
  <c r="T441"/>
  <c r="AF441"/>
  <c r="AD442" l="1"/>
  <c r="N442"/>
  <c r="AB442"/>
  <c r="X442"/>
  <c r="AF442"/>
  <c r="C442"/>
  <c r="Z442"/>
  <c r="J442"/>
  <c r="T442"/>
  <c r="H442"/>
  <c r="R442"/>
  <c r="B443"/>
  <c r="D442"/>
  <c r="P442"/>
  <c r="V442"/>
  <c r="F442"/>
  <c r="L442"/>
  <c r="AB443" l="1"/>
  <c r="L443"/>
  <c r="R443"/>
  <c r="V443"/>
  <c r="AF443"/>
  <c r="P443"/>
  <c r="Z443"/>
  <c r="C443"/>
  <c r="N443"/>
  <c r="X443"/>
  <c r="H443"/>
  <c r="J443"/>
  <c r="F443"/>
  <c r="T443"/>
  <c r="D443"/>
  <c r="B444"/>
  <c r="AD443"/>
  <c r="T444" l="1"/>
  <c r="D444"/>
  <c r="R444"/>
  <c r="V444"/>
  <c r="AB444"/>
  <c r="L444"/>
  <c r="C444"/>
  <c r="AD444"/>
  <c r="AF444"/>
  <c r="P444"/>
  <c r="B445"/>
  <c r="J444"/>
  <c r="F444"/>
  <c r="X444"/>
  <c r="H444"/>
  <c r="Z444"/>
  <c r="N444"/>
  <c r="C445" l="1"/>
  <c r="R445"/>
  <c r="AF445"/>
  <c r="AB445"/>
  <c r="Z445"/>
  <c r="J445"/>
  <c r="P445"/>
  <c r="D445"/>
  <c r="AD445"/>
  <c r="N445"/>
  <c r="X445"/>
  <c r="L445"/>
  <c r="B446"/>
  <c r="V445"/>
  <c r="F445"/>
  <c r="H445"/>
  <c r="T445"/>
  <c r="V446" l="1"/>
  <c r="F446"/>
  <c r="L446"/>
  <c r="C446"/>
  <c r="Z446"/>
  <c r="J446"/>
  <c r="T446"/>
  <c r="H446"/>
  <c r="AD446"/>
  <c r="N446"/>
  <c r="X446"/>
  <c r="B447"/>
  <c r="P446"/>
  <c r="AB446"/>
  <c r="AF446"/>
  <c r="R446"/>
  <c r="D446"/>
  <c r="X447" l="1"/>
  <c r="H447"/>
  <c r="J447"/>
  <c r="F447"/>
  <c r="AB447"/>
  <c r="R447"/>
  <c r="V447"/>
  <c r="AF447"/>
  <c r="P447"/>
  <c r="Z447"/>
  <c r="C447"/>
  <c r="N447"/>
  <c r="T447"/>
  <c r="D447"/>
  <c r="B448"/>
  <c r="AD447"/>
  <c r="L447"/>
  <c r="T448" l="1"/>
  <c r="D448"/>
  <c r="R448"/>
  <c r="V448"/>
  <c r="X448"/>
  <c r="H448"/>
  <c r="Z448"/>
  <c r="N448"/>
  <c r="AB448"/>
  <c r="L448"/>
  <c r="C448"/>
  <c r="AD448"/>
  <c r="AF448"/>
  <c r="P448"/>
  <c r="B449"/>
  <c r="J448"/>
  <c r="F448"/>
  <c r="AD449" l="1"/>
  <c r="L449"/>
  <c r="C449"/>
  <c r="AB449"/>
  <c r="B450"/>
  <c r="V449"/>
  <c r="F449"/>
  <c r="H449"/>
  <c r="D449"/>
  <c r="Z449"/>
  <c r="J449"/>
  <c r="P449"/>
  <c r="T449"/>
  <c r="N449"/>
  <c r="X449"/>
  <c r="R449"/>
  <c r="AF449"/>
  <c r="Z450" l="1"/>
  <c r="J450"/>
  <c r="T450"/>
  <c r="H450"/>
  <c r="V450"/>
  <c r="F450"/>
  <c r="L450"/>
  <c r="C450"/>
  <c r="AD450"/>
  <c r="N450"/>
  <c r="AB450"/>
  <c r="X450"/>
  <c r="AF450"/>
  <c r="R450"/>
  <c r="B451"/>
  <c r="D450"/>
  <c r="P450"/>
  <c r="AB451" l="1"/>
  <c r="L451"/>
  <c r="R451"/>
  <c r="V451"/>
  <c r="P451"/>
  <c r="C451"/>
  <c r="B452"/>
  <c r="X451"/>
  <c r="H451"/>
  <c r="J451"/>
  <c r="F451"/>
  <c r="AF451"/>
  <c r="Z451"/>
  <c r="N451"/>
  <c r="T451"/>
  <c r="D451"/>
  <c r="AD451"/>
  <c r="H452" l="1"/>
  <c r="L452"/>
  <c r="AD452"/>
  <c r="AF452"/>
  <c r="B453"/>
  <c r="J452"/>
  <c r="T452"/>
  <c r="D452"/>
  <c r="R452"/>
  <c r="V452"/>
  <c r="X452"/>
  <c r="Z452"/>
  <c r="N452"/>
  <c r="AB452"/>
  <c r="C452"/>
  <c r="P452"/>
  <c r="F452"/>
  <c r="B454" l="1"/>
  <c r="V453"/>
  <c r="F453"/>
  <c r="H453"/>
  <c r="Z453"/>
  <c r="P453"/>
  <c r="C453"/>
  <c r="R453"/>
  <c r="AF453"/>
  <c r="D453"/>
  <c r="J453"/>
  <c r="L453"/>
  <c r="AD453"/>
  <c r="N453"/>
  <c r="X453"/>
  <c r="AB453"/>
  <c r="T453"/>
  <c r="N454" l="1"/>
  <c r="AF454"/>
  <c r="R454"/>
  <c r="B455"/>
  <c r="D454"/>
  <c r="P454"/>
  <c r="V454"/>
  <c r="F454"/>
  <c r="L454"/>
  <c r="C454"/>
  <c r="Z454"/>
  <c r="J454"/>
  <c r="T454"/>
  <c r="H454"/>
  <c r="AD454"/>
  <c r="AB454"/>
  <c r="X454"/>
  <c r="AB455" l="1"/>
  <c r="L455"/>
  <c r="R455"/>
  <c r="V455"/>
  <c r="H455"/>
  <c r="F455"/>
  <c r="AF455"/>
  <c r="P455"/>
  <c r="Z455"/>
  <c r="C455"/>
  <c r="N455"/>
  <c r="T455"/>
  <c r="D455"/>
  <c r="B456"/>
  <c r="AD455"/>
  <c r="X455"/>
  <c r="J455"/>
  <c r="X456" l="1"/>
  <c r="H456"/>
  <c r="Z456"/>
  <c r="N456"/>
  <c r="L456"/>
  <c r="AD456"/>
  <c r="AF456"/>
  <c r="P456"/>
  <c r="B457"/>
  <c r="J456"/>
  <c r="V456"/>
  <c r="T456"/>
  <c r="D456"/>
  <c r="R456"/>
  <c r="F456"/>
  <c r="AB456"/>
  <c r="C456"/>
  <c r="Z457" l="1"/>
  <c r="J457"/>
  <c r="P457"/>
  <c r="T457"/>
  <c r="AD457"/>
  <c r="N457"/>
  <c r="X457"/>
  <c r="L457"/>
  <c r="C457"/>
  <c r="R457"/>
  <c r="AF457"/>
  <c r="AB457"/>
  <c r="B458"/>
  <c r="V457"/>
  <c r="F457"/>
  <c r="H457"/>
  <c r="D457"/>
  <c r="Z458" l="1"/>
  <c r="J458"/>
  <c r="T458"/>
  <c r="H458"/>
  <c r="AD458"/>
  <c r="N458"/>
  <c r="AB458"/>
  <c r="X458"/>
  <c r="AF458"/>
  <c r="R458"/>
  <c r="B459"/>
  <c r="D458"/>
  <c r="P458"/>
  <c r="V458"/>
  <c r="F458"/>
  <c r="L458"/>
  <c r="C458"/>
  <c r="AB459" l="1"/>
  <c r="L459"/>
  <c r="R459"/>
  <c r="V459"/>
  <c r="J459"/>
  <c r="AF459"/>
  <c r="P459"/>
  <c r="Z459"/>
  <c r="C459"/>
  <c r="N459"/>
  <c r="T459"/>
  <c r="D459"/>
  <c r="B460"/>
  <c r="AD459"/>
  <c r="X459"/>
  <c r="H459"/>
  <c r="F459"/>
  <c r="T460" l="1"/>
  <c r="D460"/>
  <c r="R460"/>
  <c r="V460"/>
  <c r="X460"/>
  <c r="H460"/>
  <c r="N460"/>
  <c r="AB460"/>
  <c r="L460"/>
  <c r="AD460"/>
  <c r="Z460"/>
  <c r="C460"/>
  <c r="AF460"/>
  <c r="P460"/>
  <c r="B461"/>
  <c r="J460"/>
  <c r="F460"/>
  <c r="B462" l="1"/>
  <c r="V461"/>
  <c r="F461"/>
  <c r="H461"/>
  <c r="T461"/>
  <c r="L461"/>
  <c r="Z461"/>
  <c r="J461"/>
  <c r="P461"/>
  <c r="D461"/>
  <c r="AD461"/>
  <c r="N461"/>
  <c r="X461"/>
  <c r="C461"/>
  <c r="R461"/>
  <c r="AF461"/>
  <c r="AB461"/>
  <c r="J462" l="1"/>
  <c r="AD462"/>
  <c r="AB462"/>
  <c r="AF462"/>
  <c r="R462"/>
  <c r="D462"/>
  <c r="V462"/>
  <c r="F462"/>
  <c r="L462"/>
  <c r="C462"/>
  <c r="Z462"/>
  <c r="T462"/>
  <c r="H462"/>
  <c r="N462"/>
  <c r="X462"/>
  <c r="B463"/>
  <c r="P462"/>
  <c r="AF463" l="1"/>
  <c r="P463"/>
  <c r="C463"/>
  <c r="T463"/>
  <c r="D463"/>
  <c r="AD463"/>
  <c r="X463"/>
  <c r="H463"/>
  <c r="J463"/>
  <c r="F463"/>
  <c r="AB463"/>
  <c r="L463"/>
  <c r="R463"/>
  <c r="V463"/>
  <c r="Z463"/>
  <c r="N463"/>
  <c r="B464"/>
  <c r="X464" l="1"/>
  <c r="H464"/>
  <c r="N464"/>
  <c r="T464"/>
  <c r="D464"/>
  <c r="R464"/>
  <c r="V464"/>
  <c r="Z464"/>
  <c r="AB464"/>
  <c r="L464"/>
  <c r="C464"/>
  <c r="AD464"/>
  <c r="AF464"/>
  <c r="P464"/>
  <c r="B465"/>
  <c r="J464"/>
  <c r="F464"/>
  <c r="V465" l="1"/>
  <c r="J465"/>
  <c r="T465"/>
  <c r="C465"/>
  <c r="R465"/>
  <c r="AF465"/>
  <c r="AB465"/>
  <c r="B466"/>
  <c r="F465"/>
  <c r="H465"/>
  <c r="D465"/>
  <c r="Z465"/>
  <c r="P465"/>
  <c r="AD465"/>
  <c r="N465"/>
  <c r="X465"/>
  <c r="L465"/>
  <c r="AD466" l="1"/>
  <c r="N466"/>
  <c r="AB466"/>
  <c r="X466"/>
  <c r="AF466"/>
  <c r="R466"/>
  <c r="B467"/>
  <c r="D466"/>
  <c r="P466"/>
  <c r="V466"/>
  <c r="F466"/>
  <c r="L466"/>
  <c r="Z466"/>
  <c r="T466"/>
  <c r="C466"/>
  <c r="J466"/>
  <c r="H466"/>
  <c r="X467" l="1"/>
  <c r="H467"/>
  <c r="J467"/>
  <c r="F467"/>
  <c r="C467"/>
  <c r="T467"/>
  <c r="D467"/>
  <c r="B468"/>
  <c r="AB467"/>
  <c r="L467"/>
  <c r="R467"/>
  <c r="V467"/>
  <c r="N467"/>
  <c r="AF467"/>
  <c r="P467"/>
  <c r="Z467"/>
  <c r="AD467"/>
  <c r="AB468" l="1"/>
  <c r="L468"/>
  <c r="C468"/>
  <c r="AD468"/>
  <c r="AF468"/>
  <c r="P468"/>
  <c r="B469"/>
  <c r="J468"/>
  <c r="V468"/>
  <c r="T468"/>
  <c r="D468"/>
  <c r="R468"/>
  <c r="F468"/>
  <c r="X468"/>
  <c r="H468"/>
  <c r="Z468"/>
  <c r="N468"/>
  <c r="Z469" l="1"/>
  <c r="J469"/>
  <c r="P469"/>
  <c r="T469"/>
  <c r="C469"/>
  <c r="AF469"/>
  <c r="B470"/>
  <c r="V469"/>
  <c r="F469"/>
  <c r="H469"/>
  <c r="D469"/>
  <c r="AD469"/>
  <c r="N469"/>
  <c r="X469"/>
  <c r="L469"/>
  <c r="R469"/>
  <c r="AB469"/>
  <c r="R470" l="1"/>
  <c r="B471"/>
  <c r="D470"/>
  <c r="P470"/>
  <c r="V470"/>
  <c r="F470"/>
  <c r="L470"/>
  <c r="C470"/>
  <c r="Z470"/>
  <c r="J470"/>
  <c r="T470"/>
  <c r="H470"/>
  <c r="AD470"/>
  <c r="N470"/>
  <c r="AB470"/>
  <c r="X470"/>
  <c r="AF470"/>
  <c r="AF471" l="1"/>
  <c r="P471"/>
  <c r="Z471"/>
  <c r="C471"/>
  <c r="N471"/>
  <c r="T471"/>
  <c r="D471"/>
  <c r="B472"/>
  <c r="AD471"/>
  <c r="X471"/>
  <c r="H471"/>
  <c r="J471"/>
  <c r="F471"/>
  <c r="AB471"/>
  <c r="L471"/>
  <c r="R471"/>
  <c r="V471"/>
  <c r="D472" l="1"/>
  <c r="V472"/>
  <c r="X472"/>
  <c r="Z472"/>
  <c r="AB472"/>
  <c r="L472"/>
  <c r="C472"/>
  <c r="AD472"/>
  <c r="AF472"/>
  <c r="P472"/>
  <c r="B473"/>
  <c r="J472"/>
  <c r="F472"/>
  <c r="T472"/>
  <c r="R472"/>
  <c r="H472"/>
  <c r="N472"/>
  <c r="Z473" l="1"/>
  <c r="J473"/>
  <c r="P473"/>
  <c r="D473"/>
  <c r="AD473"/>
  <c r="N473"/>
  <c r="X473"/>
  <c r="L473"/>
  <c r="C473"/>
  <c r="R473"/>
  <c r="AF473"/>
  <c r="AB473"/>
  <c r="B474"/>
  <c r="V473"/>
  <c r="F473"/>
  <c r="T473"/>
  <c r="H473"/>
  <c r="AD474" l="1"/>
  <c r="N474"/>
  <c r="AB474"/>
  <c r="X474"/>
  <c r="AF474"/>
  <c r="F474"/>
  <c r="C474"/>
  <c r="Z474"/>
  <c r="J474"/>
  <c r="T474"/>
  <c r="H474"/>
  <c r="R474"/>
  <c r="B475"/>
  <c r="D474"/>
  <c r="P474"/>
  <c r="V474"/>
  <c r="L474"/>
  <c r="AB475" l="1"/>
  <c r="L475"/>
  <c r="R475"/>
  <c r="V475"/>
  <c r="AF475"/>
  <c r="P475"/>
  <c r="Z475"/>
  <c r="C475"/>
  <c r="N475"/>
  <c r="T475"/>
  <c r="D475"/>
  <c r="B476"/>
  <c r="AD475"/>
  <c r="J475"/>
  <c r="X475"/>
  <c r="H475"/>
  <c r="F475"/>
  <c r="T476" l="1"/>
  <c r="D476"/>
  <c r="R476"/>
  <c r="V476"/>
  <c r="H476"/>
  <c r="N476"/>
  <c r="AB476"/>
  <c r="L476"/>
  <c r="C476"/>
  <c r="AD476"/>
  <c r="AF476"/>
  <c r="P476"/>
  <c r="B477"/>
  <c r="J476"/>
  <c r="F476"/>
  <c r="X476"/>
  <c r="Z476"/>
  <c r="N477" l="1"/>
  <c r="L477"/>
  <c r="R477"/>
  <c r="AB477"/>
  <c r="B478"/>
  <c r="V477"/>
  <c r="F477"/>
  <c r="H477"/>
  <c r="D477"/>
  <c r="Z477"/>
  <c r="J477"/>
  <c r="P477"/>
  <c r="T477"/>
  <c r="AD477"/>
  <c r="X477"/>
  <c r="C477"/>
  <c r="AF477"/>
  <c r="Z478" l="1"/>
  <c r="J478"/>
  <c r="AB478"/>
  <c r="AD478"/>
  <c r="N478"/>
  <c r="B479"/>
  <c r="D478"/>
  <c r="C478"/>
  <c r="R478"/>
  <c r="L478"/>
  <c r="H478"/>
  <c r="AF478"/>
  <c r="V478"/>
  <c r="T478"/>
  <c r="X478"/>
  <c r="F478"/>
  <c r="P478"/>
  <c r="Z479" l="1"/>
  <c r="B480"/>
  <c r="X479"/>
  <c r="H479"/>
  <c r="F479"/>
  <c r="AB479"/>
  <c r="L479"/>
  <c r="R479"/>
  <c r="V479"/>
  <c r="AF479"/>
  <c r="P479"/>
  <c r="C479"/>
  <c r="N479"/>
  <c r="T479"/>
  <c r="D479"/>
  <c r="AD479"/>
  <c r="J479"/>
  <c r="AF480" l="1"/>
  <c r="P480"/>
  <c r="B481"/>
  <c r="J480"/>
  <c r="V480"/>
  <c r="X480"/>
  <c r="H480"/>
  <c r="Z480"/>
  <c r="N480"/>
  <c r="AB480"/>
  <c r="L480"/>
  <c r="C480"/>
  <c r="AD480"/>
  <c r="T480"/>
  <c r="D480"/>
  <c r="R480"/>
  <c r="F480"/>
  <c r="C481" l="1"/>
  <c r="R481"/>
  <c r="AF481"/>
  <c r="AB481"/>
  <c r="Z481"/>
  <c r="J481"/>
  <c r="P481"/>
  <c r="T481"/>
  <c r="AD481"/>
  <c r="N481"/>
  <c r="X481"/>
  <c r="L481"/>
  <c r="B482"/>
  <c r="V481"/>
  <c r="F481"/>
  <c r="H481"/>
  <c r="D481"/>
  <c r="AD482" l="1"/>
  <c r="N482"/>
  <c r="AB482"/>
  <c r="X482"/>
  <c r="AF482"/>
  <c r="R482"/>
  <c r="B483"/>
  <c r="D482"/>
  <c r="P482"/>
  <c r="V482"/>
  <c r="F482"/>
  <c r="L482"/>
  <c r="C482"/>
  <c r="Z482"/>
  <c r="J482"/>
  <c r="T482"/>
  <c r="H482"/>
  <c r="AF483" l="1"/>
  <c r="P483"/>
  <c r="Z483"/>
  <c r="C483"/>
  <c r="N483"/>
  <c r="H483"/>
  <c r="F483"/>
  <c r="AB483"/>
  <c r="L483"/>
  <c r="R483"/>
  <c r="V483"/>
  <c r="T483"/>
  <c r="D483"/>
  <c r="B484"/>
  <c r="AD483"/>
  <c r="X483"/>
  <c r="J483"/>
  <c r="AB484" l="1"/>
  <c r="L484"/>
  <c r="C484"/>
  <c r="AD484"/>
  <c r="AF484"/>
  <c r="P484"/>
  <c r="B485"/>
  <c r="J484"/>
  <c r="F484"/>
  <c r="T484"/>
  <c r="D484"/>
  <c r="R484"/>
  <c r="V484"/>
  <c r="X484"/>
  <c r="H484"/>
  <c r="Z484"/>
  <c r="N484"/>
  <c r="Z485" l="1"/>
  <c r="J485"/>
  <c r="P485"/>
  <c r="D485"/>
  <c r="AD485"/>
  <c r="N485"/>
  <c r="X485"/>
  <c r="L485"/>
  <c r="C485"/>
  <c r="R485"/>
  <c r="AF485"/>
  <c r="AB485"/>
  <c r="B486"/>
  <c r="V485"/>
  <c r="F485"/>
  <c r="H485"/>
  <c r="T485"/>
  <c r="V486" l="1"/>
  <c r="F486"/>
  <c r="L486"/>
  <c r="C486"/>
  <c r="Z486"/>
  <c r="J486"/>
  <c r="T486"/>
  <c r="AD486"/>
  <c r="N486"/>
  <c r="AB486"/>
  <c r="X486"/>
  <c r="AF486"/>
  <c r="R486"/>
  <c r="B487"/>
  <c r="D486"/>
  <c r="P486"/>
  <c r="H486"/>
  <c r="AB487" l="1"/>
  <c r="L487"/>
  <c r="R487"/>
  <c r="V487"/>
  <c r="AF487"/>
  <c r="Z487"/>
  <c r="N487"/>
  <c r="T487"/>
  <c r="D487"/>
  <c r="B488"/>
  <c r="AD487"/>
  <c r="X487"/>
  <c r="H487"/>
  <c r="J487"/>
  <c r="F487"/>
  <c r="P487"/>
  <c r="C487"/>
  <c r="AB488" l="1"/>
  <c r="L488"/>
  <c r="C488"/>
  <c r="AD488"/>
  <c r="AF488"/>
  <c r="P488"/>
  <c r="J488"/>
  <c r="F488"/>
  <c r="T488"/>
  <c r="R488"/>
  <c r="V488"/>
  <c r="B489"/>
  <c r="D488"/>
  <c r="X488"/>
  <c r="H488"/>
  <c r="Z488"/>
  <c r="N488"/>
  <c r="B490" l="1"/>
  <c r="V489"/>
  <c r="F489"/>
  <c r="H489"/>
  <c r="D489"/>
  <c r="Z489"/>
  <c r="J489"/>
  <c r="P489"/>
  <c r="T489"/>
  <c r="AD489"/>
  <c r="N489"/>
  <c r="X489"/>
  <c r="C489"/>
  <c r="R489"/>
  <c r="AF489"/>
  <c r="AB489"/>
  <c r="L489"/>
  <c r="AD490" l="1"/>
  <c r="N490"/>
  <c r="B491"/>
  <c r="D490"/>
  <c r="C490"/>
  <c r="Z490"/>
  <c r="J490"/>
  <c r="AB490"/>
  <c r="R490"/>
  <c r="L490"/>
  <c r="H490"/>
  <c r="AF490"/>
  <c r="V490"/>
  <c r="F490"/>
  <c r="T490"/>
  <c r="X490"/>
  <c r="P490"/>
  <c r="AB491" l="1"/>
  <c r="L491"/>
  <c r="R491"/>
  <c r="V491"/>
  <c r="P491"/>
  <c r="C491"/>
  <c r="T491"/>
  <c r="D491"/>
  <c r="B492"/>
  <c r="AD491"/>
  <c r="X491"/>
  <c r="H491"/>
  <c r="J491"/>
  <c r="F491"/>
  <c r="AF491"/>
  <c r="Z491"/>
  <c r="N491"/>
  <c r="T492" l="1"/>
  <c r="D492"/>
  <c r="R492"/>
  <c r="F492"/>
  <c r="AB492"/>
  <c r="L492"/>
  <c r="AD492"/>
  <c r="AF492"/>
  <c r="P492"/>
  <c r="B493"/>
  <c r="J492"/>
  <c r="V492"/>
  <c r="X492"/>
  <c r="H492"/>
  <c r="Z492"/>
  <c r="N492"/>
  <c r="C492"/>
  <c r="C493" l="1"/>
  <c r="R493"/>
  <c r="AF493"/>
  <c r="AB493"/>
  <c r="B494"/>
  <c r="V493"/>
  <c r="F493"/>
  <c r="H493"/>
  <c r="T493"/>
  <c r="Z493"/>
  <c r="J493"/>
  <c r="P493"/>
  <c r="D493"/>
  <c r="AD493"/>
  <c r="N493"/>
  <c r="X493"/>
  <c r="L493"/>
  <c r="L494" l="1"/>
  <c r="Z494"/>
  <c r="J494"/>
  <c r="T494"/>
  <c r="H494"/>
  <c r="AD494"/>
  <c r="N494"/>
  <c r="AB494"/>
  <c r="X494"/>
  <c r="AF494"/>
  <c r="R494"/>
  <c r="B495"/>
  <c r="D494"/>
  <c r="P494"/>
  <c r="V494"/>
  <c r="F494"/>
  <c r="C494"/>
  <c r="T495" l="1"/>
  <c r="D495"/>
  <c r="B496"/>
  <c r="AD495"/>
  <c r="X495"/>
  <c r="H495"/>
  <c r="J495"/>
  <c r="F495"/>
  <c r="AB495"/>
  <c r="L495"/>
  <c r="R495"/>
  <c r="V495"/>
  <c r="P495"/>
  <c r="Z495"/>
  <c r="N495"/>
  <c r="AF495"/>
  <c r="C495"/>
  <c r="T496" l="1"/>
  <c r="D496"/>
  <c r="R496"/>
  <c r="V496"/>
  <c r="X496"/>
  <c r="H496"/>
  <c r="Z496"/>
  <c r="N496"/>
  <c r="AB496"/>
  <c r="L496"/>
  <c r="C496"/>
  <c r="AD496"/>
  <c r="AF496"/>
  <c r="P496"/>
  <c r="B497"/>
  <c r="J496"/>
  <c r="F496"/>
  <c r="Z497" l="1"/>
  <c r="T497"/>
  <c r="AD497"/>
  <c r="N497"/>
  <c r="X497"/>
  <c r="L497"/>
  <c r="C497"/>
  <c r="R497"/>
  <c r="AF497"/>
  <c r="AB497"/>
  <c r="B498"/>
  <c r="V497"/>
  <c r="F497"/>
  <c r="H497"/>
  <c r="D497"/>
  <c r="J497"/>
  <c r="P497"/>
  <c r="R498" l="1"/>
  <c r="B499"/>
  <c r="D498"/>
  <c r="P498"/>
  <c r="V498"/>
  <c r="F498"/>
  <c r="L498"/>
  <c r="C498"/>
  <c r="Z498"/>
  <c r="J498"/>
  <c r="T498"/>
  <c r="H498"/>
  <c r="AD498"/>
  <c r="N498"/>
  <c r="AB498"/>
  <c r="AF498"/>
  <c r="X498"/>
  <c r="AF499" l="1"/>
  <c r="P499"/>
  <c r="Z499"/>
  <c r="C499"/>
  <c r="N499"/>
  <c r="H499"/>
  <c r="F499"/>
  <c r="AB499"/>
  <c r="L499"/>
  <c r="R499"/>
  <c r="V499"/>
  <c r="T499"/>
  <c r="D499"/>
  <c r="B500"/>
  <c r="AD499"/>
  <c r="X499"/>
  <c r="J499"/>
  <c r="H500" l="1"/>
  <c r="AB500"/>
  <c r="L500"/>
  <c r="C500"/>
  <c r="AF500"/>
  <c r="P500"/>
  <c r="B501"/>
  <c r="J500"/>
  <c r="V500"/>
  <c r="T500"/>
  <c r="D500"/>
  <c r="R500"/>
  <c r="F500"/>
  <c r="X500"/>
  <c r="Z500"/>
  <c r="N500"/>
  <c r="AD500"/>
  <c r="D501" l="1"/>
  <c r="AD501"/>
  <c r="L501"/>
  <c r="AF501"/>
  <c r="B502"/>
  <c r="V501"/>
  <c r="F501"/>
  <c r="H501"/>
  <c r="T501"/>
  <c r="Z501"/>
  <c r="J501"/>
  <c r="P501"/>
  <c r="N501"/>
  <c r="X501"/>
  <c r="C501"/>
  <c r="R501"/>
  <c r="AB501"/>
  <c r="Z502" l="1"/>
  <c r="J502"/>
  <c r="T502"/>
  <c r="H502"/>
  <c r="AD502"/>
  <c r="N502"/>
  <c r="AB502"/>
  <c r="X502"/>
  <c r="AF502"/>
  <c r="V502"/>
  <c r="F502"/>
  <c r="L502"/>
  <c r="C502"/>
  <c r="R502"/>
  <c r="B503"/>
  <c r="D502"/>
  <c r="P502"/>
  <c r="T503" l="1"/>
  <c r="D503"/>
  <c r="B504"/>
  <c r="AD503"/>
  <c r="X503"/>
  <c r="H503"/>
  <c r="J503"/>
  <c r="F503"/>
  <c r="L503"/>
  <c r="V503"/>
  <c r="Z503"/>
  <c r="AB503"/>
  <c r="R503"/>
  <c r="AF503"/>
  <c r="P503"/>
  <c r="C503"/>
  <c r="N503"/>
  <c r="AB504" l="1"/>
  <c r="L504"/>
  <c r="C504"/>
  <c r="AD504"/>
  <c r="V504"/>
  <c r="X504"/>
  <c r="H504"/>
  <c r="N504"/>
  <c r="AF504"/>
  <c r="P504"/>
  <c r="B505"/>
  <c r="J504"/>
  <c r="F504"/>
  <c r="T504"/>
  <c r="D504"/>
  <c r="R504"/>
  <c r="Z504"/>
  <c r="B506" l="1"/>
  <c r="V505"/>
  <c r="F505"/>
  <c r="H505"/>
  <c r="T505"/>
  <c r="R505"/>
  <c r="AB505"/>
  <c r="Z505"/>
  <c r="J505"/>
  <c r="P505"/>
  <c r="D505"/>
  <c r="AD505"/>
  <c r="N505"/>
  <c r="X505"/>
  <c r="L505"/>
  <c r="C505"/>
  <c r="AF505"/>
  <c r="Z506" l="1"/>
  <c r="J506"/>
  <c r="T506"/>
  <c r="H506"/>
  <c r="N506"/>
  <c r="AB506"/>
  <c r="X506"/>
  <c r="R506"/>
  <c r="B507"/>
  <c r="P506"/>
  <c r="V506"/>
  <c r="F506"/>
  <c r="L506"/>
  <c r="AD506"/>
  <c r="AF506"/>
  <c r="D506"/>
  <c r="C506"/>
  <c r="AB507" l="1"/>
  <c r="L507"/>
  <c r="R507"/>
  <c r="V507"/>
  <c r="AF507"/>
  <c r="C507"/>
  <c r="T507"/>
  <c r="D507"/>
  <c r="B508"/>
  <c r="AD507"/>
  <c r="X507"/>
  <c r="H507"/>
  <c r="J507"/>
  <c r="F507"/>
  <c r="P507"/>
  <c r="Z507"/>
  <c r="N507"/>
  <c r="X508" l="1"/>
  <c r="H508"/>
  <c r="Z508"/>
  <c r="N508"/>
  <c r="T508"/>
  <c r="D508"/>
  <c r="R508"/>
  <c r="V508"/>
  <c r="AB508"/>
  <c r="L508"/>
  <c r="C508"/>
  <c r="AD508"/>
  <c r="AF508"/>
  <c r="P508"/>
  <c r="B509"/>
  <c r="J508"/>
  <c r="F508"/>
  <c r="B510" l="1"/>
  <c r="V509"/>
  <c r="F509"/>
  <c r="H509"/>
  <c r="T509"/>
  <c r="Z509"/>
  <c r="J509"/>
  <c r="D509"/>
  <c r="C509"/>
  <c r="R509"/>
  <c r="AF509"/>
  <c r="AB509"/>
  <c r="P509"/>
  <c r="AD509"/>
  <c r="N509"/>
  <c r="X509"/>
  <c r="L509"/>
  <c r="Z510" l="1"/>
  <c r="J510"/>
  <c r="T510"/>
  <c r="H510"/>
  <c r="AD510"/>
  <c r="N510"/>
  <c r="AB510"/>
  <c r="X510"/>
  <c r="B511"/>
  <c r="P510"/>
  <c r="V510"/>
  <c r="L510"/>
  <c r="AF510"/>
  <c r="R510"/>
  <c r="D510"/>
  <c r="F510"/>
  <c r="C510"/>
  <c r="AB511" l="1"/>
  <c r="L511"/>
  <c r="R511"/>
  <c r="V511"/>
  <c r="D511"/>
  <c r="AD511"/>
  <c r="AF511"/>
  <c r="P511"/>
  <c r="Z511"/>
  <c r="C511"/>
  <c r="N511"/>
  <c r="T511"/>
  <c r="B512"/>
  <c r="X511"/>
  <c r="H511"/>
  <c r="J511"/>
  <c r="F511"/>
  <c r="X512" l="1"/>
  <c r="H512"/>
  <c r="Z512"/>
  <c r="N512"/>
  <c r="AF512"/>
  <c r="B513"/>
  <c r="V512"/>
  <c r="AB512"/>
  <c r="L512"/>
  <c r="C512"/>
  <c r="AD512"/>
  <c r="P512"/>
  <c r="J512"/>
  <c r="T512"/>
  <c r="D512"/>
  <c r="R512"/>
  <c r="F512"/>
  <c r="C513" l="1"/>
  <c r="R513"/>
  <c r="AF513"/>
  <c r="AB513"/>
  <c r="V513"/>
  <c r="H513"/>
  <c r="T513"/>
  <c r="AD513"/>
  <c r="N513"/>
  <c r="X513"/>
  <c r="L513"/>
  <c r="B514"/>
  <c r="F513"/>
  <c r="Z513"/>
  <c r="J513"/>
  <c r="P513"/>
  <c r="D513"/>
  <c r="V514" l="1"/>
  <c r="F514"/>
  <c r="L514"/>
  <c r="C514"/>
  <c r="AD514"/>
  <c r="N514"/>
  <c r="AB514"/>
  <c r="X514"/>
  <c r="AF514"/>
  <c r="R514"/>
  <c r="B515"/>
  <c r="D514"/>
  <c r="P514"/>
  <c r="Z514"/>
  <c r="J514"/>
  <c r="T514"/>
  <c r="H514"/>
  <c r="AF515" l="1"/>
  <c r="P515"/>
  <c r="Z515"/>
  <c r="C515"/>
  <c r="N515"/>
  <c r="AB515"/>
  <c r="L515"/>
  <c r="R515"/>
  <c r="V515"/>
  <c r="T515"/>
  <c r="D515"/>
  <c r="B516"/>
  <c r="AD515"/>
  <c r="X515"/>
  <c r="H515"/>
  <c r="J515"/>
  <c r="F515"/>
  <c r="AF516" l="1"/>
  <c r="P516"/>
  <c r="B517"/>
  <c r="J516"/>
  <c r="V516"/>
  <c r="AB516"/>
  <c r="L516"/>
  <c r="AD516"/>
  <c r="T516"/>
  <c r="D516"/>
  <c r="R516"/>
  <c r="F516"/>
  <c r="X516"/>
  <c r="H516"/>
  <c r="Z516"/>
  <c r="N516"/>
  <c r="C516"/>
  <c r="V517" l="1"/>
  <c r="T517"/>
  <c r="P517"/>
  <c r="N517"/>
  <c r="L517"/>
  <c r="C517"/>
  <c r="R517"/>
  <c r="AF517"/>
  <c r="AB517"/>
  <c r="B518"/>
  <c r="F517"/>
  <c r="H517"/>
  <c r="Z517"/>
  <c r="J517"/>
  <c r="D517"/>
  <c r="AD517"/>
  <c r="X517"/>
  <c r="Z518" l="1"/>
  <c r="J518"/>
  <c r="T518"/>
  <c r="H518"/>
  <c r="AD518"/>
  <c r="N518"/>
  <c r="AB518"/>
  <c r="X518"/>
  <c r="AF518"/>
  <c r="R518"/>
  <c r="B519"/>
  <c r="D518"/>
  <c r="P518"/>
  <c r="V518"/>
  <c r="F518"/>
  <c r="L518"/>
  <c r="C518"/>
  <c r="X519" l="1"/>
  <c r="H519"/>
  <c r="J519"/>
  <c r="F519"/>
  <c r="AB519"/>
  <c r="L519"/>
  <c r="R519"/>
  <c r="V519"/>
  <c r="N519"/>
  <c r="AF519"/>
  <c r="P519"/>
  <c r="Z519"/>
  <c r="C519"/>
  <c r="AD519"/>
  <c r="T519"/>
  <c r="D519"/>
  <c r="B520"/>
  <c r="AB520" l="1"/>
  <c r="L520"/>
  <c r="C520"/>
  <c r="AD520"/>
  <c r="AF520"/>
  <c r="P520"/>
  <c r="B521"/>
  <c r="J520"/>
  <c r="V520"/>
  <c r="T520"/>
  <c r="D520"/>
  <c r="R520"/>
  <c r="F520"/>
  <c r="X520"/>
  <c r="H520"/>
  <c r="Z520"/>
  <c r="N520"/>
  <c r="AD521" l="1"/>
  <c r="N521"/>
  <c r="X521"/>
  <c r="L521"/>
  <c r="B522"/>
  <c r="V521"/>
  <c r="F521"/>
  <c r="H521"/>
  <c r="T521"/>
  <c r="Z521"/>
  <c r="J521"/>
  <c r="P521"/>
  <c r="D521"/>
  <c r="C521"/>
  <c r="R521"/>
  <c r="AF521"/>
  <c r="AB521"/>
  <c r="AD522" l="1"/>
  <c r="N522"/>
  <c r="AB522"/>
  <c r="X522"/>
  <c r="AF522"/>
  <c r="R522"/>
  <c r="B523"/>
  <c r="D522"/>
  <c r="P522"/>
  <c r="Z522"/>
  <c r="J522"/>
  <c r="T522"/>
  <c r="H522"/>
  <c r="V522"/>
  <c r="F522"/>
  <c r="L522"/>
  <c r="C522"/>
  <c r="T523" l="1"/>
  <c r="D523"/>
  <c r="B524"/>
  <c r="AD523"/>
  <c r="AB523"/>
  <c r="L523"/>
  <c r="R523"/>
  <c r="V523"/>
  <c r="AF523"/>
  <c r="P523"/>
  <c r="Z523"/>
  <c r="C523"/>
  <c r="N523"/>
  <c r="X523"/>
  <c r="H523"/>
  <c r="J523"/>
  <c r="F523"/>
  <c r="T524" l="1"/>
  <c r="D524"/>
  <c r="R524"/>
  <c r="V524"/>
  <c r="B525"/>
  <c r="F524"/>
  <c r="X524"/>
  <c r="H524"/>
  <c r="Z524"/>
  <c r="N524"/>
  <c r="AB524"/>
  <c r="L524"/>
  <c r="C524"/>
  <c r="AD524"/>
  <c r="AF524"/>
  <c r="P524"/>
  <c r="J524"/>
  <c r="Z525" l="1"/>
  <c r="J525"/>
  <c r="P525"/>
  <c r="D525"/>
  <c r="B526"/>
  <c r="V525"/>
  <c r="H525"/>
  <c r="AD525"/>
  <c r="N525"/>
  <c r="X525"/>
  <c r="L525"/>
  <c r="C525"/>
  <c r="R525"/>
  <c r="AF525"/>
  <c r="AB525"/>
  <c r="F525"/>
  <c r="T525"/>
  <c r="Z526" l="1"/>
  <c r="J526"/>
  <c r="T526"/>
  <c r="H526"/>
  <c r="R526"/>
  <c r="D526"/>
  <c r="AD526"/>
  <c r="N526"/>
  <c r="AB526"/>
  <c r="X526"/>
  <c r="AF526"/>
  <c r="B527"/>
  <c r="P526"/>
  <c r="V526"/>
  <c r="F526"/>
  <c r="L526"/>
  <c r="C526"/>
  <c r="AF527" l="1"/>
  <c r="Z527"/>
  <c r="N527"/>
  <c r="T527"/>
  <c r="D527"/>
  <c r="AD527"/>
  <c r="X527"/>
  <c r="H527"/>
  <c r="F527"/>
  <c r="AB527"/>
  <c r="L527"/>
  <c r="R527"/>
  <c r="V527"/>
  <c r="P527"/>
  <c r="C527"/>
  <c r="B528"/>
  <c r="J527"/>
  <c r="AF528" l="1"/>
  <c r="P528"/>
  <c r="B529"/>
  <c r="J528"/>
  <c r="V528"/>
  <c r="T528"/>
  <c r="D528"/>
  <c r="R528"/>
  <c r="F528"/>
  <c r="X528"/>
  <c r="H528"/>
  <c r="Z528"/>
  <c r="N528"/>
  <c r="AB528"/>
  <c r="L528"/>
  <c r="AD528"/>
  <c r="C528"/>
  <c r="Z529" l="1"/>
  <c r="J529"/>
  <c r="P529"/>
  <c r="D529"/>
  <c r="AD529"/>
  <c r="N529"/>
  <c r="X529"/>
  <c r="L529"/>
  <c r="C529"/>
  <c r="R529"/>
  <c r="AF529"/>
  <c r="AB529"/>
  <c r="B530"/>
  <c r="V529"/>
  <c r="F529"/>
  <c r="H529"/>
  <c r="T529"/>
  <c r="V530" l="1"/>
  <c r="F530"/>
  <c r="L530"/>
  <c r="C530"/>
  <c r="Z530"/>
  <c r="J530"/>
  <c r="T530"/>
  <c r="H530"/>
  <c r="AD530"/>
  <c r="N530"/>
  <c r="AB530"/>
  <c r="X530"/>
  <c r="AF530"/>
  <c r="R530"/>
  <c r="B531"/>
  <c r="D530"/>
  <c r="P530"/>
  <c r="AF531" l="1"/>
  <c r="P531"/>
  <c r="Z531"/>
  <c r="C531"/>
  <c r="N531"/>
  <c r="X531"/>
  <c r="J531"/>
  <c r="T531"/>
  <c r="D531"/>
  <c r="B532"/>
  <c r="AD531"/>
  <c r="H531"/>
  <c r="F531"/>
  <c r="AB531"/>
  <c r="L531"/>
  <c r="R531"/>
  <c r="V531"/>
  <c r="H532" l="1"/>
  <c r="N532"/>
  <c r="AB532"/>
  <c r="C532"/>
  <c r="P532"/>
  <c r="V532"/>
  <c r="T532"/>
  <c r="D532"/>
  <c r="R532"/>
  <c r="F532"/>
  <c r="X532"/>
  <c r="Z532"/>
  <c r="L532"/>
  <c r="AD532"/>
  <c r="AF532"/>
  <c r="B533"/>
  <c r="J532"/>
  <c r="B534" l="1"/>
  <c r="V533"/>
  <c r="F533"/>
  <c r="H533"/>
  <c r="T533"/>
  <c r="Z533"/>
  <c r="J533"/>
  <c r="P533"/>
  <c r="D533"/>
  <c r="C533"/>
  <c r="R533"/>
  <c r="AF533"/>
  <c r="AB533"/>
  <c r="AD533"/>
  <c r="N533"/>
  <c r="X533"/>
  <c r="L533"/>
  <c r="AD534" l="1"/>
  <c r="N534"/>
  <c r="AB534"/>
  <c r="X534"/>
  <c r="AF534"/>
  <c r="Z534"/>
  <c r="J534"/>
  <c r="T534"/>
  <c r="H534"/>
  <c r="R534"/>
  <c r="B535"/>
  <c r="D534"/>
  <c r="P534"/>
  <c r="V534"/>
  <c r="F534"/>
  <c r="L534"/>
  <c r="C534"/>
  <c r="AB535" l="1"/>
  <c r="L535"/>
  <c r="R535"/>
  <c r="V535"/>
  <c r="AF535"/>
  <c r="P535"/>
  <c r="Z535"/>
  <c r="C535"/>
  <c r="N535"/>
  <c r="T535"/>
  <c r="D535"/>
  <c r="B536"/>
  <c r="AD535"/>
  <c r="X535"/>
  <c r="H535"/>
  <c r="J535"/>
  <c r="F535"/>
  <c r="AF536" l="1"/>
  <c r="P536"/>
  <c r="B537"/>
  <c r="J536"/>
  <c r="F536"/>
  <c r="T536"/>
  <c r="D536"/>
  <c r="R536"/>
  <c r="V536"/>
  <c r="X536"/>
  <c r="H536"/>
  <c r="Z536"/>
  <c r="N536"/>
  <c r="AB536"/>
  <c r="L536"/>
  <c r="C536"/>
  <c r="AD536"/>
  <c r="AD537" l="1"/>
  <c r="X537"/>
  <c r="C537"/>
  <c r="AB537"/>
  <c r="B538"/>
  <c r="F537"/>
  <c r="T537"/>
  <c r="Z537"/>
  <c r="J537"/>
  <c r="P537"/>
  <c r="D537"/>
  <c r="N537"/>
  <c r="L537"/>
  <c r="R537"/>
  <c r="AF537"/>
  <c r="V537"/>
  <c r="H537"/>
  <c r="V538" l="1"/>
  <c r="L538"/>
  <c r="Z538"/>
  <c r="J538"/>
  <c r="T538"/>
  <c r="H538"/>
  <c r="AD538"/>
  <c r="N538"/>
  <c r="AB538"/>
  <c r="X538"/>
  <c r="AF538"/>
  <c r="R538"/>
  <c r="B539"/>
  <c r="D538"/>
  <c r="P538"/>
  <c r="F538"/>
  <c r="C538"/>
  <c r="AB539" l="1"/>
  <c r="L539"/>
  <c r="R539"/>
  <c r="V539"/>
  <c r="D539"/>
  <c r="AD539"/>
  <c r="X539"/>
  <c r="H539"/>
  <c r="J539"/>
  <c r="F539"/>
  <c r="AF539"/>
  <c r="P539"/>
  <c r="Z539"/>
  <c r="C539"/>
  <c r="N539"/>
  <c r="T539"/>
  <c r="B540"/>
  <c r="X540" l="1"/>
  <c r="H540"/>
  <c r="Z540"/>
  <c r="N540"/>
  <c r="AB540"/>
  <c r="L540"/>
  <c r="C540"/>
  <c r="AD540"/>
  <c r="AF540"/>
  <c r="P540"/>
  <c r="B541"/>
  <c r="J540"/>
  <c r="V540"/>
  <c r="T540"/>
  <c r="D540"/>
  <c r="F540"/>
  <c r="R540"/>
  <c r="C541" l="1"/>
  <c r="R541"/>
  <c r="AF541"/>
  <c r="AB541"/>
  <c r="B542"/>
  <c r="V541"/>
  <c r="F541"/>
  <c r="H541"/>
  <c r="T541"/>
  <c r="Z541"/>
  <c r="J541"/>
  <c r="P541"/>
  <c r="D541"/>
  <c r="AD541"/>
  <c r="N541"/>
  <c r="X541"/>
  <c r="L541"/>
  <c r="R542" l="1"/>
  <c r="B543"/>
  <c r="D542"/>
  <c r="P542"/>
  <c r="V542"/>
  <c r="L542"/>
  <c r="AD542"/>
  <c r="N542"/>
  <c r="AB542"/>
  <c r="X542"/>
  <c r="AF542"/>
  <c r="F542"/>
  <c r="C542"/>
  <c r="Z542"/>
  <c r="J542"/>
  <c r="T542"/>
  <c r="H542"/>
  <c r="AF543" l="1"/>
  <c r="P543"/>
  <c r="Z543"/>
  <c r="C543"/>
  <c r="AD543"/>
  <c r="T543"/>
  <c r="D543"/>
  <c r="B544"/>
  <c r="X543"/>
  <c r="H543"/>
  <c r="J543"/>
  <c r="F543"/>
  <c r="AB543"/>
  <c r="R543"/>
  <c r="V543"/>
  <c r="L543"/>
  <c r="N543"/>
  <c r="X544" l="1"/>
  <c r="H544"/>
  <c r="Z544"/>
  <c r="N544"/>
  <c r="AB544"/>
  <c r="L544"/>
  <c r="C544"/>
  <c r="AD544"/>
  <c r="AF544"/>
  <c r="P544"/>
  <c r="B545"/>
  <c r="J544"/>
  <c r="V544"/>
  <c r="T544"/>
  <c r="D544"/>
  <c r="F544"/>
  <c r="R544"/>
  <c r="Z545" l="1"/>
  <c r="P545"/>
  <c r="AD545"/>
  <c r="N545"/>
  <c r="X545"/>
  <c r="L545"/>
  <c r="AB545"/>
  <c r="B546"/>
  <c r="V545"/>
  <c r="F545"/>
  <c r="H545"/>
  <c r="T545"/>
  <c r="J545"/>
  <c r="D545"/>
  <c r="C545"/>
  <c r="R545"/>
  <c r="AF545"/>
  <c r="V546" l="1"/>
  <c r="F546"/>
  <c r="L546"/>
  <c r="C546"/>
  <c r="Z546"/>
  <c r="T546"/>
  <c r="H546"/>
  <c r="AD546"/>
  <c r="N546"/>
  <c r="AB546"/>
  <c r="AF546"/>
  <c r="B547"/>
  <c r="D546"/>
  <c r="J546"/>
  <c r="X546"/>
  <c r="R546"/>
  <c r="P546"/>
  <c r="AB547" l="1"/>
  <c r="L547"/>
  <c r="R547"/>
  <c r="V547"/>
  <c r="X547"/>
  <c r="H547"/>
  <c r="J547"/>
  <c r="F547"/>
  <c r="AF547"/>
  <c r="P547"/>
  <c r="Z547"/>
  <c r="C547"/>
  <c r="N547"/>
  <c r="T547"/>
  <c r="D547"/>
  <c r="B548"/>
  <c r="AD547"/>
  <c r="AF548" l="1"/>
  <c r="P548"/>
  <c r="B549"/>
  <c r="J548"/>
  <c r="V548"/>
  <c r="T548"/>
  <c r="D548"/>
  <c r="R548"/>
  <c r="F548"/>
  <c r="X548"/>
  <c r="H548"/>
  <c r="Z548"/>
  <c r="N548"/>
  <c r="AB548"/>
  <c r="L548"/>
  <c r="C548"/>
  <c r="AD548"/>
  <c r="C549" l="1"/>
  <c r="R549"/>
  <c r="AF549"/>
  <c r="AB549"/>
  <c r="AD549"/>
  <c r="N549"/>
  <c r="X549"/>
  <c r="L549"/>
  <c r="B550"/>
  <c r="V549"/>
  <c r="F549"/>
  <c r="H549"/>
  <c r="T549"/>
  <c r="Z549"/>
  <c r="J549"/>
  <c r="P549"/>
  <c r="D549"/>
  <c r="R550" l="1"/>
  <c r="B551"/>
  <c r="D550"/>
  <c r="V550"/>
  <c r="F550"/>
  <c r="L550"/>
  <c r="Z550"/>
  <c r="J550"/>
  <c r="T550"/>
  <c r="H550"/>
  <c r="AD550"/>
  <c r="N550"/>
  <c r="AB550"/>
  <c r="X550"/>
  <c r="AF550"/>
  <c r="P550"/>
  <c r="C550"/>
  <c r="X551" l="1"/>
  <c r="H551"/>
  <c r="J551"/>
  <c r="F551"/>
  <c r="AB551"/>
  <c r="L551"/>
  <c r="R551"/>
  <c r="V551"/>
  <c r="AF551"/>
  <c r="P551"/>
  <c r="Z551"/>
  <c r="C551"/>
  <c r="N551"/>
  <c r="T551"/>
  <c r="D551"/>
  <c r="AD551"/>
  <c r="B552"/>
  <c r="X552" l="1"/>
  <c r="H552"/>
  <c r="Z552"/>
  <c r="N552"/>
  <c r="AB552"/>
  <c r="L552"/>
  <c r="C552"/>
  <c r="AD552"/>
  <c r="AF552"/>
  <c r="P552"/>
  <c r="B553"/>
  <c r="J552"/>
  <c r="V552"/>
  <c r="T552"/>
  <c r="D552"/>
  <c r="R552"/>
  <c r="F552"/>
  <c r="B554" l="1"/>
  <c r="V553"/>
  <c r="F553"/>
  <c r="H553"/>
  <c r="T553"/>
  <c r="Z553"/>
  <c r="J553"/>
  <c r="P553"/>
  <c r="D553"/>
  <c r="AD553"/>
  <c r="N553"/>
  <c r="X553"/>
  <c r="L553"/>
  <c r="R553"/>
  <c r="AF553"/>
  <c r="AB553"/>
  <c r="C553"/>
  <c r="V554" l="1"/>
  <c r="F554"/>
  <c r="L554"/>
  <c r="C554"/>
  <c r="AD554"/>
  <c r="N554"/>
  <c r="AB554"/>
  <c r="X554"/>
  <c r="AF554"/>
  <c r="R554"/>
  <c r="B555"/>
  <c r="D554"/>
  <c r="P554"/>
  <c r="Z554"/>
  <c r="J554"/>
  <c r="T554"/>
  <c r="H554"/>
  <c r="T555" l="1"/>
  <c r="D555"/>
  <c r="B556"/>
  <c r="AD555"/>
  <c r="X555"/>
  <c r="H555"/>
  <c r="J555"/>
  <c r="F555"/>
  <c r="AB555"/>
  <c r="L555"/>
  <c r="R555"/>
  <c r="V555"/>
  <c r="AF555"/>
  <c r="P555"/>
  <c r="Z555"/>
  <c r="N555"/>
  <c r="C555"/>
  <c r="AB556" l="1"/>
  <c r="L556"/>
  <c r="C556"/>
  <c r="AD556"/>
  <c r="AF556"/>
  <c r="P556"/>
  <c r="J556"/>
  <c r="T556"/>
  <c r="D556"/>
  <c r="R556"/>
  <c r="V556"/>
  <c r="X556"/>
  <c r="H556"/>
  <c r="Z556"/>
  <c r="N556"/>
  <c r="B557"/>
  <c r="F556"/>
  <c r="B558" l="1"/>
  <c r="V557"/>
  <c r="F557"/>
  <c r="H557"/>
  <c r="T557"/>
  <c r="Z557"/>
  <c r="J557"/>
  <c r="P557"/>
  <c r="D557"/>
  <c r="AD557"/>
  <c r="N557"/>
  <c r="X557"/>
  <c r="L557"/>
  <c r="C557"/>
  <c r="R557"/>
  <c r="AF557"/>
  <c r="AB557"/>
  <c r="V558" l="1"/>
  <c r="F558"/>
  <c r="L558"/>
  <c r="C558"/>
  <c r="R558"/>
  <c r="B559"/>
  <c r="D558"/>
  <c r="P558"/>
  <c r="Z558"/>
  <c r="J558"/>
  <c r="T558"/>
  <c r="H558"/>
  <c r="AD558"/>
  <c r="N558"/>
  <c r="AB558"/>
  <c r="X558"/>
  <c r="AF558"/>
  <c r="T559" l="1"/>
  <c r="D559"/>
  <c r="B560"/>
  <c r="AD559"/>
  <c r="Z559"/>
  <c r="N559"/>
  <c r="X559"/>
  <c r="H559"/>
  <c r="J559"/>
  <c r="F559"/>
  <c r="AB559"/>
  <c r="L559"/>
  <c r="R559"/>
  <c r="V559"/>
  <c r="AF559"/>
  <c r="P559"/>
  <c r="C559"/>
  <c r="V560" l="1"/>
  <c r="X560"/>
  <c r="H560"/>
  <c r="N560"/>
  <c r="AB560"/>
  <c r="L560"/>
  <c r="AD560"/>
  <c r="AF560"/>
  <c r="P560"/>
  <c r="B561"/>
  <c r="J560"/>
  <c r="F560"/>
  <c r="T560"/>
  <c r="D560"/>
  <c r="R560"/>
  <c r="Z560"/>
  <c r="C560"/>
  <c r="Z561" l="1"/>
  <c r="J561"/>
  <c r="P561"/>
  <c r="D561"/>
  <c r="AD561"/>
  <c r="N561"/>
  <c r="X561"/>
  <c r="L561"/>
  <c r="C561"/>
  <c r="R561"/>
  <c r="AF561"/>
  <c r="AB561"/>
  <c r="B562"/>
  <c r="V561"/>
  <c r="F561"/>
  <c r="H561"/>
  <c r="T561"/>
  <c r="V562" l="1"/>
  <c r="F562"/>
  <c r="L562"/>
  <c r="C562"/>
  <c r="Z562"/>
  <c r="J562"/>
  <c r="T562"/>
  <c r="H562"/>
  <c r="AD562"/>
  <c r="N562"/>
  <c r="AB562"/>
  <c r="X562"/>
  <c r="AF562"/>
  <c r="R562"/>
  <c r="B563"/>
  <c r="P562"/>
  <c r="D562"/>
  <c r="R563" l="1"/>
  <c r="P563"/>
  <c r="Z563"/>
  <c r="AD563"/>
  <c r="D563"/>
  <c r="X563"/>
  <c r="H563"/>
  <c r="J563"/>
  <c r="F563"/>
  <c r="AB563"/>
  <c r="L563"/>
  <c r="V563"/>
  <c r="N563"/>
  <c r="AF563"/>
  <c r="C563"/>
  <c r="T563"/>
  <c r="B564"/>
  <c r="Z564" l="1"/>
  <c r="C564"/>
  <c r="P564"/>
  <c r="V564"/>
  <c r="T564"/>
  <c r="D564"/>
  <c r="R564"/>
  <c r="F564"/>
  <c r="X564"/>
  <c r="H564"/>
  <c r="N564"/>
  <c r="AB564"/>
  <c r="L564"/>
  <c r="AD564"/>
  <c r="AF564"/>
  <c r="B565"/>
  <c r="J564"/>
  <c r="B566" l="1"/>
  <c r="V565"/>
  <c r="F565"/>
  <c r="H565"/>
  <c r="T565"/>
  <c r="J565"/>
  <c r="AD565"/>
  <c r="N565"/>
  <c r="X565"/>
  <c r="L565"/>
  <c r="C565"/>
  <c r="R565"/>
  <c r="AF565"/>
  <c r="AB565"/>
  <c r="Z565"/>
  <c r="P565"/>
  <c r="D565"/>
  <c r="V566" l="1"/>
  <c r="F566"/>
  <c r="L566"/>
  <c r="C566"/>
  <c r="J566"/>
  <c r="H566"/>
  <c r="AD566"/>
  <c r="N566"/>
  <c r="AB566"/>
  <c r="X566"/>
  <c r="AF566"/>
  <c r="R566"/>
  <c r="B567"/>
  <c r="D566"/>
  <c r="P566"/>
  <c r="Z566"/>
  <c r="T566"/>
  <c r="AB567" l="1"/>
  <c r="L567"/>
  <c r="R567"/>
  <c r="V567"/>
  <c r="AF567"/>
  <c r="Z567"/>
  <c r="C567"/>
  <c r="T567"/>
  <c r="D567"/>
  <c r="B568"/>
  <c r="AD567"/>
  <c r="X567"/>
  <c r="H567"/>
  <c r="J567"/>
  <c r="F567"/>
  <c r="P567"/>
  <c r="N567"/>
  <c r="T568" l="1"/>
  <c r="D568"/>
  <c r="R568"/>
  <c r="V568"/>
  <c r="X568"/>
  <c r="H568"/>
  <c r="Z568"/>
  <c r="N568"/>
  <c r="AB568"/>
  <c r="L568"/>
  <c r="C568"/>
  <c r="AD568"/>
  <c r="AF568"/>
  <c r="P568"/>
  <c r="B569"/>
  <c r="J568"/>
  <c r="F568"/>
  <c r="Z569" l="1"/>
  <c r="J569"/>
  <c r="P569"/>
  <c r="D569"/>
  <c r="AD569"/>
  <c r="N569"/>
  <c r="X569"/>
  <c r="L569"/>
  <c r="C569"/>
  <c r="R569"/>
  <c r="AF569"/>
  <c r="AB569"/>
  <c r="B570"/>
  <c r="V569"/>
  <c r="F569"/>
  <c r="H569"/>
  <c r="T569"/>
  <c r="AD570" l="1"/>
  <c r="N570"/>
  <c r="AB570"/>
  <c r="X570"/>
  <c r="AF570"/>
  <c r="C570"/>
  <c r="Z570"/>
  <c r="J570"/>
  <c r="T570"/>
  <c r="H570"/>
  <c r="R570"/>
  <c r="B571"/>
  <c r="D570"/>
  <c r="P570"/>
  <c r="V570"/>
  <c r="F570"/>
  <c r="L570"/>
  <c r="AB571" l="1"/>
  <c r="L571"/>
  <c r="R571"/>
  <c r="V571"/>
  <c r="AF571"/>
  <c r="P571"/>
  <c r="Z571"/>
  <c r="C571"/>
  <c r="N571"/>
  <c r="T571"/>
  <c r="D571"/>
  <c r="B572"/>
  <c r="AD571"/>
  <c r="X571"/>
  <c r="J571"/>
  <c r="F571"/>
  <c r="H571"/>
  <c r="T572" l="1"/>
  <c r="D572"/>
  <c r="R572"/>
  <c r="F572"/>
  <c r="X572"/>
  <c r="Z572"/>
  <c r="AF572"/>
  <c r="P572"/>
  <c r="B573"/>
  <c r="J572"/>
  <c r="V572"/>
  <c r="H572"/>
  <c r="N572"/>
  <c r="AB572"/>
  <c r="L572"/>
  <c r="C572"/>
  <c r="AD572"/>
  <c r="B574" l="1"/>
  <c r="V573"/>
  <c r="F573"/>
  <c r="H573"/>
  <c r="T573"/>
  <c r="Z573"/>
  <c r="J573"/>
  <c r="D573"/>
  <c r="AD573"/>
  <c r="N573"/>
  <c r="X573"/>
  <c r="L573"/>
  <c r="C573"/>
  <c r="R573"/>
  <c r="AF573"/>
  <c r="AB573"/>
  <c r="P573"/>
  <c r="AD574" l="1"/>
  <c r="N574"/>
  <c r="AB574"/>
  <c r="X574"/>
  <c r="AF574"/>
  <c r="R574"/>
  <c r="B575"/>
  <c r="D574"/>
  <c r="P574"/>
  <c r="V574"/>
  <c r="F574"/>
  <c r="L574"/>
  <c r="C574"/>
  <c r="Z574"/>
  <c r="J574"/>
  <c r="T574"/>
  <c r="H574"/>
  <c r="T575" l="1"/>
  <c r="D575"/>
  <c r="B576"/>
  <c r="AD575"/>
  <c r="X575"/>
  <c r="H575"/>
  <c r="J575"/>
  <c r="F575"/>
  <c r="AB575"/>
  <c r="L575"/>
  <c r="R575"/>
  <c r="V575"/>
  <c r="AF575"/>
  <c r="P575"/>
  <c r="Z575"/>
  <c r="N575"/>
  <c r="C575"/>
  <c r="T576" l="1"/>
  <c r="D576"/>
  <c r="R576"/>
  <c r="V576"/>
  <c r="X576"/>
  <c r="H576"/>
  <c r="Z576"/>
  <c r="N576"/>
  <c r="AB576"/>
  <c r="L576"/>
  <c r="C576"/>
  <c r="AD576"/>
  <c r="AF576"/>
  <c r="P576"/>
  <c r="B577"/>
  <c r="J576"/>
  <c r="F576"/>
  <c r="C577" l="1"/>
  <c r="H577"/>
  <c r="Z577"/>
  <c r="J577"/>
  <c r="P577"/>
  <c r="D577"/>
  <c r="AD577"/>
  <c r="N577"/>
  <c r="X577"/>
  <c r="L577"/>
  <c r="R577"/>
  <c r="AF577"/>
  <c r="AB577"/>
  <c r="B578"/>
  <c r="V577"/>
  <c r="F577"/>
  <c r="T577"/>
  <c r="AD578" l="1"/>
  <c r="AB578"/>
  <c r="AF578"/>
  <c r="R578"/>
  <c r="B579"/>
  <c r="P578"/>
  <c r="V578"/>
  <c r="F578"/>
  <c r="L578"/>
  <c r="C578"/>
  <c r="Z578"/>
  <c r="J578"/>
  <c r="T578"/>
  <c r="H578"/>
  <c r="N578"/>
  <c r="X578"/>
  <c r="D578"/>
  <c r="X579" l="1"/>
  <c r="H579"/>
  <c r="J579"/>
  <c r="F579"/>
  <c r="AB579"/>
  <c r="L579"/>
  <c r="R579"/>
  <c r="V579"/>
  <c r="N579"/>
  <c r="AF579"/>
  <c r="P579"/>
  <c r="Z579"/>
  <c r="C579"/>
  <c r="AD579"/>
  <c r="T579"/>
  <c r="D579"/>
  <c r="B580"/>
  <c r="X580" l="1"/>
  <c r="H580"/>
  <c r="Z580"/>
  <c r="N580"/>
  <c r="AB580"/>
  <c r="L580"/>
  <c r="C580"/>
  <c r="AD580"/>
  <c r="AF580"/>
  <c r="P580"/>
  <c r="B581"/>
  <c r="J580"/>
  <c r="F580"/>
  <c r="R580"/>
  <c r="T580"/>
  <c r="D580"/>
  <c r="V580"/>
  <c r="C581" l="1"/>
  <c r="R581"/>
  <c r="AF581"/>
  <c r="AB581"/>
  <c r="AD581"/>
  <c r="N581"/>
  <c r="X581"/>
  <c r="L581"/>
  <c r="B582"/>
  <c r="V581"/>
  <c r="F581"/>
  <c r="H581"/>
  <c r="T581"/>
  <c r="Z581"/>
  <c r="J581"/>
  <c r="P581"/>
  <c r="D581"/>
  <c r="AD582" l="1"/>
  <c r="N582"/>
  <c r="AB582"/>
  <c r="X582"/>
  <c r="AF582"/>
  <c r="V582"/>
  <c r="F582"/>
  <c r="C582"/>
  <c r="R582"/>
  <c r="B583"/>
  <c r="D582"/>
  <c r="P582"/>
  <c r="L582"/>
  <c r="Z582"/>
  <c r="J582"/>
  <c r="T582"/>
  <c r="H582"/>
  <c r="T583" l="1"/>
  <c r="D583"/>
  <c r="B584"/>
  <c r="AD583"/>
  <c r="X583"/>
  <c r="H583"/>
  <c r="J583"/>
  <c r="F583"/>
  <c r="AB583"/>
  <c r="L583"/>
  <c r="R583"/>
  <c r="V583"/>
  <c r="AF583"/>
  <c r="Z583"/>
  <c r="C583"/>
  <c r="P583"/>
  <c r="N583"/>
  <c r="L584" l="1"/>
  <c r="P584"/>
  <c r="J584"/>
  <c r="T584"/>
  <c r="R584"/>
  <c r="X584"/>
  <c r="H584"/>
  <c r="Z584"/>
  <c r="N584"/>
  <c r="AB584"/>
  <c r="C584"/>
  <c r="AD584"/>
  <c r="AF584"/>
  <c r="B585"/>
  <c r="F584"/>
  <c r="D584"/>
  <c r="V584"/>
  <c r="P585" l="1"/>
  <c r="AD585"/>
  <c r="N585"/>
  <c r="X585"/>
  <c r="L585"/>
  <c r="C585"/>
  <c r="R585"/>
  <c r="AF585"/>
  <c r="AB585"/>
  <c r="B586"/>
  <c r="V585"/>
  <c r="F585"/>
  <c r="H585"/>
  <c r="T585"/>
  <c r="Z585"/>
  <c r="J585"/>
  <c r="D585"/>
  <c r="AD586" l="1"/>
  <c r="N586"/>
  <c r="AB586"/>
  <c r="X586"/>
  <c r="AF586"/>
  <c r="Z586"/>
  <c r="J586"/>
  <c r="T586"/>
  <c r="H586"/>
  <c r="R586"/>
  <c r="B587"/>
  <c r="D586"/>
  <c r="P586"/>
  <c r="V586"/>
  <c r="F586"/>
  <c r="L586"/>
  <c r="C586"/>
  <c r="X587" l="1"/>
  <c r="H587"/>
  <c r="J587"/>
  <c r="F587"/>
  <c r="T587"/>
  <c r="D587"/>
  <c r="AD587"/>
  <c r="AB587"/>
  <c r="L587"/>
  <c r="R587"/>
  <c r="V587"/>
  <c r="AF587"/>
  <c r="P587"/>
  <c r="Z587"/>
  <c r="C587"/>
  <c r="N587"/>
  <c r="B588"/>
  <c r="X588" l="1"/>
  <c r="H588"/>
  <c r="Z588"/>
  <c r="N588"/>
  <c r="AB588"/>
  <c r="C588"/>
  <c r="AF588"/>
  <c r="P588"/>
  <c r="J588"/>
  <c r="T588"/>
  <c r="D588"/>
  <c r="R588"/>
  <c r="V588"/>
  <c r="L588"/>
  <c r="AD588"/>
  <c r="B589"/>
  <c r="F588"/>
  <c r="Z589" l="1"/>
  <c r="J589"/>
  <c r="P589"/>
  <c r="D589"/>
  <c r="C589"/>
  <c r="R589"/>
  <c r="AF589"/>
  <c r="AB589"/>
  <c r="B590"/>
  <c r="V589"/>
  <c r="F589"/>
  <c r="H589"/>
  <c r="T589"/>
  <c r="AD589"/>
  <c r="N589"/>
  <c r="X589"/>
  <c r="L589"/>
  <c r="R590" l="1"/>
  <c r="B591"/>
  <c r="D590"/>
  <c r="P590"/>
  <c r="V590"/>
  <c r="F590"/>
  <c r="L590"/>
  <c r="C590"/>
  <c r="Z590"/>
  <c r="J590"/>
  <c r="T590"/>
  <c r="H590"/>
  <c r="AD590"/>
  <c r="N590"/>
  <c r="AB590"/>
  <c r="X590"/>
  <c r="AF590"/>
  <c r="T591" l="1"/>
  <c r="D591"/>
  <c r="B592"/>
  <c r="AD591"/>
  <c r="H591"/>
  <c r="F591"/>
  <c r="AF591"/>
  <c r="P591"/>
  <c r="Z591"/>
  <c r="C591"/>
  <c r="N591"/>
  <c r="X591"/>
  <c r="J591"/>
  <c r="AB591"/>
  <c r="L591"/>
  <c r="R591"/>
  <c r="V591"/>
  <c r="N592" l="1"/>
  <c r="L592"/>
  <c r="C592"/>
  <c r="AF592"/>
  <c r="P592"/>
  <c r="B593"/>
  <c r="J592"/>
  <c r="F592"/>
  <c r="T592"/>
  <c r="D592"/>
  <c r="R592"/>
  <c r="V592"/>
  <c r="X592"/>
  <c r="H592"/>
  <c r="Z592"/>
  <c r="AB592"/>
  <c r="AD592"/>
  <c r="C593" l="1"/>
  <c r="R593"/>
  <c r="AF593"/>
  <c r="AB593"/>
  <c r="B594"/>
  <c r="F593"/>
  <c r="H593"/>
  <c r="V593"/>
  <c r="T593"/>
  <c r="Z593"/>
  <c r="J593"/>
  <c r="P593"/>
  <c r="D593"/>
  <c r="AD593"/>
  <c r="N593"/>
  <c r="X593"/>
  <c r="L593"/>
  <c r="AD594" l="1"/>
  <c r="N594"/>
  <c r="AB594"/>
  <c r="X594"/>
  <c r="AF594"/>
  <c r="R594"/>
  <c r="B595"/>
  <c r="D594"/>
  <c r="P594"/>
  <c r="V594"/>
  <c r="L594"/>
  <c r="C594"/>
  <c r="J594"/>
  <c r="H594"/>
  <c r="F594"/>
  <c r="Z594"/>
  <c r="T594"/>
  <c r="H595" l="1"/>
  <c r="R595"/>
  <c r="Z595"/>
  <c r="N595"/>
  <c r="T595"/>
  <c r="D595"/>
  <c r="B596"/>
  <c r="AD595"/>
  <c r="X595"/>
  <c r="J595"/>
  <c r="F595"/>
  <c r="AB595"/>
  <c r="L595"/>
  <c r="V595"/>
  <c r="AF595"/>
  <c r="P595"/>
  <c r="C595"/>
  <c r="L596" l="1"/>
  <c r="AD596"/>
  <c r="X596"/>
  <c r="Z596"/>
  <c r="R596"/>
  <c r="V596"/>
  <c r="D596"/>
  <c r="AB596"/>
  <c r="B597"/>
  <c r="AF596"/>
  <c r="H596"/>
  <c r="C596"/>
  <c r="J596"/>
  <c r="F596"/>
  <c r="T596"/>
  <c r="P596"/>
  <c r="N596"/>
  <c r="T597" l="1"/>
  <c r="D597"/>
  <c r="AD597"/>
  <c r="R597"/>
  <c r="X597"/>
  <c r="H597"/>
  <c r="B598"/>
  <c r="F597"/>
  <c r="AB597"/>
  <c r="L597"/>
  <c r="J597"/>
  <c r="C597"/>
  <c r="AF597"/>
  <c r="P597"/>
  <c r="Z597"/>
  <c r="N597"/>
  <c r="V597"/>
  <c r="Z598" l="1"/>
  <c r="B599"/>
  <c r="H598"/>
  <c r="V598"/>
  <c r="T598"/>
  <c r="AB598"/>
  <c r="AD598"/>
  <c r="X598"/>
  <c r="P598"/>
  <c r="AF598"/>
  <c r="C598"/>
  <c r="D598"/>
  <c r="L598"/>
  <c r="N598"/>
  <c r="F598"/>
  <c r="R598"/>
  <c r="J598"/>
  <c r="Z599" l="1"/>
  <c r="D599"/>
  <c r="AD599"/>
  <c r="N599"/>
  <c r="AF599"/>
  <c r="R599"/>
  <c r="X599"/>
  <c r="L599"/>
  <c r="T599"/>
  <c r="V599"/>
  <c r="F599"/>
  <c r="AB599"/>
  <c r="P599"/>
  <c r="J599"/>
  <c r="C599"/>
  <c r="H599"/>
  <c r="B600"/>
  <c r="F600" l="1"/>
  <c r="D600"/>
  <c r="H600"/>
  <c r="C600"/>
  <c r="R600"/>
  <c r="AF600"/>
  <c r="Z600"/>
  <c r="AB600"/>
  <c r="B601"/>
  <c r="X600"/>
  <c r="P600"/>
  <c r="J600"/>
  <c r="AD600"/>
  <c r="L600"/>
  <c r="V600"/>
  <c r="T600"/>
  <c r="N600"/>
  <c r="T601" l="1"/>
  <c r="D601"/>
  <c r="AD601"/>
  <c r="R601"/>
  <c r="AB601"/>
  <c r="L601"/>
  <c r="C601"/>
  <c r="AF601"/>
  <c r="P601"/>
  <c r="Z601"/>
  <c r="N601"/>
  <c r="V601"/>
  <c r="X601"/>
  <c r="H601"/>
  <c r="B602"/>
  <c r="F601"/>
  <c r="J601"/>
  <c r="J602" l="1"/>
  <c r="X602"/>
  <c r="P602"/>
  <c r="C602"/>
  <c r="Z602"/>
  <c r="L602"/>
  <c r="B603"/>
  <c r="N602"/>
  <c r="H602"/>
  <c r="F602"/>
  <c r="V602"/>
  <c r="T602"/>
  <c r="R602"/>
  <c r="AB602"/>
  <c r="AD602"/>
  <c r="AF602"/>
  <c r="D602"/>
  <c r="R603" l="1"/>
  <c r="X603"/>
  <c r="L603"/>
  <c r="B604"/>
  <c r="F603"/>
  <c r="P603"/>
  <c r="Z603"/>
  <c r="C603"/>
  <c r="D603"/>
  <c r="AD603"/>
  <c r="N603"/>
  <c r="AF603"/>
  <c r="V603"/>
  <c r="AB603"/>
  <c r="J603"/>
  <c r="H603"/>
  <c r="T603"/>
  <c r="AF604" l="1"/>
  <c r="Z604"/>
  <c r="AB604"/>
  <c r="B605"/>
  <c r="C604"/>
  <c r="L604"/>
  <c r="V604"/>
  <c r="T604"/>
  <c r="R604"/>
  <c r="N604"/>
  <c r="F604"/>
  <c r="D604"/>
  <c r="H604"/>
  <c r="X604"/>
  <c r="P604"/>
  <c r="J604"/>
  <c r="AD604"/>
  <c r="AB605" l="1"/>
  <c r="P605"/>
  <c r="N605"/>
  <c r="T605"/>
  <c r="D605"/>
  <c r="AD605"/>
  <c r="X605"/>
  <c r="H605"/>
  <c r="B606"/>
  <c r="F605"/>
  <c r="L605"/>
  <c r="J605"/>
  <c r="C605"/>
  <c r="AF605"/>
  <c r="Z605"/>
  <c r="V605"/>
  <c r="R605"/>
  <c r="T606" l="1"/>
  <c r="R606"/>
  <c r="AB606"/>
  <c r="J606"/>
  <c r="C606"/>
  <c r="D606"/>
  <c r="Z606"/>
  <c r="L606"/>
  <c r="B607"/>
  <c r="N606"/>
  <c r="H606"/>
  <c r="F606"/>
  <c r="V606"/>
  <c r="AD606"/>
  <c r="X606"/>
  <c r="P606"/>
  <c r="AF606"/>
  <c r="AD607" l="1"/>
  <c r="N607"/>
  <c r="H607"/>
  <c r="AF607"/>
  <c r="T607"/>
  <c r="R607"/>
  <c r="X607"/>
  <c r="L607"/>
  <c r="B608"/>
  <c r="V607"/>
  <c r="F607"/>
  <c r="AB607"/>
  <c r="P607"/>
  <c r="Z607"/>
  <c r="J607"/>
  <c r="C607"/>
  <c r="D607"/>
  <c r="P608" l="1"/>
  <c r="J608"/>
  <c r="AD608"/>
  <c r="L608"/>
  <c r="V608"/>
  <c r="T608"/>
  <c r="R608"/>
  <c r="N608"/>
  <c r="Z608"/>
  <c r="B609"/>
  <c r="F608"/>
  <c r="D608"/>
  <c r="C608"/>
  <c r="AF608"/>
  <c r="AB608"/>
  <c r="X608"/>
  <c r="H608"/>
  <c r="AF609" l="1"/>
  <c r="P609"/>
  <c r="Z609"/>
  <c r="N609"/>
  <c r="V609"/>
  <c r="T609"/>
  <c r="D609"/>
  <c r="AD609"/>
  <c r="R609"/>
  <c r="X609"/>
  <c r="H609"/>
  <c r="B610"/>
  <c r="F609"/>
  <c r="AB609"/>
  <c r="L609"/>
  <c r="J609"/>
  <c r="C609"/>
  <c r="P610" l="1"/>
  <c r="D610"/>
  <c r="L610"/>
  <c r="B611"/>
  <c r="N610"/>
  <c r="F610"/>
  <c r="V610"/>
  <c r="T610"/>
  <c r="R610"/>
  <c r="AB610"/>
  <c r="J610"/>
  <c r="AD610"/>
  <c r="X610"/>
  <c r="AF610"/>
  <c r="C610"/>
  <c r="Z610"/>
  <c r="H610"/>
  <c r="Z611" l="1"/>
  <c r="J611"/>
  <c r="C611"/>
  <c r="D611"/>
  <c r="AD611"/>
  <c r="N611"/>
  <c r="H611"/>
  <c r="AF611"/>
  <c r="T611"/>
  <c r="R611"/>
  <c r="X611"/>
  <c r="L611"/>
  <c r="B612"/>
  <c r="V611"/>
  <c r="F611"/>
  <c r="AB611"/>
  <c r="P611"/>
  <c r="AF612" l="1"/>
  <c r="Z612"/>
  <c r="AB612"/>
  <c r="B613"/>
  <c r="X612"/>
  <c r="F612"/>
  <c r="D612"/>
  <c r="H612"/>
  <c r="C612"/>
  <c r="V612"/>
  <c r="T612"/>
  <c r="N612"/>
  <c r="P612"/>
  <c r="J612"/>
  <c r="AD612"/>
  <c r="L612"/>
  <c r="R612"/>
  <c r="AF613" l="1"/>
  <c r="P613"/>
  <c r="Z613"/>
  <c r="N613"/>
  <c r="V613"/>
  <c r="X613"/>
  <c r="H613"/>
  <c r="B614"/>
  <c r="F613"/>
  <c r="AB613"/>
  <c r="L613"/>
  <c r="J613"/>
  <c r="C613"/>
  <c r="T613"/>
  <c r="D613"/>
  <c r="AD613"/>
  <c r="R613"/>
  <c r="X614" l="1"/>
  <c r="J614"/>
  <c r="P614"/>
  <c r="Z614"/>
  <c r="C614"/>
  <c r="AF614"/>
  <c r="V614"/>
  <c r="N614"/>
  <c r="B615"/>
  <c r="H614"/>
  <c r="AD614"/>
  <c r="F614"/>
  <c r="AB614"/>
  <c r="R614"/>
  <c r="D614"/>
  <c r="T614"/>
  <c r="L614"/>
  <c r="V615" l="1"/>
  <c r="F615"/>
  <c r="D615"/>
  <c r="B616"/>
  <c r="P615"/>
  <c r="R615"/>
  <c r="AB615"/>
  <c r="X615"/>
  <c r="H615"/>
  <c r="Z615"/>
  <c r="J615"/>
  <c r="AF615"/>
  <c r="C615"/>
  <c r="AD615"/>
  <c r="N615"/>
  <c r="L615"/>
  <c r="T615"/>
  <c r="D616" l="1"/>
  <c r="B617"/>
  <c r="J616"/>
  <c r="V616"/>
  <c r="T616"/>
  <c r="F616"/>
  <c r="C616"/>
  <c r="Z616"/>
  <c r="L616"/>
  <c r="R616"/>
  <c r="H616"/>
  <c r="N616"/>
  <c r="X616"/>
  <c r="AD616"/>
  <c r="AF616"/>
  <c r="P616"/>
  <c r="AB616"/>
  <c r="AF617" l="1"/>
  <c r="P617"/>
  <c r="B618"/>
  <c r="V617"/>
  <c r="R617"/>
  <c r="T617"/>
  <c r="D617"/>
  <c r="C617"/>
  <c r="J617"/>
  <c r="X617"/>
  <c r="H617"/>
  <c r="N617"/>
  <c r="Z617"/>
  <c r="AB617"/>
  <c r="L617"/>
  <c r="AD617"/>
  <c r="F617"/>
  <c r="B619" l="1"/>
  <c r="H618"/>
  <c r="AD618"/>
  <c r="F618"/>
  <c r="N618"/>
  <c r="X618"/>
  <c r="J618"/>
  <c r="L618"/>
  <c r="C618"/>
  <c r="AF618"/>
  <c r="V618"/>
  <c r="AB618"/>
  <c r="R618"/>
  <c r="D618"/>
  <c r="T618"/>
  <c r="Z618"/>
  <c r="P618"/>
  <c r="Z619" l="1"/>
  <c r="AF619"/>
  <c r="AD619"/>
  <c r="L619"/>
  <c r="P619"/>
  <c r="H619"/>
  <c r="R619"/>
  <c r="AB619"/>
  <c r="X619"/>
  <c r="V619"/>
  <c r="F619"/>
  <c r="D619"/>
  <c r="T619"/>
  <c r="J619"/>
  <c r="C619"/>
  <c r="N619"/>
  <c r="B620"/>
  <c r="J620" l="1"/>
  <c r="AF620"/>
  <c r="V620"/>
  <c r="P620"/>
  <c r="T620"/>
  <c r="F620"/>
  <c r="C620"/>
  <c r="N620"/>
  <c r="Z620"/>
  <c r="L620"/>
  <c r="R620"/>
  <c r="H620"/>
  <c r="AB620"/>
  <c r="D620"/>
  <c r="X620"/>
  <c r="B621"/>
  <c r="AD620"/>
  <c r="AB621" l="1"/>
  <c r="L621"/>
  <c r="AD621"/>
  <c r="F621"/>
  <c r="P621"/>
  <c r="V621"/>
  <c r="T621"/>
  <c r="D621"/>
  <c r="C621"/>
  <c r="R621"/>
  <c r="X621"/>
  <c r="H621"/>
  <c r="N621"/>
  <c r="Z621"/>
  <c r="AF621"/>
  <c r="B622"/>
  <c r="J621"/>
  <c r="R622" l="1"/>
  <c r="D622"/>
  <c r="T622"/>
  <c r="Z622"/>
  <c r="X622"/>
  <c r="J622"/>
  <c r="P622"/>
  <c r="L622"/>
  <c r="B623"/>
  <c r="H622"/>
  <c r="AD622"/>
  <c r="F622"/>
  <c r="AB622"/>
  <c r="C622"/>
  <c r="AF622"/>
  <c r="V622"/>
  <c r="N622"/>
  <c r="Z623" l="1"/>
  <c r="J623"/>
  <c r="L623"/>
  <c r="C623"/>
  <c r="AF623"/>
  <c r="X623"/>
  <c r="V623"/>
  <c r="F623"/>
  <c r="D623"/>
  <c r="H623"/>
  <c r="AD623"/>
  <c r="N623"/>
  <c r="AB623"/>
  <c r="P623"/>
  <c r="T623"/>
  <c r="R623"/>
  <c r="B624"/>
  <c r="B625" l="1"/>
  <c r="H624"/>
  <c r="J624"/>
  <c r="L624"/>
  <c r="AB624"/>
  <c r="N624"/>
  <c r="T624"/>
  <c r="F624"/>
  <c r="AF624"/>
  <c r="X624"/>
  <c r="Z624"/>
  <c r="V624"/>
  <c r="C624"/>
  <c r="R624"/>
  <c r="P624"/>
  <c r="AD624"/>
  <c r="D624"/>
  <c r="AB625" l="1"/>
  <c r="L625"/>
  <c r="B626"/>
  <c r="Z625"/>
  <c r="X625"/>
  <c r="H625"/>
  <c r="AD625"/>
  <c r="V625"/>
  <c r="AF625"/>
  <c r="P625"/>
  <c r="R625"/>
  <c r="C625"/>
  <c r="J625"/>
  <c r="T625"/>
  <c r="D625"/>
  <c r="N625"/>
  <c r="F625"/>
  <c r="B627" l="1"/>
  <c r="L626"/>
  <c r="H626"/>
  <c r="T626"/>
  <c r="N626"/>
  <c r="R626"/>
  <c r="P626"/>
  <c r="AB626"/>
  <c r="X626"/>
  <c r="J626"/>
  <c r="Z626"/>
  <c r="C626"/>
  <c r="F626"/>
  <c r="AF626"/>
  <c r="D626"/>
  <c r="V626"/>
  <c r="AD626"/>
  <c r="Z627" l="1"/>
  <c r="J627"/>
  <c r="AB627"/>
  <c r="D627"/>
  <c r="AD627"/>
  <c r="N627"/>
  <c r="P627"/>
  <c r="B628"/>
  <c r="T627"/>
  <c r="R627"/>
  <c r="AF627"/>
  <c r="C627"/>
  <c r="F627"/>
  <c r="X627"/>
  <c r="H627"/>
  <c r="V627"/>
  <c r="L627"/>
  <c r="AD628" l="1"/>
  <c r="C628"/>
  <c r="D628"/>
  <c r="R628"/>
  <c r="X628"/>
  <c r="Z628"/>
  <c r="P628"/>
  <c r="V628"/>
  <c r="B629"/>
  <c r="H628"/>
  <c r="J628"/>
  <c r="L628"/>
  <c r="AB628"/>
  <c r="N628"/>
  <c r="T628"/>
  <c r="F628"/>
  <c r="AF628"/>
  <c r="AF629" l="1"/>
  <c r="R629"/>
  <c r="J629"/>
  <c r="T629"/>
  <c r="D629"/>
  <c r="N629"/>
  <c r="F629"/>
  <c r="X629"/>
  <c r="H629"/>
  <c r="AD629"/>
  <c r="V629"/>
  <c r="AB629"/>
  <c r="L629"/>
  <c r="B630"/>
  <c r="Z629"/>
  <c r="P629"/>
  <c r="C629"/>
  <c r="B631" l="1"/>
  <c r="L630"/>
  <c r="H630"/>
  <c r="T630"/>
  <c r="N630"/>
  <c r="C630"/>
  <c r="AF630"/>
  <c r="V630"/>
  <c r="R630"/>
  <c r="AD630"/>
  <c r="P630"/>
  <c r="AB630"/>
  <c r="X630"/>
  <c r="J630"/>
  <c r="Z630"/>
  <c r="F630"/>
  <c r="D630"/>
  <c r="V631" l="1"/>
  <c r="F631"/>
  <c r="L631"/>
  <c r="X631"/>
  <c r="Z631"/>
  <c r="J631"/>
  <c r="AB631"/>
  <c r="D631"/>
  <c r="AD631"/>
  <c r="N631"/>
  <c r="P631"/>
  <c r="B632"/>
  <c r="T631"/>
  <c r="R631"/>
  <c r="AF631"/>
  <c r="H631"/>
  <c r="C631"/>
  <c r="N632" l="1"/>
  <c r="T632"/>
  <c r="F632"/>
  <c r="AF632"/>
  <c r="B633"/>
  <c r="H632"/>
  <c r="J632"/>
  <c r="L632"/>
  <c r="AB632"/>
  <c r="X632"/>
  <c r="Z632"/>
  <c r="P632"/>
  <c r="V632"/>
  <c r="AD632"/>
  <c r="C632"/>
  <c r="D632"/>
  <c r="R632"/>
  <c r="X633" l="1"/>
  <c r="H633"/>
  <c r="AD633"/>
  <c r="V633"/>
  <c r="AB633"/>
  <c r="L633"/>
  <c r="B634"/>
  <c r="Z633"/>
  <c r="P633"/>
  <c r="C633"/>
  <c r="T633"/>
  <c r="D633"/>
  <c r="N633"/>
  <c r="F633"/>
  <c r="AF633"/>
  <c r="R633"/>
  <c r="J633"/>
  <c r="C634" l="1"/>
  <c r="F634"/>
  <c r="AF634"/>
  <c r="D634"/>
  <c r="AB634"/>
  <c r="X634"/>
  <c r="J634"/>
  <c r="Z634"/>
  <c r="B635"/>
  <c r="L634"/>
  <c r="H634"/>
  <c r="T634"/>
  <c r="N634"/>
  <c r="V634"/>
  <c r="R634"/>
  <c r="AD634"/>
  <c r="P634"/>
  <c r="R635" l="1"/>
  <c r="AF635"/>
  <c r="H635"/>
  <c r="C635"/>
  <c r="F635"/>
  <c r="X635"/>
  <c r="AD635"/>
  <c r="N635"/>
  <c r="P635"/>
  <c r="B636"/>
  <c r="T635"/>
  <c r="V635"/>
  <c r="L635"/>
  <c r="Z635"/>
  <c r="J635"/>
  <c r="AB635"/>
  <c r="D635"/>
  <c r="X636" l="1"/>
  <c r="V636"/>
  <c r="C636"/>
  <c r="R636"/>
  <c r="L636"/>
  <c r="N636"/>
  <c r="T636"/>
  <c r="F636"/>
  <c r="AF636"/>
  <c r="Z636"/>
  <c r="P636"/>
  <c r="AD636"/>
  <c r="D636"/>
  <c r="B637"/>
  <c r="H636"/>
  <c r="J636"/>
  <c r="AB636"/>
  <c r="AF637" l="1"/>
  <c r="C637"/>
  <c r="F637"/>
  <c r="X637"/>
  <c r="H637"/>
  <c r="AD637"/>
  <c r="V637"/>
  <c r="AB637"/>
  <c r="L637"/>
  <c r="B638"/>
  <c r="Z637"/>
  <c r="P637"/>
  <c r="R637"/>
  <c r="J637"/>
  <c r="T637"/>
  <c r="D637"/>
  <c r="N637"/>
  <c r="R638" l="1"/>
  <c r="AB638"/>
  <c r="X638"/>
  <c r="J638"/>
  <c r="C638"/>
  <c r="F638"/>
  <c r="AF638"/>
  <c r="B639"/>
  <c r="L638"/>
  <c r="H638"/>
  <c r="T638"/>
  <c r="N638"/>
  <c r="V638"/>
  <c r="AD638"/>
  <c r="P638"/>
  <c r="Z638"/>
  <c r="D638"/>
  <c r="AD639" l="1"/>
  <c r="N639"/>
  <c r="P639"/>
  <c r="B640"/>
  <c r="T639"/>
  <c r="R639"/>
  <c r="AF639"/>
  <c r="H639"/>
  <c r="C639"/>
  <c r="V639"/>
  <c r="F639"/>
  <c r="L639"/>
  <c r="X639"/>
  <c r="Z639"/>
  <c r="J639"/>
  <c r="AB639"/>
  <c r="D639"/>
  <c r="X640" l="1"/>
  <c r="Z640"/>
  <c r="P640"/>
  <c r="V640"/>
  <c r="AD640"/>
  <c r="C640"/>
  <c r="D640"/>
  <c r="R640"/>
  <c r="B641"/>
  <c r="H640"/>
  <c r="L640"/>
  <c r="N640"/>
  <c r="T640"/>
  <c r="F640"/>
  <c r="AF640"/>
  <c r="J640"/>
  <c r="AB640"/>
  <c r="AB641" l="1"/>
  <c r="L641"/>
  <c r="B642"/>
  <c r="Z641"/>
  <c r="AF641"/>
  <c r="P641"/>
  <c r="R641"/>
  <c r="C641"/>
  <c r="J641"/>
  <c r="X641"/>
  <c r="H641"/>
  <c r="AD641"/>
  <c r="V641"/>
  <c r="T641"/>
  <c r="D641"/>
  <c r="N641"/>
  <c r="F641"/>
  <c r="V642" l="1"/>
  <c r="R642"/>
  <c r="AD642"/>
  <c r="P642"/>
  <c r="H642"/>
  <c r="AB642"/>
  <c r="X642"/>
  <c r="J642"/>
  <c r="Z642"/>
  <c r="C642"/>
  <c r="F642"/>
  <c r="AF642"/>
  <c r="D642"/>
  <c r="B643"/>
  <c r="L642"/>
  <c r="T642"/>
  <c r="N642"/>
  <c r="V643" l="1"/>
  <c r="F643"/>
  <c r="L643"/>
  <c r="C643"/>
  <c r="R643"/>
  <c r="AF643"/>
  <c r="H643"/>
  <c r="X643"/>
  <c r="Z643"/>
  <c r="J643"/>
  <c r="AB643"/>
  <c r="D643"/>
  <c r="AD643"/>
  <c r="N643"/>
  <c r="P643"/>
  <c r="B644"/>
  <c r="T643"/>
  <c r="X644" l="1"/>
  <c r="Z644"/>
  <c r="P644"/>
  <c r="V644"/>
  <c r="AD644"/>
  <c r="C644"/>
  <c r="D644"/>
  <c r="R644"/>
  <c r="B645"/>
  <c r="H644"/>
  <c r="J644"/>
  <c r="L644"/>
  <c r="AB644"/>
  <c r="N644"/>
  <c r="T644"/>
  <c r="F644"/>
  <c r="AF644"/>
  <c r="AF645" l="1"/>
  <c r="R645"/>
  <c r="T645"/>
  <c r="N645"/>
  <c r="H645"/>
  <c r="AD645"/>
  <c r="AB645"/>
  <c r="L645"/>
  <c r="B646"/>
  <c r="Z645"/>
  <c r="P645"/>
  <c r="C645"/>
  <c r="J645"/>
  <c r="D645"/>
  <c r="F645"/>
  <c r="X645"/>
  <c r="V645"/>
  <c r="C646" l="1"/>
  <c r="F646"/>
  <c r="AF646"/>
  <c r="D646"/>
  <c r="V646"/>
  <c r="AD646"/>
  <c r="AB646"/>
  <c r="X646"/>
  <c r="J646"/>
  <c r="Z646"/>
  <c r="B647"/>
  <c r="L646"/>
  <c r="H646"/>
  <c r="T646"/>
  <c r="N646"/>
  <c r="R646"/>
  <c r="P646"/>
  <c r="AF647" l="1"/>
  <c r="X647"/>
  <c r="V647"/>
  <c r="F647"/>
  <c r="C647"/>
  <c r="Z647"/>
  <c r="AB647"/>
  <c r="D647"/>
  <c r="AD647"/>
  <c r="N647"/>
  <c r="P647"/>
  <c r="B648"/>
  <c r="T647"/>
  <c r="R647"/>
  <c r="H647"/>
  <c r="L647"/>
  <c r="J647"/>
  <c r="AD648" l="1"/>
  <c r="C648"/>
  <c r="D648"/>
  <c r="R648"/>
  <c r="B649"/>
  <c r="H648"/>
  <c r="J648"/>
  <c r="L648"/>
  <c r="AB648"/>
  <c r="N648"/>
  <c r="T648"/>
  <c r="F648"/>
  <c r="AF648"/>
  <c r="X648"/>
  <c r="Z648"/>
  <c r="P648"/>
  <c r="V648"/>
  <c r="AF649" l="1"/>
  <c r="R649"/>
  <c r="J649"/>
  <c r="T649"/>
  <c r="D649"/>
  <c r="N649"/>
  <c r="F649"/>
  <c r="X649"/>
  <c r="H649"/>
  <c r="AD649"/>
  <c r="V649"/>
  <c r="AB649"/>
  <c r="L649"/>
  <c r="B650"/>
  <c r="Z649"/>
  <c r="P649"/>
  <c r="C649"/>
  <c r="V650" l="1"/>
  <c r="R650"/>
  <c r="AD650"/>
  <c r="P650"/>
  <c r="AB650"/>
  <c r="X650"/>
  <c r="J650"/>
  <c r="Z650"/>
  <c r="B651"/>
  <c r="L650"/>
  <c r="H650"/>
  <c r="T650"/>
  <c r="N650"/>
  <c r="C650"/>
  <c r="F650"/>
  <c r="AF650"/>
  <c r="D650"/>
  <c r="Z651" l="1"/>
  <c r="J651"/>
  <c r="AB651"/>
  <c r="D651"/>
  <c r="AD651"/>
  <c r="N651"/>
  <c r="P651"/>
  <c r="B652"/>
  <c r="T651"/>
  <c r="R651"/>
  <c r="AF651"/>
  <c r="H651"/>
  <c r="C651"/>
  <c r="V651"/>
  <c r="F651"/>
  <c r="L651"/>
  <c r="X651"/>
  <c r="X652" l="1"/>
  <c r="Z652"/>
  <c r="D652"/>
  <c r="AF652"/>
  <c r="AD652"/>
  <c r="C652"/>
  <c r="J652"/>
  <c r="F652"/>
  <c r="V652"/>
  <c r="B653"/>
  <c r="H652"/>
  <c r="P652"/>
  <c r="R652"/>
  <c r="AB652"/>
  <c r="N652"/>
  <c r="T652"/>
  <c r="L652"/>
  <c r="T653" l="1"/>
  <c r="D653"/>
  <c r="N653"/>
  <c r="F653"/>
  <c r="X653"/>
  <c r="H653"/>
  <c r="AD653"/>
  <c r="V653"/>
  <c r="AB653"/>
  <c r="L653"/>
  <c r="B654"/>
  <c r="Z653"/>
  <c r="AF653"/>
  <c r="P653"/>
  <c r="R653"/>
  <c r="C653"/>
  <c r="J653"/>
  <c r="L654" l="1"/>
  <c r="R654"/>
  <c r="AF654"/>
  <c r="P654"/>
  <c r="C654"/>
  <c r="F654"/>
  <c r="D654"/>
  <c r="B655"/>
  <c r="J654"/>
  <c r="X654"/>
  <c r="H654"/>
  <c r="V654"/>
  <c r="Z654"/>
  <c r="AB654"/>
  <c r="AD654"/>
  <c r="T654"/>
  <c r="N654"/>
  <c r="Z655" l="1"/>
  <c r="J655"/>
  <c r="D655"/>
  <c r="X655"/>
  <c r="C655"/>
  <c r="R655"/>
  <c r="AF655"/>
  <c r="AB655"/>
  <c r="B656"/>
  <c r="V655"/>
  <c r="F655"/>
  <c r="H655"/>
  <c r="T655"/>
  <c r="P655"/>
  <c r="AD655"/>
  <c r="N655"/>
  <c r="L655"/>
  <c r="AD656" l="1"/>
  <c r="N656"/>
  <c r="B657"/>
  <c r="D656"/>
  <c r="P656"/>
  <c r="R656"/>
  <c r="C656"/>
  <c r="L656"/>
  <c r="AF656"/>
  <c r="V656"/>
  <c r="F656"/>
  <c r="T656"/>
  <c r="H656"/>
  <c r="Z656"/>
  <c r="J656"/>
  <c r="AB656"/>
  <c r="X656"/>
  <c r="T657" l="1"/>
  <c r="D657"/>
  <c r="C657"/>
  <c r="V657"/>
  <c r="X657"/>
  <c r="H657"/>
  <c r="J657"/>
  <c r="B658"/>
  <c r="AB657"/>
  <c r="L657"/>
  <c r="R657"/>
  <c r="N657"/>
  <c r="Z657"/>
  <c r="AF657"/>
  <c r="P657"/>
  <c r="AD657"/>
  <c r="F657"/>
  <c r="C658" l="1"/>
  <c r="AF658"/>
  <c r="B659"/>
  <c r="R658"/>
  <c r="T658"/>
  <c r="D658"/>
  <c r="V658"/>
  <c r="J658"/>
  <c r="X658"/>
  <c r="H658"/>
  <c r="AD658"/>
  <c r="Z658"/>
  <c r="AB658"/>
  <c r="L658"/>
  <c r="F658"/>
  <c r="P658"/>
  <c r="N658"/>
  <c r="C659" l="1"/>
  <c r="AB659"/>
  <c r="H659"/>
  <c r="Z659"/>
  <c r="J659"/>
  <c r="P659"/>
  <c r="AD659"/>
  <c r="N659"/>
  <c r="X659"/>
  <c r="L659"/>
  <c r="R659"/>
  <c r="AF659"/>
  <c r="B660"/>
  <c r="V659"/>
  <c r="F659"/>
  <c r="T659"/>
  <c r="D659"/>
  <c r="AD660" l="1"/>
  <c r="N660"/>
  <c r="AB660"/>
  <c r="X660"/>
  <c r="R660"/>
  <c r="B661"/>
  <c r="D660"/>
  <c r="P660"/>
  <c r="V660"/>
  <c r="F660"/>
  <c r="C660"/>
  <c r="L660"/>
  <c r="AF660"/>
  <c r="H660"/>
  <c r="Z660"/>
  <c r="J660"/>
  <c r="T660"/>
  <c r="X661" l="1"/>
  <c r="H661"/>
  <c r="J661"/>
  <c r="B662"/>
  <c r="AB661"/>
  <c r="L661"/>
  <c r="R661"/>
  <c r="P661"/>
  <c r="Z661"/>
  <c r="F661"/>
  <c r="T661"/>
  <c r="D661"/>
  <c r="C661"/>
  <c r="V661"/>
  <c r="N661"/>
  <c r="AF661"/>
  <c r="AD661"/>
  <c r="T662" l="1"/>
  <c r="D662"/>
  <c r="V662"/>
  <c r="J662"/>
  <c r="X662"/>
  <c r="H662"/>
  <c r="AD662"/>
  <c r="Z662"/>
  <c r="AB662"/>
  <c r="L662"/>
  <c r="C662"/>
  <c r="F662"/>
  <c r="AF662"/>
  <c r="P662"/>
  <c r="B663"/>
  <c r="N662"/>
  <c r="R662"/>
  <c r="AD663" l="1"/>
  <c r="N663"/>
  <c r="X663"/>
  <c r="L663"/>
  <c r="C663"/>
  <c r="R663"/>
  <c r="AF663"/>
  <c r="AB663"/>
  <c r="Z663"/>
  <c r="J663"/>
  <c r="P663"/>
  <c r="D663"/>
  <c r="B664"/>
  <c r="V663"/>
  <c r="F663"/>
  <c r="H663"/>
  <c r="T663"/>
  <c r="R664" l="1"/>
  <c r="C664"/>
  <c r="L664"/>
  <c r="AF664"/>
  <c r="V664"/>
  <c r="F664"/>
  <c r="T664"/>
  <c r="H664"/>
  <c r="AB664"/>
  <c r="AD664"/>
  <c r="B665"/>
  <c r="P664"/>
  <c r="Z664"/>
  <c r="J664"/>
  <c r="X664"/>
  <c r="N664"/>
  <c r="D664"/>
  <c r="T665" l="1"/>
  <c r="D665"/>
  <c r="C665"/>
  <c r="V665"/>
  <c r="X665"/>
  <c r="H665"/>
  <c r="J665"/>
  <c r="B666"/>
  <c r="AB665"/>
  <c r="L665"/>
  <c r="R665"/>
  <c r="N665"/>
  <c r="AF665"/>
  <c r="P665"/>
  <c r="Z665"/>
  <c r="AD665"/>
  <c r="F665"/>
  <c r="AB666" l="1"/>
  <c r="L666"/>
  <c r="C666"/>
  <c r="F666"/>
  <c r="P666"/>
  <c r="N666"/>
  <c r="AF666"/>
  <c r="B667"/>
  <c r="R666"/>
  <c r="T666"/>
  <c r="D666"/>
  <c r="V666"/>
  <c r="J666"/>
  <c r="X666"/>
  <c r="H666"/>
  <c r="AD666"/>
  <c r="Z666"/>
  <c r="C667" l="1"/>
  <c r="R667"/>
  <c r="AF667"/>
  <c r="AB667"/>
  <c r="V667"/>
  <c r="F667"/>
  <c r="T667"/>
  <c r="Z667"/>
  <c r="P667"/>
  <c r="AD667"/>
  <c r="N667"/>
  <c r="X667"/>
  <c r="B668"/>
  <c r="H667"/>
  <c r="J667"/>
  <c r="D667"/>
  <c r="L667"/>
  <c r="Z668" l="1"/>
  <c r="J668"/>
  <c r="AB668"/>
  <c r="X668"/>
  <c r="R668"/>
  <c r="C668"/>
  <c r="L668"/>
  <c r="AF668"/>
  <c r="AD668"/>
  <c r="N668"/>
  <c r="B669"/>
  <c r="D668"/>
  <c r="P668"/>
  <c r="V668"/>
  <c r="F668"/>
  <c r="T668"/>
  <c r="H668"/>
  <c r="T669" l="1"/>
  <c r="D669"/>
  <c r="C669"/>
  <c r="V669"/>
  <c r="X669"/>
  <c r="H669"/>
  <c r="J669"/>
  <c r="B670"/>
  <c r="AB669"/>
  <c r="L669"/>
  <c r="R669"/>
  <c r="N669"/>
  <c r="AF669"/>
  <c r="P669"/>
  <c r="AD669"/>
  <c r="F669"/>
  <c r="Z669"/>
  <c r="AF670" l="1"/>
  <c r="P670"/>
  <c r="B671"/>
  <c r="N670"/>
  <c r="R670"/>
  <c r="T670"/>
  <c r="D670"/>
  <c r="V670"/>
  <c r="X670"/>
  <c r="H670"/>
  <c r="AD670"/>
  <c r="Z670"/>
  <c r="AB670"/>
  <c r="L670"/>
  <c r="C670"/>
  <c r="F670"/>
  <c r="J670"/>
  <c r="AD671" l="1"/>
  <c r="N671"/>
  <c r="X671"/>
  <c r="L671"/>
  <c r="B672"/>
  <c r="V671"/>
  <c r="F671"/>
  <c r="H671"/>
  <c r="T671"/>
  <c r="Z671"/>
  <c r="J671"/>
  <c r="P671"/>
  <c r="D671"/>
  <c r="C671"/>
  <c r="R671"/>
  <c r="AF671"/>
  <c r="AB671"/>
  <c r="V672" l="1"/>
  <c r="F672"/>
  <c r="T672"/>
  <c r="H672"/>
  <c r="Z672"/>
  <c r="J672"/>
  <c r="AB672"/>
  <c r="X672"/>
  <c r="AD672"/>
  <c r="N672"/>
  <c r="B673"/>
  <c r="D672"/>
  <c r="P672"/>
  <c r="R672"/>
  <c r="C672"/>
  <c r="L672"/>
  <c r="AF672"/>
  <c r="AB673" l="1"/>
  <c r="L673"/>
  <c r="R673"/>
  <c r="N673"/>
  <c r="AF673"/>
  <c r="P673"/>
  <c r="Z673"/>
  <c r="AD673"/>
  <c r="F673"/>
  <c r="T673"/>
  <c r="D673"/>
  <c r="C673"/>
  <c r="V673"/>
  <c r="X673"/>
  <c r="H673"/>
  <c r="J673"/>
  <c r="B674"/>
  <c r="T674" l="1"/>
  <c r="D674"/>
  <c r="V674"/>
  <c r="J674"/>
  <c r="AF674"/>
  <c r="P674"/>
  <c r="B675"/>
  <c r="N674"/>
  <c r="R674"/>
  <c r="X674"/>
  <c r="H674"/>
  <c r="AD674"/>
  <c r="Z674"/>
  <c r="AB674"/>
  <c r="L674"/>
  <c r="C674"/>
  <c r="F674"/>
  <c r="AB675" l="1"/>
  <c r="B676"/>
  <c r="V675"/>
  <c r="H675"/>
  <c r="Z675"/>
  <c r="J675"/>
  <c r="D675"/>
  <c r="AD675"/>
  <c r="N675"/>
  <c r="X675"/>
  <c r="L675"/>
  <c r="C675"/>
  <c r="R675"/>
  <c r="AF675"/>
  <c r="F675"/>
  <c r="T675"/>
  <c r="P675"/>
  <c r="X676" l="1"/>
  <c r="N676"/>
  <c r="D676"/>
  <c r="R676"/>
  <c r="C676"/>
  <c r="L676"/>
  <c r="AF676"/>
  <c r="V676"/>
  <c r="F676"/>
  <c r="T676"/>
  <c r="H676"/>
  <c r="Z676"/>
  <c r="J676"/>
  <c r="AB676"/>
  <c r="AD676"/>
  <c r="B677"/>
  <c r="P676"/>
  <c r="AB677" l="1"/>
  <c r="R677"/>
  <c r="AF677"/>
  <c r="P677"/>
  <c r="Z677"/>
  <c r="AD677"/>
  <c r="T677"/>
  <c r="D677"/>
  <c r="C677"/>
  <c r="V677"/>
  <c r="X677"/>
  <c r="H677"/>
  <c r="J677"/>
  <c r="B678"/>
  <c r="L677"/>
  <c r="N677"/>
  <c r="F677"/>
  <c r="AB678" l="1"/>
  <c r="L678"/>
  <c r="C678"/>
  <c r="F678"/>
  <c r="AF678"/>
  <c r="P678"/>
  <c r="B679"/>
  <c r="N678"/>
  <c r="R678"/>
  <c r="T678"/>
  <c r="D678"/>
  <c r="J678"/>
  <c r="X678"/>
  <c r="H678"/>
  <c r="AD678"/>
  <c r="Z678"/>
  <c r="V678"/>
  <c r="AD679" l="1"/>
  <c r="N679"/>
  <c r="X679"/>
  <c r="L679"/>
  <c r="C679"/>
  <c r="R679"/>
  <c r="AF679"/>
  <c r="AB679"/>
  <c r="B680"/>
  <c r="V679"/>
  <c r="F679"/>
  <c r="H679"/>
  <c r="T679"/>
  <c r="J679"/>
  <c r="D679"/>
  <c r="Z679"/>
  <c r="P679"/>
  <c r="R680" l="1"/>
  <c r="C680"/>
  <c r="L680"/>
  <c r="AF680"/>
  <c r="V680"/>
  <c r="F680"/>
  <c r="H680"/>
  <c r="AD680"/>
  <c r="N680"/>
  <c r="B681"/>
  <c r="D680"/>
  <c r="P680"/>
  <c r="T680"/>
  <c r="Z680"/>
  <c r="J680"/>
  <c r="AB680"/>
  <c r="X680"/>
  <c r="AB681" l="1"/>
  <c r="L681"/>
  <c r="R681"/>
  <c r="N681"/>
  <c r="T681"/>
  <c r="C681"/>
  <c r="X681"/>
  <c r="H681"/>
  <c r="J681"/>
  <c r="B682"/>
  <c r="AF681"/>
  <c r="P681"/>
  <c r="Z681"/>
  <c r="AD681"/>
  <c r="F681"/>
  <c r="D681"/>
  <c r="V681"/>
  <c r="X682" l="1"/>
  <c r="H682"/>
  <c r="AD682"/>
  <c r="Z682"/>
  <c r="L682"/>
  <c r="C682"/>
  <c r="B683"/>
  <c r="R682"/>
  <c r="T682"/>
  <c r="D682"/>
  <c r="J682"/>
  <c r="AB682"/>
  <c r="F682"/>
  <c r="AF682"/>
  <c r="P682"/>
  <c r="N682"/>
  <c r="V682"/>
  <c r="AD683" l="1"/>
  <c r="X683"/>
  <c r="C683"/>
  <c r="R683"/>
  <c r="AF683"/>
  <c r="AB683"/>
  <c r="B684"/>
  <c r="V683"/>
  <c r="F683"/>
  <c r="H683"/>
  <c r="T683"/>
  <c r="Z683"/>
  <c r="J683"/>
  <c r="P683"/>
  <c r="D683"/>
  <c r="N683"/>
  <c r="L683"/>
  <c r="Z684" l="1"/>
  <c r="J684"/>
  <c r="AB684"/>
  <c r="X684"/>
  <c r="V684"/>
  <c r="F684"/>
  <c r="T684"/>
  <c r="H684"/>
  <c r="AD684"/>
  <c r="N684"/>
  <c r="B685"/>
  <c r="D684"/>
  <c r="P684"/>
  <c r="R684"/>
  <c r="C684"/>
  <c r="L684"/>
  <c r="AF684"/>
  <c r="AF685" l="1"/>
  <c r="P685"/>
  <c r="Z685"/>
  <c r="AD685"/>
  <c r="F685"/>
  <c r="T685"/>
  <c r="D685"/>
  <c r="V685"/>
  <c r="H685"/>
  <c r="B686"/>
  <c r="L685"/>
  <c r="N685"/>
  <c r="C685"/>
  <c r="X685"/>
  <c r="J685"/>
  <c r="AB685"/>
  <c r="R685"/>
  <c r="AF686" l="1"/>
  <c r="P686"/>
  <c r="B687"/>
  <c r="N686"/>
  <c r="R686"/>
  <c r="X686"/>
  <c r="Z686"/>
  <c r="T686"/>
  <c r="D686"/>
  <c r="V686"/>
  <c r="J686"/>
  <c r="H686"/>
  <c r="AD686"/>
  <c r="AB686"/>
  <c r="L686"/>
  <c r="C686"/>
  <c r="F686"/>
  <c r="AD687" l="1"/>
  <c r="N687"/>
  <c r="X687"/>
  <c r="L687"/>
  <c r="Z687"/>
  <c r="J687"/>
  <c r="P687"/>
  <c r="D687"/>
  <c r="C687"/>
  <c r="R687"/>
  <c r="AF687"/>
  <c r="AB687"/>
  <c r="B688"/>
  <c r="V687"/>
  <c r="F687"/>
  <c r="H687"/>
  <c r="T687"/>
  <c r="R688" l="1"/>
  <c r="C688"/>
  <c r="L688"/>
  <c r="AF688"/>
  <c r="V688"/>
  <c r="F688"/>
  <c r="T688"/>
  <c r="H688"/>
  <c r="Z688"/>
  <c r="J688"/>
  <c r="AB688"/>
  <c r="X688"/>
  <c r="AD688"/>
  <c r="B689"/>
  <c r="P688"/>
  <c r="N688"/>
  <c r="D688"/>
  <c r="T689" l="1"/>
  <c r="C689"/>
  <c r="X689"/>
  <c r="H689"/>
  <c r="J689"/>
  <c r="AB689"/>
  <c r="R689"/>
  <c r="AF689"/>
  <c r="P689"/>
  <c r="Z689"/>
  <c r="AD689"/>
  <c r="F689"/>
  <c r="D689"/>
  <c r="V689"/>
  <c r="B690"/>
  <c r="L689"/>
  <c r="N689"/>
  <c r="X690" l="1"/>
  <c r="H690"/>
  <c r="AD690"/>
  <c r="Z690"/>
  <c r="AB690"/>
  <c r="L690"/>
  <c r="C690"/>
  <c r="T690"/>
  <c r="D690"/>
  <c r="V690"/>
  <c r="J690"/>
  <c r="F690"/>
  <c r="AF690"/>
  <c r="P690"/>
  <c r="B691"/>
  <c r="N690"/>
  <c r="R690"/>
  <c r="AD691" l="1"/>
  <c r="N691"/>
  <c r="AF691"/>
  <c r="AB691"/>
  <c r="T691"/>
  <c r="C691"/>
  <c r="R691"/>
  <c r="H691"/>
  <c r="D691"/>
  <c r="Z691"/>
  <c r="J691"/>
  <c r="X691"/>
  <c r="L691"/>
  <c r="B692"/>
  <c r="V691"/>
  <c r="F691"/>
  <c r="P691"/>
  <c r="V692" l="1"/>
  <c r="F692"/>
  <c r="T692"/>
  <c r="H692"/>
  <c r="X692"/>
  <c r="AD692"/>
  <c r="N692"/>
  <c r="D692"/>
  <c r="R692"/>
  <c r="C692"/>
  <c r="L692"/>
  <c r="AF692"/>
  <c r="Z692"/>
  <c r="J692"/>
  <c r="AB692"/>
  <c r="B693"/>
  <c r="P692"/>
  <c r="X693" l="1"/>
  <c r="H693"/>
  <c r="J693"/>
  <c r="B694"/>
  <c r="AB693"/>
  <c r="R693"/>
  <c r="T693"/>
  <c r="D693"/>
  <c r="C693"/>
  <c r="V693"/>
  <c r="L693"/>
  <c r="N693"/>
  <c r="AF693"/>
  <c r="P693"/>
  <c r="Z693"/>
  <c r="AD693"/>
  <c r="F693"/>
  <c r="AB694" l="1"/>
  <c r="L694"/>
  <c r="C694"/>
  <c r="F694"/>
  <c r="AF694"/>
  <c r="P694"/>
  <c r="B695"/>
  <c r="N694"/>
  <c r="R694"/>
  <c r="T694"/>
  <c r="D694"/>
  <c r="V694"/>
  <c r="J694"/>
  <c r="X694"/>
  <c r="H694"/>
  <c r="AD694"/>
  <c r="Z694"/>
  <c r="C695" l="1"/>
  <c r="R695"/>
  <c r="AF695"/>
  <c r="AB695"/>
  <c r="B696"/>
  <c r="V695"/>
  <c r="F695"/>
  <c r="H695"/>
  <c r="T695"/>
  <c r="Z695"/>
  <c r="J695"/>
  <c r="P695"/>
  <c r="D695"/>
  <c r="AD695"/>
  <c r="N695"/>
  <c r="X695"/>
  <c r="L695"/>
  <c r="R696" l="1"/>
  <c r="C696"/>
  <c r="L696"/>
  <c r="AF696"/>
  <c r="F696"/>
  <c r="H696"/>
  <c r="Z696"/>
  <c r="J696"/>
  <c r="AB696"/>
  <c r="X696"/>
  <c r="AD696"/>
  <c r="N696"/>
  <c r="B697"/>
  <c r="D696"/>
  <c r="P696"/>
  <c r="V696"/>
  <c r="T696"/>
  <c r="T697" l="1"/>
  <c r="D697"/>
  <c r="C697"/>
  <c r="V697"/>
  <c r="H697"/>
  <c r="J697"/>
  <c r="B698"/>
  <c r="L697"/>
  <c r="N697"/>
  <c r="P697"/>
  <c r="AD697"/>
  <c r="X697"/>
  <c r="AB697"/>
  <c r="R697"/>
  <c r="AF697"/>
  <c r="Z697"/>
  <c r="F697"/>
  <c r="X698" l="1"/>
  <c r="H698"/>
  <c r="AD698"/>
  <c r="Z698"/>
  <c r="B699"/>
  <c r="T698"/>
  <c r="D698"/>
  <c r="V698"/>
  <c r="J698"/>
  <c r="AB698"/>
  <c r="L698"/>
  <c r="C698"/>
  <c r="F698"/>
  <c r="AF698"/>
  <c r="P698"/>
  <c r="N698"/>
  <c r="R698"/>
  <c r="AD699" l="1"/>
  <c r="N699"/>
  <c r="X699"/>
  <c r="L699"/>
  <c r="V699"/>
  <c r="H699"/>
  <c r="Z699"/>
  <c r="J699"/>
  <c r="P699"/>
  <c r="D699"/>
  <c r="C699"/>
  <c r="R699"/>
  <c r="AF699"/>
  <c r="AB699"/>
  <c r="B700"/>
  <c r="F699"/>
  <c r="T699"/>
  <c r="T700" l="1"/>
  <c r="Z700"/>
  <c r="AB700"/>
  <c r="X700"/>
  <c r="N700"/>
  <c r="P700"/>
  <c r="R700"/>
  <c r="C700"/>
  <c r="L700"/>
  <c r="AF700"/>
  <c r="V700"/>
  <c r="F700"/>
  <c r="H700"/>
  <c r="J700"/>
  <c r="AD700"/>
  <c r="B701"/>
  <c r="D700"/>
  <c r="AB701" l="1"/>
  <c r="L701"/>
  <c r="R701"/>
  <c r="N701"/>
  <c r="D701"/>
  <c r="X701"/>
  <c r="H701"/>
  <c r="J701"/>
  <c r="B702"/>
  <c r="AF701"/>
  <c r="P701"/>
  <c r="Z701"/>
  <c r="AD701"/>
  <c r="F701"/>
  <c r="T701"/>
  <c r="C701"/>
  <c r="V701"/>
  <c r="D702" l="1"/>
  <c r="H702"/>
  <c r="Z702"/>
  <c r="AB702"/>
  <c r="L702"/>
  <c r="C702"/>
  <c r="F702"/>
  <c r="J702"/>
  <c r="X702"/>
  <c r="AD702"/>
  <c r="AF702"/>
  <c r="P702"/>
  <c r="B703"/>
  <c r="N702"/>
  <c r="R702"/>
  <c r="T702"/>
  <c r="V702"/>
  <c r="B704" l="1"/>
  <c r="V703"/>
  <c r="F703"/>
  <c r="H703"/>
  <c r="T703"/>
  <c r="Z703"/>
  <c r="P703"/>
  <c r="D703"/>
  <c r="AD703"/>
  <c r="N703"/>
  <c r="X703"/>
  <c r="L703"/>
  <c r="C703"/>
  <c r="R703"/>
  <c r="AF703"/>
  <c r="AB703"/>
  <c r="J703"/>
  <c r="AD704" l="1"/>
  <c r="N704"/>
  <c r="B705"/>
  <c r="D704"/>
  <c r="P704"/>
  <c r="Z704"/>
  <c r="AB704"/>
  <c r="R704"/>
  <c r="C704"/>
  <c r="L704"/>
  <c r="AF704"/>
  <c r="V704"/>
  <c r="F704"/>
  <c r="T704"/>
  <c r="H704"/>
  <c r="J704"/>
  <c r="X704"/>
  <c r="X705" l="1"/>
  <c r="H705"/>
  <c r="J705"/>
  <c r="B706"/>
  <c r="AB705"/>
  <c r="L705"/>
  <c r="R705"/>
  <c r="N705"/>
  <c r="AF705"/>
  <c r="P705"/>
  <c r="Z705"/>
  <c r="AD705"/>
  <c r="F705"/>
  <c r="T705"/>
  <c r="D705"/>
  <c r="C705"/>
  <c r="V705"/>
  <c r="AB706" l="1"/>
  <c r="L706"/>
  <c r="C706"/>
  <c r="F706"/>
  <c r="AD706"/>
  <c r="AF706"/>
  <c r="P706"/>
  <c r="B707"/>
  <c r="N706"/>
  <c r="R706"/>
  <c r="T706"/>
  <c r="D706"/>
  <c r="J706"/>
  <c r="X706"/>
  <c r="Z706"/>
  <c r="V706"/>
  <c r="H706"/>
  <c r="C707" l="1"/>
  <c r="R707"/>
  <c r="AF707"/>
  <c r="AB707"/>
  <c r="Z707"/>
  <c r="D707"/>
  <c r="AD707"/>
  <c r="X707"/>
  <c r="B708"/>
  <c r="V707"/>
  <c r="F707"/>
  <c r="H707"/>
  <c r="T707"/>
  <c r="J707"/>
  <c r="P707"/>
  <c r="N707"/>
  <c r="L707"/>
  <c r="AD708" l="1"/>
  <c r="N708"/>
  <c r="B709"/>
  <c r="D708"/>
  <c r="P708"/>
  <c r="R708"/>
  <c r="C708"/>
  <c r="L708"/>
  <c r="AF708"/>
  <c r="V708"/>
  <c r="F708"/>
  <c r="T708"/>
  <c r="H708"/>
  <c r="Z708"/>
  <c r="J708"/>
  <c r="AB708"/>
  <c r="X708"/>
  <c r="X709" l="1"/>
  <c r="H709"/>
  <c r="J709"/>
  <c r="B710"/>
  <c r="V709"/>
  <c r="AB709"/>
  <c r="L709"/>
  <c r="R709"/>
  <c r="N709"/>
  <c r="T709"/>
  <c r="D709"/>
  <c r="C709"/>
  <c r="AF709"/>
  <c r="P709"/>
  <c r="Z709"/>
  <c r="AD709"/>
  <c r="F709"/>
  <c r="AF710" l="1"/>
  <c r="P710"/>
  <c r="B711"/>
  <c r="N710"/>
  <c r="R710"/>
  <c r="T710"/>
  <c r="D710"/>
  <c r="V710"/>
  <c r="J710"/>
  <c r="X710"/>
  <c r="H710"/>
  <c r="AD710"/>
  <c r="Z710"/>
  <c r="AB710"/>
  <c r="L710"/>
  <c r="C710"/>
  <c r="F710"/>
  <c r="C711" l="1"/>
  <c r="R711"/>
  <c r="AF711"/>
  <c r="AB711"/>
  <c r="J711"/>
  <c r="D711"/>
  <c r="B712"/>
  <c r="V711"/>
  <c r="F711"/>
  <c r="H711"/>
  <c r="T711"/>
  <c r="Z711"/>
  <c r="P711"/>
  <c r="AD711"/>
  <c r="N711"/>
  <c r="X711"/>
  <c r="L711"/>
  <c r="Z712" l="1"/>
  <c r="J712"/>
  <c r="AB712"/>
  <c r="X712"/>
  <c r="N712"/>
  <c r="D712"/>
  <c r="C712"/>
  <c r="AD712"/>
  <c r="B713"/>
  <c r="P712"/>
  <c r="R712"/>
  <c r="L712"/>
  <c r="V712"/>
  <c r="T712"/>
  <c r="AF712"/>
  <c r="F712"/>
  <c r="H712"/>
  <c r="X713" l="1"/>
  <c r="H713"/>
  <c r="J713"/>
  <c r="B714"/>
  <c r="AB713"/>
  <c r="R713"/>
  <c r="N713"/>
  <c r="AF713"/>
  <c r="P713"/>
  <c r="AD713"/>
  <c r="F713"/>
  <c r="L713"/>
  <c r="Z713"/>
  <c r="T713"/>
  <c r="D713"/>
  <c r="C713"/>
  <c r="V713"/>
  <c r="T714" l="1"/>
  <c r="D714"/>
  <c r="V714"/>
  <c r="J714"/>
  <c r="AF714"/>
  <c r="P714"/>
  <c r="B715"/>
  <c r="N714"/>
  <c r="R714"/>
  <c r="X714"/>
  <c r="H714"/>
  <c r="AD714"/>
  <c r="Z714"/>
  <c r="AB714"/>
  <c r="L714"/>
  <c r="C714"/>
  <c r="F714"/>
  <c r="Z715" l="1"/>
  <c r="J715"/>
  <c r="P715"/>
  <c r="D715"/>
  <c r="AD715"/>
  <c r="N715"/>
  <c r="X715"/>
  <c r="L715"/>
  <c r="C715"/>
  <c r="R715"/>
  <c r="AF715"/>
  <c r="AB715"/>
  <c r="B716"/>
  <c r="V715"/>
  <c r="F715"/>
  <c r="H715"/>
  <c r="T715"/>
  <c r="V716" l="1"/>
  <c r="F716"/>
  <c r="T716"/>
  <c r="H716"/>
  <c r="R716"/>
  <c r="Z716"/>
  <c r="J716"/>
  <c r="AB716"/>
  <c r="X716"/>
  <c r="D716"/>
  <c r="C716"/>
  <c r="AF716"/>
  <c r="AD716"/>
  <c r="N716"/>
  <c r="B717"/>
  <c r="P716"/>
  <c r="L716"/>
  <c r="X717" l="1"/>
  <c r="H717"/>
  <c r="J717"/>
  <c r="B718"/>
  <c r="T717"/>
  <c r="D717"/>
  <c r="C717"/>
  <c r="V717"/>
  <c r="AB717"/>
  <c r="L717"/>
  <c r="R717"/>
  <c r="N717"/>
  <c r="AF717"/>
  <c r="P717"/>
  <c r="Z717"/>
  <c r="AD717"/>
  <c r="F717"/>
  <c r="AB718" l="1"/>
  <c r="L718"/>
  <c r="C718"/>
  <c r="F718"/>
  <c r="AF718"/>
  <c r="P718"/>
  <c r="B719"/>
  <c r="N718"/>
  <c r="R718"/>
  <c r="AD718"/>
  <c r="T718"/>
  <c r="D718"/>
  <c r="V718"/>
  <c r="J718"/>
  <c r="X718"/>
  <c r="H718"/>
  <c r="Z718"/>
  <c r="B720" l="1"/>
  <c r="V719"/>
  <c r="F719"/>
  <c r="H719"/>
  <c r="T719"/>
  <c r="C719"/>
  <c r="R719"/>
  <c r="AF719"/>
  <c r="Z719"/>
  <c r="J719"/>
  <c r="P719"/>
  <c r="D719"/>
  <c r="AB719"/>
  <c r="AD719"/>
  <c r="N719"/>
  <c r="X719"/>
  <c r="L719"/>
  <c r="R720" l="1"/>
  <c r="C720"/>
  <c r="L720"/>
  <c r="AF720"/>
  <c r="Z720"/>
  <c r="J720"/>
  <c r="AB720"/>
  <c r="X720"/>
  <c r="N720"/>
  <c r="V720"/>
  <c r="F720"/>
  <c r="T720"/>
  <c r="H720"/>
  <c r="D720"/>
  <c r="AD720"/>
  <c r="B721"/>
  <c r="P720"/>
  <c r="AB721" l="1"/>
  <c r="L721"/>
  <c r="R721"/>
  <c r="N721"/>
  <c r="X721"/>
  <c r="J721"/>
  <c r="AF721"/>
  <c r="P721"/>
  <c r="Z721"/>
  <c r="AD721"/>
  <c r="F721"/>
  <c r="H721"/>
  <c r="B722"/>
  <c r="T721"/>
  <c r="D721"/>
  <c r="C721"/>
  <c r="V721"/>
  <c r="AF722" l="1"/>
  <c r="P722"/>
  <c r="B723"/>
  <c r="N722"/>
  <c r="R722"/>
  <c r="T722"/>
  <c r="D722"/>
  <c r="V722"/>
  <c r="AB722"/>
  <c r="C722"/>
  <c r="J722"/>
  <c r="L722"/>
  <c r="F722"/>
  <c r="X722"/>
  <c r="H722"/>
  <c r="AD722"/>
  <c r="Z722"/>
  <c r="B724" l="1"/>
  <c r="V723"/>
  <c r="F723"/>
  <c r="H723"/>
  <c r="T723"/>
  <c r="J723"/>
  <c r="D723"/>
  <c r="X723"/>
  <c r="AB723"/>
  <c r="Z723"/>
  <c r="P723"/>
  <c r="AD723"/>
  <c r="N723"/>
  <c r="L723"/>
  <c r="C723"/>
  <c r="AF723"/>
  <c r="R723"/>
  <c r="AD724" l="1"/>
  <c r="N724"/>
  <c r="B725"/>
  <c r="D724"/>
  <c r="P724"/>
  <c r="H724"/>
  <c r="Z724"/>
  <c r="AB724"/>
  <c r="R724"/>
  <c r="C724"/>
  <c r="L724"/>
  <c r="AF724"/>
  <c r="V724"/>
  <c r="F724"/>
  <c r="T724"/>
  <c r="J724"/>
  <c r="X724"/>
  <c r="AB725" l="1"/>
  <c r="L725"/>
  <c r="R725"/>
  <c r="N725"/>
  <c r="AF725"/>
  <c r="P725"/>
  <c r="Z725"/>
  <c r="AD725"/>
  <c r="F725"/>
  <c r="X725"/>
  <c r="J725"/>
  <c r="T725"/>
  <c r="D725"/>
  <c r="C725"/>
  <c r="V725"/>
  <c r="H725"/>
  <c r="B726"/>
  <c r="AB726" l="1"/>
  <c r="L726"/>
  <c r="C726"/>
  <c r="F726"/>
  <c r="AF726"/>
  <c r="P726"/>
  <c r="B727"/>
  <c r="R726"/>
  <c r="T726"/>
  <c r="D726"/>
  <c r="J726"/>
  <c r="H726"/>
  <c r="N726"/>
  <c r="V726"/>
  <c r="Z726"/>
  <c r="X726"/>
  <c r="AD726"/>
  <c r="B728" l="1"/>
  <c r="V727"/>
  <c r="F727"/>
  <c r="H727"/>
  <c r="T727"/>
  <c r="AB727"/>
  <c r="Z727"/>
  <c r="J727"/>
  <c r="P727"/>
  <c r="D727"/>
  <c r="C727"/>
  <c r="R727"/>
  <c r="AF727"/>
  <c r="AD727"/>
  <c r="N727"/>
  <c r="X727"/>
  <c r="L727"/>
  <c r="Z728" l="1"/>
  <c r="J728"/>
  <c r="AB728"/>
  <c r="X728"/>
  <c r="R728"/>
  <c r="C728"/>
  <c r="L728"/>
  <c r="AF728"/>
  <c r="F728"/>
  <c r="AD728"/>
  <c r="N728"/>
  <c r="B729"/>
  <c r="D728"/>
  <c r="P728"/>
  <c r="H728"/>
  <c r="V728"/>
  <c r="T728"/>
  <c r="X729" l="1"/>
  <c r="H729"/>
  <c r="J729"/>
  <c r="B730"/>
  <c r="P729"/>
  <c r="AD729"/>
  <c r="T729"/>
  <c r="D729"/>
  <c r="C729"/>
  <c r="V729"/>
  <c r="AB729"/>
  <c r="L729"/>
  <c r="R729"/>
  <c r="N729"/>
  <c r="AF729"/>
  <c r="Z729"/>
  <c r="F729"/>
  <c r="T730" l="1"/>
  <c r="D730"/>
  <c r="V730"/>
  <c r="J730"/>
  <c r="L730"/>
  <c r="X730"/>
  <c r="H730"/>
  <c r="AD730"/>
  <c r="Z730"/>
  <c r="AB730"/>
  <c r="F730"/>
  <c r="R730"/>
  <c r="C730"/>
  <c r="AF730"/>
  <c r="P730"/>
  <c r="B731"/>
  <c r="N730"/>
  <c r="AD731" l="1"/>
  <c r="N731"/>
  <c r="X731"/>
  <c r="L731"/>
  <c r="C731"/>
  <c r="R731"/>
  <c r="AF731"/>
  <c r="AB731"/>
  <c r="B732"/>
  <c r="V731"/>
  <c r="F731"/>
  <c r="H731"/>
  <c r="T731"/>
  <c r="Z731"/>
  <c r="J731"/>
  <c r="P731"/>
  <c r="D731"/>
  <c r="R732" l="1"/>
  <c r="C732"/>
  <c r="L732"/>
  <c r="AF732"/>
  <c r="P732"/>
  <c r="V732"/>
  <c r="F732"/>
  <c r="T732"/>
  <c r="H732"/>
  <c r="AD732"/>
  <c r="N732"/>
  <c r="B733"/>
  <c r="D732"/>
  <c r="Z732"/>
  <c r="J732"/>
  <c r="AB732"/>
  <c r="X732"/>
  <c r="AB733" l="1"/>
  <c r="L733"/>
  <c r="R733"/>
  <c r="N733"/>
  <c r="Z733"/>
  <c r="F733"/>
  <c r="T733"/>
  <c r="D733"/>
  <c r="C733"/>
  <c r="V733"/>
  <c r="X733"/>
  <c r="H733"/>
  <c r="J733"/>
  <c r="B734"/>
  <c r="AF733"/>
  <c r="P733"/>
  <c r="AD733"/>
  <c r="AB734" l="1"/>
  <c r="L734"/>
  <c r="C734"/>
  <c r="F734"/>
  <c r="AF734"/>
  <c r="P734"/>
  <c r="B735"/>
  <c r="N734"/>
  <c r="R734"/>
  <c r="X734"/>
  <c r="AD734"/>
  <c r="T734"/>
  <c r="D734"/>
  <c r="V734"/>
  <c r="J734"/>
  <c r="H734"/>
  <c r="Z734"/>
  <c r="AD735" l="1"/>
  <c r="N735"/>
  <c r="X735"/>
  <c r="L735"/>
  <c r="C735"/>
  <c r="R735"/>
  <c r="AF735"/>
  <c r="AB735"/>
  <c r="Z735"/>
  <c r="J735"/>
  <c r="P735"/>
  <c r="D735"/>
  <c r="B736"/>
  <c r="V735"/>
  <c r="F735"/>
  <c r="H735"/>
  <c r="T735"/>
  <c r="V736" l="1"/>
  <c r="F736"/>
  <c r="T736"/>
  <c r="H736"/>
  <c r="R736"/>
  <c r="C736"/>
  <c r="AF736"/>
  <c r="Z736"/>
  <c r="J736"/>
  <c r="AB736"/>
  <c r="X736"/>
  <c r="AD736"/>
  <c r="N736"/>
  <c r="B737"/>
  <c r="D736"/>
  <c r="P736"/>
  <c r="L736"/>
  <c r="AB737" l="1"/>
  <c r="L737"/>
  <c r="R737"/>
  <c r="N737"/>
  <c r="H737"/>
  <c r="B738"/>
  <c r="AF737"/>
  <c r="P737"/>
  <c r="Z737"/>
  <c r="AD737"/>
  <c r="F737"/>
  <c r="X737"/>
  <c r="J737"/>
  <c r="T737"/>
  <c r="D737"/>
  <c r="C737"/>
  <c r="V737"/>
  <c r="AF738" l="1"/>
  <c r="P738"/>
  <c r="B739"/>
  <c r="N738"/>
  <c r="R738"/>
  <c r="X738"/>
  <c r="AD738"/>
  <c r="T738"/>
  <c r="D738"/>
  <c r="V738"/>
  <c r="J738"/>
  <c r="H738"/>
  <c r="Z738"/>
  <c r="AB738"/>
  <c r="L738"/>
  <c r="C738"/>
  <c r="F738"/>
  <c r="B740" l="1"/>
  <c r="V739"/>
  <c r="F739"/>
  <c r="H739"/>
  <c r="T739"/>
  <c r="Z739"/>
  <c r="J739"/>
  <c r="P739"/>
  <c r="D739"/>
  <c r="X739"/>
  <c r="C739"/>
  <c r="R739"/>
  <c r="AF739"/>
  <c r="AB739"/>
  <c r="AD739"/>
  <c r="N739"/>
  <c r="L739"/>
  <c r="R740" l="1"/>
  <c r="C740"/>
  <c r="L740"/>
  <c r="AF740"/>
  <c r="AD740"/>
  <c r="B741"/>
  <c r="P740"/>
  <c r="V740"/>
  <c r="F740"/>
  <c r="T740"/>
  <c r="H740"/>
  <c r="Z740"/>
  <c r="J740"/>
  <c r="AB740"/>
  <c r="X740"/>
  <c r="N740"/>
  <c r="D740"/>
  <c r="AF741" l="1"/>
  <c r="P741"/>
  <c r="Z741"/>
  <c r="AD741"/>
  <c r="F741"/>
  <c r="T741"/>
  <c r="D741"/>
  <c r="C741"/>
  <c r="V741"/>
  <c r="AB741"/>
  <c r="L741"/>
  <c r="R741"/>
  <c r="N741"/>
  <c r="X741"/>
  <c r="H741"/>
  <c r="J741"/>
  <c r="B742"/>
  <c r="AB742" l="1"/>
  <c r="L742"/>
  <c r="C742"/>
  <c r="F742"/>
  <c r="AF742"/>
  <c r="P742"/>
  <c r="B743"/>
  <c r="N742"/>
  <c r="R742"/>
  <c r="T742"/>
  <c r="D742"/>
  <c r="V742"/>
  <c r="J742"/>
  <c r="X742"/>
  <c r="H742"/>
  <c r="AD742"/>
  <c r="Z742"/>
  <c r="AD743" l="1"/>
  <c r="N743"/>
  <c r="X743"/>
  <c r="L743"/>
  <c r="C743"/>
  <c r="R743"/>
  <c r="AF743"/>
  <c r="AB743"/>
  <c r="Z743"/>
  <c r="J743"/>
  <c r="D743"/>
  <c r="B744"/>
  <c r="V743"/>
  <c r="F743"/>
  <c r="H743"/>
  <c r="T743"/>
  <c r="P743"/>
  <c r="AD744" l="1"/>
  <c r="N744"/>
  <c r="B745"/>
  <c r="D744"/>
  <c r="P744"/>
  <c r="C744"/>
  <c r="V744"/>
  <c r="F744"/>
  <c r="T744"/>
  <c r="H744"/>
  <c r="Z744"/>
  <c r="J744"/>
  <c r="AB744"/>
  <c r="X744"/>
  <c r="R744"/>
  <c r="L744"/>
  <c r="AF744"/>
  <c r="X745" l="1"/>
  <c r="H745"/>
  <c r="J745"/>
  <c r="B746"/>
  <c r="AB745"/>
  <c r="L745"/>
  <c r="R745"/>
  <c r="N745"/>
  <c r="AF745"/>
  <c r="P745"/>
  <c r="Z745"/>
  <c r="AD745"/>
  <c r="F745"/>
  <c r="T745"/>
  <c r="D745"/>
  <c r="C745"/>
  <c r="V745"/>
  <c r="T746" l="1"/>
  <c r="D746"/>
  <c r="V746"/>
  <c r="J746"/>
  <c r="AB746"/>
  <c r="F746"/>
  <c r="B747"/>
  <c r="R746"/>
  <c r="X746"/>
  <c r="H746"/>
  <c r="AD746"/>
  <c r="Z746"/>
  <c r="L746"/>
  <c r="C746"/>
  <c r="AF746"/>
  <c r="P746"/>
  <c r="N746"/>
  <c r="B748" l="1"/>
  <c r="V747"/>
  <c r="F747"/>
  <c r="H747"/>
  <c r="T747"/>
  <c r="N747"/>
  <c r="L747"/>
  <c r="Z747"/>
  <c r="J747"/>
  <c r="P747"/>
  <c r="D747"/>
  <c r="AD747"/>
  <c r="X747"/>
  <c r="C747"/>
  <c r="R747"/>
  <c r="AF747"/>
  <c r="AB747"/>
  <c r="R748" l="1"/>
  <c r="C748"/>
  <c r="L748"/>
  <c r="AF748"/>
  <c r="V748"/>
  <c r="F748"/>
  <c r="T748"/>
  <c r="H748"/>
  <c r="Z748"/>
  <c r="J748"/>
  <c r="AB748"/>
  <c r="X748"/>
  <c r="AD748"/>
  <c r="N748"/>
  <c r="B749"/>
  <c r="D748"/>
  <c r="P748"/>
  <c r="T749" l="1"/>
  <c r="D749"/>
  <c r="C749"/>
  <c r="V749"/>
  <c r="B750"/>
  <c r="AB749"/>
  <c r="R749"/>
  <c r="X749"/>
  <c r="H749"/>
  <c r="J749"/>
  <c r="Z749"/>
  <c r="L749"/>
  <c r="N749"/>
  <c r="AF749"/>
  <c r="P749"/>
  <c r="AD749"/>
  <c r="F749"/>
  <c r="AF750" l="1"/>
  <c r="P750"/>
  <c r="B751"/>
  <c r="N750"/>
  <c r="R750"/>
  <c r="H750"/>
  <c r="AD750"/>
  <c r="T750"/>
  <c r="D750"/>
  <c r="V750"/>
  <c r="J750"/>
  <c r="X750"/>
  <c r="Z750"/>
  <c r="AB750"/>
  <c r="F750"/>
  <c r="L750"/>
  <c r="C750"/>
  <c r="C751" l="1"/>
  <c r="R751"/>
  <c r="AF751"/>
  <c r="AB751"/>
  <c r="B752"/>
  <c r="V751"/>
  <c r="F751"/>
  <c r="H751"/>
  <c r="T751"/>
  <c r="Z751"/>
  <c r="J751"/>
  <c r="P751"/>
  <c r="D751"/>
  <c r="AD751"/>
  <c r="N751"/>
  <c r="X751"/>
  <c r="L751"/>
  <c r="Z752" l="1"/>
  <c r="J752"/>
  <c r="AB752"/>
  <c r="X752"/>
  <c r="D752"/>
  <c r="AD752"/>
  <c r="N752"/>
  <c r="B753"/>
  <c r="P752"/>
  <c r="V752"/>
  <c r="F752"/>
  <c r="T752"/>
  <c r="H752"/>
  <c r="R752"/>
  <c r="C752"/>
  <c r="L752"/>
  <c r="AF752"/>
  <c r="X753" l="1"/>
  <c r="H753"/>
  <c r="J753"/>
  <c r="B754"/>
  <c r="AF753"/>
  <c r="P753"/>
  <c r="Z753"/>
  <c r="AD753"/>
  <c r="F753"/>
  <c r="D753"/>
  <c r="AB753"/>
  <c r="L753"/>
  <c r="R753"/>
  <c r="N753"/>
  <c r="C753"/>
  <c r="T753"/>
  <c r="V753"/>
  <c r="X754" l="1"/>
  <c r="H754"/>
  <c r="AD754"/>
  <c r="Z754"/>
  <c r="C754"/>
  <c r="AF754"/>
  <c r="B755"/>
  <c r="R754"/>
  <c r="AB754"/>
  <c r="L754"/>
  <c r="F754"/>
  <c r="P754"/>
  <c r="N754"/>
  <c r="T754"/>
  <c r="V754"/>
  <c r="D754"/>
  <c r="J754"/>
  <c r="C755" l="1"/>
  <c r="R755"/>
  <c r="AF755"/>
  <c r="AB755"/>
  <c r="D755"/>
  <c r="L755"/>
  <c r="B756"/>
  <c r="V755"/>
  <c r="F755"/>
  <c r="H755"/>
  <c r="T755"/>
  <c r="Z755"/>
  <c r="J755"/>
  <c r="P755"/>
  <c r="AD755"/>
  <c r="N755"/>
  <c r="X755"/>
  <c r="AD756" l="1"/>
  <c r="N756"/>
  <c r="B757"/>
  <c r="D756"/>
  <c r="P756"/>
  <c r="C756"/>
  <c r="AF756"/>
  <c r="Z756"/>
  <c r="J756"/>
  <c r="X756"/>
  <c r="R756"/>
  <c r="L756"/>
  <c r="AB756"/>
  <c r="V756"/>
  <c r="F756"/>
  <c r="T756"/>
  <c r="H756"/>
  <c r="AB757" l="1"/>
  <c r="L757"/>
  <c r="R757"/>
  <c r="N757"/>
  <c r="T757"/>
  <c r="C757"/>
  <c r="H757"/>
  <c r="AF757"/>
  <c r="P757"/>
  <c r="Z757"/>
  <c r="AD757"/>
  <c r="F757"/>
  <c r="D757"/>
  <c r="V757"/>
  <c r="X757"/>
  <c r="J757"/>
  <c r="B758"/>
  <c r="AB758" l="1"/>
  <c r="L758"/>
  <c r="C758"/>
  <c r="F758"/>
  <c r="P758"/>
  <c r="B759"/>
  <c r="R758"/>
  <c r="V758"/>
  <c r="X758"/>
  <c r="AD758"/>
  <c r="AF758"/>
  <c r="N758"/>
  <c r="D758"/>
  <c r="J758"/>
  <c r="H758"/>
  <c r="Z758"/>
  <c r="T758"/>
  <c r="C759" l="1"/>
  <c r="R759"/>
  <c r="AF759"/>
  <c r="AB759"/>
  <c r="N759"/>
  <c r="L759"/>
  <c r="B760"/>
  <c r="V759"/>
  <c r="F759"/>
  <c r="H759"/>
  <c r="T759"/>
  <c r="AD759"/>
  <c r="X759"/>
  <c r="Z759"/>
  <c r="J759"/>
  <c r="P759"/>
  <c r="D759"/>
  <c r="AD760" l="1"/>
  <c r="N760"/>
  <c r="B761"/>
  <c r="D760"/>
  <c r="P760"/>
  <c r="J760"/>
  <c r="X760"/>
  <c r="R760"/>
  <c r="C760"/>
  <c r="L760"/>
  <c r="AF760"/>
  <c r="Z760"/>
  <c r="AB760"/>
  <c r="V760"/>
  <c r="F760"/>
  <c r="T760"/>
  <c r="H760"/>
  <c r="T761" l="1"/>
  <c r="D761"/>
  <c r="C761"/>
  <c r="V761"/>
  <c r="AB761"/>
  <c r="L761"/>
  <c r="N761"/>
  <c r="AF761"/>
  <c r="P761"/>
  <c r="Z761"/>
  <c r="F761"/>
  <c r="X761"/>
  <c r="H761"/>
  <c r="J761"/>
  <c r="B762"/>
  <c r="R761"/>
  <c r="AD761"/>
  <c r="AB762" l="1"/>
  <c r="L762"/>
  <c r="C762"/>
  <c r="F762"/>
  <c r="T762"/>
  <c r="J762"/>
  <c r="X762"/>
  <c r="AD762"/>
  <c r="AF762"/>
  <c r="P762"/>
  <c r="B763"/>
  <c r="N762"/>
  <c r="R762"/>
  <c r="D762"/>
  <c r="V762"/>
  <c r="H762"/>
  <c r="Z762"/>
  <c r="Z763" l="1"/>
  <c r="J763"/>
  <c r="P763"/>
  <c r="D763"/>
  <c r="C763"/>
  <c r="R763"/>
  <c r="AF763"/>
  <c r="AB763"/>
  <c r="B764"/>
  <c r="V763"/>
  <c r="F763"/>
  <c r="H763"/>
  <c r="T763"/>
  <c r="AD763"/>
  <c r="N763"/>
  <c r="X763"/>
  <c r="L763"/>
  <c r="Z764" l="1"/>
  <c r="J764"/>
  <c r="AB764"/>
  <c r="X764"/>
  <c r="AD764"/>
  <c r="N764"/>
  <c r="B765"/>
  <c r="D764"/>
  <c r="P764"/>
  <c r="V764"/>
  <c r="F764"/>
  <c r="T764"/>
  <c r="H764"/>
  <c r="R764"/>
  <c r="C764"/>
  <c r="L764"/>
  <c r="AF764"/>
  <c r="AB765" l="1"/>
  <c r="L765"/>
  <c r="R765"/>
  <c r="N765"/>
  <c r="X765"/>
  <c r="J765"/>
  <c r="AF765"/>
  <c r="P765"/>
  <c r="Z765"/>
  <c r="AD765"/>
  <c r="F765"/>
  <c r="H765"/>
  <c r="B766"/>
  <c r="T765"/>
  <c r="D765"/>
  <c r="C765"/>
  <c r="V765"/>
  <c r="X766" l="1"/>
  <c r="H766"/>
  <c r="AD766"/>
  <c r="Z766"/>
  <c r="AB766"/>
  <c r="L766"/>
  <c r="C766"/>
  <c r="F766"/>
  <c r="D766"/>
  <c r="J766"/>
  <c r="AF766"/>
  <c r="P766"/>
  <c r="B767"/>
  <c r="N766"/>
  <c r="R766"/>
  <c r="T766"/>
  <c r="V766"/>
  <c r="C767" l="1"/>
  <c r="R767"/>
  <c r="AF767"/>
  <c r="AB767"/>
  <c r="Z767"/>
  <c r="J767"/>
  <c r="P767"/>
  <c r="D767"/>
  <c r="X767"/>
  <c r="B768"/>
  <c r="V767"/>
  <c r="F767"/>
  <c r="H767"/>
  <c r="T767"/>
  <c r="AD767"/>
  <c r="N767"/>
  <c r="L767"/>
  <c r="V768" l="1"/>
  <c r="F768"/>
  <c r="T768"/>
  <c r="H768"/>
  <c r="Z768"/>
  <c r="J768"/>
  <c r="AB768"/>
  <c r="X768"/>
  <c r="AD768"/>
  <c r="N768"/>
  <c r="B769"/>
  <c r="D768"/>
  <c r="P768"/>
  <c r="R768"/>
  <c r="C768"/>
  <c r="L768"/>
  <c r="AF768"/>
  <c r="X769" l="1"/>
  <c r="H769"/>
  <c r="J769"/>
  <c r="B770"/>
  <c r="T769"/>
  <c r="C769"/>
  <c r="AB769"/>
  <c r="L769"/>
  <c r="R769"/>
  <c r="N769"/>
  <c r="AF769"/>
  <c r="P769"/>
  <c r="Z769"/>
  <c r="AD769"/>
  <c r="F769"/>
  <c r="D769"/>
  <c r="V769"/>
  <c r="AF770" l="1"/>
  <c r="P770"/>
  <c r="B771"/>
  <c r="N770"/>
  <c r="R770"/>
  <c r="T770"/>
  <c r="D770"/>
  <c r="V770"/>
  <c r="J770"/>
  <c r="L770"/>
  <c r="F770"/>
  <c r="X770"/>
  <c r="H770"/>
  <c r="AD770"/>
  <c r="Z770"/>
  <c r="AB770"/>
  <c r="C770"/>
  <c r="AD771" l="1"/>
  <c r="N771"/>
  <c r="X771"/>
  <c r="L771"/>
  <c r="H771"/>
  <c r="C771"/>
  <c r="R771"/>
  <c r="AF771"/>
  <c r="AB771"/>
  <c r="V771"/>
  <c r="T771"/>
  <c r="Z771"/>
  <c r="P771"/>
  <c r="B772"/>
  <c r="F771"/>
  <c r="J771"/>
  <c r="D771"/>
  <c r="Z772" l="1"/>
  <c r="J772"/>
  <c r="AB772"/>
  <c r="X772"/>
  <c r="T772"/>
  <c r="AD772"/>
  <c r="N772"/>
  <c r="B773"/>
  <c r="D772"/>
  <c r="P772"/>
  <c r="R772"/>
  <c r="C772"/>
  <c r="L772"/>
  <c r="AF772"/>
  <c r="V772"/>
  <c r="F772"/>
  <c r="H772"/>
  <c r="T773" l="1"/>
  <c r="D773"/>
  <c r="C773"/>
  <c r="V773"/>
  <c r="AB773"/>
  <c r="L773"/>
  <c r="R773"/>
  <c r="N773"/>
  <c r="AF773"/>
  <c r="P773"/>
  <c r="Z773"/>
  <c r="AD773"/>
  <c r="F773"/>
  <c r="X773"/>
  <c r="H773"/>
  <c r="J773"/>
  <c r="B774"/>
  <c r="X774" l="1"/>
  <c r="AD774"/>
  <c r="AB774"/>
  <c r="L774"/>
  <c r="C774"/>
  <c r="F774"/>
  <c r="D774"/>
  <c r="J774"/>
  <c r="H774"/>
  <c r="AF774"/>
  <c r="P774"/>
  <c r="B775"/>
  <c r="N774"/>
  <c r="R774"/>
  <c r="T774"/>
  <c r="V774"/>
  <c r="Z774"/>
  <c r="AD775" l="1"/>
  <c r="N775"/>
  <c r="X775"/>
  <c r="L775"/>
  <c r="C775"/>
  <c r="R775"/>
  <c r="AF775"/>
  <c r="AB775"/>
  <c r="Z775"/>
  <c r="J775"/>
  <c r="P775"/>
  <c r="D775"/>
  <c r="B776"/>
  <c r="V775"/>
  <c r="F775"/>
  <c r="H775"/>
  <c r="T775"/>
  <c r="AD776" l="1"/>
  <c r="N776"/>
  <c r="B777"/>
  <c r="D776"/>
  <c r="P776"/>
  <c r="R776"/>
  <c r="C776"/>
  <c r="L776"/>
  <c r="AF776"/>
  <c r="J776"/>
  <c r="X776"/>
  <c r="V776"/>
  <c r="F776"/>
  <c r="T776"/>
  <c r="H776"/>
  <c r="Z776"/>
  <c r="AB776"/>
  <c r="AB777" l="1"/>
  <c r="L777"/>
  <c r="R777"/>
  <c r="N777"/>
  <c r="B778"/>
  <c r="AF777"/>
  <c r="P777"/>
  <c r="Z777"/>
  <c r="AD777"/>
  <c r="F777"/>
  <c r="X777"/>
  <c r="H777"/>
  <c r="J777"/>
  <c r="T777"/>
  <c r="D777"/>
  <c r="C777"/>
  <c r="V777"/>
  <c r="T778" l="1"/>
  <c r="D778"/>
  <c r="V778"/>
  <c r="J778"/>
  <c r="C778"/>
  <c r="P778"/>
  <c r="R778"/>
  <c r="X778"/>
  <c r="H778"/>
  <c r="AD778"/>
  <c r="Z778"/>
  <c r="AB778"/>
  <c r="L778"/>
  <c r="F778"/>
  <c r="AF778"/>
  <c r="N778"/>
  <c r="B779"/>
  <c r="B780" l="1"/>
  <c r="V779"/>
  <c r="F779"/>
  <c r="H779"/>
  <c r="T779"/>
  <c r="Z779"/>
  <c r="P779"/>
  <c r="AD779"/>
  <c r="N779"/>
  <c r="X779"/>
  <c r="L779"/>
  <c r="C779"/>
  <c r="R779"/>
  <c r="AF779"/>
  <c r="AB779"/>
  <c r="J779"/>
  <c r="D779"/>
  <c r="R780" l="1"/>
  <c r="Z780"/>
  <c r="T780"/>
  <c r="H780"/>
  <c r="AF780"/>
  <c r="J780"/>
  <c r="D780"/>
  <c r="N780"/>
  <c r="AB780"/>
  <c r="L780"/>
  <c r="B781"/>
  <c r="V780"/>
  <c r="F780"/>
  <c r="AD780"/>
  <c r="X780"/>
  <c r="C780"/>
  <c r="P780"/>
  <c r="AF781" l="1"/>
  <c r="P781"/>
  <c r="Z781"/>
  <c r="N781"/>
  <c r="V781"/>
  <c r="F781"/>
  <c r="J781"/>
  <c r="T781"/>
  <c r="D781"/>
  <c r="AD781"/>
  <c r="R781"/>
  <c r="X781"/>
  <c r="H781"/>
  <c r="B782"/>
  <c r="AB781"/>
  <c r="L781"/>
  <c r="C781"/>
  <c r="C782" l="1"/>
  <c r="D782"/>
  <c r="Z782"/>
  <c r="V782"/>
  <c r="X782"/>
  <c r="J782"/>
  <c r="B783"/>
  <c r="N782"/>
  <c r="H782"/>
  <c r="F782"/>
  <c r="L782"/>
  <c r="T782"/>
  <c r="R782"/>
  <c r="AB782"/>
  <c r="AF782"/>
  <c r="AD782"/>
  <c r="P782"/>
  <c r="AD783" l="1"/>
  <c r="N783"/>
  <c r="H783"/>
  <c r="P783"/>
  <c r="V783"/>
  <c r="F783"/>
  <c r="AB783"/>
  <c r="B784"/>
  <c r="Z783"/>
  <c r="J783"/>
  <c r="C783"/>
  <c r="D783"/>
  <c r="AF783"/>
  <c r="R783"/>
  <c r="X783"/>
  <c r="L783"/>
  <c r="T783"/>
  <c r="P784" l="1"/>
  <c r="J784"/>
  <c r="AD784"/>
  <c r="B785"/>
  <c r="R784"/>
  <c r="F784"/>
  <c r="H784"/>
  <c r="V784"/>
  <c r="T784"/>
  <c r="C784"/>
  <c r="D784"/>
  <c r="L784"/>
  <c r="AF784"/>
  <c r="Z784"/>
  <c r="AB784"/>
  <c r="X784"/>
  <c r="N784"/>
  <c r="AB785" l="1"/>
  <c r="L785"/>
  <c r="J785"/>
  <c r="C785"/>
  <c r="P785"/>
  <c r="N785"/>
  <c r="AD785"/>
  <c r="AF785"/>
  <c r="Z785"/>
  <c r="V785"/>
  <c r="T785"/>
  <c r="D785"/>
  <c r="R785"/>
  <c r="X785"/>
  <c r="B786"/>
  <c r="F785"/>
  <c r="H785"/>
  <c r="B787" l="1"/>
  <c r="N786"/>
  <c r="H786"/>
  <c r="F786"/>
  <c r="L786"/>
  <c r="T786"/>
  <c r="R786"/>
  <c r="AB786"/>
  <c r="AF786"/>
  <c r="C786"/>
  <c r="Z786"/>
  <c r="AD786"/>
  <c r="X786"/>
  <c r="P786"/>
  <c r="J786"/>
  <c r="D786"/>
  <c r="V786"/>
  <c r="AF787" l="1"/>
  <c r="R787"/>
  <c r="X787"/>
  <c r="L787"/>
  <c r="T787"/>
  <c r="P787"/>
  <c r="V787"/>
  <c r="F787"/>
  <c r="AB787"/>
  <c r="B788"/>
  <c r="Z787"/>
  <c r="J787"/>
  <c r="C787"/>
  <c r="D787"/>
  <c r="AD787"/>
  <c r="N787"/>
  <c r="H787"/>
  <c r="F788" l="1"/>
  <c r="D788"/>
  <c r="H788"/>
  <c r="L788"/>
  <c r="P788"/>
  <c r="J788"/>
  <c r="AD788"/>
  <c r="B789"/>
  <c r="V788"/>
  <c r="T788"/>
  <c r="R788"/>
  <c r="C788"/>
  <c r="AF788"/>
  <c r="Z788"/>
  <c r="AB788"/>
  <c r="X788"/>
  <c r="N788"/>
  <c r="AB789" l="1"/>
  <c r="L789"/>
  <c r="J789"/>
  <c r="C789"/>
  <c r="AF789"/>
  <c r="P789"/>
  <c r="Z789"/>
  <c r="N789"/>
  <c r="V789"/>
  <c r="H789"/>
  <c r="F789"/>
  <c r="T789"/>
  <c r="D789"/>
  <c r="AD789"/>
  <c r="R789"/>
  <c r="X789"/>
  <c r="B790"/>
  <c r="AD790" l="1"/>
  <c r="X790"/>
  <c r="P790"/>
  <c r="J790"/>
  <c r="H790"/>
  <c r="L790"/>
  <c r="R790"/>
  <c r="AF790"/>
  <c r="C790"/>
  <c r="D790"/>
  <c r="Z790"/>
  <c r="V790"/>
  <c r="B791"/>
  <c r="N790"/>
  <c r="F790"/>
  <c r="T790"/>
  <c r="AB790"/>
  <c r="R791" l="1"/>
  <c r="L791"/>
  <c r="V791"/>
  <c r="AB791"/>
  <c r="Z791"/>
  <c r="J791"/>
  <c r="C791"/>
  <c r="D791"/>
  <c r="AD791"/>
  <c r="N791"/>
  <c r="H791"/>
  <c r="AF791"/>
  <c r="P791"/>
  <c r="X791"/>
  <c r="T791"/>
  <c r="F791"/>
  <c r="B792"/>
  <c r="V792" l="1"/>
  <c r="T792"/>
  <c r="R792"/>
  <c r="C792"/>
  <c r="F792"/>
  <c r="D792"/>
  <c r="H792"/>
  <c r="L792"/>
  <c r="J792"/>
  <c r="B793"/>
  <c r="AF792"/>
  <c r="Z792"/>
  <c r="AB792"/>
  <c r="X792"/>
  <c r="N792"/>
  <c r="P792"/>
  <c r="AD792"/>
  <c r="AB793" l="1"/>
  <c r="L793"/>
  <c r="J793"/>
  <c r="C793"/>
  <c r="AF793"/>
  <c r="P793"/>
  <c r="Z793"/>
  <c r="N793"/>
  <c r="V793"/>
  <c r="T793"/>
  <c r="D793"/>
  <c r="AD793"/>
  <c r="R793"/>
  <c r="X793"/>
  <c r="H793"/>
  <c r="B794"/>
  <c r="F793"/>
  <c r="AD794" l="1"/>
  <c r="X794"/>
  <c r="P794"/>
  <c r="J794"/>
  <c r="D794"/>
  <c r="V794"/>
  <c r="T794"/>
  <c r="AF794"/>
  <c r="C794"/>
  <c r="Z794"/>
  <c r="R794"/>
  <c r="AB794"/>
  <c r="B795"/>
  <c r="N794"/>
  <c r="H794"/>
  <c r="F794"/>
  <c r="L794"/>
  <c r="Z795" l="1"/>
  <c r="J795"/>
  <c r="C795"/>
  <c r="D795"/>
  <c r="P795"/>
  <c r="AD795"/>
  <c r="N795"/>
  <c r="H795"/>
  <c r="AF795"/>
  <c r="R795"/>
  <c r="X795"/>
  <c r="L795"/>
  <c r="T795"/>
  <c r="AB795"/>
  <c r="V795"/>
  <c r="F795"/>
  <c r="B796"/>
  <c r="F796" l="1"/>
  <c r="D796"/>
  <c r="N796"/>
  <c r="P796"/>
  <c r="J796"/>
  <c r="AD796"/>
  <c r="C796"/>
  <c r="V796"/>
  <c r="T796"/>
  <c r="R796"/>
  <c r="X796"/>
  <c r="L796"/>
  <c r="AF796"/>
  <c r="Z796"/>
  <c r="AB796"/>
  <c r="H796"/>
  <c r="B797"/>
  <c r="AB797" l="1"/>
  <c r="L797"/>
  <c r="J797"/>
  <c r="C797"/>
  <c r="T797"/>
  <c r="R797"/>
  <c r="AF797"/>
  <c r="P797"/>
  <c r="Z797"/>
  <c r="N797"/>
  <c r="V797"/>
  <c r="D797"/>
  <c r="AD797"/>
  <c r="X797"/>
  <c r="H797"/>
  <c r="B798"/>
  <c r="F797"/>
  <c r="B799" l="1"/>
  <c r="N798"/>
  <c r="H798"/>
  <c r="F798"/>
  <c r="L798"/>
  <c r="T798"/>
  <c r="AB798"/>
  <c r="Z798"/>
  <c r="R798"/>
  <c r="AF798"/>
  <c r="C798"/>
  <c r="D798"/>
  <c r="V798"/>
  <c r="AD798"/>
  <c r="X798"/>
  <c r="P798"/>
  <c r="J798"/>
  <c r="AD799" l="1"/>
  <c r="N799"/>
  <c r="H799"/>
  <c r="AF799"/>
  <c r="P799"/>
  <c r="X799"/>
  <c r="L799"/>
  <c r="T799"/>
  <c r="F799"/>
  <c r="R799"/>
  <c r="AB799"/>
  <c r="Z799"/>
  <c r="J799"/>
  <c r="C799"/>
  <c r="D799"/>
  <c r="V799"/>
  <c r="B800"/>
  <c r="V800" l="1"/>
  <c r="T800"/>
  <c r="R800"/>
  <c r="C800"/>
  <c r="H800"/>
  <c r="AD800"/>
  <c r="AF800"/>
  <c r="Z800"/>
  <c r="AB800"/>
  <c r="X800"/>
  <c r="N800"/>
  <c r="F800"/>
  <c r="D800"/>
  <c r="L800"/>
  <c r="P800"/>
  <c r="J800"/>
  <c r="B801"/>
  <c r="X801" l="1"/>
  <c r="H801"/>
  <c r="B802"/>
  <c r="F801"/>
  <c r="AF801"/>
  <c r="P801"/>
  <c r="Z801"/>
  <c r="N801"/>
  <c r="V801"/>
  <c r="T801"/>
  <c r="D801"/>
  <c r="AD801"/>
  <c r="R801"/>
  <c r="AB801"/>
  <c r="L801"/>
  <c r="J801"/>
  <c r="C801"/>
  <c r="C802" l="1"/>
  <c r="D802"/>
  <c r="Z802"/>
  <c r="V802"/>
  <c r="H802"/>
  <c r="L802"/>
  <c r="T802"/>
  <c r="R802"/>
  <c r="AB802"/>
  <c r="AF802"/>
  <c r="AD802"/>
  <c r="X802"/>
  <c r="P802"/>
  <c r="J802"/>
  <c r="B803"/>
  <c r="N802"/>
  <c r="F802"/>
  <c r="Z803" l="1"/>
  <c r="J803"/>
  <c r="C803"/>
  <c r="D803"/>
  <c r="L803"/>
  <c r="AB803"/>
  <c r="AD803"/>
  <c r="N803"/>
  <c r="H803"/>
  <c r="AF803"/>
  <c r="P803"/>
  <c r="R803"/>
  <c r="X803"/>
  <c r="T803"/>
  <c r="V803"/>
  <c r="F803"/>
  <c r="B804"/>
  <c r="F804" l="1"/>
  <c r="D804"/>
  <c r="H804"/>
  <c r="L804"/>
  <c r="P804"/>
  <c r="AD804"/>
  <c r="B805"/>
  <c r="AF804"/>
  <c r="Z804"/>
  <c r="X804"/>
  <c r="J804"/>
  <c r="AB804"/>
  <c r="N804"/>
  <c r="V804"/>
  <c r="T804"/>
  <c r="R804"/>
  <c r="C804"/>
  <c r="AB805" l="1"/>
  <c r="L805"/>
  <c r="J805"/>
  <c r="C805"/>
  <c r="X805"/>
  <c r="H805"/>
  <c r="F805"/>
  <c r="AF805"/>
  <c r="P805"/>
  <c r="Z805"/>
  <c r="N805"/>
  <c r="V805"/>
  <c r="T805"/>
  <c r="D805"/>
  <c r="AD805"/>
  <c r="R805"/>
  <c r="B806"/>
  <c r="AF806" l="1"/>
  <c r="P806"/>
  <c r="D806"/>
  <c r="Z806"/>
  <c r="AB806"/>
  <c r="AD806"/>
  <c r="H806"/>
  <c r="J806"/>
  <c r="C806"/>
  <c r="T806"/>
  <c r="N806"/>
  <c r="F806"/>
  <c r="B807"/>
  <c r="X806"/>
  <c r="V806"/>
  <c r="R806"/>
  <c r="L806"/>
  <c r="AD807" l="1"/>
  <c r="N807"/>
  <c r="C807"/>
  <c r="D807"/>
  <c r="R807"/>
  <c r="B808"/>
  <c r="L807"/>
  <c r="X807"/>
  <c r="V807"/>
  <c r="F807"/>
  <c r="T807"/>
  <c r="P807"/>
  <c r="Z807"/>
  <c r="J807"/>
  <c r="AB807"/>
  <c r="AF807"/>
  <c r="H807"/>
  <c r="V808" l="1"/>
  <c r="F808"/>
  <c r="P808"/>
  <c r="L808"/>
  <c r="R808"/>
  <c r="C808"/>
  <c r="H808"/>
  <c r="D808"/>
  <c r="Z808"/>
  <c r="J808"/>
  <c r="X808"/>
  <c r="AB808"/>
  <c r="AD808"/>
  <c r="N808"/>
  <c r="AF808"/>
  <c r="B809"/>
  <c r="T808"/>
  <c r="T809" l="1"/>
  <c r="D809"/>
  <c r="F809"/>
  <c r="J809"/>
  <c r="H809"/>
  <c r="C809"/>
  <c r="AB809"/>
  <c r="L809"/>
  <c r="V809"/>
  <c r="B810"/>
  <c r="AF809"/>
  <c r="P809"/>
  <c r="AD809"/>
  <c r="R809"/>
  <c r="Z809"/>
  <c r="X809"/>
  <c r="N809"/>
  <c r="AF810" l="1"/>
  <c r="P810"/>
  <c r="AD810"/>
  <c r="R810"/>
  <c r="X810"/>
  <c r="N810"/>
  <c r="L810"/>
  <c r="C810"/>
  <c r="T810"/>
  <c r="D810"/>
  <c r="F810"/>
  <c r="B811"/>
  <c r="H810"/>
  <c r="J810"/>
  <c r="V810"/>
  <c r="AB810"/>
  <c r="Z810"/>
  <c r="Z811" l="1"/>
  <c r="J811"/>
  <c r="AB811"/>
  <c r="AF811"/>
  <c r="D811"/>
  <c r="R811"/>
  <c r="B812"/>
  <c r="L811"/>
  <c r="X811"/>
  <c r="V811"/>
  <c r="F811"/>
  <c r="T811"/>
  <c r="P811"/>
  <c r="AD811"/>
  <c r="N811"/>
  <c r="C811"/>
  <c r="H811"/>
  <c r="Z812" l="1"/>
  <c r="J812"/>
  <c r="X812"/>
  <c r="AB812"/>
  <c r="AD812"/>
  <c r="N812"/>
  <c r="AF812"/>
  <c r="B813"/>
  <c r="T812"/>
  <c r="F812"/>
  <c r="R812"/>
  <c r="C812"/>
  <c r="H812"/>
  <c r="D812"/>
  <c r="V812"/>
  <c r="P812"/>
  <c r="L812"/>
  <c r="AB813" l="1"/>
  <c r="L813"/>
  <c r="V813"/>
  <c r="B814"/>
  <c r="AF813"/>
  <c r="P813"/>
  <c r="AD813"/>
  <c r="R813"/>
  <c r="Z813"/>
  <c r="T813"/>
  <c r="D813"/>
  <c r="F813"/>
  <c r="J813"/>
  <c r="X813"/>
  <c r="H813"/>
  <c r="N813"/>
  <c r="C813"/>
  <c r="C814" l="1"/>
  <c r="T814"/>
  <c r="D814"/>
  <c r="F814"/>
  <c r="AB814"/>
  <c r="V814"/>
  <c r="AF814"/>
  <c r="R814"/>
  <c r="B815"/>
  <c r="X814"/>
  <c r="H814"/>
  <c r="N814"/>
  <c r="J814"/>
  <c r="L814"/>
  <c r="Z814"/>
  <c r="P814"/>
  <c r="AD814"/>
  <c r="AD815" l="1"/>
  <c r="N815"/>
  <c r="C815"/>
  <c r="D815"/>
  <c r="H815"/>
  <c r="R815"/>
  <c r="B816"/>
  <c r="L815"/>
  <c r="X815"/>
  <c r="Z815"/>
  <c r="AF815"/>
  <c r="V815"/>
  <c r="F815"/>
  <c r="T815"/>
  <c r="P815"/>
  <c r="J815"/>
  <c r="AB815"/>
  <c r="Z816" l="1"/>
  <c r="J816"/>
  <c r="X816"/>
  <c r="AB816"/>
  <c r="P816"/>
  <c r="AD816"/>
  <c r="N816"/>
  <c r="AF816"/>
  <c r="B817"/>
  <c r="T816"/>
  <c r="V816"/>
  <c r="F816"/>
  <c r="L816"/>
  <c r="R816"/>
  <c r="C816"/>
  <c r="H816"/>
  <c r="D816"/>
  <c r="X817" l="1"/>
  <c r="N817"/>
  <c r="AB817"/>
  <c r="L817"/>
  <c r="V817"/>
  <c r="B818"/>
  <c r="AF817"/>
  <c r="P817"/>
  <c r="AD817"/>
  <c r="R817"/>
  <c r="Z817"/>
  <c r="T817"/>
  <c r="D817"/>
  <c r="F817"/>
  <c r="J817"/>
  <c r="H817"/>
  <c r="C817"/>
  <c r="B819" l="1"/>
  <c r="X818"/>
  <c r="H818"/>
  <c r="N818"/>
  <c r="J818"/>
  <c r="T818"/>
  <c r="D818"/>
  <c r="AB818"/>
  <c r="L818"/>
  <c r="V818"/>
  <c r="Z818"/>
  <c r="AF818"/>
  <c r="P818"/>
  <c r="AD818"/>
  <c r="R818"/>
  <c r="C818"/>
  <c r="F818"/>
  <c r="AD819" l="1"/>
  <c r="N819"/>
  <c r="C819"/>
  <c r="L819"/>
  <c r="Z819"/>
  <c r="J819"/>
  <c r="D819"/>
  <c r="R819"/>
  <c r="B820"/>
  <c r="T819"/>
  <c r="P819"/>
  <c r="V819"/>
  <c r="F819"/>
  <c r="AB819"/>
  <c r="AF819"/>
  <c r="H819"/>
  <c r="X819"/>
  <c r="R820" l="1"/>
  <c r="C820"/>
  <c r="H820"/>
  <c r="D820"/>
  <c r="J820"/>
  <c r="AB820"/>
  <c r="AF820"/>
  <c r="T820"/>
  <c r="V820"/>
  <c r="F820"/>
  <c r="P820"/>
  <c r="L820"/>
  <c r="Z820"/>
  <c r="X820"/>
  <c r="AD820"/>
  <c r="N820"/>
  <c r="B821"/>
  <c r="AB821" l="1"/>
  <c r="L821"/>
  <c r="V821"/>
  <c r="B822"/>
  <c r="P821"/>
  <c r="Z821"/>
  <c r="T821"/>
  <c r="D821"/>
  <c r="F821"/>
  <c r="J821"/>
  <c r="X821"/>
  <c r="H821"/>
  <c r="N821"/>
  <c r="C821"/>
  <c r="AF821"/>
  <c r="AD821"/>
  <c r="R821"/>
  <c r="AF822" l="1"/>
  <c r="P822"/>
  <c r="AD822"/>
  <c r="R822"/>
  <c r="T822"/>
  <c r="F822"/>
  <c r="C822"/>
  <c r="D822"/>
  <c r="B823"/>
  <c r="H822"/>
  <c r="N822"/>
  <c r="J822"/>
  <c r="AB822"/>
  <c r="Z822"/>
  <c r="X822"/>
  <c r="L822"/>
  <c r="V822"/>
  <c r="Z823" l="1"/>
  <c r="J823"/>
  <c r="AB823"/>
  <c r="AF823"/>
  <c r="AD823"/>
  <c r="N823"/>
  <c r="C823"/>
  <c r="D823"/>
  <c r="H823"/>
  <c r="L823"/>
  <c r="R823"/>
  <c r="X823"/>
  <c r="T823"/>
  <c r="B824"/>
  <c r="V823"/>
  <c r="F823"/>
  <c r="P823"/>
  <c r="R824" l="1"/>
  <c r="C824"/>
  <c r="H824"/>
  <c r="D824"/>
  <c r="V824"/>
  <c r="F824"/>
  <c r="P824"/>
  <c r="L824"/>
  <c r="B825"/>
  <c r="Z824"/>
  <c r="J824"/>
  <c r="X824"/>
  <c r="AB824"/>
  <c r="AD824"/>
  <c r="N824"/>
  <c r="AF824"/>
  <c r="T824"/>
  <c r="X825" l="1"/>
  <c r="H825"/>
  <c r="N825"/>
  <c r="C825"/>
  <c r="AB825"/>
  <c r="L825"/>
  <c r="V825"/>
  <c r="B826"/>
  <c r="AF825"/>
  <c r="P825"/>
  <c r="AD825"/>
  <c r="R825"/>
  <c r="Z825"/>
  <c r="T825"/>
  <c r="D825"/>
  <c r="F825"/>
  <c r="J825"/>
  <c r="AB826" l="1"/>
  <c r="L826"/>
  <c r="V826"/>
  <c r="Z826"/>
  <c r="T826"/>
  <c r="D826"/>
  <c r="F826"/>
  <c r="B827"/>
  <c r="X826"/>
  <c r="H826"/>
  <c r="J826"/>
  <c r="AF826"/>
  <c r="P826"/>
  <c r="AD826"/>
  <c r="R826"/>
  <c r="N826"/>
  <c r="C826"/>
  <c r="R827" l="1"/>
  <c r="B828"/>
  <c r="L827"/>
  <c r="X827"/>
  <c r="Z827"/>
  <c r="AB827"/>
  <c r="C827"/>
  <c r="H827"/>
  <c r="V827"/>
  <c r="F827"/>
  <c r="T827"/>
  <c r="P827"/>
  <c r="J827"/>
  <c r="AF827"/>
  <c r="AD827"/>
  <c r="N827"/>
  <c r="D827"/>
  <c r="Z828" l="1"/>
  <c r="J828"/>
  <c r="X828"/>
  <c r="AB828"/>
  <c r="V828"/>
  <c r="F828"/>
  <c r="L828"/>
  <c r="AD828"/>
  <c r="N828"/>
  <c r="AF828"/>
  <c r="B829"/>
  <c r="T828"/>
  <c r="P828"/>
  <c r="R828"/>
  <c r="C828"/>
  <c r="H828"/>
  <c r="D828"/>
  <c r="X829" l="1"/>
  <c r="H829"/>
  <c r="N829"/>
  <c r="C829"/>
  <c r="AB829"/>
  <c r="L829"/>
  <c r="V829"/>
  <c r="B830"/>
  <c r="AF829"/>
  <c r="P829"/>
  <c r="AD829"/>
  <c r="R829"/>
  <c r="Z829"/>
  <c r="T829"/>
  <c r="D829"/>
  <c r="F829"/>
  <c r="J829"/>
  <c r="B831" l="1"/>
  <c r="X830"/>
  <c r="H830"/>
  <c r="N830"/>
  <c r="J830"/>
  <c r="AB830"/>
  <c r="L830"/>
  <c r="V830"/>
  <c r="Z830"/>
  <c r="AF830"/>
  <c r="P830"/>
  <c r="AD830"/>
  <c r="R830"/>
  <c r="C830"/>
  <c r="T830"/>
  <c r="D830"/>
  <c r="F830"/>
  <c r="X831" l="1"/>
  <c r="T831"/>
  <c r="F831"/>
  <c r="AF831"/>
  <c r="B832"/>
  <c r="D831"/>
  <c r="P831"/>
  <c r="J831"/>
  <c r="N831"/>
  <c r="C831"/>
  <c r="AD831"/>
  <c r="AB831"/>
  <c r="V831"/>
  <c r="R831"/>
  <c r="Z831"/>
  <c r="H831"/>
  <c r="L831"/>
  <c r="V832" l="1"/>
  <c r="F832"/>
  <c r="H832"/>
  <c r="B833"/>
  <c r="Z832"/>
  <c r="J832"/>
  <c r="X832"/>
  <c r="AF832"/>
  <c r="AD832"/>
  <c r="N832"/>
  <c r="L832"/>
  <c r="D832"/>
  <c r="P832"/>
  <c r="R832"/>
  <c r="AB832"/>
  <c r="C832"/>
  <c r="T832"/>
  <c r="Z833" l="1"/>
  <c r="AF833"/>
  <c r="AD833"/>
  <c r="X833"/>
  <c r="B834"/>
  <c r="J833"/>
  <c r="P833"/>
  <c r="AB833"/>
  <c r="N833"/>
  <c r="D833"/>
  <c r="F833"/>
  <c r="R833"/>
  <c r="L833"/>
  <c r="T833"/>
  <c r="V833"/>
  <c r="H833"/>
  <c r="C833"/>
  <c r="N834" l="1"/>
  <c r="AB834"/>
  <c r="L834"/>
  <c r="AD834"/>
  <c r="J834"/>
  <c r="Z834"/>
  <c r="T834"/>
  <c r="D834"/>
  <c r="F834"/>
  <c r="X834"/>
  <c r="R834"/>
  <c r="AF834"/>
  <c r="P834"/>
  <c r="B835"/>
  <c r="V834"/>
  <c r="C834"/>
  <c r="H834"/>
  <c r="B836" l="1"/>
  <c r="H835"/>
  <c r="D835"/>
  <c r="P835"/>
  <c r="J835"/>
  <c r="R835"/>
  <c r="N835"/>
  <c r="Z835"/>
  <c r="L835"/>
  <c r="C835"/>
  <c r="AD835"/>
  <c r="AB835"/>
  <c r="V835"/>
  <c r="X835"/>
  <c r="T835"/>
  <c r="F835"/>
  <c r="AF835"/>
  <c r="Z836" l="1"/>
  <c r="J836"/>
  <c r="X836"/>
  <c r="AF836"/>
  <c r="V836"/>
  <c r="H836"/>
  <c r="AD836"/>
  <c r="N836"/>
  <c r="L836"/>
  <c r="D836"/>
  <c r="P836"/>
  <c r="R836"/>
  <c r="AB836"/>
  <c r="C836"/>
  <c r="T836"/>
  <c r="F836"/>
  <c r="B837"/>
  <c r="T837" l="1"/>
  <c r="V837"/>
  <c r="H837"/>
  <c r="C837"/>
  <c r="Z837"/>
  <c r="AF837"/>
  <c r="AD837"/>
  <c r="X837"/>
  <c r="B838"/>
  <c r="J837"/>
  <c r="P837"/>
  <c r="N837"/>
  <c r="D837"/>
  <c r="F837"/>
  <c r="R837"/>
  <c r="L837"/>
  <c r="AB837"/>
  <c r="AB838" l="1"/>
  <c r="L838"/>
  <c r="AD838"/>
  <c r="J838"/>
  <c r="AF838"/>
  <c r="P838"/>
  <c r="B839"/>
  <c r="Z838"/>
  <c r="T838"/>
  <c r="C838"/>
  <c r="F838"/>
  <c r="D838"/>
  <c r="X838"/>
  <c r="H838"/>
  <c r="N838"/>
  <c r="R838"/>
  <c r="V838"/>
  <c r="X839" l="1"/>
  <c r="T839"/>
  <c r="F839"/>
  <c r="AF839"/>
  <c r="R839"/>
  <c r="Z839"/>
  <c r="L839"/>
  <c r="C839"/>
  <c r="AD839"/>
  <c r="AB839"/>
  <c r="V839"/>
  <c r="N839"/>
  <c r="B840"/>
  <c r="H839"/>
  <c r="D839"/>
  <c r="P839"/>
  <c r="J839"/>
  <c r="H840" l="1"/>
  <c r="J840"/>
  <c r="AF840"/>
  <c r="AD840"/>
  <c r="N840"/>
  <c r="L840"/>
  <c r="D840"/>
  <c r="P840"/>
  <c r="R840"/>
  <c r="AB840"/>
  <c r="C840"/>
  <c r="T840"/>
  <c r="V840"/>
  <c r="F840"/>
  <c r="B841"/>
  <c r="Z840"/>
  <c r="X840"/>
  <c r="Z841" l="1"/>
  <c r="AF841"/>
  <c r="AD841"/>
  <c r="X841"/>
  <c r="B842"/>
  <c r="J841"/>
  <c r="P841"/>
  <c r="AB841"/>
  <c r="N841"/>
  <c r="C841"/>
  <c r="D841"/>
  <c r="F841"/>
  <c r="R841"/>
  <c r="L841"/>
  <c r="T841"/>
  <c r="V841"/>
  <c r="H841"/>
  <c r="T842" l="1"/>
  <c r="D842"/>
  <c r="C842"/>
  <c r="F842"/>
  <c r="X842"/>
  <c r="H842"/>
  <c r="N842"/>
  <c r="R842"/>
  <c r="P842"/>
  <c r="Z842"/>
  <c r="AB842"/>
  <c r="L842"/>
  <c r="AD842"/>
  <c r="J842"/>
  <c r="AF842"/>
  <c r="B843"/>
  <c r="V842"/>
  <c r="B844" l="1"/>
  <c r="H843"/>
  <c r="D843"/>
  <c r="P843"/>
  <c r="J843"/>
  <c r="AB843"/>
  <c r="R843"/>
  <c r="N843"/>
  <c r="Z843"/>
  <c r="L843"/>
  <c r="X843"/>
  <c r="T843"/>
  <c r="F843"/>
  <c r="AF843"/>
  <c r="C843"/>
  <c r="AD843"/>
  <c r="V843"/>
  <c r="V844" l="1"/>
  <c r="F844"/>
  <c r="H844"/>
  <c r="B845"/>
  <c r="Z844"/>
  <c r="J844"/>
  <c r="AF844"/>
  <c r="L844"/>
  <c r="C844"/>
  <c r="X844"/>
  <c r="AD844"/>
  <c r="D844"/>
  <c r="R844"/>
  <c r="N844"/>
  <c r="P844"/>
  <c r="AB844"/>
  <c r="T844"/>
  <c r="D845" l="1"/>
  <c r="F845"/>
  <c r="R845"/>
  <c r="L845"/>
  <c r="J845"/>
  <c r="P845"/>
  <c r="AB845"/>
  <c r="N845"/>
  <c r="Z845"/>
  <c r="AD845"/>
  <c r="B846"/>
  <c r="T845"/>
  <c r="V845"/>
  <c r="H845"/>
  <c r="C845"/>
  <c r="AF845"/>
  <c r="X845"/>
  <c r="X846" l="1"/>
  <c r="H846"/>
  <c r="N846"/>
  <c r="J846"/>
  <c r="F846"/>
  <c r="T846"/>
  <c r="D846"/>
  <c r="AB846"/>
  <c r="L846"/>
  <c r="AD846"/>
  <c r="C846"/>
  <c r="AF846"/>
  <c r="P846"/>
  <c r="B847"/>
  <c r="Z846"/>
  <c r="R846"/>
  <c r="V846"/>
  <c r="C847" l="1"/>
  <c r="AD847"/>
  <c r="AB847"/>
  <c r="V847"/>
  <c r="B848"/>
  <c r="H847"/>
  <c r="D847"/>
  <c r="P847"/>
  <c r="J847"/>
  <c r="R847"/>
  <c r="N847"/>
  <c r="Z847"/>
  <c r="L847"/>
  <c r="X847"/>
  <c r="T847"/>
  <c r="F847"/>
  <c r="AF847"/>
  <c r="AD848" l="1"/>
  <c r="N848"/>
  <c r="L848"/>
  <c r="D848"/>
  <c r="P848"/>
  <c r="Z848"/>
  <c r="J848"/>
  <c r="X848"/>
  <c r="AF848"/>
  <c r="R848"/>
  <c r="AB848"/>
  <c r="C848"/>
  <c r="T848"/>
  <c r="V848"/>
  <c r="F848"/>
  <c r="H848"/>
  <c r="B849"/>
  <c r="Z849" l="1"/>
  <c r="AF849"/>
  <c r="AD849"/>
  <c r="X849"/>
  <c r="B850"/>
  <c r="AB849"/>
  <c r="D849"/>
  <c r="F849"/>
  <c r="R849"/>
  <c r="L849"/>
  <c r="J849"/>
  <c r="P849"/>
  <c r="N849"/>
  <c r="T849"/>
  <c r="V849"/>
  <c r="H849"/>
  <c r="C849"/>
  <c r="X850" l="1"/>
  <c r="H850"/>
  <c r="N850"/>
  <c r="R850"/>
  <c r="AF850"/>
  <c r="P850"/>
  <c r="Z850"/>
  <c r="V850"/>
  <c r="D850"/>
  <c r="AB850"/>
  <c r="L850"/>
  <c r="AD850"/>
  <c r="J850"/>
  <c r="B851"/>
  <c r="T850"/>
  <c r="C850"/>
  <c r="F850"/>
  <c r="B852" l="1"/>
  <c r="H851"/>
  <c r="D851"/>
  <c r="P851"/>
  <c r="J851"/>
  <c r="R851"/>
  <c r="N851"/>
  <c r="Z851"/>
  <c r="L851"/>
  <c r="AD851"/>
  <c r="X851"/>
  <c r="T851"/>
  <c r="F851"/>
  <c r="AF851"/>
  <c r="C851"/>
  <c r="AB851"/>
  <c r="V851"/>
  <c r="Z852" l="1"/>
  <c r="J852"/>
  <c r="X852"/>
  <c r="AF852"/>
  <c r="H852"/>
  <c r="AD852"/>
  <c r="N852"/>
  <c r="L852"/>
  <c r="D852"/>
  <c r="P852"/>
  <c r="R852"/>
  <c r="C852"/>
  <c r="V852"/>
  <c r="B853"/>
  <c r="AB852"/>
  <c r="T852"/>
  <c r="F852"/>
  <c r="J853" l="1"/>
  <c r="P853"/>
  <c r="AB853"/>
  <c r="N853"/>
  <c r="T853"/>
  <c r="V853"/>
  <c r="H853"/>
  <c r="C853"/>
  <c r="Z853"/>
  <c r="AF853"/>
  <c r="AD853"/>
  <c r="X853"/>
  <c r="B854"/>
  <c r="D853"/>
  <c r="F853"/>
  <c r="R853"/>
  <c r="L853"/>
  <c r="AB854" l="1"/>
  <c r="L854"/>
  <c r="AD854"/>
  <c r="J854"/>
  <c r="F854"/>
  <c r="D854"/>
  <c r="V854"/>
  <c r="X854"/>
  <c r="AF854"/>
  <c r="P854"/>
  <c r="B855"/>
  <c r="Z854"/>
  <c r="T854"/>
  <c r="C854"/>
  <c r="R854"/>
  <c r="H854"/>
  <c r="N854"/>
  <c r="B856" l="1"/>
  <c r="H855"/>
  <c r="D855"/>
  <c r="P855"/>
  <c r="J855"/>
  <c r="T855"/>
  <c r="AF855"/>
  <c r="C855"/>
  <c r="AB855"/>
  <c r="R855"/>
  <c r="N855"/>
  <c r="Z855"/>
  <c r="L855"/>
  <c r="X855"/>
  <c r="F855"/>
  <c r="AD855"/>
  <c r="V855"/>
  <c r="AD856" l="1"/>
  <c r="N856"/>
  <c r="L856"/>
  <c r="D856"/>
  <c r="P856"/>
  <c r="F856"/>
  <c r="X856"/>
  <c r="R856"/>
  <c r="AB856"/>
  <c r="C856"/>
  <c r="T856"/>
  <c r="V856"/>
  <c r="H856"/>
  <c r="B857"/>
  <c r="Z856"/>
  <c r="J856"/>
  <c r="AF856"/>
  <c r="J857" l="1"/>
  <c r="P857"/>
  <c r="AB857"/>
  <c r="N857"/>
  <c r="V857"/>
  <c r="C857"/>
  <c r="Z857"/>
  <c r="AD857"/>
  <c r="X857"/>
  <c r="L857"/>
  <c r="T857"/>
  <c r="H857"/>
  <c r="AF857"/>
  <c r="B858"/>
  <c r="D857"/>
  <c r="F857"/>
  <c r="R857"/>
  <c r="T858" l="1"/>
  <c r="D858"/>
  <c r="C858"/>
  <c r="F858"/>
  <c r="P858"/>
  <c r="V858"/>
  <c r="X858"/>
  <c r="H858"/>
  <c r="N858"/>
  <c r="R858"/>
  <c r="AB858"/>
  <c r="L858"/>
  <c r="AD858"/>
  <c r="J858"/>
  <c r="AF858"/>
  <c r="Z858"/>
  <c r="B859"/>
  <c r="C859" l="1"/>
  <c r="AD859"/>
  <c r="AB859"/>
  <c r="V859"/>
  <c r="R859"/>
  <c r="N859"/>
  <c r="Z859"/>
  <c r="L859"/>
  <c r="X859"/>
  <c r="T859"/>
  <c r="F859"/>
  <c r="AF859"/>
  <c r="B860"/>
  <c r="H859"/>
  <c r="D859"/>
  <c r="P859"/>
  <c r="J859"/>
  <c r="R860" l="1"/>
  <c r="AB860"/>
  <c r="C860"/>
  <c r="T860"/>
  <c r="V860"/>
  <c r="F860"/>
  <c r="H860"/>
  <c r="B861"/>
  <c r="Z860"/>
  <c r="J860"/>
  <c r="X860"/>
  <c r="AF860"/>
  <c r="AD860"/>
  <c r="N860"/>
  <c r="L860"/>
  <c r="D860"/>
  <c r="P860"/>
  <c r="D861" l="1"/>
  <c r="F861"/>
  <c r="R861"/>
  <c r="L861"/>
  <c r="J861"/>
  <c r="P861"/>
  <c r="AB861"/>
  <c r="N861"/>
  <c r="Z861"/>
  <c r="AF861"/>
  <c r="AD861"/>
  <c r="X861"/>
  <c r="B862"/>
  <c r="T861"/>
  <c r="V861"/>
  <c r="H861"/>
  <c r="C861"/>
  <c r="X862" l="1"/>
  <c r="H862"/>
  <c r="N862"/>
  <c r="R862"/>
  <c r="AD862"/>
  <c r="P862"/>
  <c r="Z862"/>
  <c r="T862"/>
  <c r="C862"/>
  <c r="AB862"/>
  <c r="L862"/>
  <c r="J862"/>
  <c r="AF862"/>
  <c r="B863"/>
  <c r="V862"/>
  <c r="D862"/>
  <c r="F862"/>
  <c r="C863" l="1"/>
  <c r="AD863"/>
  <c r="AB863"/>
  <c r="V863"/>
  <c r="B864"/>
  <c r="H863"/>
  <c r="D863"/>
  <c r="P863"/>
  <c r="J863"/>
  <c r="R863"/>
  <c r="N863"/>
  <c r="Z863"/>
  <c r="L863"/>
  <c r="X863"/>
  <c r="T863"/>
  <c r="F863"/>
  <c r="AF863"/>
  <c r="V864" l="1"/>
  <c r="F864"/>
  <c r="H864"/>
  <c r="B865"/>
  <c r="Z864"/>
  <c r="J864"/>
  <c r="X864"/>
  <c r="AF864"/>
  <c r="AD864"/>
  <c r="N864"/>
  <c r="L864"/>
  <c r="D864"/>
  <c r="P864"/>
  <c r="R864"/>
  <c r="C864"/>
  <c r="T864"/>
  <c r="AB864"/>
  <c r="Z865" l="1"/>
  <c r="AF865"/>
  <c r="AD865"/>
  <c r="X865"/>
  <c r="B866"/>
  <c r="N865"/>
  <c r="T865"/>
  <c r="C865"/>
  <c r="D865"/>
  <c r="F865"/>
  <c r="R865"/>
  <c r="L865"/>
  <c r="AB865"/>
  <c r="V865"/>
  <c r="H865"/>
  <c r="J865"/>
  <c r="P865"/>
  <c r="X866" l="1"/>
  <c r="H866"/>
  <c r="N866"/>
  <c r="R866"/>
  <c r="AD866"/>
  <c r="AF866"/>
  <c r="P866"/>
  <c r="B867"/>
  <c r="Z866"/>
  <c r="V866"/>
  <c r="T866"/>
  <c r="D866"/>
  <c r="C866"/>
  <c r="F866"/>
  <c r="AB866"/>
  <c r="L866"/>
  <c r="J866"/>
  <c r="R867" l="1"/>
  <c r="N867"/>
  <c r="Z867"/>
  <c r="L867"/>
  <c r="H867"/>
  <c r="D867"/>
  <c r="J867"/>
  <c r="X867"/>
  <c r="T867"/>
  <c r="F867"/>
  <c r="AF867"/>
  <c r="B868"/>
  <c r="P867"/>
  <c r="C867"/>
  <c r="AD867"/>
  <c r="AB867"/>
  <c r="V867"/>
  <c r="V868" l="1"/>
  <c r="F868"/>
  <c r="X868"/>
  <c r="B869"/>
  <c r="AD868"/>
  <c r="N868"/>
  <c r="L868"/>
  <c r="H868"/>
  <c r="Z868"/>
  <c r="J868"/>
  <c r="C868"/>
  <c r="P868"/>
  <c r="AF868"/>
  <c r="R868"/>
  <c r="AB868"/>
  <c r="D868"/>
  <c r="T868"/>
  <c r="J869" l="1"/>
  <c r="P869"/>
  <c r="AB869"/>
  <c r="N869"/>
  <c r="T869"/>
  <c r="V869"/>
  <c r="H869"/>
  <c r="C869"/>
  <c r="Z869"/>
  <c r="AD869"/>
  <c r="B870"/>
  <c r="F869"/>
  <c r="L869"/>
  <c r="AF869"/>
  <c r="X869"/>
  <c r="D869"/>
  <c r="R869"/>
  <c r="T870" l="1"/>
  <c r="D870"/>
  <c r="C870"/>
  <c r="F870"/>
  <c r="AF870"/>
  <c r="Z870"/>
  <c r="X870"/>
  <c r="H870"/>
  <c r="N870"/>
  <c r="R870"/>
  <c r="P870"/>
  <c r="B871"/>
  <c r="V870"/>
  <c r="AB870"/>
  <c r="L870"/>
  <c r="AD870"/>
  <c r="J870"/>
  <c r="C871" l="1"/>
  <c r="AD871"/>
  <c r="AB871"/>
  <c r="V871"/>
  <c r="F871"/>
  <c r="B872"/>
  <c r="H871"/>
  <c r="D871"/>
  <c r="P871"/>
  <c r="J871"/>
  <c r="R871"/>
  <c r="N871"/>
  <c r="Z871"/>
  <c r="L871"/>
  <c r="X871"/>
  <c r="T871"/>
  <c r="AF871"/>
  <c r="Z872" l="1"/>
  <c r="J872"/>
  <c r="X872"/>
  <c r="AF872"/>
  <c r="F872"/>
  <c r="B873"/>
  <c r="AD872"/>
  <c r="N872"/>
  <c r="L872"/>
  <c r="D872"/>
  <c r="P872"/>
  <c r="V872"/>
  <c r="H872"/>
  <c r="R872"/>
  <c r="AB872"/>
  <c r="C872"/>
  <c r="T872"/>
  <c r="J873" l="1"/>
  <c r="P873"/>
  <c r="AB873"/>
  <c r="N873"/>
  <c r="T873"/>
  <c r="V873"/>
  <c r="H873"/>
  <c r="C873"/>
  <c r="D873"/>
  <c r="R873"/>
  <c r="Z873"/>
  <c r="AF873"/>
  <c r="AD873"/>
  <c r="X873"/>
  <c r="B874"/>
  <c r="F873"/>
  <c r="L873"/>
  <c r="T874" l="1"/>
  <c r="D874"/>
  <c r="C874"/>
  <c r="F874"/>
  <c r="AB874"/>
  <c r="AD874"/>
  <c r="X874"/>
  <c r="H874"/>
  <c r="N874"/>
  <c r="R874"/>
  <c r="L874"/>
  <c r="AF874"/>
  <c r="P874"/>
  <c r="B875"/>
  <c r="Z874"/>
  <c r="V874"/>
  <c r="J874"/>
  <c r="C875" l="1"/>
  <c r="AD875"/>
  <c r="AB875"/>
  <c r="V875"/>
  <c r="L875"/>
  <c r="B876"/>
  <c r="H875"/>
  <c r="D875"/>
  <c r="P875"/>
  <c r="J875"/>
  <c r="X875"/>
  <c r="T875"/>
  <c r="F875"/>
  <c r="AF875"/>
  <c r="R875"/>
  <c r="N875"/>
  <c r="Z875"/>
  <c r="AD876" l="1"/>
  <c r="D876"/>
  <c r="H876"/>
  <c r="R876"/>
  <c r="AB876"/>
  <c r="C876"/>
  <c r="T876"/>
  <c r="F876"/>
  <c r="Z876"/>
  <c r="J876"/>
  <c r="X876"/>
  <c r="AF876"/>
  <c r="N876"/>
  <c r="L876"/>
  <c r="P876"/>
  <c r="V876"/>
  <c r="B877"/>
  <c r="D877" l="1"/>
  <c r="F877"/>
  <c r="R877"/>
  <c r="L877"/>
  <c r="P877"/>
  <c r="N877"/>
  <c r="T877"/>
  <c r="V877"/>
  <c r="C877"/>
  <c r="Z877"/>
  <c r="AF877"/>
  <c r="AD877"/>
  <c r="X877"/>
  <c r="B878"/>
  <c r="J877"/>
  <c r="AB877"/>
  <c r="H877"/>
  <c r="AB878" l="1"/>
  <c r="L878"/>
  <c r="AD878"/>
  <c r="J878"/>
  <c r="AF878"/>
  <c r="B879"/>
  <c r="Z878"/>
  <c r="T878"/>
  <c r="D878"/>
  <c r="F878"/>
  <c r="X878"/>
  <c r="N878"/>
  <c r="R878"/>
  <c r="P878"/>
  <c r="V878"/>
  <c r="C878"/>
  <c r="H878"/>
  <c r="C879" l="1"/>
  <c r="AD879"/>
  <c r="AB879"/>
  <c r="V879"/>
  <c r="B880"/>
  <c r="H879"/>
  <c r="D879"/>
  <c r="P879"/>
  <c r="J879"/>
  <c r="X879"/>
  <c r="T879"/>
  <c r="AF879"/>
  <c r="R879"/>
  <c r="N879"/>
  <c r="Z879"/>
  <c r="L879"/>
  <c r="F879"/>
  <c r="AD880" l="1"/>
  <c r="N880"/>
  <c r="L880"/>
  <c r="D880"/>
  <c r="P880"/>
  <c r="B881"/>
  <c r="Z880"/>
  <c r="X880"/>
  <c r="R880"/>
  <c r="AB880"/>
  <c r="C880"/>
  <c r="T880"/>
  <c r="V880"/>
  <c r="F880"/>
  <c r="H880"/>
  <c r="J880"/>
  <c r="AF880"/>
  <c r="Z881" l="1"/>
  <c r="AF881"/>
  <c r="AD881"/>
  <c r="X881"/>
  <c r="B882"/>
  <c r="L881"/>
  <c r="T881"/>
  <c r="V881"/>
  <c r="H881"/>
  <c r="C881"/>
  <c r="D881"/>
  <c r="F881"/>
  <c r="R881"/>
  <c r="J881"/>
  <c r="P881"/>
  <c r="AB881"/>
  <c r="N881"/>
  <c r="X882" l="1"/>
  <c r="H882"/>
  <c r="N882"/>
  <c r="R882"/>
  <c r="AF882"/>
  <c r="B883"/>
  <c r="V882"/>
  <c r="T882"/>
  <c r="C882"/>
  <c r="AB882"/>
  <c r="L882"/>
  <c r="AD882"/>
  <c r="J882"/>
  <c r="P882"/>
  <c r="Z882"/>
  <c r="D882"/>
  <c r="F882"/>
  <c r="X883" l="1"/>
  <c r="T883"/>
  <c r="F883"/>
  <c r="AF883"/>
  <c r="L883"/>
  <c r="C883"/>
  <c r="AD883"/>
  <c r="AB883"/>
  <c r="V883"/>
  <c r="B884"/>
  <c r="H883"/>
  <c r="D883"/>
  <c r="P883"/>
  <c r="J883"/>
  <c r="R883"/>
  <c r="N883"/>
  <c r="Z883"/>
  <c r="AD884" l="1"/>
  <c r="N884"/>
  <c r="L884"/>
  <c r="D884"/>
  <c r="P884"/>
  <c r="C884"/>
  <c r="V884"/>
  <c r="F884"/>
  <c r="H884"/>
  <c r="B885"/>
  <c r="Z884"/>
  <c r="J884"/>
  <c r="X884"/>
  <c r="AF884"/>
  <c r="R884"/>
  <c r="AB884"/>
  <c r="T884"/>
  <c r="AD885" l="1"/>
  <c r="D885"/>
  <c r="P885"/>
  <c r="R885"/>
  <c r="L885"/>
  <c r="J885"/>
  <c r="V885"/>
  <c r="H885"/>
  <c r="N885"/>
  <c r="T885"/>
  <c r="AB885"/>
  <c r="AF885"/>
  <c r="C885"/>
  <c r="Z885"/>
  <c r="B886"/>
  <c r="F885"/>
  <c r="X885"/>
  <c r="AF886" l="1"/>
  <c r="P886"/>
  <c r="Z886"/>
  <c r="V886"/>
  <c r="C886"/>
  <c r="H886"/>
  <c r="N886"/>
  <c r="AB886"/>
  <c r="L886"/>
  <c r="R886"/>
  <c r="F886"/>
  <c r="T886"/>
  <c r="D886"/>
  <c r="B887"/>
  <c r="AD886"/>
  <c r="X886"/>
  <c r="J886"/>
  <c r="AF887" l="1"/>
  <c r="P887"/>
  <c r="B888"/>
  <c r="N887"/>
  <c r="Z887"/>
  <c r="J887"/>
  <c r="T887"/>
  <c r="D887"/>
  <c r="V887"/>
  <c r="AB887"/>
  <c r="L887"/>
  <c r="C887"/>
  <c r="F887"/>
  <c r="X887"/>
  <c r="H887"/>
  <c r="AD887"/>
  <c r="R887"/>
  <c r="Z888" l="1"/>
  <c r="J888"/>
  <c r="P888"/>
  <c r="AB888"/>
  <c r="C888"/>
  <c r="R888"/>
  <c r="AF888"/>
  <c r="T888"/>
  <c r="B889"/>
  <c r="V888"/>
  <c r="F888"/>
  <c r="H888"/>
  <c r="L888"/>
  <c r="AD888"/>
  <c r="N888"/>
  <c r="X888"/>
  <c r="D888"/>
  <c r="Z889" l="1"/>
  <c r="J889"/>
  <c r="AB889"/>
  <c r="AF889"/>
  <c r="H889"/>
  <c r="R889"/>
  <c r="C889"/>
  <c r="L889"/>
  <c r="X889"/>
  <c r="AD889"/>
  <c r="N889"/>
  <c r="B890"/>
  <c r="D889"/>
  <c r="V889"/>
  <c r="F889"/>
  <c r="T889"/>
  <c r="P889"/>
  <c r="X890" l="1"/>
  <c r="H890"/>
  <c r="J890"/>
  <c r="N890"/>
  <c r="Z890"/>
  <c r="T890"/>
  <c r="D890"/>
  <c r="B891"/>
  <c r="AD890"/>
  <c r="AB890"/>
  <c r="L890"/>
  <c r="R890"/>
  <c r="F890"/>
  <c r="AF890"/>
  <c r="P890"/>
  <c r="V890"/>
  <c r="C890"/>
  <c r="AF891" l="1"/>
  <c r="B892"/>
  <c r="Z891"/>
  <c r="V891"/>
  <c r="X891"/>
  <c r="H891"/>
  <c r="AD891"/>
  <c r="R891"/>
  <c r="AB891"/>
  <c r="L891"/>
  <c r="C891"/>
  <c r="F891"/>
  <c r="P891"/>
  <c r="N891"/>
  <c r="T891"/>
  <c r="D891"/>
  <c r="J891"/>
  <c r="B893" l="1"/>
  <c r="V892"/>
  <c r="F892"/>
  <c r="H892"/>
  <c r="L892"/>
  <c r="Z892"/>
  <c r="J892"/>
  <c r="P892"/>
  <c r="AB892"/>
  <c r="AD892"/>
  <c r="N892"/>
  <c r="X892"/>
  <c r="D892"/>
  <c r="C892"/>
  <c r="R892"/>
  <c r="AF892"/>
  <c r="T892"/>
  <c r="R893" l="1"/>
  <c r="C893"/>
  <c r="L893"/>
  <c r="X893"/>
  <c r="V893"/>
  <c r="F893"/>
  <c r="T893"/>
  <c r="P893"/>
  <c r="Z893"/>
  <c r="J893"/>
  <c r="AB893"/>
  <c r="AF893"/>
  <c r="AD893"/>
  <c r="N893"/>
  <c r="B894"/>
  <c r="D893"/>
  <c r="H893"/>
  <c r="AB894" l="1"/>
  <c r="L894"/>
  <c r="R894"/>
  <c r="F894"/>
  <c r="D894"/>
  <c r="AD894"/>
  <c r="H894"/>
  <c r="AF894"/>
  <c r="P894"/>
  <c r="Z894"/>
  <c r="V894"/>
  <c r="C894"/>
  <c r="T894"/>
  <c r="B895"/>
  <c r="N894"/>
  <c r="X894"/>
  <c r="J894"/>
  <c r="AF895" l="1"/>
  <c r="P895"/>
  <c r="B896"/>
  <c r="N895"/>
  <c r="Z895"/>
  <c r="T895"/>
  <c r="D895"/>
  <c r="V895"/>
  <c r="J895"/>
  <c r="AB895"/>
  <c r="L895"/>
  <c r="F895"/>
  <c r="X895"/>
  <c r="H895"/>
  <c r="AD895"/>
  <c r="R895"/>
  <c r="C895"/>
  <c r="AD896" l="1"/>
  <c r="N896"/>
  <c r="X896"/>
  <c r="D896"/>
  <c r="R896"/>
  <c r="F896"/>
  <c r="P896"/>
  <c r="C896"/>
  <c r="AF896"/>
  <c r="T896"/>
  <c r="L896"/>
  <c r="B897"/>
  <c r="V896"/>
  <c r="H896"/>
  <c r="AB896"/>
  <c r="Z896"/>
  <c r="J896"/>
  <c r="V897" l="1"/>
  <c r="F897"/>
  <c r="T897"/>
  <c r="P897"/>
  <c r="Z897"/>
  <c r="J897"/>
  <c r="AB897"/>
  <c r="C897"/>
  <c r="X897"/>
  <c r="AF897"/>
  <c r="R897"/>
  <c r="L897"/>
  <c r="AD897"/>
  <c r="N897"/>
  <c r="B898"/>
  <c r="D897"/>
  <c r="H897"/>
  <c r="X898" l="1"/>
  <c r="H898"/>
  <c r="J898"/>
  <c r="N898"/>
  <c r="P898"/>
  <c r="T898"/>
  <c r="D898"/>
  <c r="B899"/>
  <c r="AD898"/>
  <c r="AB898"/>
  <c r="L898"/>
  <c r="R898"/>
  <c r="F898"/>
  <c r="AF898"/>
  <c r="Z898"/>
  <c r="V898"/>
  <c r="C898"/>
  <c r="AB899" l="1"/>
  <c r="C899"/>
  <c r="D899"/>
  <c r="AF899"/>
  <c r="P899"/>
  <c r="B900"/>
  <c r="N899"/>
  <c r="Z899"/>
  <c r="T899"/>
  <c r="J899"/>
  <c r="X899"/>
  <c r="H899"/>
  <c r="AD899"/>
  <c r="R899"/>
  <c r="L899"/>
  <c r="F899"/>
  <c r="V899"/>
  <c r="T900" l="1"/>
  <c r="AD900"/>
  <c r="N900"/>
  <c r="X900"/>
  <c r="D900"/>
  <c r="B901"/>
  <c r="V900"/>
  <c r="F900"/>
  <c r="H900"/>
  <c r="L900"/>
  <c r="Z900"/>
  <c r="J900"/>
  <c r="P900"/>
  <c r="AB900"/>
  <c r="C900"/>
  <c r="R900"/>
  <c r="AF900"/>
  <c r="AD901" l="1"/>
  <c r="N901"/>
  <c r="B902"/>
  <c r="D901"/>
  <c r="H901"/>
  <c r="C901"/>
  <c r="X901"/>
  <c r="V901"/>
  <c r="F901"/>
  <c r="T901"/>
  <c r="Z901"/>
  <c r="AB901"/>
  <c r="R901"/>
  <c r="L901"/>
  <c r="P901"/>
  <c r="J901"/>
  <c r="AF901"/>
  <c r="AF902" l="1"/>
  <c r="P902"/>
  <c r="Z902"/>
  <c r="V902"/>
  <c r="C902"/>
  <c r="T902"/>
  <c r="D902"/>
  <c r="B903"/>
  <c r="AD902"/>
  <c r="X902"/>
  <c r="J902"/>
  <c r="AB902"/>
  <c r="L902"/>
  <c r="R902"/>
  <c r="F902"/>
  <c r="H902"/>
  <c r="N902"/>
  <c r="AF903" l="1"/>
  <c r="P903"/>
  <c r="B904"/>
  <c r="N903"/>
  <c r="Z903"/>
  <c r="T903"/>
  <c r="D903"/>
  <c r="V903"/>
  <c r="J903"/>
  <c r="R903"/>
  <c r="C903"/>
  <c r="X903"/>
  <c r="H903"/>
  <c r="AD903"/>
  <c r="AB903"/>
  <c r="L903"/>
  <c r="F903"/>
  <c r="B905" l="1"/>
  <c r="V904"/>
  <c r="F904"/>
  <c r="H904"/>
  <c r="L904"/>
  <c r="AF904"/>
  <c r="Z904"/>
  <c r="J904"/>
  <c r="P904"/>
  <c r="AB904"/>
  <c r="C904"/>
  <c r="R904"/>
  <c r="T904"/>
  <c r="AD904"/>
  <c r="N904"/>
  <c r="X904"/>
  <c r="D904"/>
  <c r="Z905" l="1"/>
  <c r="J905"/>
  <c r="AB905"/>
  <c r="AF905"/>
  <c r="AD905"/>
  <c r="N905"/>
  <c r="B906"/>
  <c r="D905"/>
  <c r="H905"/>
  <c r="R905"/>
  <c r="C905"/>
  <c r="L905"/>
  <c r="X905"/>
  <c r="V905"/>
  <c r="F905"/>
  <c r="T905"/>
  <c r="P905"/>
  <c r="AF906" l="1"/>
  <c r="P906"/>
  <c r="N906"/>
  <c r="T906"/>
  <c r="D906"/>
  <c r="J906"/>
  <c r="F906"/>
  <c r="X906"/>
  <c r="H906"/>
  <c r="R906"/>
  <c r="V906"/>
  <c r="C906"/>
  <c r="AB906"/>
  <c r="L906"/>
  <c r="Z906"/>
  <c r="B907"/>
  <c r="AD906"/>
  <c r="AB907" l="1"/>
  <c r="L907"/>
  <c r="C907"/>
  <c r="F907"/>
  <c r="N907"/>
  <c r="T907"/>
  <c r="D907"/>
  <c r="V907"/>
  <c r="J907"/>
  <c r="X907"/>
  <c r="H907"/>
  <c r="AD907"/>
  <c r="R907"/>
  <c r="AF907"/>
  <c r="P907"/>
  <c r="B908"/>
  <c r="Z907"/>
  <c r="AD908" l="1"/>
  <c r="N908"/>
  <c r="X908"/>
  <c r="D908"/>
  <c r="Z908"/>
  <c r="J908"/>
  <c r="P908"/>
  <c r="AB908"/>
  <c r="C908"/>
  <c r="R908"/>
  <c r="AF908"/>
  <c r="T908"/>
  <c r="B909"/>
  <c r="V908"/>
  <c r="F908"/>
  <c r="H908"/>
  <c r="L908"/>
  <c r="AD909" l="1"/>
  <c r="N909"/>
  <c r="B910"/>
  <c r="D909"/>
  <c r="H909"/>
  <c r="V909"/>
  <c r="F909"/>
  <c r="T909"/>
  <c r="P909"/>
  <c r="Z909"/>
  <c r="AB909"/>
  <c r="R909"/>
  <c r="C909"/>
  <c r="L909"/>
  <c r="X909"/>
  <c r="J909"/>
  <c r="AF909"/>
  <c r="AF910" l="1"/>
  <c r="P910"/>
  <c r="Z910"/>
  <c r="V910"/>
  <c r="C910"/>
  <c r="L910"/>
  <c r="F910"/>
  <c r="T910"/>
  <c r="D910"/>
  <c r="B911"/>
  <c r="AD910"/>
  <c r="AB910"/>
  <c r="R910"/>
  <c r="X910"/>
  <c r="H910"/>
  <c r="J910"/>
  <c r="N910"/>
  <c r="AB911" l="1"/>
  <c r="L911"/>
  <c r="C911"/>
  <c r="F911"/>
  <c r="AF911"/>
  <c r="P911"/>
  <c r="B912"/>
  <c r="N911"/>
  <c r="Z911"/>
  <c r="T911"/>
  <c r="J911"/>
  <c r="X911"/>
  <c r="H911"/>
  <c r="AD911"/>
  <c r="R911"/>
  <c r="D911"/>
  <c r="V911"/>
  <c r="C912" l="1"/>
  <c r="R912"/>
  <c r="AF912"/>
  <c r="T912"/>
  <c r="B913"/>
  <c r="V912"/>
  <c r="F912"/>
  <c r="L912"/>
  <c r="Z912"/>
  <c r="J912"/>
  <c r="P912"/>
  <c r="AD912"/>
  <c r="X912"/>
  <c r="H912"/>
  <c r="N912"/>
  <c r="D912"/>
  <c r="AB912"/>
  <c r="Z913" l="1"/>
  <c r="J913"/>
  <c r="AB913"/>
  <c r="AF913"/>
  <c r="AD913"/>
  <c r="B914"/>
  <c r="H913"/>
  <c r="N913"/>
  <c r="R913"/>
  <c r="C913"/>
  <c r="L913"/>
  <c r="X913"/>
  <c r="V913"/>
  <c r="F913"/>
  <c r="T913"/>
  <c r="P913"/>
  <c r="D913"/>
  <c r="T914" l="1"/>
  <c r="D914"/>
  <c r="B915"/>
  <c r="AD914"/>
  <c r="F914"/>
  <c r="AF914"/>
  <c r="P914"/>
  <c r="Z914"/>
  <c r="V914"/>
  <c r="C914"/>
  <c r="X914"/>
  <c r="H914"/>
  <c r="J914"/>
  <c r="N914"/>
  <c r="AB914"/>
  <c r="L914"/>
  <c r="R914"/>
  <c r="J915" l="1"/>
  <c r="X915"/>
  <c r="AB915"/>
  <c r="F915"/>
  <c r="B916"/>
  <c r="AF915"/>
  <c r="D915"/>
  <c r="L915"/>
  <c r="T915"/>
  <c r="AD915"/>
  <c r="C915"/>
  <c r="V915"/>
  <c r="Z915"/>
  <c r="H915"/>
  <c r="P915"/>
  <c r="R915"/>
  <c r="N915"/>
  <c r="T916" l="1"/>
  <c r="D916"/>
  <c r="C916"/>
  <c r="V916"/>
  <c r="N916"/>
  <c r="AB916"/>
  <c r="AD916"/>
  <c r="Z916"/>
  <c r="X916"/>
  <c r="H916"/>
  <c r="J916"/>
  <c r="L916"/>
  <c r="AF916"/>
  <c r="B917"/>
  <c r="F916"/>
  <c r="P916"/>
  <c r="R916"/>
  <c r="R917" l="1"/>
  <c r="L917"/>
  <c r="Z917"/>
  <c r="AD917"/>
  <c r="AF917"/>
  <c r="X917"/>
  <c r="V917"/>
  <c r="D917"/>
  <c r="J917"/>
  <c r="C917"/>
  <c r="AB917"/>
  <c r="N917"/>
  <c r="T917"/>
  <c r="B918"/>
  <c r="F917"/>
  <c r="P917"/>
  <c r="H917"/>
  <c r="R918" l="1"/>
  <c r="AB918"/>
  <c r="T918"/>
  <c r="B919"/>
  <c r="AD918"/>
  <c r="L918"/>
  <c r="X918"/>
  <c r="V918"/>
  <c r="F918"/>
  <c r="P918"/>
  <c r="D918"/>
  <c r="Z918"/>
  <c r="J918"/>
  <c r="AF918"/>
  <c r="C918"/>
  <c r="N918"/>
  <c r="H918"/>
  <c r="T919" l="1"/>
  <c r="AD919"/>
  <c r="C919"/>
  <c r="V919"/>
  <c r="Z919"/>
  <c r="B920"/>
  <c r="H919"/>
  <c r="AF919"/>
  <c r="P919"/>
  <c r="J919"/>
  <c r="AB919"/>
  <c r="D919"/>
  <c r="N919"/>
  <c r="R919"/>
  <c r="L919"/>
  <c r="X919"/>
  <c r="F919"/>
  <c r="AF920" l="1"/>
  <c r="P920"/>
  <c r="B921"/>
  <c r="R920"/>
  <c r="Z920"/>
  <c r="X920"/>
  <c r="J920"/>
  <c r="AB920"/>
  <c r="T920"/>
  <c r="D920"/>
  <c r="C920"/>
  <c r="V920"/>
  <c r="H920"/>
  <c r="N920"/>
  <c r="L920"/>
  <c r="AD920"/>
  <c r="F920"/>
  <c r="X921" l="1"/>
  <c r="V921"/>
  <c r="D921"/>
  <c r="J921"/>
  <c r="N921"/>
  <c r="B922"/>
  <c r="H921"/>
  <c r="F921"/>
  <c r="P921"/>
  <c r="AF921"/>
  <c r="R921"/>
  <c r="L921"/>
  <c r="Z921"/>
  <c r="AD921"/>
  <c r="C921"/>
  <c r="AB921"/>
  <c r="T921"/>
  <c r="AD922" l="1"/>
  <c r="N922"/>
  <c r="L922"/>
  <c r="X922"/>
  <c r="H922"/>
  <c r="AB922"/>
  <c r="B923"/>
  <c r="V922"/>
  <c r="F922"/>
  <c r="P922"/>
  <c r="D922"/>
  <c r="Z922"/>
  <c r="J922"/>
  <c r="AF922"/>
  <c r="C922"/>
  <c r="R922"/>
  <c r="T922"/>
  <c r="T923" l="1"/>
  <c r="AD923"/>
  <c r="C923"/>
  <c r="V923"/>
  <c r="D923"/>
  <c r="R923"/>
  <c r="J923"/>
  <c r="X923"/>
  <c r="AB923"/>
  <c r="F923"/>
  <c r="Z923"/>
  <c r="B924"/>
  <c r="H923"/>
  <c r="AF923"/>
  <c r="P923"/>
  <c r="N923"/>
  <c r="L923"/>
  <c r="AB924" l="1"/>
  <c r="L924"/>
  <c r="AD924"/>
  <c r="F924"/>
  <c r="T924"/>
  <c r="C924"/>
  <c r="X924"/>
  <c r="N924"/>
  <c r="AF924"/>
  <c r="P924"/>
  <c r="B925"/>
  <c r="R924"/>
  <c r="Z924"/>
  <c r="D924"/>
  <c r="V924"/>
  <c r="H924"/>
  <c r="J924"/>
  <c r="B926" l="1"/>
  <c r="H925"/>
  <c r="F925"/>
  <c r="P925"/>
  <c r="AF925"/>
  <c r="R925"/>
  <c r="Z925"/>
  <c r="X925"/>
  <c r="V925"/>
  <c r="D925"/>
  <c r="J925"/>
  <c r="C925"/>
  <c r="AB925"/>
  <c r="N925"/>
  <c r="T925"/>
  <c r="L925"/>
  <c r="AD925"/>
  <c r="R926" l="1"/>
  <c r="AB926"/>
  <c r="T926"/>
  <c r="B927"/>
  <c r="V926"/>
  <c r="F926"/>
  <c r="P926"/>
  <c r="D926"/>
  <c r="Z926"/>
  <c r="J926"/>
  <c r="AF926"/>
  <c r="C926"/>
  <c r="AD926"/>
  <c r="N926"/>
  <c r="L926"/>
  <c r="X926"/>
  <c r="H926"/>
  <c r="J927" l="1"/>
  <c r="X927"/>
  <c r="AB927"/>
  <c r="F927"/>
  <c r="R927"/>
  <c r="T927"/>
  <c r="AD927"/>
  <c r="C927"/>
  <c r="V927"/>
  <c r="AF927"/>
  <c r="D927"/>
  <c r="L927"/>
  <c r="Z927"/>
  <c r="B928"/>
  <c r="H927"/>
  <c r="P927"/>
  <c r="N927"/>
  <c r="X928" l="1"/>
  <c r="H928"/>
  <c r="N928"/>
  <c r="J928"/>
  <c r="AD928"/>
  <c r="AF928"/>
  <c r="P928"/>
  <c r="B929"/>
  <c r="R928"/>
  <c r="Z928"/>
  <c r="T928"/>
  <c r="D928"/>
  <c r="C928"/>
  <c r="V928"/>
  <c r="AB928"/>
  <c r="L928"/>
  <c r="F928"/>
  <c r="B930" l="1"/>
  <c r="X929"/>
  <c r="H929"/>
  <c r="D929"/>
  <c r="J929"/>
  <c r="T929"/>
  <c r="AD929"/>
  <c r="AB929"/>
  <c r="R929"/>
  <c r="N929"/>
  <c r="V929"/>
  <c r="AF929"/>
  <c r="Z929"/>
  <c r="F929"/>
  <c r="P929"/>
  <c r="C929"/>
  <c r="L929"/>
  <c r="AD930" l="1"/>
  <c r="N930"/>
  <c r="C930"/>
  <c r="P930"/>
  <c r="T930"/>
  <c r="R930"/>
  <c r="B931"/>
  <c r="X930"/>
  <c r="L930"/>
  <c r="Z930"/>
  <c r="D930"/>
  <c r="V930"/>
  <c r="F930"/>
  <c r="AF930"/>
  <c r="AB930"/>
  <c r="J930"/>
  <c r="H930"/>
  <c r="V931" l="1"/>
  <c r="B932"/>
  <c r="F931"/>
  <c r="C931"/>
  <c r="AF931"/>
  <c r="L931"/>
  <c r="R931"/>
  <c r="H931"/>
  <c r="Z931"/>
  <c r="J931"/>
  <c r="P931"/>
  <c r="D931"/>
  <c r="AD931"/>
  <c r="N931"/>
  <c r="X931"/>
  <c r="T931"/>
  <c r="AB931"/>
  <c r="B933" l="1"/>
  <c r="H932"/>
  <c r="AF932"/>
  <c r="T932"/>
  <c r="L932"/>
  <c r="D932"/>
  <c r="R932"/>
  <c r="X932"/>
  <c r="Z932"/>
  <c r="F932"/>
  <c r="AB932"/>
  <c r="AD932"/>
  <c r="C932"/>
  <c r="V932"/>
  <c r="P932"/>
  <c r="N932"/>
  <c r="J932"/>
  <c r="X933" l="1"/>
  <c r="H933"/>
  <c r="R933"/>
  <c r="N933"/>
  <c r="AB933"/>
  <c r="L933"/>
  <c r="F933"/>
  <c r="Z933"/>
  <c r="J933"/>
  <c r="AF933"/>
  <c r="P933"/>
  <c r="V933"/>
  <c r="AD933"/>
  <c r="B934"/>
  <c r="T933"/>
  <c r="D933"/>
  <c r="C933"/>
  <c r="C934" l="1"/>
  <c r="J934"/>
  <c r="F934"/>
  <c r="D934"/>
  <c r="B935"/>
  <c r="P934"/>
  <c r="L934"/>
  <c r="N934"/>
  <c r="AD934"/>
  <c r="Z934"/>
  <c r="V934"/>
  <c r="H934"/>
  <c r="X934"/>
  <c r="AF934"/>
  <c r="AB934"/>
  <c r="R934"/>
  <c r="T934"/>
  <c r="AD935" l="1"/>
  <c r="N935"/>
  <c r="T935"/>
  <c r="C935"/>
  <c r="L935"/>
  <c r="B936"/>
  <c r="P935"/>
  <c r="V935"/>
  <c r="F935"/>
  <c r="AF935"/>
  <c r="H935"/>
  <c r="R935"/>
  <c r="X935"/>
  <c r="Z935"/>
  <c r="J935"/>
  <c r="D935"/>
  <c r="AB935"/>
  <c r="R936" l="1"/>
  <c r="X936"/>
  <c r="Z936"/>
  <c r="F936"/>
  <c r="AB936"/>
  <c r="AD936"/>
  <c r="C936"/>
  <c r="V936"/>
  <c r="P936"/>
  <c r="L936"/>
  <c r="N936"/>
  <c r="D936"/>
  <c r="J936"/>
  <c r="B937"/>
  <c r="H936"/>
  <c r="AF936"/>
  <c r="T936"/>
  <c r="AF937" l="1"/>
  <c r="P937"/>
  <c r="V937"/>
  <c r="AD937"/>
  <c r="B938"/>
  <c r="T937"/>
  <c r="D937"/>
  <c r="J937"/>
  <c r="C937"/>
  <c r="R937"/>
  <c r="Z937"/>
  <c r="X937"/>
  <c r="H937"/>
  <c r="N937"/>
  <c r="AB937"/>
  <c r="L937"/>
  <c r="F937"/>
  <c r="AF938" l="1"/>
  <c r="AB938"/>
  <c r="R938"/>
  <c r="T938"/>
  <c r="P938"/>
  <c r="N938"/>
  <c r="C938"/>
  <c r="J938"/>
  <c r="F938"/>
  <c r="D938"/>
  <c r="B939"/>
  <c r="L938"/>
  <c r="AD938"/>
  <c r="Z938"/>
  <c r="H938"/>
  <c r="X938"/>
  <c r="V938"/>
  <c r="P939" l="1"/>
  <c r="V939"/>
  <c r="F939"/>
  <c r="AF939"/>
  <c r="C939"/>
  <c r="AD939"/>
  <c r="N939"/>
  <c r="T939"/>
  <c r="AB939"/>
  <c r="L939"/>
  <c r="R939"/>
  <c r="H939"/>
  <c r="Z939"/>
  <c r="J939"/>
  <c r="D939"/>
  <c r="X939"/>
  <c r="B940"/>
  <c r="B941" l="1"/>
  <c r="H940"/>
  <c r="AF940"/>
  <c r="T940"/>
  <c r="R940"/>
  <c r="Z940"/>
  <c r="AB940"/>
  <c r="AD940"/>
  <c r="C940"/>
  <c r="V940"/>
  <c r="P940"/>
  <c r="L940"/>
  <c r="N940"/>
  <c r="D940"/>
  <c r="J940"/>
  <c r="X940"/>
  <c r="F940"/>
  <c r="AB941" l="1"/>
  <c r="L941"/>
  <c r="F941"/>
  <c r="Z941"/>
  <c r="AF941"/>
  <c r="P941"/>
  <c r="V941"/>
  <c r="AD941"/>
  <c r="B942"/>
  <c r="X941"/>
  <c r="H941"/>
  <c r="R941"/>
  <c r="N941"/>
  <c r="T941"/>
  <c r="D941"/>
  <c r="J941"/>
  <c r="C941"/>
  <c r="Z942" l="1"/>
  <c r="V942"/>
  <c r="H942"/>
  <c r="X942"/>
  <c r="C942"/>
  <c r="F942"/>
  <c r="B943"/>
  <c r="P942"/>
  <c r="N942"/>
  <c r="AF942"/>
  <c r="AB942"/>
  <c r="R942"/>
  <c r="T942"/>
  <c r="J942"/>
  <c r="D942"/>
  <c r="AD942"/>
  <c r="L942"/>
  <c r="R943" l="1"/>
  <c r="B944"/>
  <c r="P943"/>
  <c r="X943"/>
  <c r="V943"/>
  <c r="F943"/>
  <c r="AF943"/>
  <c r="H943"/>
  <c r="AD943"/>
  <c r="N943"/>
  <c r="T943"/>
  <c r="C943"/>
  <c r="L943"/>
  <c r="Z943"/>
  <c r="J943"/>
  <c r="D943"/>
  <c r="AB943"/>
  <c r="R944" l="1"/>
  <c r="X944"/>
  <c r="Z944"/>
  <c r="F944"/>
  <c r="AD944"/>
  <c r="V944"/>
  <c r="P944"/>
  <c r="L944"/>
  <c r="N944"/>
  <c r="J944"/>
  <c r="AB944"/>
  <c r="C944"/>
  <c r="D944"/>
  <c r="B945"/>
  <c r="H944"/>
  <c r="AF944"/>
  <c r="T944"/>
  <c r="AF945" l="1"/>
  <c r="P945"/>
  <c r="V945"/>
  <c r="AD945"/>
  <c r="B946"/>
  <c r="X945"/>
  <c r="R945"/>
  <c r="F945"/>
  <c r="T945"/>
  <c r="D945"/>
  <c r="J945"/>
  <c r="C945"/>
  <c r="H945"/>
  <c r="N945"/>
  <c r="AB945"/>
  <c r="L945"/>
  <c r="Z945"/>
  <c r="C946" l="1"/>
  <c r="J946"/>
  <c r="F946"/>
  <c r="D946"/>
  <c r="B947"/>
  <c r="P946"/>
  <c r="L946"/>
  <c r="N946"/>
  <c r="AD946"/>
  <c r="AF946"/>
  <c r="AB946"/>
  <c r="R946"/>
  <c r="T946"/>
  <c r="Z946"/>
  <c r="V946"/>
  <c r="H946"/>
  <c r="X946"/>
  <c r="R947" l="1"/>
  <c r="B948"/>
  <c r="P947"/>
  <c r="H947"/>
  <c r="Z947"/>
  <c r="D947"/>
  <c r="AB947"/>
  <c r="V947"/>
  <c r="F947"/>
  <c r="AF947"/>
  <c r="C947"/>
  <c r="J947"/>
  <c r="X947"/>
  <c r="AD947"/>
  <c r="N947"/>
  <c r="T947"/>
  <c r="L947"/>
  <c r="Z948" l="1"/>
  <c r="F948"/>
  <c r="P948"/>
  <c r="B949"/>
  <c r="L948"/>
  <c r="X948"/>
  <c r="C948"/>
  <c r="V948"/>
  <c r="T948"/>
  <c r="AB948"/>
  <c r="N948"/>
  <c r="D948"/>
  <c r="R948"/>
  <c r="AD948"/>
  <c r="H948"/>
  <c r="AF948"/>
  <c r="J948"/>
  <c r="AB949" l="1"/>
  <c r="L949"/>
  <c r="F949"/>
  <c r="Z949"/>
  <c r="J949"/>
  <c r="X949"/>
  <c r="R949"/>
  <c r="AF949"/>
  <c r="P949"/>
  <c r="V949"/>
  <c r="AD949"/>
  <c r="B950"/>
  <c r="T949"/>
  <c r="D949"/>
  <c r="C949"/>
  <c r="H949"/>
  <c r="N949"/>
  <c r="Z950" l="1"/>
  <c r="V950"/>
  <c r="H950"/>
  <c r="X950"/>
  <c r="F950"/>
  <c r="B951"/>
  <c r="P950"/>
  <c r="N950"/>
  <c r="AF950"/>
  <c r="AB950"/>
  <c r="R950"/>
  <c r="T950"/>
  <c r="C950"/>
  <c r="J950"/>
  <c r="D950"/>
  <c r="L950"/>
  <c r="AD950"/>
  <c r="V951" l="1"/>
  <c r="F951"/>
  <c r="AF951"/>
  <c r="H951"/>
  <c r="D951"/>
  <c r="AD951"/>
  <c r="N951"/>
  <c r="T951"/>
  <c r="C951"/>
  <c r="L951"/>
  <c r="R951"/>
  <c r="B952"/>
  <c r="P951"/>
  <c r="X951"/>
  <c r="Z951"/>
  <c r="J951"/>
  <c r="AB951"/>
  <c r="R952" l="1"/>
  <c r="X952"/>
  <c r="Z952"/>
  <c r="F952"/>
  <c r="AB952"/>
  <c r="AD952"/>
  <c r="C952"/>
  <c r="P952"/>
  <c r="B953"/>
  <c r="H952"/>
  <c r="AF952"/>
  <c r="T952"/>
  <c r="L952"/>
  <c r="N952"/>
  <c r="D952"/>
  <c r="J952"/>
  <c r="V952"/>
  <c r="AB953" l="1"/>
  <c r="L953"/>
  <c r="F953"/>
  <c r="Z953"/>
  <c r="R953"/>
  <c r="AF953"/>
  <c r="P953"/>
  <c r="V953"/>
  <c r="AD953"/>
  <c r="B954"/>
  <c r="T953"/>
  <c r="D953"/>
  <c r="J953"/>
  <c r="C953"/>
  <c r="X953"/>
  <c r="H953"/>
  <c r="N953"/>
  <c r="C954" l="1"/>
  <c r="J954"/>
  <c r="F954"/>
  <c r="D954"/>
  <c r="Z954"/>
  <c r="H954"/>
  <c r="AB954"/>
  <c r="T954"/>
  <c r="B955"/>
  <c r="P954"/>
  <c r="L954"/>
  <c r="N954"/>
  <c r="AD954"/>
  <c r="V954"/>
  <c r="X954"/>
  <c r="AF954"/>
  <c r="R954"/>
  <c r="V955" l="1"/>
  <c r="F955"/>
  <c r="AF955"/>
  <c r="H955"/>
  <c r="Z955"/>
  <c r="D955"/>
  <c r="AB955"/>
  <c r="J955"/>
  <c r="T955"/>
  <c r="C955"/>
  <c r="R955"/>
  <c r="P955"/>
  <c r="AD955"/>
  <c r="N955"/>
  <c r="L955"/>
  <c r="B956"/>
  <c r="X955"/>
  <c r="AB956" l="1"/>
  <c r="AD956"/>
  <c r="C956"/>
  <c r="V956"/>
  <c r="P956"/>
  <c r="F956"/>
  <c r="B957"/>
  <c r="H956"/>
  <c r="AF956"/>
  <c r="T956"/>
  <c r="R956"/>
  <c r="X956"/>
  <c r="Z956"/>
  <c r="L956"/>
  <c r="N956"/>
  <c r="D956"/>
  <c r="J956"/>
  <c r="AF957" l="1"/>
  <c r="P957"/>
  <c r="V957"/>
  <c r="AD957"/>
  <c r="B958"/>
  <c r="X957"/>
  <c r="H957"/>
  <c r="N957"/>
  <c r="AB957"/>
  <c r="L957"/>
  <c r="F957"/>
  <c r="T957"/>
  <c r="D957"/>
  <c r="J957"/>
  <c r="C957"/>
  <c r="R957"/>
  <c r="Z957"/>
  <c r="Z958" l="1"/>
  <c r="V958"/>
  <c r="H958"/>
  <c r="X958"/>
  <c r="C958"/>
  <c r="J958"/>
  <c r="F958"/>
  <c r="B959"/>
  <c r="L958"/>
  <c r="AF958"/>
  <c r="AB958"/>
  <c r="R958"/>
  <c r="T958"/>
  <c r="N958"/>
  <c r="D958"/>
  <c r="P958"/>
  <c r="AD958"/>
  <c r="V959" l="1"/>
  <c r="F959"/>
  <c r="AF959"/>
  <c r="C959"/>
  <c r="J959"/>
  <c r="X959"/>
  <c r="T959"/>
  <c r="R959"/>
  <c r="P959"/>
  <c r="Z959"/>
  <c r="D959"/>
  <c r="AD959"/>
  <c r="N959"/>
  <c r="AB959"/>
  <c r="L959"/>
  <c r="B960"/>
  <c r="H959"/>
  <c r="Z960" l="1"/>
  <c r="F960"/>
  <c r="P960"/>
  <c r="B961"/>
  <c r="L960"/>
  <c r="X960"/>
  <c r="C960"/>
  <c r="V960"/>
  <c r="T960"/>
  <c r="AB960"/>
  <c r="N960"/>
  <c r="D960"/>
  <c r="R960"/>
  <c r="AD960"/>
  <c r="H960"/>
  <c r="AF960"/>
  <c r="J960"/>
  <c r="T961" l="1"/>
  <c r="D961"/>
  <c r="J961"/>
  <c r="C961"/>
  <c r="AB961"/>
  <c r="L961"/>
  <c r="F961"/>
  <c r="Z961"/>
  <c r="AF961"/>
  <c r="P961"/>
  <c r="V961"/>
  <c r="AD961"/>
  <c r="B962"/>
  <c r="X961"/>
  <c r="H961"/>
  <c r="R961"/>
  <c r="N961"/>
  <c r="C962" l="1"/>
  <c r="J962"/>
  <c r="F962"/>
  <c r="D962"/>
  <c r="H962"/>
  <c r="AF962"/>
  <c r="R962"/>
  <c r="T962"/>
  <c r="B963"/>
  <c r="P962"/>
  <c r="L962"/>
  <c r="N962"/>
  <c r="AD962"/>
  <c r="Z962"/>
  <c r="V962"/>
  <c r="X962"/>
  <c r="AB962"/>
  <c r="Z963" l="1"/>
  <c r="AD963"/>
  <c r="N963"/>
  <c r="T963"/>
  <c r="AB963"/>
  <c r="L963"/>
  <c r="V963"/>
  <c r="F963"/>
  <c r="AF963"/>
  <c r="J963"/>
  <c r="X963"/>
  <c r="R963"/>
  <c r="B964"/>
  <c r="P963"/>
  <c r="H963"/>
  <c r="C963"/>
  <c r="D963"/>
  <c r="R964" l="1"/>
  <c r="X964"/>
  <c r="Z964"/>
  <c r="F964"/>
  <c r="L964"/>
  <c r="N964"/>
  <c r="D964"/>
  <c r="AB964"/>
  <c r="AD964"/>
  <c r="C964"/>
  <c r="V964"/>
  <c r="P964"/>
  <c r="J964"/>
  <c r="B965"/>
  <c r="H964"/>
  <c r="AF964"/>
  <c r="T964"/>
  <c r="AF965" l="1"/>
  <c r="P965"/>
  <c r="V965"/>
  <c r="AD965"/>
  <c r="B966"/>
  <c r="X965"/>
  <c r="H965"/>
  <c r="R965"/>
  <c r="N965"/>
  <c r="AB965"/>
  <c r="L965"/>
  <c r="F965"/>
  <c r="Z965"/>
  <c r="T965"/>
  <c r="D965"/>
  <c r="J965"/>
  <c r="C965"/>
  <c r="AF966" l="1"/>
  <c r="AB966"/>
  <c r="R966"/>
  <c r="T966"/>
  <c r="B967"/>
  <c r="P966"/>
  <c r="L966"/>
  <c r="N966"/>
  <c r="H966"/>
  <c r="C966"/>
  <c r="J966"/>
  <c r="F966"/>
  <c r="D966"/>
  <c r="Z966"/>
  <c r="X966"/>
  <c r="AD966"/>
  <c r="V966"/>
  <c r="V967" l="1"/>
  <c r="F967"/>
  <c r="AF967"/>
  <c r="H967"/>
  <c r="Z967"/>
  <c r="D967"/>
  <c r="J967"/>
  <c r="AB967"/>
  <c r="AD967"/>
  <c r="N967"/>
  <c r="T967"/>
  <c r="C967"/>
  <c r="L967"/>
  <c r="R967"/>
  <c r="B968"/>
  <c r="P967"/>
  <c r="X967"/>
  <c r="L968" l="1"/>
  <c r="N968"/>
  <c r="D968"/>
  <c r="J968"/>
  <c r="AB968"/>
  <c r="C968"/>
  <c r="P968"/>
  <c r="R968"/>
  <c r="X968"/>
  <c r="Z968"/>
  <c r="F968"/>
  <c r="AD968"/>
  <c r="V968"/>
  <c r="B969"/>
  <c r="AF968"/>
  <c r="T968"/>
  <c r="H968"/>
  <c r="T969" l="1"/>
  <c r="D969"/>
  <c r="J969"/>
  <c r="C969"/>
  <c r="X969"/>
  <c r="H969"/>
  <c r="R969"/>
  <c r="N969"/>
  <c r="AB969"/>
  <c r="L969"/>
  <c r="F969"/>
  <c r="Z969"/>
  <c r="AF969"/>
  <c r="P969"/>
  <c r="V969"/>
  <c r="AD969"/>
  <c r="B970"/>
  <c r="C970" l="1"/>
  <c r="J970"/>
  <c r="F970"/>
  <c r="D970"/>
  <c r="B971"/>
  <c r="P970"/>
  <c r="L970"/>
  <c r="N970"/>
  <c r="AD970"/>
  <c r="V970"/>
  <c r="H970"/>
  <c r="X970"/>
  <c r="R970"/>
  <c r="Z970"/>
  <c r="AF970"/>
  <c r="AB970"/>
  <c r="T970"/>
  <c r="V971" l="1"/>
  <c r="F971"/>
  <c r="P971"/>
  <c r="T971"/>
  <c r="N971"/>
  <c r="R971"/>
  <c r="AB971"/>
  <c r="Z971"/>
  <c r="J971"/>
  <c r="X971"/>
  <c r="H971"/>
  <c r="AD971"/>
  <c r="C971"/>
  <c r="AF971"/>
  <c r="B972"/>
  <c r="D971"/>
  <c r="L971"/>
  <c r="R972" l="1"/>
  <c r="C972"/>
  <c r="L972"/>
  <c r="AF972"/>
  <c r="D972"/>
  <c r="V972"/>
  <c r="F972"/>
  <c r="T972"/>
  <c r="H972"/>
  <c r="AD972"/>
  <c r="N972"/>
  <c r="B973"/>
  <c r="P972"/>
  <c r="Z972"/>
  <c r="J972"/>
  <c r="AB972"/>
  <c r="X972"/>
  <c r="T973" l="1"/>
  <c r="D973"/>
  <c r="B974"/>
  <c r="N973"/>
  <c r="AB973"/>
  <c r="R973"/>
  <c r="AF973"/>
  <c r="P973"/>
  <c r="Z973"/>
  <c r="AD973"/>
  <c r="X973"/>
  <c r="H973"/>
  <c r="J973"/>
  <c r="C973"/>
  <c r="L973"/>
  <c r="F973"/>
  <c r="V973"/>
  <c r="AF974" l="1"/>
  <c r="P974"/>
  <c r="B975"/>
  <c r="N974"/>
  <c r="Z974"/>
  <c r="D974"/>
  <c r="J974"/>
  <c r="X974"/>
  <c r="H974"/>
  <c r="R974"/>
  <c r="L974"/>
  <c r="C974"/>
  <c r="T974"/>
  <c r="V974"/>
  <c r="AD974"/>
  <c r="AB974"/>
  <c r="F974"/>
  <c r="Z975" l="1"/>
  <c r="J975"/>
  <c r="P975"/>
  <c r="D975"/>
  <c r="V975"/>
  <c r="F975"/>
  <c r="T975"/>
  <c r="AD975"/>
  <c r="N975"/>
  <c r="X975"/>
  <c r="L975"/>
  <c r="B976"/>
  <c r="H975"/>
  <c r="C975"/>
  <c r="R975"/>
  <c r="AF975"/>
  <c r="AB975"/>
  <c r="R976" l="1"/>
  <c r="C976"/>
  <c r="L976"/>
  <c r="AF976"/>
  <c r="V976"/>
  <c r="F976"/>
  <c r="T976"/>
  <c r="H976"/>
  <c r="D976"/>
  <c r="Z976"/>
  <c r="J976"/>
  <c r="AB976"/>
  <c r="X976"/>
  <c r="AD976"/>
  <c r="N976"/>
  <c r="B977"/>
  <c r="P976"/>
  <c r="AF977" l="1"/>
  <c r="P977"/>
  <c r="Z977"/>
  <c r="V977"/>
  <c r="AD977"/>
  <c r="J977"/>
  <c r="L977"/>
  <c r="F977"/>
  <c r="T977"/>
  <c r="D977"/>
  <c r="B978"/>
  <c r="N977"/>
  <c r="X977"/>
  <c r="H977"/>
  <c r="C977"/>
  <c r="AB977"/>
  <c r="R977"/>
  <c r="X978" l="1"/>
  <c r="H978"/>
  <c r="AD978"/>
  <c r="R978"/>
  <c r="AB978"/>
  <c r="L978"/>
  <c r="C978"/>
  <c r="F978"/>
  <c r="V978"/>
  <c r="T978"/>
  <c r="D978"/>
  <c r="J978"/>
  <c r="AF978"/>
  <c r="P978"/>
  <c r="B979"/>
  <c r="N978"/>
  <c r="Z978"/>
  <c r="C979" l="1"/>
  <c r="R979"/>
  <c r="AF979"/>
  <c r="AB979"/>
  <c r="AD979"/>
  <c r="N979"/>
  <c r="X979"/>
  <c r="L979"/>
  <c r="B980"/>
  <c r="V979"/>
  <c r="F979"/>
  <c r="H979"/>
  <c r="T979"/>
  <c r="Z979"/>
  <c r="J979"/>
  <c r="P979"/>
  <c r="D979"/>
  <c r="Z980" l="1"/>
  <c r="J980"/>
  <c r="AD980"/>
  <c r="N980"/>
  <c r="B981"/>
  <c r="D980"/>
  <c r="P980"/>
  <c r="AF980"/>
  <c r="V980"/>
  <c r="F980"/>
  <c r="H980"/>
  <c r="X980"/>
  <c r="R980"/>
  <c r="C980"/>
  <c r="L980"/>
  <c r="T980"/>
  <c r="AB980"/>
  <c r="AF981" l="1"/>
  <c r="P981"/>
  <c r="Z981"/>
  <c r="V981"/>
  <c r="AD981"/>
  <c r="F981"/>
  <c r="T981"/>
  <c r="D981"/>
  <c r="B982"/>
  <c r="N981"/>
  <c r="X981"/>
  <c r="H981"/>
  <c r="J981"/>
  <c r="C981"/>
  <c r="AB981"/>
  <c r="R981"/>
  <c r="L981"/>
  <c r="AB982" l="1"/>
  <c r="L982"/>
  <c r="C982"/>
  <c r="F982"/>
  <c r="AF982"/>
  <c r="P982"/>
  <c r="B983"/>
  <c r="N982"/>
  <c r="Z982"/>
  <c r="T982"/>
  <c r="D982"/>
  <c r="V982"/>
  <c r="J982"/>
  <c r="X982"/>
  <c r="H982"/>
  <c r="AD982"/>
  <c r="R982"/>
  <c r="AD983" l="1"/>
  <c r="N983"/>
  <c r="X983"/>
  <c r="L983"/>
  <c r="B984"/>
  <c r="F983"/>
  <c r="T983"/>
  <c r="Z983"/>
  <c r="J983"/>
  <c r="D983"/>
  <c r="C983"/>
  <c r="R983"/>
  <c r="AF983"/>
  <c r="AB983"/>
  <c r="V983"/>
  <c r="H983"/>
  <c r="P983"/>
  <c r="R984" l="1"/>
  <c r="C984"/>
  <c r="L984"/>
  <c r="AF984"/>
  <c r="AB984"/>
  <c r="AD984"/>
  <c r="N984"/>
  <c r="B985"/>
  <c r="D984"/>
  <c r="P984"/>
  <c r="V984"/>
  <c r="F984"/>
  <c r="T984"/>
  <c r="H984"/>
  <c r="Z984"/>
  <c r="J984"/>
  <c r="X984"/>
  <c r="X985" l="1"/>
  <c r="H985"/>
  <c r="J985"/>
  <c r="C985"/>
  <c r="AB985"/>
  <c r="L985"/>
  <c r="R985"/>
  <c r="F985"/>
  <c r="AF985"/>
  <c r="P985"/>
  <c r="Z985"/>
  <c r="V985"/>
  <c r="AD985"/>
  <c r="T985"/>
  <c r="D985"/>
  <c r="B986"/>
  <c r="N985"/>
  <c r="AB986" l="1"/>
  <c r="L986"/>
  <c r="C986"/>
  <c r="F986"/>
  <c r="T986"/>
  <c r="J986"/>
  <c r="X986"/>
  <c r="AD986"/>
  <c r="AF986"/>
  <c r="P986"/>
  <c r="B987"/>
  <c r="N986"/>
  <c r="Z986"/>
  <c r="D986"/>
  <c r="V986"/>
  <c r="H986"/>
  <c r="R986"/>
  <c r="Z987" l="1"/>
  <c r="J987"/>
  <c r="P987"/>
  <c r="D987"/>
  <c r="AD987"/>
  <c r="N987"/>
  <c r="X987"/>
  <c r="L987"/>
  <c r="B988"/>
  <c r="V987"/>
  <c r="F987"/>
  <c r="H987"/>
  <c r="T987"/>
  <c r="C987"/>
  <c r="R987"/>
  <c r="AF987"/>
  <c r="AB987"/>
  <c r="Z988" l="1"/>
  <c r="J988"/>
  <c r="AB988"/>
  <c r="X988"/>
  <c r="V988"/>
  <c r="F988"/>
  <c r="T988"/>
  <c r="H988"/>
  <c r="AD988"/>
  <c r="N988"/>
  <c r="B989"/>
  <c r="D988"/>
  <c r="P988"/>
  <c r="R988"/>
  <c r="C988"/>
  <c r="L988"/>
  <c r="AF988"/>
  <c r="T989" l="1"/>
  <c r="D989"/>
  <c r="B990"/>
  <c r="N989"/>
  <c r="L989"/>
  <c r="F989"/>
  <c r="AF989"/>
  <c r="V989"/>
  <c r="X989"/>
  <c r="H989"/>
  <c r="J989"/>
  <c r="C989"/>
  <c r="AB989"/>
  <c r="R989"/>
  <c r="P989"/>
  <c r="Z989"/>
  <c r="AD989"/>
  <c r="T990" l="1"/>
  <c r="D990"/>
  <c r="V990"/>
  <c r="J990"/>
  <c r="F990"/>
  <c r="N990"/>
  <c r="X990"/>
  <c r="H990"/>
  <c r="AD990"/>
  <c r="R990"/>
  <c r="AB990"/>
  <c r="L990"/>
  <c r="C990"/>
  <c r="AF990"/>
  <c r="P990"/>
  <c r="B991"/>
  <c r="Z990"/>
  <c r="Z991" l="1"/>
  <c r="J991"/>
  <c r="P991"/>
  <c r="D991"/>
  <c r="AD991"/>
  <c r="N991"/>
  <c r="X991"/>
  <c r="L991"/>
  <c r="C991"/>
  <c r="R991"/>
  <c r="AF991"/>
  <c r="AB991"/>
  <c r="B992"/>
  <c r="V991"/>
  <c r="F991"/>
  <c r="H991"/>
  <c r="T991"/>
  <c r="Z992" l="1"/>
  <c r="J992"/>
  <c r="AB992"/>
  <c r="X992"/>
  <c r="C992"/>
  <c r="T992"/>
  <c r="AD992"/>
  <c r="N992"/>
  <c r="B993"/>
  <c r="D992"/>
  <c r="P992"/>
  <c r="R992"/>
  <c r="L992"/>
  <c r="AF992"/>
  <c r="V992"/>
  <c r="F992"/>
  <c r="H992"/>
  <c r="T993" l="1"/>
  <c r="D993"/>
  <c r="B994"/>
  <c r="N993"/>
  <c r="X993"/>
  <c r="H993"/>
  <c r="J993"/>
  <c r="P993"/>
  <c r="V993"/>
  <c r="C993"/>
  <c r="AB993"/>
  <c r="L993"/>
  <c r="R993"/>
  <c r="F993"/>
  <c r="AF993"/>
  <c r="Z993"/>
  <c r="AD993"/>
  <c r="AF994" l="1"/>
  <c r="P994"/>
  <c r="B995"/>
  <c r="N994"/>
  <c r="Z994"/>
  <c r="X994"/>
  <c r="H994"/>
  <c r="AD994"/>
  <c r="R994"/>
  <c r="T994"/>
  <c r="D994"/>
  <c r="V994"/>
  <c r="J994"/>
  <c r="AB994"/>
  <c r="L994"/>
  <c r="C994"/>
  <c r="F994"/>
  <c r="B996" l="1"/>
  <c r="V995"/>
  <c r="F995"/>
  <c r="P995"/>
  <c r="AB995"/>
  <c r="T995"/>
  <c r="Z995"/>
  <c r="J995"/>
  <c r="AD995"/>
  <c r="AF995"/>
  <c r="X995"/>
  <c r="D995"/>
  <c r="N995"/>
  <c r="C995"/>
  <c r="R995"/>
  <c r="H995"/>
  <c r="L995"/>
  <c r="AD996" l="1"/>
  <c r="N996"/>
  <c r="B997"/>
  <c r="D996"/>
  <c r="P996"/>
  <c r="X996"/>
  <c r="R996"/>
  <c r="C996"/>
  <c r="L996"/>
  <c r="AF996"/>
  <c r="Z996"/>
  <c r="J996"/>
  <c r="AB996"/>
  <c r="V996"/>
  <c r="F996"/>
  <c r="T996"/>
  <c r="H996"/>
  <c r="AF997" l="1"/>
  <c r="P997"/>
  <c r="Z997"/>
  <c r="V997"/>
  <c r="AD997"/>
  <c r="T997"/>
  <c r="D997"/>
  <c r="B998"/>
  <c r="N997"/>
  <c r="X997"/>
  <c r="H997"/>
  <c r="J997"/>
  <c r="C997"/>
  <c r="AB997"/>
  <c r="L997"/>
  <c r="R997"/>
  <c r="F997"/>
  <c r="AF998" l="1"/>
  <c r="P998"/>
  <c r="B999"/>
  <c r="N998"/>
  <c r="Z998"/>
  <c r="X998"/>
  <c r="AD998"/>
  <c r="C998"/>
  <c r="T998"/>
  <c r="D998"/>
  <c r="V998"/>
  <c r="J998"/>
  <c r="H998"/>
  <c r="R998"/>
  <c r="AB998"/>
  <c r="L998"/>
  <c r="F998"/>
  <c r="C999" l="1"/>
  <c r="R999"/>
  <c r="AF999"/>
  <c r="AB999"/>
  <c r="B1000"/>
  <c r="V999"/>
  <c r="F999"/>
  <c r="H999"/>
  <c r="T999"/>
  <c r="Z999"/>
  <c r="J999"/>
  <c r="P999"/>
  <c r="D999"/>
  <c r="AD999"/>
  <c r="N999"/>
  <c r="X999"/>
  <c r="L999"/>
  <c r="R1000" l="1"/>
  <c r="C1000"/>
  <c r="L1000"/>
  <c r="AF1000"/>
  <c r="V1000"/>
  <c r="F1000"/>
  <c r="T1000"/>
  <c r="H1000"/>
  <c r="B1001"/>
  <c r="P1000"/>
  <c r="Z1000"/>
  <c r="J1000"/>
  <c r="AB1000"/>
  <c r="X1000"/>
  <c r="AD1000"/>
  <c r="N1000"/>
  <c r="D1000"/>
  <c r="X1001" l="1"/>
  <c r="H1001"/>
  <c r="J1001"/>
  <c r="C1001"/>
  <c r="T1001"/>
  <c r="D1001"/>
  <c r="B1002"/>
  <c r="AB1001"/>
  <c r="L1001"/>
  <c r="R1001"/>
  <c r="F1001"/>
  <c r="N1001"/>
  <c r="AF1001"/>
  <c r="P1001"/>
  <c r="Z1001"/>
  <c r="V1001"/>
  <c r="AD1001"/>
  <c r="X1002" l="1"/>
  <c r="H1002"/>
  <c r="AD1002"/>
  <c r="R1002"/>
  <c r="T1002"/>
  <c r="V1002"/>
  <c r="J1002"/>
  <c r="AB1002"/>
  <c r="L1002"/>
  <c r="C1002"/>
  <c r="F1002"/>
  <c r="D1002"/>
  <c r="AF1002"/>
  <c r="P1002"/>
  <c r="B1003"/>
  <c r="N1002"/>
  <c r="Z1002"/>
  <c r="B1004" l="1"/>
  <c r="V1003"/>
  <c r="F1003"/>
  <c r="H1003"/>
  <c r="T1003"/>
  <c r="Z1003"/>
  <c r="J1003"/>
  <c r="P1003"/>
  <c r="D1003"/>
  <c r="R1003"/>
  <c r="AB1003"/>
  <c r="AD1003"/>
  <c r="N1003"/>
  <c r="X1003"/>
  <c r="L1003"/>
  <c r="C1003"/>
  <c r="AF1003"/>
  <c r="Z1004" l="1"/>
  <c r="J1004"/>
  <c r="AB1004"/>
  <c r="X1004"/>
  <c r="AD1004"/>
  <c r="N1004"/>
  <c r="B1005"/>
  <c r="D1004"/>
  <c r="C1004"/>
  <c r="P1004"/>
  <c r="R1004"/>
  <c r="L1004"/>
  <c r="F1004"/>
  <c r="AF1004"/>
  <c r="V1004"/>
  <c r="T1004"/>
  <c r="H1004"/>
  <c r="AB1005" l="1"/>
  <c r="L1005"/>
  <c r="R1005"/>
  <c r="F1005"/>
  <c r="AF1005"/>
  <c r="P1005"/>
  <c r="Z1005"/>
  <c r="V1005"/>
  <c r="AD1005"/>
  <c r="T1005"/>
  <c r="D1005"/>
  <c r="B1006"/>
  <c r="N1005"/>
  <c r="X1005"/>
  <c r="H1005"/>
  <c r="J1005"/>
  <c r="C1005"/>
  <c r="AB1006" l="1"/>
  <c r="L1006"/>
  <c r="C1006"/>
  <c r="F1006"/>
  <c r="B1007"/>
  <c r="Z1006"/>
  <c r="H1006"/>
  <c r="R1006"/>
  <c r="AF1006"/>
  <c r="P1006"/>
  <c r="N1006"/>
  <c r="X1006"/>
  <c r="AD1006"/>
  <c r="T1006"/>
  <c r="D1006"/>
  <c r="V1006"/>
  <c r="J1006"/>
  <c r="B1008" l="1"/>
  <c r="V1007"/>
  <c r="F1007"/>
  <c r="H1007"/>
  <c r="T1007"/>
  <c r="Z1007"/>
  <c r="J1007"/>
  <c r="P1007"/>
  <c r="D1007"/>
  <c r="AD1007"/>
  <c r="N1007"/>
  <c r="X1007"/>
  <c r="L1007"/>
  <c r="C1007"/>
  <c r="R1007"/>
  <c r="AF1007"/>
  <c r="AB1007"/>
  <c r="AF1008" l="1"/>
  <c r="J1008"/>
  <c r="C1008"/>
  <c r="D1008"/>
  <c r="B1009"/>
  <c r="N1008"/>
  <c r="AB1008"/>
  <c r="L1008"/>
  <c r="P1008"/>
  <c r="R1008"/>
  <c r="Z1008"/>
  <c r="T1008"/>
  <c r="H1008"/>
  <c r="V1008"/>
  <c r="F1008"/>
  <c r="AD1008"/>
  <c r="X1008"/>
  <c r="AF1009" l="1"/>
  <c r="P1009"/>
  <c r="Z1009"/>
  <c r="N1009"/>
  <c r="V1009"/>
  <c r="H1009"/>
  <c r="F1009"/>
  <c r="T1009"/>
  <c r="D1009"/>
  <c r="AD1009"/>
  <c r="R1009"/>
  <c r="X1009"/>
  <c r="B1010"/>
  <c r="L1009"/>
  <c r="C1009"/>
  <c r="AB1009"/>
  <c r="J1009"/>
  <c r="T1010" l="1"/>
  <c r="R1010"/>
  <c r="AB1010"/>
  <c r="V1010"/>
  <c r="C1010"/>
  <c r="Z1010"/>
  <c r="N1010"/>
  <c r="F1010"/>
  <c r="AD1010"/>
  <c r="X1010"/>
  <c r="P1010"/>
  <c r="J1010"/>
  <c r="D1010"/>
  <c r="AF1010"/>
  <c r="B1011"/>
  <c r="H1010"/>
  <c r="L1010"/>
  <c r="AD1011" l="1"/>
  <c r="N1011"/>
  <c r="H1011"/>
  <c r="AF1011"/>
  <c r="P1011"/>
  <c r="R1011"/>
  <c r="X1011"/>
  <c r="L1011"/>
  <c r="B1012"/>
  <c r="V1011"/>
  <c r="AB1011"/>
  <c r="T1011"/>
  <c r="Z1011"/>
  <c r="J1011"/>
  <c r="C1011"/>
  <c r="D1011"/>
  <c r="F1011"/>
  <c r="V1012" l="1"/>
  <c r="T1012"/>
  <c r="R1012"/>
  <c r="X1012"/>
  <c r="AF1012"/>
  <c r="AB1012"/>
  <c r="N1012"/>
  <c r="P1012"/>
  <c r="AD1012"/>
  <c r="Z1012"/>
  <c r="L1012"/>
  <c r="J1012"/>
  <c r="C1012"/>
  <c r="F1012"/>
  <c r="D1012"/>
  <c r="H1012"/>
  <c r="B1013"/>
  <c r="T1013" l="1"/>
  <c r="D1013"/>
  <c r="AD1013"/>
  <c r="R1013"/>
  <c r="N1013"/>
  <c r="X1013"/>
  <c r="H1013"/>
  <c r="B1014"/>
  <c r="F1013"/>
  <c r="AB1013"/>
  <c r="L1013"/>
  <c r="J1013"/>
  <c r="C1013"/>
  <c r="AF1013"/>
  <c r="Z1013"/>
  <c r="V1013"/>
  <c r="P1013"/>
  <c r="B1015" l="1"/>
  <c r="N1014"/>
  <c r="H1014"/>
  <c r="F1014"/>
  <c r="L1014"/>
  <c r="T1014"/>
  <c r="R1014"/>
  <c r="AB1014"/>
  <c r="V1014"/>
  <c r="AF1014"/>
  <c r="AD1014"/>
  <c r="X1014"/>
  <c r="P1014"/>
  <c r="J1014"/>
  <c r="C1014"/>
  <c r="D1014"/>
  <c r="Z1014"/>
  <c r="Z1015" l="1"/>
  <c r="J1015"/>
  <c r="C1015"/>
  <c r="D1015"/>
  <c r="V1015"/>
  <c r="F1015"/>
  <c r="AB1015"/>
  <c r="T1015"/>
  <c r="AD1015"/>
  <c r="N1015"/>
  <c r="H1015"/>
  <c r="AF1015"/>
  <c r="B1016"/>
  <c r="R1015"/>
  <c r="X1015"/>
  <c r="L1015"/>
  <c r="P1015"/>
  <c r="P1016" l="1"/>
  <c r="R1016"/>
  <c r="X1016"/>
  <c r="B1017"/>
  <c r="V1016"/>
  <c r="T1016"/>
  <c r="AB1016"/>
  <c r="L1016"/>
  <c r="N1016"/>
  <c r="AF1016"/>
  <c r="Z1016"/>
  <c r="D1016"/>
  <c r="H1016"/>
  <c r="F1016"/>
  <c r="AD1016"/>
  <c r="J1016"/>
  <c r="C1016"/>
  <c r="AB1017" l="1"/>
  <c r="L1017"/>
  <c r="J1017"/>
  <c r="C1017"/>
  <c r="AF1017"/>
  <c r="P1017"/>
  <c r="Z1017"/>
  <c r="V1017"/>
  <c r="H1017"/>
  <c r="F1017"/>
  <c r="N1017"/>
  <c r="X1017"/>
  <c r="B1018"/>
  <c r="T1017"/>
  <c r="D1017"/>
  <c r="AD1017"/>
  <c r="R1017"/>
  <c r="AD1018" l="1"/>
  <c r="X1018"/>
  <c r="P1018"/>
  <c r="J1018"/>
  <c r="AF1018"/>
  <c r="AB1018"/>
  <c r="C1018"/>
  <c r="D1018"/>
  <c r="Z1018"/>
  <c r="T1018"/>
  <c r="R1018"/>
  <c r="V1018"/>
  <c r="B1019"/>
  <c r="N1018"/>
  <c r="H1018"/>
  <c r="F1018"/>
  <c r="L1018"/>
  <c r="AD1019" l="1"/>
  <c r="N1019"/>
  <c r="H1019"/>
  <c r="AF1019"/>
  <c r="P1019"/>
  <c r="X1019"/>
  <c r="B1020"/>
  <c r="V1019"/>
  <c r="F1019"/>
  <c r="T1019"/>
  <c r="J1019"/>
  <c r="R1019"/>
  <c r="L1019"/>
  <c r="D1019"/>
  <c r="AB1019"/>
  <c r="Z1019"/>
  <c r="C1019"/>
  <c r="F1020" l="1"/>
  <c r="J1020"/>
  <c r="AD1020"/>
  <c r="C1020"/>
  <c r="P1020"/>
  <c r="T1020"/>
  <c r="R1020"/>
  <c r="X1020"/>
  <c r="AF1020"/>
  <c r="H1020"/>
  <c r="V1020"/>
  <c r="Z1020"/>
  <c r="AB1020"/>
  <c r="L1020"/>
  <c r="N1020"/>
  <c r="D1020"/>
  <c r="B1021"/>
  <c r="X1021" l="1"/>
  <c r="H1021"/>
  <c r="N1021"/>
  <c r="J1021"/>
  <c r="AB1021"/>
  <c r="L1021"/>
  <c r="C1021"/>
  <c r="Z1021"/>
  <c r="AD1021"/>
  <c r="T1021"/>
  <c r="D1021"/>
  <c r="F1021"/>
  <c r="AF1021"/>
  <c r="P1021"/>
  <c r="B1022"/>
  <c r="V1021"/>
  <c r="R1021"/>
  <c r="R1022" l="1"/>
  <c r="D1022"/>
  <c r="Z1022"/>
  <c r="F1022"/>
  <c r="V1022"/>
  <c r="X1022"/>
  <c r="J1022"/>
  <c r="P1022"/>
  <c r="N1022"/>
  <c r="AB1022"/>
  <c r="H1022"/>
  <c r="L1022"/>
  <c r="C1022"/>
  <c r="AF1022"/>
  <c r="B1023"/>
  <c r="AD1022"/>
  <c r="T1022"/>
  <c r="AD1023" l="1"/>
  <c r="N1023"/>
  <c r="L1023"/>
  <c r="P1023"/>
  <c r="H1023"/>
  <c r="X1023"/>
  <c r="AF1023"/>
  <c r="R1023"/>
  <c r="AB1023"/>
  <c r="B1024"/>
  <c r="T1023"/>
  <c r="Z1023"/>
  <c r="J1023"/>
  <c r="C1023"/>
  <c r="V1023"/>
  <c r="F1023"/>
  <c r="D1023"/>
  <c r="J1024" l="1"/>
  <c r="AF1024"/>
  <c r="AB1024"/>
  <c r="V1024"/>
  <c r="R1024"/>
  <c r="H1024"/>
  <c r="T1024"/>
  <c r="F1024"/>
  <c r="C1024"/>
  <c r="P1024"/>
  <c r="Z1024"/>
  <c r="L1024"/>
  <c r="AD1024"/>
  <c r="D1024"/>
  <c r="B1025"/>
  <c r="X1024"/>
  <c r="N1024"/>
  <c r="X1025" l="1"/>
  <c r="H1025"/>
  <c r="N1025"/>
  <c r="R1025"/>
  <c r="AF1025"/>
  <c r="V1025"/>
  <c r="T1025"/>
  <c r="C1025"/>
  <c r="AB1025"/>
  <c r="L1025"/>
  <c r="AD1025"/>
  <c r="F1025"/>
  <c r="P1025"/>
  <c r="B1026"/>
  <c r="Z1025"/>
  <c r="D1025"/>
  <c r="J1025"/>
  <c r="C1026" l="1"/>
  <c r="AF1026"/>
  <c r="V1026"/>
  <c r="AB1026"/>
  <c r="F1026"/>
  <c r="B1027"/>
  <c r="H1026"/>
  <c r="AD1026"/>
  <c r="L1026"/>
  <c r="T1026"/>
  <c r="R1026"/>
  <c r="D1026"/>
  <c r="Z1026"/>
  <c r="P1026"/>
  <c r="X1026"/>
  <c r="J1026"/>
  <c r="N1026"/>
  <c r="AD1027" l="1"/>
  <c r="N1027"/>
  <c r="L1027"/>
  <c r="P1027"/>
  <c r="H1027"/>
  <c r="AF1027"/>
  <c r="R1027"/>
  <c r="AB1027"/>
  <c r="X1027"/>
  <c r="B1028"/>
  <c r="V1027"/>
  <c r="D1027"/>
  <c r="Z1027"/>
  <c r="C1027"/>
  <c r="F1027"/>
  <c r="T1027"/>
  <c r="J1027"/>
  <c r="B1029" l="1"/>
  <c r="J1028"/>
  <c r="X1028"/>
  <c r="N1028"/>
  <c r="H1028"/>
  <c r="T1028"/>
  <c r="AB1028"/>
  <c r="D1028"/>
  <c r="R1028"/>
  <c r="V1028"/>
  <c r="F1028"/>
  <c r="AD1028"/>
  <c r="AF1028"/>
  <c r="Z1028"/>
  <c r="L1028"/>
  <c r="C1028"/>
  <c r="P1028"/>
  <c r="T1029" l="1"/>
  <c r="D1029"/>
  <c r="N1029"/>
  <c r="J1029"/>
  <c r="AB1029"/>
  <c r="B1030"/>
  <c r="AF1029"/>
  <c r="R1029"/>
  <c r="F1029"/>
  <c r="X1029"/>
  <c r="H1029"/>
  <c r="AD1029"/>
  <c r="V1029"/>
  <c r="L1029"/>
  <c r="Z1029"/>
  <c r="P1029"/>
  <c r="C1029"/>
  <c r="C1030" l="1"/>
  <c r="F1030"/>
  <c r="AF1030"/>
  <c r="N1030"/>
  <c r="R1030"/>
  <c r="AB1030"/>
  <c r="J1030"/>
  <c r="B1031"/>
  <c r="L1030"/>
  <c r="H1030"/>
  <c r="T1030"/>
  <c r="D1030"/>
  <c r="V1030"/>
  <c r="AD1030"/>
  <c r="Z1030"/>
  <c r="X1030"/>
  <c r="P1030"/>
  <c r="V1031" l="1"/>
  <c r="F1031"/>
  <c r="L1031"/>
  <c r="T1031"/>
  <c r="Z1031"/>
  <c r="J1031"/>
  <c r="AB1031"/>
  <c r="D1031"/>
  <c r="AD1031"/>
  <c r="N1031"/>
  <c r="P1031"/>
  <c r="B1032"/>
  <c r="C1031"/>
  <c r="R1031"/>
  <c r="AF1031"/>
  <c r="H1031"/>
  <c r="X1031"/>
  <c r="AD1032" l="1"/>
  <c r="C1032"/>
  <c r="D1032"/>
  <c r="AB1032"/>
  <c r="P1032"/>
  <c r="B1033"/>
  <c r="H1032"/>
  <c r="J1032"/>
  <c r="L1032"/>
  <c r="R1032"/>
  <c r="X1032"/>
  <c r="Z1032"/>
  <c r="AF1032"/>
  <c r="N1032"/>
  <c r="T1032"/>
  <c r="F1032"/>
  <c r="V1032"/>
  <c r="AB1033" l="1"/>
  <c r="L1033"/>
  <c r="B1034"/>
  <c r="Z1033"/>
  <c r="AF1033"/>
  <c r="P1033"/>
  <c r="R1033"/>
  <c r="C1033"/>
  <c r="F1033"/>
  <c r="AD1033"/>
  <c r="T1033"/>
  <c r="D1033"/>
  <c r="N1033"/>
  <c r="J1033"/>
  <c r="X1033"/>
  <c r="H1033"/>
  <c r="V1033"/>
  <c r="B1035" l="1"/>
  <c r="L1034"/>
  <c r="H1034"/>
  <c r="T1034"/>
  <c r="D1034"/>
  <c r="X1034"/>
  <c r="P1034"/>
  <c r="V1034"/>
  <c r="R1034"/>
  <c r="AD1034"/>
  <c r="Z1034"/>
  <c r="F1034"/>
  <c r="N1034"/>
  <c r="AB1034"/>
  <c r="J1034"/>
  <c r="C1034"/>
  <c r="AF1034"/>
  <c r="Z1035" l="1"/>
  <c r="J1035"/>
  <c r="AB1035"/>
  <c r="D1035"/>
  <c r="V1035"/>
  <c r="L1035"/>
  <c r="AD1035"/>
  <c r="N1035"/>
  <c r="P1035"/>
  <c r="B1036"/>
  <c r="C1035"/>
  <c r="R1035"/>
  <c r="AF1035"/>
  <c r="H1035"/>
  <c r="X1035"/>
  <c r="F1035"/>
  <c r="T1035"/>
  <c r="X1036" l="1"/>
  <c r="Z1036"/>
  <c r="P1036"/>
  <c r="AF1036"/>
  <c r="AD1036"/>
  <c r="C1036"/>
  <c r="AB1036"/>
  <c r="B1037"/>
  <c r="H1036"/>
  <c r="J1036"/>
  <c r="L1036"/>
  <c r="R1036"/>
  <c r="T1036"/>
  <c r="F1036"/>
  <c r="D1036"/>
  <c r="N1036"/>
  <c r="V1036"/>
  <c r="X1037" l="1"/>
  <c r="H1037"/>
  <c r="N1037"/>
  <c r="V1037"/>
  <c r="C1037"/>
  <c r="AB1037"/>
  <c r="L1037"/>
  <c r="R1037"/>
  <c r="F1037"/>
  <c r="AF1037"/>
  <c r="P1037"/>
  <c r="AD1037"/>
  <c r="Z1037"/>
  <c r="T1037"/>
  <c r="D1037"/>
  <c r="B1038"/>
  <c r="J1037"/>
  <c r="B1039" l="1"/>
  <c r="L1038"/>
  <c r="H1038"/>
  <c r="T1038"/>
  <c r="D1038"/>
  <c r="R1038"/>
  <c r="AD1038"/>
  <c r="X1038"/>
  <c r="P1038"/>
  <c r="C1038"/>
  <c r="AF1038"/>
  <c r="N1038"/>
  <c r="V1038"/>
  <c r="Z1038"/>
  <c r="AB1038"/>
  <c r="J1038"/>
  <c r="F1038"/>
  <c r="AD1039" l="1"/>
  <c r="N1039"/>
  <c r="P1039"/>
  <c r="B1040"/>
  <c r="C1039"/>
  <c r="R1039"/>
  <c r="AF1039"/>
  <c r="H1039"/>
  <c r="X1039"/>
  <c r="V1039"/>
  <c r="F1039"/>
  <c r="L1039"/>
  <c r="T1039"/>
  <c r="J1039"/>
  <c r="D1039"/>
  <c r="Z1039"/>
  <c r="AB1039"/>
  <c r="X1040" l="1"/>
  <c r="Z1040"/>
  <c r="P1040"/>
  <c r="AF1040"/>
  <c r="AD1040"/>
  <c r="C1040"/>
  <c r="AB1040"/>
  <c r="H1040"/>
  <c r="J1040"/>
  <c r="R1040"/>
  <c r="T1040"/>
  <c r="F1040"/>
  <c r="V1040"/>
  <c r="D1040"/>
  <c r="B1041"/>
  <c r="L1040"/>
  <c r="N1040"/>
  <c r="AF1041" l="1"/>
  <c r="P1041"/>
  <c r="R1041"/>
  <c r="C1041"/>
  <c r="F1041"/>
  <c r="H1041"/>
  <c r="B1042"/>
  <c r="T1041"/>
  <c r="D1041"/>
  <c r="N1041"/>
  <c r="J1041"/>
  <c r="X1041"/>
  <c r="V1041"/>
  <c r="AD1041"/>
  <c r="AB1041"/>
  <c r="L1041"/>
  <c r="Z1041"/>
  <c r="C1042" l="1"/>
  <c r="F1042"/>
  <c r="AF1042"/>
  <c r="N1042"/>
  <c r="L1042"/>
  <c r="D1042"/>
  <c r="R1042"/>
  <c r="P1042"/>
  <c r="B1043"/>
  <c r="H1042"/>
  <c r="T1042"/>
  <c r="AD1042"/>
  <c r="Z1042"/>
  <c r="X1042"/>
  <c r="V1042"/>
  <c r="AB1042"/>
  <c r="J1042"/>
  <c r="R1043" l="1"/>
  <c r="AF1043"/>
  <c r="H1043"/>
  <c r="X1043"/>
  <c r="N1043"/>
  <c r="B1044"/>
  <c r="V1043"/>
  <c r="F1043"/>
  <c r="L1043"/>
  <c r="T1043"/>
  <c r="Z1043"/>
  <c r="J1043"/>
  <c r="AB1043"/>
  <c r="D1043"/>
  <c r="AD1043"/>
  <c r="P1043"/>
  <c r="C1043"/>
  <c r="X1044" l="1"/>
  <c r="AF1044"/>
  <c r="D1044"/>
  <c r="L1044"/>
  <c r="T1044"/>
  <c r="V1044"/>
  <c r="AD1044"/>
  <c r="C1044"/>
  <c r="J1044"/>
  <c r="B1045"/>
  <c r="R1044"/>
  <c r="H1044"/>
  <c r="F1044"/>
  <c r="N1044"/>
  <c r="Z1044"/>
  <c r="P1044"/>
  <c r="AB1044"/>
  <c r="AF1045" l="1"/>
  <c r="P1045"/>
  <c r="B1046"/>
  <c r="N1045"/>
  <c r="J1045"/>
  <c r="H1045"/>
  <c r="R1045"/>
  <c r="AB1045"/>
  <c r="C1045"/>
  <c r="T1045"/>
  <c r="D1045"/>
  <c r="V1045"/>
  <c r="Z1045"/>
  <c r="X1045"/>
  <c r="AD1045"/>
  <c r="L1045"/>
  <c r="F1045"/>
  <c r="L1046" l="1"/>
  <c r="AF1046"/>
  <c r="P1046"/>
  <c r="B1047"/>
  <c r="J1046"/>
  <c r="AD1046"/>
  <c r="X1046"/>
  <c r="Z1046"/>
  <c r="AB1046"/>
  <c r="V1046"/>
  <c r="T1046"/>
  <c r="D1046"/>
  <c r="R1046"/>
  <c r="N1046"/>
  <c r="H1046"/>
  <c r="F1046"/>
  <c r="C1046"/>
  <c r="B1048" l="1"/>
  <c r="V1047"/>
  <c r="F1047"/>
  <c r="D1047"/>
  <c r="X1047"/>
  <c r="Z1047"/>
  <c r="J1047"/>
  <c r="H1047"/>
  <c r="L1047"/>
  <c r="C1047"/>
  <c r="R1047"/>
  <c r="AB1047"/>
  <c r="AF1047"/>
  <c r="AD1047"/>
  <c r="N1047"/>
  <c r="T1047"/>
  <c r="P1047"/>
  <c r="V1048" l="1"/>
  <c r="F1048"/>
  <c r="H1048"/>
  <c r="AB1048"/>
  <c r="Z1048"/>
  <c r="J1048"/>
  <c r="P1048"/>
  <c r="D1048"/>
  <c r="AD1048"/>
  <c r="N1048"/>
  <c r="X1048"/>
  <c r="T1048"/>
  <c r="L1048"/>
  <c r="R1048"/>
  <c r="AF1048"/>
  <c r="B1049"/>
  <c r="C1048"/>
  <c r="T1049" l="1"/>
  <c r="D1049"/>
  <c r="V1049"/>
  <c r="Z1049"/>
  <c r="N1049"/>
  <c r="X1049"/>
  <c r="H1049"/>
  <c r="AD1049"/>
  <c r="R1049"/>
  <c r="AB1049"/>
  <c r="L1049"/>
  <c r="C1049"/>
  <c r="F1049"/>
  <c r="AF1049"/>
  <c r="P1049"/>
  <c r="B1050"/>
  <c r="J1049"/>
  <c r="X1050" l="1"/>
  <c r="H1050"/>
  <c r="Z1050"/>
  <c r="V1050"/>
  <c r="AB1050"/>
  <c r="L1050"/>
  <c r="C1050"/>
  <c r="AD1050"/>
  <c r="AF1050"/>
  <c r="P1050"/>
  <c r="J1050"/>
  <c r="T1050"/>
  <c r="D1050"/>
  <c r="R1050"/>
  <c r="F1050"/>
  <c r="B1051"/>
  <c r="N1050"/>
  <c r="AD1051" l="1"/>
  <c r="N1051"/>
  <c r="T1051"/>
  <c r="P1051"/>
  <c r="B1052"/>
  <c r="V1051"/>
  <c r="F1051"/>
  <c r="D1051"/>
  <c r="X1051"/>
  <c r="Z1051"/>
  <c r="L1051"/>
  <c r="H1051"/>
  <c r="C1051"/>
  <c r="R1051"/>
  <c r="AB1051"/>
  <c r="AF1051"/>
  <c r="J1051"/>
  <c r="Z1052" l="1"/>
  <c r="J1052"/>
  <c r="P1052"/>
  <c r="D1052"/>
  <c r="R1052"/>
  <c r="AF1052"/>
  <c r="B1053"/>
  <c r="C1052"/>
  <c r="F1052"/>
  <c r="AB1052"/>
  <c r="AD1052"/>
  <c r="X1052"/>
  <c r="T1052"/>
  <c r="V1052"/>
  <c r="H1052"/>
  <c r="N1052"/>
  <c r="L1052"/>
  <c r="AB1053" l="1"/>
  <c r="L1053"/>
  <c r="C1053"/>
  <c r="F1053"/>
  <c r="AF1053"/>
  <c r="B1054"/>
  <c r="J1053"/>
  <c r="T1053"/>
  <c r="D1053"/>
  <c r="V1053"/>
  <c r="Z1053"/>
  <c r="X1053"/>
  <c r="H1053"/>
  <c r="AD1053"/>
  <c r="R1053"/>
  <c r="P1053"/>
  <c r="N1053"/>
  <c r="AB1054" l="1"/>
  <c r="L1054"/>
  <c r="C1054"/>
  <c r="V1054"/>
  <c r="T1054"/>
  <c r="D1054"/>
  <c r="R1054"/>
  <c r="X1054"/>
  <c r="H1054"/>
  <c r="Z1054"/>
  <c r="AF1054"/>
  <c r="P1054"/>
  <c r="B1055"/>
  <c r="J1054"/>
  <c r="AD1054"/>
  <c r="N1054"/>
  <c r="F1054"/>
  <c r="Z1055" l="1"/>
  <c r="T1055"/>
  <c r="R1055"/>
  <c r="H1055"/>
  <c r="B1056"/>
  <c r="C1055"/>
  <c r="J1055"/>
  <c r="L1055"/>
  <c r="X1055"/>
  <c r="AF1055"/>
  <c r="AD1055"/>
  <c r="F1055"/>
  <c r="P1055"/>
  <c r="N1055"/>
  <c r="V1055"/>
  <c r="AB1055"/>
  <c r="D1055"/>
  <c r="Z1056" l="1"/>
  <c r="J1056"/>
  <c r="D1056"/>
  <c r="AB1056"/>
  <c r="R1056"/>
  <c r="B1057"/>
  <c r="H1056"/>
  <c r="L1056"/>
  <c r="V1056"/>
  <c r="F1056"/>
  <c r="AF1056"/>
  <c r="AD1056"/>
  <c r="T1056"/>
  <c r="P1056"/>
  <c r="X1056"/>
  <c r="N1056"/>
  <c r="C1056"/>
  <c r="AB1057" l="1"/>
  <c r="AF1057"/>
  <c r="X1057"/>
  <c r="Z1057"/>
  <c r="AD1057"/>
  <c r="F1057"/>
  <c r="B1058"/>
  <c r="L1057"/>
  <c r="P1057"/>
  <c r="C1057"/>
  <c r="D1057"/>
  <c r="T1057"/>
  <c r="J1057"/>
  <c r="R1057"/>
  <c r="V1057"/>
  <c r="N1057"/>
  <c r="H1057"/>
  <c r="AB1058" l="1"/>
  <c r="L1058"/>
  <c r="F1058"/>
  <c r="N1058"/>
  <c r="AF1058"/>
  <c r="V1058"/>
  <c r="AD1058"/>
  <c r="R1058"/>
  <c r="T1058"/>
  <c r="D1058"/>
  <c r="J1058"/>
  <c r="C1058"/>
  <c r="H1058"/>
  <c r="Z1058"/>
  <c r="P1058"/>
  <c r="X1058"/>
  <c r="B1059"/>
  <c r="AF1059" l="1"/>
  <c r="AD1059"/>
  <c r="R1059"/>
  <c r="F1059"/>
  <c r="D1059"/>
  <c r="AB1059"/>
  <c r="C1059"/>
  <c r="J1059"/>
  <c r="L1059"/>
  <c r="P1059"/>
  <c r="V1059"/>
  <c r="T1059"/>
  <c r="B1060"/>
  <c r="N1059"/>
  <c r="X1059"/>
  <c r="Z1059"/>
  <c r="H1059"/>
  <c r="Z1060" l="1"/>
  <c r="J1060"/>
  <c r="X1060"/>
  <c r="C1060"/>
  <c r="AD1060"/>
  <c r="N1060"/>
  <c r="AF1060"/>
  <c r="H1060"/>
  <c r="L1060"/>
  <c r="R1060"/>
  <c r="B1061"/>
  <c r="D1060"/>
  <c r="AB1060"/>
  <c r="V1060"/>
  <c r="F1060"/>
  <c r="P1060"/>
  <c r="T1060"/>
  <c r="Z1061" l="1"/>
  <c r="J1061"/>
  <c r="T1061"/>
  <c r="AF1061"/>
  <c r="AD1061"/>
  <c r="N1061"/>
  <c r="AB1061"/>
  <c r="C1061"/>
  <c r="H1061"/>
  <c r="D1061"/>
  <c r="L1061"/>
  <c r="R1061"/>
  <c r="B1062"/>
  <c r="X1061"/>
  <c r="V1061"/>
  <c r="F1061"/>
  <c r="P1061"/>
  <c r="P1062" l="1"/>
  <c r="N1062"/>
  <c r="T1062"/>
  <c r="D1062"/>
  <c r="AD1062"/>
  <c r="C1062"/>
  <c r="X1062"/>
  <c r="H1062"/>
  <c r="J1062"/>
  <c r="L1062"/>
  <c r="R1062"/>
  <c r="F1062"/>
  <c r="AB1062"/>
  <c r="B1063"/>
  <c r="AF1062"/>
  <c r="Z1062"/>
  <c r="V1062"/>
  <c r="B1064" l="1"/>
  <c r="X1063"/>
  <c r="H1063"/>
  <c r="N1063"/>
  <c r="R1063"/>
  <c r="AB1063"/>
  <c r="L1063"/>
  <c r="V1063"/>
  <c r="J1063"/>
  <c r="C1063"/>
  <c r="T1063"/>
  <c r="F1063"/>
  <c r="AF1063"/>
  <c r="P1063"/>
  <c r="AD1063"/>
  <c r="Z1063"/>
  <c r="D1063"/>
  <c r="AD1064" l="1"/>
  <c r="N1064"/>
  <c r="C1064"/>
  <c r="H1064"/>
  <c r="L1064"/>
  <c r="B1065"/>
  <c r="AB1064"/>
  <c r="AF1064"/>
  <c r="R1064"/>
  <c r="P1064"/>
  <c r="V1064"/>
  <c r="F1064"/>
  <c r="X1064"/>
  <c r="D1064"/>
  <c r="J1064"/>
  <c r="Z1064"/>
  <c r="T1064"/>
  <c r="Z1065" l="1"/>
  <c r="J1065"/>
  <c r="T1065"/>
  <c r="AF1065"/>
  <c r="R1065"/>
  <c r="B1066"/>
  <c r="D1065"/>
  <c r="X1065"/>
  <c r="V1065"/>
  <c r="F1065"/>
  <c r="L1065"/>
  <c r="P1065"/>
  <c r="AD1065"/>
  <c r="N1065"/>
  <c r="AB1065"/>
  <c r="C1065"/>
  <c r="H1065"/>
  <c r="AF1066" l="1"/>
  <c r="P1066"/>
  <c r="Z1066"/>
  <c r="N1066"/>
  <c r="V1066"/>
  <c r="X1066"/>
  <c r="H1066"/>
  <c r="J1066"/>
  <c r="F1066"/>
  <c r="T1066"/>
  <c r="D1066"/>
  <c r="AD1066"/>
  <c r="C1066"/>
  <c r="AB1066"/>
  <c r="L1066"/>
  <c r="R1066"/>
  <c r="B1067"/>
  <c r="AF1067" l="1"/>
  <c r="P1067"/>
  <c r="AD1067"/>
  <c r="Z1067"/>
  <c r="X1067"/>
  <c r="H1067"/>
  <c r="R1067"/>
  <c r="AB1067"/>
  <c r="L1067"/>
  <c r="J1067"/>
  <c r="C1067"/>
  <c r="T1067"/>
  <c r="D1067"/>
  <c r="F1067"/>
  <c r="B1068"/>
  <c r="N1067"/>
  <c r="V1067"/>
  <c r="AD1068" l="1"/>
  <c r="N1068"/>
  <c r="C1068"/>
  <c r="H1068"/>
  <c r="L1068"/>
  <c r="R1068"/>
  <c r="B1069"/>
  <c r="P1068"/>
  <c r="AB1068"/>
  <c r="V1068"/>
  <c r="F1068"/>
  <c r="X1068"/>
  <c r="D1068"/>
  <c r="Z1068"/>
  <c r="J1068"/>
  <c r="AF1068"/>
  <c r="T1068"/>
  <c r="V1069" l="1"/>
  <c r="F1069"/>
  <c r="L1069"/>
  <c r="P1069"/>
  <c r="AD1069"/>
  <c r="N1069"/>
  <c r="AB1069"/>
  <c r="C1069"/>
  <c r="H1069"/>
  <c r="R1069"/>
  <c r="D1069"/>
  <c r="B1070"/>
  <c r="X1069"/>
  <c r="Z1069"/>
  <c r="J1069"/>
  <c r="T1069"/>
  <c r="AF1069"/>
  <c r="X1070" l="1"/>
  <c r="H1070"/>
  <c r="V1070"/>
  <c r="B1071"/>
  <c r="P1070"/>
  <c r="AD1070"/>
  <c r="AB1070"/>
  <c r="L1070"/>
  <c r="J1070"/>
  <c r="N1070"/>
  <c r="AF1070"/>
  <c r="Z1070"/>
  <c r="C1070"/>
  <c r="T1070"/>
  <c r="D1070"/>
  <c r="F1070"/>
  <c r="R1070"/>
  <c r="AF1071" l="1"/>
  <c r="R1071"/>
  <c r="N1071"/>
  <c r="X1071"/>
  <c r="C1071"/>
  <c r="D1071"/>
  <c r="J1071"/>
  <c r="F1071"/>
  <c r="B1072"/>
  <c r="P1071"/>
  <c r="T1071"/>
  <c r="Z1071"/>
  <c r="V1071"/>
  <c r="H1071"/>
  <c r="AD1071"/>
  <c r="AB1071"/>
  <c r="L1071"/>
  <c r="Z1072" l="1"/>
  <c r="J1072"/>
  <c r="C1072"/>
  <c r="AF1072"/>
  <c r="AD1072"/>
  <c r="H1072"/>
  <c r="D1072"/>
  <c r="R1072"/>
  <c r="X1072"/>
  <c r="L1072"/>
  <c r="V1072"/>
  <c r="B1073"/>
  <c r="AB1072"/>
  <c r="N1072"/>
  <c r="P1072"/>
  <c r="T1072"/>
  <c r="F1072"/>
  <c r="P1073" l="1"/>
  <c r="L1073"/>
  <c r="X1073"/>
  <c r="T1073"/>
  <c r="V1073"/>
  <c r="R1073"/>
  <c r="D1073"/>
  <c r="J1073"/>
  <c r="AB1073"/>
  <c r="AD1073"/>
  <c r="F1073"/>
  <c r="B1074"/>
  <c r="H1073"/>
  <c r="AF1073"/>
  <c r="Z1073"/>
  <c r="C1073"/>
  <c r="N1073"/>
  <c r="AF1074" l="1"/>
  <c r="P1074"/>
  <c r="Z1074"/>
  <c r="AD1074"/>
  <c r="C1074"/>
  <c r="N1074"/>
  <c r="T1074"/>
  <c r="D1074"/>
  <c r="F1074"/>
  <c r="R1074"/>
  <c r="X1074"/>
  <c r="H1074"/>
  <c r="V1074"/>
  <c r="B1075"/>
  <c r="AB1074"/>
  <c r="L1074"/>
  <c r="J1074"/>
  <c r="AF1075" l="1"/>
  <c r="P1075"/>
  <c r="V1075"/>
  <c r="Z1075"/>
  <c r="F1075"/>
  <c r="AD1075"/>
  <c r="R1075"/>
  <c r="C1075"/>
  <c r="H1075"/>
  <c r="B1076"/>
  <c r="L1075"/>
  <c r="T1075"/>
  <c r="J1075"/>
  <c r="X1075"/>
  <c r="D1075"/>
  <c r="AB1075"/>
  <c r="N1075"/>
  <c r="Z1076" l="1"/>
  <c r="J1076"/>
  <c r="P1076"/>
  <c r="AB1076"/>
  <c r="AD1076"/>
  <c r="N1076"/>
  <c r="X1076"/>
  <c r="D1076"/>
  <c r="C1076"/>
  <c r="AF1076"/>
  <c r="B1077"/>
  <c r="V1076"/>
  <c r="H1076"/>
  <c r="R1076"/>
  <c r="T1076"/>
  <c r="F1076"/>
  <c r="L1076"/>
  <c r="R1077" l="1"/>
  <c r="C1077"/>
  <c r="L1077"/>
  <c r="H1077"/>
  <c r="V1077"/>
  <c r="F1077"/>
  <c r="T1077"/>
  <c r="P1077"/>
  <c r="Z1077"/>
  <c r="J1077"/>
  <c r="AB1077"/>
  <c r="AD1077"/>
  <c r="N1077"/>
  <c r="B1078"/>
  <c r="D1077"/>
  <c r="X1077"/>
  <c r="AF1077"/>
  <c r="AB1078" l="1"/>
  <c r="L1078"/>
  <c r="R1078"/>
  <c r="V1078"/>
  <c r="P1078"/>
  <c r="F1078"/>
  <c r="T1078"/>
  <c r="D1078"/>
  <c r="AD1078"/>
  <c r="B1079"/>
  <c r="X1078"/>
  <c r="H1078"/>
  <c r="J1078"/>
  <c r="C1078"/>
  <c r="AF1078"/>
  <c r="Z1078"/>
  <c r="N1078"/>
  <c r="T1079" l="1"/>
  <c r="D1079"/>
  <c r="V1079"/>
  <c r="J1079"/>
  <c r="X1079"/>
  <c r="H1079"/>
  <c r="AD1079"/>
  <c r="Z1079"/>
  <c r="L1079"/>
  <c r="C1079"/>
  <c r="F1079"/>
  <c r="AB1079"/>
  <c r="AF1079"/>
  <c r="P1079"/>
  <c r="B1080"/>
  <c r="N1079"/>
  <c r="R1079"/>
  <c r="B1081" l="1"/>
  <c r="V1080"/>
  <c r="F1080"/>
  <c r="H1080"/>
  <c r="L1080"/>
  <c r="Z1080"/>
  <c r="J1080"/>
  <c r="AB1080"/>
  <c r="AD1080"/>
  <c r="X1080"/>
  <c r="D1080"/>
  <c r="C1080"/>
  <c r="R1080"/>
  <c r="AF1080"/>
  <c r="T1080"/>
  <c r="P1080"/>
  <c r="N1080"/>
  <c r="Z1081" l="1"/>
  <c r="J1081"/>
  <c r="AB1081"/>
  <c r="AF1081"/>
  <c r="AD1081"/>
  <c r="N1081"/>
  <c r="B1082"/>
  <c r="X1081"/>
  <c r="R1081"/>
  <c r="C1081"/>
  <c r="L1081"/>
  <c r="H1081"/>
  <c r="V1081"/>
  <c r="F1081"/>
  <c r="T1081"/>
  <c r="P1081"/>
  <c r="D1081"/>
  <c r="AF1082" l="1"/>
  <c r="P1082"/>
  <c r="Z1082"/>
  <c r="N1082"/>
  <c r="F1082"/>
  <c r="T1082"/>
  <c r="D1082"/>
  <c r="AD1082"/>
  <c r="B1083"/>
  <c r="J1082"/>
  <c r="AB1082"/>
  <c r="V1082"/>
  <c r="X1082"/>
  <c r="H1082"/>
  <c r="C1082"/>
  <c r="L1082"/>
  <c r="R1082"/>
  <c r="AB1083" l="1"/>
  <c r="L1083"/>
  <c r="C1083"/>
  <c r="F1083"/>
  <c r="AF1083"/>
  <c r="P1083"/>
  <c r="B1084"/>
  <c r="N1083"/>
  <c r="R1083"/>
  <c r="T1083"/>
  <c r="D1083"/>
  <c r="V1083"/>
  <c r="J1083"/>
  <c r="X1083"/>
  <c r="H1083"/>
  <c r="AD1083"/>
  <c r="Z1083"/>
  <c r="Z1084" l="1"/>
  <c r="J1084"/>
  <c r="P1084"/>
  <c r="AB1084"/>
  <c r="AD1084"/>
  <c r="N1084"/>
  <c r="X1084"/>
  <c r="D1084"/>
  <c r="H1084"/>
  <c r="C1084"/>
  <c r="R1084"/>
  <c r="AF1084"/>
  <c r="T1084"/>
  <c r="B1085"/>
  <c r="V1084"/>
  <c r="F1084"/>
  <c r="L1084"/>
  <c r="V1085" l="1"/>
  <c r="F1085"/>
  <c r="T1085"/>
  <c r="AF1085"/>
  <c r="X1085"/>
  <c r="AD1085"/>
  <c r="N1085"/>
  <c r="B1086"/>
  <c r="D1085"/>
  <c r="H1085"/>
  <c r="C1085"/>
  <c r="P1085"/>
  <c r="J1085"/>
  <c r="AB1085"/>
  <c r="R1085"/>
  <c r="L1085"/>
  <c r="Z1085"/>
  <c r="AF1086" l="1"/>
  <c r="P1086"/>
  <c r="Z1086"/>
  <c r="N1086"/>
  <c r="F1086"/>
  <c r="X1086"/>
  <c r="H1086"/>
  <c r="J1086"/>
  <c r="C1086"/>
  <c r="AB1086"/>
  <c r="L1086"/>
  <c r="R1086"/>
  <c r="V1086"/>
  <c r="T1086"/>
  <c r="D1086"/>
  <c r="AD1086"/>
  <c r="B1087"/>
  <c r="AF1087" l="1"/>
  <c r="P1087"/>
  <c r="B1088"/>
  <c r="N1087"/>
  <c r="R1087"/>
  <c r="T1087"/>
  <c r="V1087"/>
  <c r="J1087"/>
  <c r="X1087"/>
  <c r="H1087"/>
  <c r="AD1087"/>
  <c r="Z1087"/>
  <c r="L1087"/>
  <c r="F1087"/>
  <c r="D1087"/>
  <c r="AB1087"/>
  <c r="C1087"/>
  <c r="B1089" l="1"/>
  <c r="V1088"/>
  <c r="F1088"/>
  <c r="H1088"/>
  <c r="L1088"/>
  <c r="Z1088"/>
  <c r="J1088"/>
  <c r="P1088"/>
  <c r="AB1088"/>
  <c r="C1088"/>
  <c r="R1088"/>
  <c r="AF1088"/>
  <c r="T1088"/>
  <c r="AD1088"/>
  <c r="N1088"/>
  <c r="X1088"/>
  <c r="D1088"/>
  <c r="AD1089" l="1"/>
  <c r="N1089"/>
  <c r="B1090"/>
  <c r="D1089"/>
  <c r="X1089"/>
  <c r="C1089"/>
  <c r="L1089"/>
  <c r="H1089"/>
  <c r="V1089"/>
  <c r="F1089"/>
  <c r="P1089"/>
  <c r="R1089"/>
  <c r="Z1089"/>
  <c r="J1089"/>
  <c r="AB1089"/>
  <c r="AF1089"/>
  <c r="T1089"/>
  <c r="AB1090" l="1"/>
  <c r="L1090"/>
  <c r="R1090"/>
  <c r="V1090"/>
  <c r="B1091"/>
  <c r="X1090"/>
  <c r="H1090"/>
  <c r="C1090"/>
  <c r="AF1090"/>
  <c r="P1090"/>
  <c r="Z1090"/>
  <c r="N1090"/>
  <c r="F1090"/>
  <c r="T1090"/>
  <c r="D1090"/>
  <c r="AD1090"/>
  <c r="J1090"/>
  <c r="AB1091" l="1"/>
  <c r="L1091"/>
  <c r="C1091"/>
  <c r="F1091"/>
  <c r="B1092"/>
  <c r="N1091"/>
  <c r="T1091"/>
  <c r="D1091"/>
  <c r="V1091"/>
  <c r="J1091"/>
  <c r="X1091"/>
  <c r="H1091"/>
  <c r="Z1091"/>
  <c r="AF1091"/>
  <c r="P1091"/>
  <c r="R1091"/>
  <c r="AD1091"/>
  <c r="F1092" l="1"/>
  <c r="L1092"/>
  <c r="Z1092"/>
  <c r="J1092"/>
  <c r="P1092"/>
  <c r="AB1092"/>
  <c r="N1092"/>
  <c r="X1092"/>
  <c r="R1092"/>
  <c r="T1092"/>
  <c r="AD1092"/>
  <c r="D1092"/>
  <c r="C1092"/>
  <c r="AF1092"/>
  <c r="B1093"/>
  <c r="V1092"/>
  <c r="H1092"/>
  <c r="R1093" l="1"/>
  <c r="C1093"/>
  <c r="L1093"/>
  <c r="H1093"/>
  <c r="V1093"/>
  <c r="F1093"/>
  <c r="T1093"/>
  <c r="P1093"/>
  <c r="Z1093"/>
  <c r="J1093"/>
  <c r="AB1093"/>
  <c r="AF1093"/>
  <c r="AD1093"/>
  <c r="N1093"/>
  <c r="B1094"/>
  <c r="D1093"/>
  <c r="X1093"/>
  <c r="AF1094" l="1"/>
  <c r="P1094"/>
  <c r="Z1094"/>
  <c r="N1094"/>
  <c r="F1094"/>
  <c r="T1094"/>
  <c r="D1094"/>
  <c r="B1095"/>
  <c r="X1094"/>
  <c r="H1094"/>
  <c r="J1094"/>
  <c r="C1094"/>
  <c r="AB1094"/>
  <c r="L1094"/>
  <c r="R1094"/>
  <c r="V1094"/>
  <c r="AD1094"/>
  <c r="T1095" l="1"/>
  <c r="D1095"/>
  <c r="V1095"/>
  <c r="X1095"/>
  <c r="H1095"/>
  <c r="AD1095"/>
  <c r="Z1095"/>
  <c r="B1096"/>
  <c r="R1095"/>
  <c r="AB1095"/>
  <c r="L1095"/>
  <c r="C1095"/>
  <c r="F1095"/>
  <c r="AF1095"/>
  <c r="P1095"/>
  <c r="N1095"/>
  <c r="J1095"/>
  <c r="AD1096" l="1"/>
  <c r="N1096"/>
  <c r="H1096"/>
  <c r="D1096"/>
  <c r="B1097"/>
  <c r="V1096"/>
  <c r="F1096"/>
  <c r="X1096"/>
  <c r="AB1096"/>
  <c r="Z1096"/>
  <c r="J1096"/>
  <c r="AF1096"/>
  <c r="C1096"/>
  <c r="R1096"/>
  <c r="P1096"/>
  <c r="T1096"/>
  <c r="L1096"/>
  <c r="Z1097" l="1"/>
  <c r="J1097"/>
  <c r="AB1097"/>
  <c r="AF1097"/>
  <c r="P1097"/>
  <c r="AD1097"/>
  <c r="N1097"/>
  <c r="B1098"/>
  <c r="D1097"/>
  <c r="X1097"/>
  <c r="R1097"/>
  <c r="C1097"/>
  <c r="L1097"/>
  <c r="H1097"/>
  <c r="V1097"/>
  <c r="F1097"/>
  <c r="T1097"/>
  <c r="AB1098" l="1"/>
  <c r="L1098"/>
  <c r="R1098"/>
  <c r="V1098"/>
  <c r="T1098"/>
  <c r="D1098"/>
  <c r="AD1098"/>
  <c r="B1099"/>
  <c r="AF1098"/>
  <c r="P1098"/>
  <c r="N1098"/>
  <c r="F1098"/>
  <c r="X1098"/>
  <c r="H1098"/>
  <c r="J1098"/>
  <c r="C1098"/>
  <c r="Z1098"/>
  <c r="T1099" l="1"/>
  <c r="D1099"/>
  <c r="V1099"/>
  <c r="J1099"/>
  <c r="AB1099"/>
  <c r="L1099"/>
  <c r="C1099"/>
  <c r="F1099"/>
  <c r="P1099"/>
  <c r="B1100"/>
  <c r="R1099"/>
  <c r="X1099"/>
  <c r="H1099"/>
  <c r="AD1099"/>
  <c r="Z1099"/>
  <c r="AF1099"/>
  <c r="N1099"/>
  <c r="Z1100" l="1"/>
  <c r="J1100"/>
  <c r="P1100"/>
  <c r="AB1100"/>
  <c r="AD1100"/>
  <c r="N1100"/>
  <c r="D1100"/>
  <c r="C1100"/>
  <c r="R1100"/>
  <c r="T1100"/>
  <c r="B1101"/>
  <c r="V1100"/>
  <c r="H1100"/>
  <c r="X1100"/>
  <c r="AF1100"/>
  <c r="F1100"/>
  <c r="L1100"/>
  <c r="V1101" l="1"/>
  <c r="F1101"/>
  <c r="L1101"/>
  <c r="H1101"/>
  <c r="Z1101"/>
  <c r="J1101"/>
  <c r="T1101"/>
  <c r="P1101"/>
  <c r="AD1101"/>
  <c r="N1101"/>
  <c r="AB1101"/>
  <c r="AF1101"/>
  <c r="R1101"/>
  <c r="C1101"/>
  <c r="D1101"/>
  <c r="X1101"/>
  <c r="H1" i="20" l="1"/>
  <c r="I3" i="10" l="1"/>
  <c r="I2"/>
  <c r="B3"/>
  <c r="B2"/>
</calcChain>
</file>

<file path=xl/comments1.xml><?xml version="1.0" encoding="utf-8"?>
<comments xmlns="http://schemas.openxmlformats.org/spreadsheetml/2006/main">
  <authors>
    <author>kimdaeho</author>
  </authors>
  <commentList>
    <comment ref="E12" authorId="0">
      <text>
        <r>
          <rPr>
            <sz val="9"/>
            <color indexed="81"/>
            <rFont val="돋움"/>
            <family val="3"/>
            <charset val="129"/>
          </rPr>
          <t>성명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S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U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W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Y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C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E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G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</commentList>
</comments>
</file>

<file path=xl/sharedStrings.xml><?xml version="1.0" encoding="utf-8"?>
<sst xmlns="http://schemas.openxmlformats.org/spreadsheetml/2006/main" count="29464" uniqueCount="494">
  <si>
    <t>성명</t>
  </si>
  <si>
    <t>대구은행 신용리스크관리시 시스템 재개발</t>
  </si>
  <si>
    <t>한창우</t>
  </si>
  <si>
    <t>강민규</t>
  </si>
  <si>
    <t>JB금융지주 그룹 신용리스크 내부등급법 시스템 구축</t>
  </si>
  <si>
    <t>박지웅</t>
  </si>
  <si>
    <t>국민은행 Rule기반 기업여신 자동심사승인 모형</t>
  </si>
  <si>
    <t>박장수</t>
  </si>
  <si>
    <t>배재영</t>
  </si>
  <si>
    <t>이연경</t>
  </si>
  <si>
    <t>이재진</t>
  </si>
  <si>
    <t>최재훈</t>
  </si>
  <si>
    <t>농협금융 일반기업 신용평가모형 개선 개발</t>
  </si>
  <si>
    <t>송효임</t>
  </si>
  <si>
    <t>장주리</t>
  </si>
  <si>
    <t>농협중앙회 신용평가모형 개선</t>
  </si>
  <si>
    <t>유재원</t>
  </si>
  <si>
    <t>한동훈</t>
  </si>
  <si>
    <t>김경수</t>
  </si>
  <si>
    <t>윤예슬</t>
  </si>
  <si>
    <t>이영호</t>
  </si>
  <si>
    <t>이재덕</t>
  </si>
  <si>
    <t>한강민</t>
  </si>
  <si>
    <t>한성빈</t>
  </si>
  <si>
    <t>서울보증보험 기업신용평가시스템 고도화</t>
  </si>
  <si>
    <t>수협은행 기업신용평가 모형 및 시스템 개선개발</t>
  </si>
  <si>
    <t>이민제</t>
  </si>
  <si>
    <t>신한은행 기업신용평가시스템 업그레이드 및 기업여신 시스템 심사 판단 모형 개발 프로젝트 內 머신러닝 TEST 모형 개발(PoC)</t>
  </si>
  <si>
    <t>김기연</t>
  </si>
  <si>
    <t>김남선</t>
  </si>
  <si>
    <t>김대호</t>
  </si>
  <si>
    <t>김재겸</t>
  </si>
  <si>
    <t>김진호</t>
  </si>
  <si>
    <t>신용훈</t>
  </si>
  <si>
    <t>이종협</t>
  </si>
  <si>
    <t>정지연</t>
  </si>
  <si>
    <t>신한지주 제주은행 지주통합모형 영향도분석</t>
  </si>
  <si>
    <t>최호중</t>
  </si>
  <si>
    <t>우리은행 M/S 및 기업신용평가모형 개선</t>
  </si>
  <si>
    <t>김진백</t>
  </si>
  <si>
    <t>연권흠</t>
  </si>
  <si>
    <t>윤화형</t>
  </si>
  <si>
    <t>우리은행 기업여신 자동심사 프로세스 신설</t>
  </si>
  <si>
    <t>문명기</t>
  </si>
  <si>
    <t>송욱</t>
  </si>
  <si>
    <t>임성훈</t>
  </si>
  <si>
    <t>우리지주 내부등급법 이행 시스템 구축</t>
  </si>
  <si>
    <t>정혜정</t>
  </si>
  <si>
    <t>BNK지주 내부등급법 도입</t>
  </si>
  <si>
    <t>하나은행 기업신용평가 프로세스 개선</t>
  </si>
  <si>
    <t>2019-06-06</t>
  </si>
  <si>
    <t>2019-01-01</t>
  </si>
  <si>
    <t>2019-02-04</t>
  </si>
  <si>
    <t>2019-02-05</t>
  </si>
  <si>
    <t>2019-02-06</t>
  </si>
  <si>
    <t>2019-03-01</t>
  </si>
  <si>
    <t>2019-08-15</t>
  </si>
  <si>
    <t>2019-09-12</t>
  </si>
  <si>
    <t>2019-09-13</t>
  </si>
  <si>
    <t>2019-10-03</t>
  </si>
  <si>
    <t>2019-10-09</t>
  </si>
  <si>
    <t>2019-12-25</t>
  </si>
  <si>
    <t>2020-01-01</t>
  </si>
  <si>
    <t>2020-01-24</t>
  </si>
  <si>
    <t>공휴일</t>
    <phoneticPr fontId="5" type="noConversion"/>
  </si>
  <si>
    <t>공휴일명</t>
    <phoneticPr fontId="1" type="noConversion"/>
  </si>
  <si>
    <t>2018-01-01</t>
  </si>
  <si>
    <t>신정(양력설)</t>
  </si>
  <si>
    <t>2018-02-15</t>
  </si>
  <si>
    <t>설날 연휴</t>
  </si>
  <si>
    <t>2018-02-16</t>
  </si>
  <si>
    <t>설날</t>
  </si>
  <si>
    <t>2018-02-17</t>
  </si>
  <si>
    <t>2018-03-01</t>
  </si>
  <si>
    <t>3·1절</t>
  </si>
  <si>
    <t>2018-05-05</t>
  </si>
  <si>
    <t>어린이날</t>
  </si>
  <si>
    <t>2018-05-22</t>
  </si>
  <si>
    <t>부처님 오신날</t>
  </si>
  <si>
    <t>2018-06-06</t>
  </si>
  <si>
    <t>현충일</t>
  </si>
  <si>
    <t>2018-08-15</t>
  </si>
  <si>
    <t>광복절</t>
  </si>
  <si>
    <t>2018-09-23</t>
  </si>
  <si>
    <t>추석 연휴</t>
  </si>
  <si>
    <t>2018-09-24</t>
  </si>
  <si>
    <t>추석</t>
  </si>
  <si>
    <t>2018-09-25</t>
  </si>
  <si>
    <t>2018-10-03</t>
  </si>
  <si>
    <t>개천절</t>
  </si>
  <si>
    <t>2018-10-09</t>
  </si>
  <si>
    <t>한글날</t>
  </si>
  <si>
    <t>2018-12-25</t>
  </si>
  <si>
    <t>크리스마스</t>
  </si>
  <si>
    <t>2019-05-05</t>
  </si>
  <si>
    <t>2019-05-12</t>
  </si>
  <si>
    <t>2019-09-14</t>
  </si>
  <si>
    <t>2020-01-25</t>
  </si>
  <si>
    <t>2020-01-26</t>
  </si>
  <si>
    <t>2020-03-01</t>
  </si>
  <si>
    <t>2020-04-30</t>
  </si>
  <si>
    <t>2020-05-05</t>
  </si>
  <si>
    <t>2020-06-06</t>
  </si>
  <si>
    <t>2020-08-15</t>
  </si>
  <si>
    <t>2020-09-30</t>
  </si>
  <si>
    <t>2020-10-01</t>
  </si>
  <si>
    <t>2020-10-02</t>
  </si>
  <si>
    <t>2020-10-03</t>
  </si>
  <si>
    <t>2020-10-09</t>
  </si>
  <si>
    <t>2020-12-25</t>
  </si>
  <si>
    <t>2021-01-01</t>
  </si>
  <si>
    <t>2021-02-11</t>
  </si>
  <si>
    <t>2021-02-12</t>
  </si>
  <si>
    <t>2021-02-13</t>
  </si>
  <si>
    <t>2021-03-01</t>
  </si>
  <si>
    <t>2021-05-05</t>
  </si>
  <si>
    <t>2021-05-19</t>
  </si>
  <si>
    <t>2021-06-06</t>
  </si>
  <si>
    <t>2021-08-15</t>
  </si>
  <si>
    <t>2021-09-20</t>
  </si>
  <si>
    <t>2021-09-21</t>
  </si>
  <si>
    <t>2021-09-22</t>
  </si>
  <si>
    <t>2021-10-03</t>
  </si>
  <si>
    <t>2021-10-09</t>
  </si>
  <si>
    <t>2021-12-25</t>
  </si>
  <si>
    <t>2022-01-01</t>
  </si>
  <si>
    <t>2022-01-31</t>
  </si>
  <si>
    <t>2022-02-01</t>
  </si>
  <si>
    <t>2022-02-02</t>
  </si>
  <si>
    <t>2022-03-01</t>
  </si>
  <si>
    <t>2022-05-05</t>
  </si>
  <si>
    <t>2022-05-08</t>
  </si>
  <si>
    <t>2022-06-06</t>
  </si>
  <si>
    <t>2022-08-15</t>
  </si>
  <si>
    <t>2022-09-09</t>
  </si>
  <si>
    <t>2022-09-10</t>
  </si>
  <si>
    <t>2022-09-11</t>
  </si>
  <si>
    <t>2022-10-03</t>
  </si>
  <si>
    <t>2022-10-09</t>
  </si>
  <si>
    <t>2022-12-25</t>
  </si>
  <si>
    <t>2023-01-01</t>
  </si>
  <si>
    <t>2023-01-21</t>
  </si>
  <si>
    <t>2023-01-22</t>
  </si>
  <si>
    <t>2023-01-23</t>
  </si>
  <si>
    <t>2023-03-01</t>
  </si>
  <si>
    <t>2023-05-05</t>
  </si>
  <si>
    <t>2023-05-27</t>
  </si>
  <si>
    <t>2023-06-06</t>
  </si>
  <si>
    <t>2023-08-15</t>
  </si>
  <si>
    <t>2023-09-28</t>
  </si>
  <si>
    <t>2023-09-29</t>
  </si>
  <si>
    <t>2023-09-30</t>
  </si>
  <si>
    <t>2023-10-03</t>
  </si>
  <si>
    <t>2023-10-09</t>
  </si>
  <si>
    <t>2023-12-25</t>
  </si>
  <si>
    <t>프로젝트명</t>
    <phoneticPr fontId="5" type="noConversion"/>
  </si>
  <si>
    <t>성명</t>
    <phoneticPr fontId="5" type="noConversion"/>
  </si>
  <si>
    <t>투입일자</t>
    <phoneticPr fontId="5" type="noConversion"/>
  </si>
  <si>
    <t>철수일자</t>
    <phoneticPr fontId="5" type="noConversion"/>
  </si>
  <si>
    <t>aaa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</si>
  <si>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</si>
  <si>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</si>
  <si>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</si>
  <si>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</si>
  <si>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계약 기준</t>
    <phoneticPr fontId="5" type="noConversion"/>
  </si>
  <si>
    <t>진행 기준</t>
    <phoneticPr fontId="5" type="noConversion"/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</si>
  <si>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</si>
  <si>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</si>
  <si>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</si>
  <si>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</si>
  <si>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</si>
  <si>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</si>
  <si>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</si>
  <si>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</si>
  <si>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</si>
  <si>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</si>
  <si>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시트 구성</t>
    <phoneticPr fontId="17" type="noConversion"/>
  </si>
  <si>
    <t>사용법</t>
    <phoneticPr fontId="17" type="noConversion"/>
  </si>
  <si>
    <r>
      <rPr>
        <sz val="11"/>
        <rFont val="돋움"/>
        <family val="3"/>
        <charset val="129"/>
      </rPr>
      <t>프로젝트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투입계획과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진행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일정을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입력한다</t>
    </r>
    <r>
      <rPr>
        <sz val="11"/>
        <rFont val="Calibri"/>
        <family val="2"/>
      </rPr>
      <t xml:space="preserve">. </t>
    </r>
    <r>
      <rPr>
        <sz val="11"/>
        <rFont val="돋움"/>
        <family val="3"/>
        <charset val="129"/>
      </rPr>
      <t/>
    </r>
    <phoneticPr fontId="20" type="noConversion"/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</si>
  <si>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</si>
  <si>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</si>
  <si>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</si>
  <si>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</si>
  <si>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</si>
  <si>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</si>
  <si>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</si>
  <si>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</si>
  <si>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</si>
  <si>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</si>
  <si>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</si>
  <si>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</si>
  <si>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</si>
  <si>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</si>
  <si>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</si>
  <si>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</si>
  <si>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</si>
  <si>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2020-01</t>
  </si>
  <si>
    <t>2019-06</t>
  </si>
  <si>
    <t>2019-07</t>
  </si>
  <si>
    <t>2019-08</t>
  </si>
  <si>
    <t>2019-09</t>
  </si>
  <si>
    <t>2019-10</t>
  </si>
  <si>
    <t>2019-11</t>
  </si>
  <si>
    <t>2019-12</t>
  </si>
  <si>
    <t>2020-02</t>
  </si>
  <si>
    <t>행 레이블</t>
  </si>
  <si>
    <t>총합계</t>
  </si>
  <si>
    <r>
      <rPr>
        <sz val="11"/>
        <rFont val="돋움"/>
        <family val="3"/>
        <charset val="129"/>
      </rPr>
      <t>단축키</t>
    </r>
    <r>
      <rPr>
        <sz val="11"/>
        <rFont val="Calibri"/>
        <family val="2"/>
      </rPr>
      <t xml:space="preserve"> :  Ctrl+Shift+E</t>
    </r>
    <phoneticPr fontId="1" type="noConversion"/>
  </si>
  <si>
    <r>
      <rPr>
        <sz val="11"/>
        <rFont val="돋움"/>
        <family val="3"/>
        <charset val="129"/>
      </rPr>
      <t>단축키</t>
    </r>
    <r>
      <rPr>
        <sz val="11"/>
        <rFont val="Calibri"/>
        <family val="2"/>
      </rPr>
      <t xml:space="preserve"> :  Ctrl+Shift+Q</t>
    </r>
    <phoneticPr fontId="1" type="noConversion"/>
  </si>
  <si>
    <r>
      <rPr>
        <sz val="11"/>
        <rFont val="돋움"/>
        <family val="3"/>
        <charset val="129"/>
      </rPr>
      <t>단축키</t>
    </r>
    <r>
      <rPr>
        <sz val="11"/>
        <rFont val="Calibri"/>
        <family val="2"/>
      </rPr>
      <t xml:space="preserve"> :  Ctrl+Shift+W</t>
    </r>
    <phoneticPr fontId="1" type="noConversion"/>
  </si>
  <si>
    <r>
      <rPr>
        <sz val="11"/>
        <color rgb="FF333333"/>
        <rFont val="돋움"/>
        <family val="3"/>
        <charset val="129"/>
      </rPr>
      <t>본</t>
    </r>
    <r>
      <rPr>
        <sz val="11"/>
        <color rgb="FF333333"/>
        <rFont val="Calibri"/>
        <family val="2"/>
      </rPr>
      <t xml:space="preserve"> “</t>
    </r>
    <r>
      <rPr>
        <sz val="11"/>
        <color rgb="FF333333"/>
        <rFont val="돋움"/>
        <family val="3"/>
        <charset val="129"/>
      </rPr>
      <t>소프트웨어</t>
    </r>
    <r>
      <rPr>
        <sz val="11"/>
        <color rgb="FF333333"/>
        <rFont val="Calibri"/>
        <family val="2"/>
      </rPr>
      <t>”</t>
    </r>
    <r>
      <rPr>
        <sz val="11"/>
        <color rgb="FF333333"/>
        <rFont val="돋움"/>
        <family val="3"/>
        <charset val="129"/>
      </rPr>
      <t>는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금융컨설팅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사업실에서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개발하고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배포하는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무료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소프트웨어</t>
    </r>
    <r>
      <rPr>
        <sz val="11"/>
        <color rgb="FF333333"/>
        <rFont val="Calibri"/>
        <family val="2"/>
      </rPr>
      <t>(Freeware)</t>
    </r>
    <r>
      <rPr>
        <sz val="11"/>
        <color rgb="FF333333"/>
        <rFont val="돋움"/>
        <family val="3"/>
        <charset val="129"/>
      </rPr>
      <t>입니다</t>
    </r>
    <r>
      <rPr>
        <sz val="11"/>
        <color rgb="FF333333"/>
        <rFont val="Calibri"/>
        <family val="2"/>
      </rPr>
      <t xml:space="preserve">. 
</t>
    </r>
    <r>
      <rPr>
        <sz val="11"/>
        <color rgb="FF333333"/>
        <rFont val="돋움"/>
        <family val="3"/>
        <charset val="129"/>
      </rPr>
      <t>이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프로그램은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개인</t>
    </r>
    <r>
      <rPr>
        <sz val="11"/>
        <color rgb="FF333333"/>
        <rFont val="Calibri"/>
        <family val="2"/>
      </rPr>
      <t>/</t>
    </r>
    <r>
      <rPr>
        <sz val="11"/>
        <color rgb="FF333333"/>
        <rFont val="돋움"/>
        <family val="3"/>
        <charset val="129"/>
      </rPr>
      <t>기업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등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언제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어디서나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무료로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사용이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가능합니다</t>
    </r>
    <r>
      <rPr>
        <sz val="11"/>
        <color rgb="FF333333"/>
        <rFont val="Calibri"/>
        <family val="2"/>
      </rPr>
      <t xml:space="preserve">.  </t>
    </r>
    <r>
      <rPr>
        <sz val="11"/>
        <color rgb="FF333333"/>
        <rFont val="돋움"/>
        <family val="3"/>
        <charset val="129"/>
      </rPr>
      <t xml:space="preserve">
문의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사항이나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기타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기능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추가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요청은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금융컨설팅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사업실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에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요청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하시면</t>
    </r>
    <r>
      <rPr>
        <sz val="11"/>
        <color rgb="FF333333"/>
        <rFont val="Calibri"/>
        <family val="2"/>
      </rPr>
      <t xml:space="preserve"> </t>
    </r>
    <r>
      <rPr>
        <sz val="11"/>
        <color rgb="FF333333"/>
        <rFont val="돋움"/>
        <family val="3"/>
        <charset val="129"/>
      </rPr>
      <t>됩니다</t>
    </r>
    <r>
      <rPr>
        <sz val="11"/>
        <color rgb="FF333333"/>
        <rFont val="Calibri"/>
        <family val="2"/>
      </rPr>
      <t xml:space="preserve">.
E-mail  </t>
    </r>
    <r>
      <rPr>
        <sz val="11"/>
        <color rgb="FF333333"/>
        <rFont val="돋움"/>
        <family val="3"/>
        <charset val="129"/>
      </rPr>
      <t>문의</t>
    </r>
    <r>
      <rPr>
        <sz val="11"/>
        <color rgb="FF333333"/>
        <rFont val="Calibri"/>
        <family val="2"/>
      </rPr>
      <t xml:space="preserve"> : jmee2626@gmail.com, jmee26@naver.com</t>
    </r>
    <phoneticPr fontId="20" type="noConversion"/>
  </si>
  <si>
    <r>
      <t xml:space="preserve">4) </t>
    </r>
    <r>
      <rPr>
        <b/>
        <sz val="11"/>
        <color theme="1"/>
        <rFont val="돋움"/>
        <family val="3"/>
        <charset val="129"/>
      </rPr>
      <t>월별인력현황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조회</t>
    </r>
    <r>
      <rPr>
        <b/>
        <sz val="11"/>
        <color theme="1"/>
        <rFont val="Calibri"/>
        <family val="2"/>
      </rPr>
      <t xml:space="preserve"> : Gantt </t>
    </r>
    <r>
      <rPr>
        <b/>
        <sz val="11"/>
        <color theme="1"/>
        <rFont val="돋움"/>
        <family val="3"/>
        <charset val="129"/>
      </rPr>
      <t>메뉴의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조회를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가동률을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피벗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차트로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분석한다</t>
    </r>
    <r>
      <rPr>
        <b/>
        <sz val="11"/>
        <color theme="1"/>
        <rFont val="Calibri"/>
        <family val="2"/>
      </rPr>
      <t>.</t>
    </r>
    <phoneticPr fontId="1" type="noConversion"/>
  </si>
  <si>
    <t>* 직접 입력도 가능</t>
    <phoneticPr fontId="5" type="noConversion"/>
  </si>
  <si>
    <t>건수</t>
    <phoneticPr fontId="1" type="noConversion"/>
  </si>
  <si>
    <t>초기화여부</t>
    <phoneticPr fontId="1" type="noConversion"/>
  </si>
  <si>
    <t>N</t>
  </si>
  <si>
    <t>월</t>
  </si>
  <si>
    <t>화</t>
  </si>
  <si>
    <t>수</t>
  </si>
  <si>
    <t>목</t>
  </si>
  <si>
    <t>금</t>
  </si>
  <si>
    <t>토</t>
  </si>
  <si>
    <t>일</t>
  </si>
  <si>
    <t>실투입 결과 적용</t>
    <phoneticPr fontId="5" type="noConversion"/>
  </si>
  <si>
    <t>* 실투입 취합된 내용으로 진행기준 투입일자, 철수일자, 투입일, 참여율 계산됨</t>
    <phoneticPr fontId="5" type="noConversion"/>
  </si>
  <si>
    <t>투입일수</t>
    <phoneticPr fontId="5" type="noConversion"/>
  </si>
  <si>
    <t>프로젝트명</t>
    <phoneticPr fontId="1" type="noConversion"/>
  </si>
  <si>
    <t>시작일</t>
    <phoneticPr fontId="1" type="noConversion"/>
  </si>
  <si>
    <t>종료일</t>
    <phoneticPr fontId="1" type="noConversion"/>
  </si>
  <si>
    <t>투입일자</t>
    <phoneticPr fontId="1" type="noConversion"/>
  </si>
  <si>
    <t>철수일자</t>
    <phoneticPr fontId="1" type="noConversion"/>
  </si>
  <si>
    <t>일자</t>
    <phoneticPr fontId="1" type="noConversion"/>
  </si>
  <si>
    <t>요일</t>
    <phoneticPr fontId="1" type="noConversion"/>
  </si>
  <si>
    <t>성명</t>
    <phoneticPr fontId="1" type="noConversion"/>
  </si>
  <si>
    <t>실투입공수</t>
    <phoneticPr fontId="1" type="noConversion"/>
  </si>
  <si>
    <t>* PM 배포용 파일 생성</t>
    <phoneticPr fontId="5" type="noConversion"/>
  </si>
  <si>
    <t>투입율</t>
    <phoneticPr fontId="5" type="noConversion"/>
  </si>
  <si>
    <r>
      <t xml:space="preserve"> </t>
    </r>
    <r>
      <rPr>
        <b/>
        <sz val="18"/>
        <rFont val="돋움"/>
        <family val="3"/>
        <charset val="129"/>
      </rPr>
      <t>프로젝트관리</t>
    </r>
    <phoneticPr fontId="17" type="noConversion"/>
  </si>
  <si>
    <t xml:space="preserve">ver 0.3.0 ©KDH </t>
    <phoneticPr fontId="5" type="noConversion"/>
  </si>
  <si>
    <t>계약투입일자</t>
    <phoneticPr fontId="5" type="noConversion"/>
  </si>
  <si>
    <t>계약철수일자</t>
    <phoneticPr fontId="5" type="noConversion"/>
  </si>
  <si>
    <t>진행투입일자</t>
    <phoneticPr fontId="5" type="noConversion"/>
  </si>
  <si>
    <t>진행철수일자</t>
    <phoneticPr fontId="5" type="noConversion"/>
  </si>
  <si>
    <t>계약대비 참여율</t>
    <phoneticPr fontId="5" type="noConversion"/>
  </si>
  <si>
    <t>일자</t>
    <phoneticPr fontId="5" type="noConversion"/>
  </si>
  <si>
    <t>요일</t>
    <phoneticPr fontId="5" type="noConversion"/>
  </si>
  <si>
    <t>실투입공수</t>
    <phoneticPr fontId="5" type="noConversion"/>
  </si>
  <si>
    <t>화면업데이트여부</t>
    <phoneticPr fontId="1" type="noConversion"/>
  </si>
  <si>
    <t>사용방법</t>
    <phoneticPr fontId="1" type="noConversion"/>
  </si>
  <si>
    <t xml:space="preserve"> * 취합하려는 파일들을 선택한다.</t>
    <phoneticPr fontId="1" type="noConversion"/>
  </si>
  <si>
    <t xml:space="preserve">    - 초기화여부 </t>
    <phoneticPr fontId="1" type="noConversion"/>
  </si>
  <si>
    <t xml:space="preserve">      Y : 시트내의 내용을 삭제하고 취합을 진행</t>
    <phoneticPr fontId="1" type="noConversion"/>
  </si>
  <si>
    <t xml:space="preserve">      N: 시트내의 내용에 추가 함</t>
    <phoneticPr fontId="1" type="noConversion"/>
  </si>
  <si>
    <t>투입율</t>
    <phoneticPr fontId="5" type="noConversion"/>
  </si>
  <si>
    <t>과금금액 (백만원)</t>
    <phoneticPr fontId="5" type="noConversion"/>
  </si>
  <si>
    <t>조회기준 :</t>
    <phoneticPr fontId="5" type="noConversion"/>
  </si>
  <si>
    <t>프로젝트명 :</t>
    <phoneticPr fontId="5" type="noConversion"/>
  </si>
  <si>
    <t>성명 :</t>
    <phoneticPr fontId="5" type="noConversion"/>
  </si>
  <si>
    <t>계약기준 조회종료일 :</t>
    <phoneticPr fontId="5" type="noConversion"/>
  </si>
  <si>
    <t>계약기준 조회시작일 :</t>
    <phoneticPr fontId="5" type="noConversion"/>
  </si>
  <si>
    <t>조회단위 :</t>
    <phoneticPr fontId="5" type="noConversion"/>
  </si>
  <si>
    <t>12/31_x000D_
W53</t>
  </si>
  <si>
    <t>2018_x000D_
W5</t>
  </si>
  <si>
    <t>02/25_x000D_
W9</t>
  </si>
  <si>
    <t>03/25_x000D_
W13</t>
  </si>
  <si>
    <t>04/22_x000D_
W17</t>
  </si>
  <si>
    <t>05/20_x000D_
W21</t>
  </si>
  <si>
    <t>06/17_x000D_
W25</t>
  </si>
  <si>
    <t>07/15_x000D_
W29</t>
  </si>
  <si>
    <t>08/12_x000D_
W33</t>
  </si>
  <si>
    <t>09/09_x000D_
W37</t>
  </si>
  <si>
    <t>10/07_x000D_
W41</t>
  </si>
  <si>
    <t>M11</t>
  </si>
  <si>
    <t>11/04_x000D_
W45</t>
  </si>
  <si>
    <t>M12</t>
  </si>
  <si>
    <t>12/02_x000D_
W49</t>
  </si>
  <si>
    <t>M13</t>
  </si>
  <si>
    <t>12/30_x000D_
W53</t>
  </si>
  <si>
    <t>M14</t>
  </si>
  <si>
    <t>2019_x000D_
W5</t>
  </si>
  <si>
    <t>M15</t>
  </si>
  <si>
    <t>02/24_x000D_
W9</t>
  </si>
  <si>
    <t>M16</t>
  </si>
  <si>
    <t>03/24_x000D_
W13</t>
  </si>
  <si>
    <t>M17</t>
  </si>
  <si>
    <t>04/21_x000D_
W17</t>
  </si>
  <si>
    <t>M18</t>
  </si>
  <si>
    <t>05/19_x000D_
W21</t>
  </si>
  <si>
    <t>M19</t>
  </si>
  <si>
    <t>06/16_x000D_
W25</t>
  </si>
  <si>
    <t>M20</t>
  </si>
  <si>
    <t>07/14_x000D_
W29</t>
  </si>
  <si>
    <t>M21</t>
  </si>
  <si>
    <t>08/11_x000D_
W33</t>
  </si>
  <si>
    <t>M22</t>
  </si>
  <si>
    <t>09/08_x000D_
W37</t>
  </si>
  <si>
    <t>M23</t>
  </si>
  <si>
    <t>10/06_x000D_
W41</t>
  </si>
  <si>
    <t>M24</t>
  </si>
  <si>
    <t>11/03_x000D_
W45</t>
  </si>
  <si>
    <t>M25</t>
  </si>
  <si>
    <t>12/01_x000D_
W49</t>
  </si>
  <si>
    <t>M26</t>
  </si>
  <si>
    <t>12/29_x000D_
W53</t>
  </si>
  <si>
    <t>M27</t>
  </si>
  <si>
    <t>2020_x000D_
W5</t>
  </si>
  <si>
    <t>M28</t>
  </si>
  <si>
    <t>전체</t>
  </si>
  <si>
    <t>계약 기준</t>
    <phoneticPr fontId="5" type="noConversion"/>
  </si>
  <si>
    <t>인력별</t>
  </si>
  <si>
    <t>투입인원</t>
    <phoneticPr fontId="5" type="noConversion"/>
  </si>
  <si>
    <t>실투입</t>
  </si>
  <si>
    <t>계약기준 조회시작일 :</t>
    <phoneticPr fontId="5" type="noConversion"/>
  </si>
  <si>
    <t>실투입일수</t>
    <phoneticPr fontId="5" type="noConversion"/>
  </si>
  <si>
    <t>계약기준
영업일수</t>
    <phoneticPr fontId="5" type="noConversion"/>
  </si>
  <si>
    <t>진행기준
영업일수</t>
    <phoneticPr fontId="5" type="noConversion"/>
  </si>
  <si>
    <t>실투입기준
투입율</t>
    <phoneticPr fontId="5" type="noConversion"/>
  </si>
  <si>
    <t>기간대비
투입율</t>
    <phoneticPr fontId="5" type="noConversion"/>
  </si>
  <si>
    <t>진행기준 조회시작일 :</t>
    <phoneticPr fontId="5" type="noConversion"/>
  </si>
  <si>
    <t>진행기준 조회종료일 :</t>
    <phoneticPr fontId="5" type="noConversion"/>
  </si>
  <si>
    <t>프로젝트명</t>
    <phoneticPr fontId="5" type="noConversion"/>
  </si>
  <si>
    <t>성명</t>
    <phoneticPr fontId="1" type="noConversion"/>
  </si>
  <si>
    <t>진행 기준 보정</t>
    <phoneticPr fontId="5" type="noConversion"/>
  </si>
  <si>
    <t>기간대비
가동율</t>
    <phoneticPr fontId="1" type="noConversion"/>
  </si>
  <si>
    <t>실투입대비
가동율</t>
    <phoneticPr fontId="1" type="noConversion"/>
  </si>
  <si>
    <t>프로젝트
수</t>
    <phoneticPr fontId="5" type="noConversion"/>
  </si>
  <si>
    <t>실투입
일수</t>
    <phoneticPr fontId="1" type="noConversion"/>
  </si>
  <si>
    <t>강민규: 기간대비 가동율: 34.88 % 실투입대비 가동율: 16.98 %</t>
  </si>
  <si>
    <t>강민규: 기간대비 가동율: 27.91 % 실투입대비 가동율: 27.91 %</t>
  </si>
  <si>
    <t>박장수: 기간대비 가동율: 41.86 % 실투입대비 가동율: 41.86 %</t>
  </si>
  <si>
    <t>박장수: 기간대비 가동율: 37.21 % 실투입대비 가동율: 37.21 %</t>
  </si>
  <si>
    <t>박지웅: 기간대비 가동율: 45.35 % 실투입대비 가동율: 45.35 %</t>
  </si>
  <si>
    <t>박지웅: 기간대비 가동율: 41.86 % 실투입대비 가동율: 41.86 %</t>
  </si>
  <si>
    <t>정혜정: 기간대비 가동율: 19.77 % 실투입대비 가동율: 19.77 %</t>
  </si>
  <si>
    <t>정지연: 기간대비 가동율: 100 % 실투입대비 가동율: 100 %</t>
  </si>
  <si>
    <t>유재원: 기간대비 가동율: 95.35 % 실투입대비 가동율: 95.35 %</t>
  </si>
  <si>
    <t>윤예슬: 기간대비 가동율: 100 % 실투입대비 가동율: 100 %</t>
  </si>
  <si>
    <t>윤화형: 기간대비 가동율: 80.23 % 실투입대비 가동율: 80.23 %</t>
  </si>
  <si>
    <t>윤화형: 기간대비 가동율: 12.79 % 실투입대비 가동율: 12.79 %</t>
  </si>
  <si>
    <t>배재영: 기간대비 가동율: 25.58 % 실투입대비 가동율: 25.58 %</t>
  </si>
  <si>
    <t>배재영: 기간대비 가동율: 70.93 % 실투입대비 가동율: 70.93 %</t>
  </si>
  <si>
    <t>문명기: 기간대비 가동율: 100 % 실투입대비 가동율: 100 %</t>
  </si>
  <si>
    <t>김대호: 기간대비 가동율: 11.63 % 실투입대비 가동율: 11.63 %</t>
  </si>
  <si>
    <t>김대호: 기간대비 가동율: 55.81 % 실투입대비 가동율: 55.81 %</t>
  </si>
  <si>
    <t>김대호: 기간대비 가동율: 19.77 % 실투입대비 가동율: 19.77 %</t>
  </si>
  <si>
    <t>김기연: 기간대비 가동율: 100 % 실투입대비 가동율: 100 %</t>
  </si>
  <si>
    <t>김남선: 기간대비 가동율: 100 % 실투입대비 가동율: 100 %</t>
  </si>
  <si>
    <t>김재겸: 기간대비 가동율: 24.42 % 실투입대비 가동율: 24.42 %</t>
  </si>
  <si>
    <t>김경수: 기간대비 가동율: 100 % 실투입대비 가동율: 100 %</t>
  </si>
  <si>
    <t>김경수: 기간대비 가동율: 74.42 % 실투입대비 가동율: 74.42 %</t>
  </si>
  <si>
    <t>김진백: 기간대비 가동율: 80.23 % 실투입대비 가동율: 80.23 %</t>
  </si>
  <si>
    <t>김진호: 기간대비 가동율: 100 % 실투입대비 가동율: 100 %</t>
  </si>
  <si>
    <t>최호중: 기간대비 가동율: 24.42 % 실투입대비 가동율: 24.42 %</t>
  </si>
  <si>
    <t>최재훈: 기간대비 가동율: 37.21 % 실투입대비 가동율: 37.21 %</t>
  </si>
  <si>
    <t>최재훈: 기간대비 가동율: 39.53 % 실투입대비 가동율: 39.53 %</t>
  </si>
  <si>
    <t>한강민: 기간대비 가동율: 100 % 실투입대비 가동율: 100 %</t>
  </si>
  <si>
    <t>한성빈: 기간대비 가동율: 100 % 실투입대비 가동율: 100 %</t>
  </si>
  <si>
    <t>한창우: 기간대비 가동율: 58.14 % 실투입대비 가동율: 58.14 %</t>
  </si>
  <si>
    <t>한동훈: 기간대비 가동율: 95.35 % 실투입대비 가동율: 95.35 %</t>
  </si>
  <si>
    <t>이영호: 기간대비 가동율: 100 % 실투입대비 가동율: 100 %</t>
  </si>
  <si>
    <t>이종협: 기간대비 가동율: 100 % 실투입대비 가동율: 100 %</t>
  </si>
  <si>
    <t>이재덕: 기간대비 가동율: 98.84 % 실투입대비 가동율: 98.84 %</t>
  </si>
  <si>
    <t>이재진: 기간대비 가동율: 41.86 % 실투입대비 가동율: 41.86 %</t>
  </si>
  <si>
    <t>이재진: 기간대비 가동율: 52.33 % 실투입대비 가동율: 52.33 %</t>
  </si>
  <si>
    <t>이재진: 기간대비 가동율: 4.65 % 실투입대비 가동율: 4.65 %</t>
  </si>
  <si>
    <t>이연경: 기간대비 가동율: 41.86 % 실투입대비 가동율: 41.86 %</t>
  </si>
  <si>
    <t>이연경: 기간대비 가동율: 40.7 % 실투입대비 가동율: 40.7 %</t>
  </si>
  <si>
    <t>이민제: 기간대비 가동율: 25.58 % 실투입대비 가동율: 25.58 %</t>
  </si>
  <si>
    <t>이민제: 기간대비 가동율: 60.47 % 실투입대비 가동율: 60.47 %</t>
  </si>
  <si>
    <t>임성훈: 기간대비 가동율: 100 % 실투입대비 가동율: 100 %</t>
  </si>
  <si>
    <t>송효임: 기간대비 가동율: 45.35 % 실투입대비 가동율: 45.35 %</t>
  </si>
  <si>
    <t>송욱: 기간대비 가동율: 100 % 실투입대비 가동율: 100 %</t>
  </si>
  <si>
    <t>장주리: 기간대비 가동율: 12.79 % 실투입대비 가동율: 12.79 %</t>
  </si>
  <si>
    <t>장주리: 기간대비 가동율: 60.47 % 실투입대비 가동율: 60.47 %</t>
  </si>
  <si>
    <t>신용훈: 기간대비 가동율: 100 % 실투입대비 가동율: 100 %</t>
  </si>
  <si>
    <t>연권흠: 기간대비 가동율: 80.23 % 실투입대비 가동율: 80.23 %</t>
  </si>
  <si>
    <t>강민규(전체): 기간대비 가동율: 68.6 % 실투입대비 가동율: 44.88 %</t>
  </si>
  <si>
    <t>박장수(전체): 기간대비 가동율: 100 % 실투입대비 가동율: 79.07 %</t>
  </si>
  <si>
    <t>박지웅(전체): 기간대비 가동율: 100 % 실투입대비 가동율: 87.21 %</t>
  </si>
  <si>
    <t>정혜정(전체): 기간대비 가동율: 19.77 % 실투입대비 가동율: 19.77 %</t>
  </si>
  <si>
    <t>정지연(전체): 기간대비 가동율: 100 % 실투입대비 가동율: 100 %</t>
  </si>
  <si>
    <t>유재원(전체): 기간대비 가동율: 95.35 % 실투입대비 가동율: 95.35 %</t>
  </si>
  <si>
    <t>윤예슬(전체): 기간대비 가동율: 100 % 실투입대비 가동율: 100 %</t>
  </si>
  <si>
    <t>윤화형(전체): 기간대비 가동율: 93.02 % 실투입대비 가동율: 93.02 %</t>
  </si>
  <si>
    <t>배재영(전체): 기간대비 가동율: 98.84 % 실투입대비 가동율: 96.51 %</t>
  </si>
  <si>
    <t>문명기(전체): 기간대비 가동율: 100 % 실투입대비 가동율: 100 %</t>
  </si>
  <si>
    <t>김대호(전체): 기간대비 가동율: 100 % 실투입대비 가동율: 87.21 %</t>
  </si>
  <si>
    <t>김기연(전체): 기간대비 가동율: 100 % 실투입대비 가동율: 100 %</t>
  </si>
  <si>
    <t>김남선(전체): 기간대비 가동율: 100 % 실투입대비 가동율: 100 %</t>
  </si>
  <si>
    <t>김재겸(전체): 기간대비 가동율: 24.42 % 실투입대비 가동율: 24.42 %</t>
  </si>
  <si>
    <t>김경수(전체): 기간대비 가동율: 100 % 실투입대비 가동율: 174.42 %</t>
  </si>
  <si>
    <t>김진백(전체): 기간대비 가동율: 80.23 % 실투입대비 가동율: 80.23 %</t>
  </si>
  <si>
    <t>김진호(전체): 기간대비 가동율: 100 % 실투입대비 가동율: 100 %</t>
  </si>
  <si>
    <t>최호중(전체): 기간대비 가동율: 24.42 % 실투입대비 가동율: 24.42 %</t>
  </si>
  <si>
    <t>최재훈(전체): 기간대비 가동율: 100 % 실투입대비 가동율: 76.74 %</t>
  </si>
  <si>
    <t>한강민(전체): 기간대비 가동율: 100 % 실투입대비 가동율: 100 %</t>
  </si>
  <si>
    <t>한성빈(전체): 기간대비 가동율: 100 % 실투입대비 가동율: 100 %</t>
  </si>
  <si>
    <t>한창우(전체): 기간대비 가동율: 58.14 % 실투입대비 가동율: 58.14 %</t>
  </si>
  <si>
    <t>한동훈(전체): 기간대비 가동율: 95.35 % 실투입대비 가동율: 95.35 %</t>
  </si>
  <si>
    <t>이영호(전체): 기간대비 가동율: 100 % 실투입대비 가동율: 100 %</t>
  </si>
  <si>
    <t>이종협(전체): 기간대비 가동율: 100 % 실투입대비 가동율: 100 %</t>
  </si>
  <si>
    <t>이재덕(전체): 기간대비 가동율: 98.84 % 실투입대비 가동율: 98.84 %</t>
  </si>
  <si>
    <t>이재진(전체): 기간대비 가동율: 100 % 실투입대비 가동율: 98.84 %</t>
  </si>
  <si>
    <t>이연경(전체): 기간대비 가동율: 100 % 실투입대비 가동율: 82.56 %</t>
  </si>
  <si>
    <t>이민제(전체): 기간대비 가동율: 100 % 실투입대비 가동율: 86.05 %</t>
  </si>
  <si>
    <t>임성훈(전체): 기간대비 가동율: 100 % 실투입대비 가동율: 100 %</t>
  </si>
  <si>
    <t>송효임(전체): 기간대비 가동율: 45.35 % 실투입대비 가동율: 45.35 %</t>
  </si>
  <si>
    <t>송욱(전체): 기간대비 가동율: 100 % 실투입대비 가동율: 100 %</t>
  </si>
  <si>
    <t>장주리(전체): 기간대비 가동율: 100 % 실투입대비 가동율: 73.26 %</t>
  </si>
  <si>
    <t>신용훈(전체): 기간대비 가동율: 100 % 실투입대비 가동율: 100 %</t>
  </si>
  <si>
    <t>연권흠(전체): 기간대비 가동율: 80.23 % 실투입대비 가동율: 80.23 %</t>
  </si>
  <si>
    <t>전체: 기간대비 투입율: 106.65 % 실투입기준 투입율: 55.9 %</t>
  </si>
  <si>
    <t>김경수: 기간대비 투입율: 104.67 % 실투입기준 투입율: 104.67 %</t>
  </si>
  <si>
    <t>윤예슬: 기간대비 투입율: 102.36 % 실투입기준 투입율: 102.36 %</t>
  </si>
  <si>
    <t>이영호: 기간대비 투입율: 107.08 % 실투입기준 투입율: 107.08 %</t>
  </si>
  <si>
    <t>한강민: 기간대비 투입율: 118.11 % 실투입기준 투입율: 118.11 %</t>
  </si>
  <si>
    <t>한성빈: 기간대비 투입율: 100 % 실투입기준 투입율: 100 %</t>
  </si>
  <si>
    <t>전체: 기간대비 투입율: 101.83 % 실투입기준 투입율: 101.83 %</t>
  </si>
  <si>
    <t>이민제: 기간대비 투입율: 101.83 % 실투입기준 투입율: 101.83 %</t>
  </si>
  <si>
    <t>전체: 기간대비 투입율: 112.83 % 실투입기준 투입율: 91.84 %</t>
  </si>
  <si>
    <t>강민규: 기간대비 투입율: 106.95 % 실투입기준 투입율: 106.95 %</t>
  </si>
  <si>
    <t>박장수: 기간대비 투입율: 111.23 % 실투입기준 투입율: 111.23 %</t>
  </si>
  <si>
    <t>이연경: 기간대비 투입율: 133.06 % 실투입기준 투입율: 133.06 %</t>
  </si>
  <si>
    <t>최재훈: 기간대비 투입율: 181.54 % 실투입기준 투입율: 181.54 %</t>
  </si>
  <si>
    <t>전체: 기간대비 투입율: 100 % 실투입기준 투입율: 73.41 %</t>
  </si>
  <si>
    <t>강민규: 기간대비 투입율: 100 % 실투입기준 투입율: 81.11 %</t>
  </si>
  <si>
    <t>한창우: 기간대비 투입율: 100 % 실투입기준 투입율: 100 %</t>
  </si>
  <si>
    <t>전체: 기간대비 투입율: 119.43 % 실투입기준 투입율: 119.43 %</t>
  </si>
  <si>
    <t>박지웅: 기간대비 투입율: 119.43 % 실투입기준 투입율: 119.43 %</t>
  </si>
  <si>
    <t>전체: 기간대비 투입율: 123.81 % 실투입기준 투입율: 123.81 %</t>
  </si>
  <si>
    <t>이재진: 기간대비 투입율: 123.81 % 실투입기준 투입율: 123.81 %</t>
  </si>
  <si>
    <t>전체: 기간대비 투입율: 99.59 % 실투입기준 투입율: 75.73 %</t>
  </si>
  <si>
    <t>박장수: 기간대비 투입율: 99.59 % 실투입기준 투입율: 99.59 %</t>
  </si>
  <si>
    <t>박지웅: 기간대비 투입율: 104.81 % 실투입기준 투입율: 104.81 %</t>
  </si>
  <si>
    <t>배재영: 기간대비 투입율: 97.84 % 실투입기준 투입율: 97.84 %</t>
  </si>
  <si>
    <t>이연경: 기간대비 투입율: 99.55 % 실투입기준 투입율: 99.55 %</t>
  </si>
  <si>
    <t>이재진: 기간대비 투입율: 97.78 % 실투입기준 투입율: 97.78 %</t>
  </si>
  <si>
    <t>최재훈: 기간대비 투입율: 97.14 % 실투입기준 투입율: 97.14 %</t>
  </si>
  <si>
    <t>전체: 기간대비 투입율: 116.75 % 실투입기준 투입율: 100.76 %</t>
  </si>
  <si>
    <t>송효임: 기간대비 투입율: 116.75 % 실투입기준 투입율: 116.75 %</t>
  </si>
  <si>
    <t>장주리: 기간대비 투입율: 109.15 % 실투입기준 투입율: 109.15 %</t>
  </si>
  <si>
    <t>전체: 기간대비 투입율: 108.57 % 실투입기준 투입율: 71.43 %</t>
  </si>
  <si>
    <t>유재원: 기간대비 투입율: 108.57 % 실투입기준 투입율: 108.57 %</t>
  </si>
  <si>
    <t>이재진: 기간대비 투입율: 100 % 실투입기준 투입율: 100 %</t>
  </si>
  <si>
    <t>장주리: 기간대비 투입율: 145.45 % 실투입기준 투입율: 145.45 %</t>
  </si>
  <si>
    <t>한동훈: 기간대비 투입율: 96.33 % 실투입기준 투입율: 96.33 %</t>
  </si>
  <si>
    <t>전체: 기간대비 투입율: 124.71 % 실투입기준 투입율: 108.04 %</t>
  </si>
  <si>
    <t>문명기: 기간대비 투입율: 101.18 % 실투입기준 투입율: 101.18 %</t>
  </si>
  <si>
    <t>송욱: 기간대비 투입율: 124.71 % 실투입기준 투입율: 124.71 %</t>
  </si>
  <si>
    <t>임성훈: 기간대비 투입율: 98.24 % 실투입기준 투입율: 98.24 %</t>
  </si>
  <si>
    <t>전체: 기간대비 투입율: 102.33 % 실투입기준 투입율: 84.19 %</t>
  </si>
  <si>
    <t>김대호: 기간대비 투입율: 103.81 % 실투입기준 투입율: 103.81 %</t>
  </si>
  <si>
    <t>김진백: 기간대비 투입율: 102.33 % 실투입기준 투입율: 102.33 %</t>
  </si>
  <si>
    <t>연권흠: 기간대비 투입율: 102.33 % 실투입기준 투입율: 102.33 %</t>
  </si>
  <si>
    <t>윤화형: 기간대비 투입율: 102.94 % 실투입기준 투입율: 102.94 %</t>
  </si>
  <si>
    <t>전체: 기간대비 투입율: 100 % 실투입기준 투입율: 116.47 %</t>
  </si>
  <si>
    <t>정혜정: 기간대비 투입율: 100 % 실투입기준 투입율: 100 %</t>
  </si>
  <si>
    <t>전체: 기간대비 투입율: 130.46 % 실투입기준 투입율: 138.51 %</t>
  </si>
  <si>
    <t>김경수: 기간대비 투입율: 115.38 % 실투입기준 투입율: 115.38 %</t>
  </si>
  <si>
    <t>김기연: 기간대비 투입율: 162.88 % 실투입기준 투입율: 162.88 %</t>
  </si>
  <si>
    <t>김남선: 기간대비 투입율: 130.46 % 실투입기준 투입율: 130.46 %</t>
  </si>
  <si>
    <t>김진호: 기간대비 투입율: 137.32 % 실투입기준 투입율: 137.32 %</t>
  </si>
  <si>
    <t>신용훈: 기간대비 투입율: 129.61 % 실투입기준 투입율: 129.61 %</t>
  </si>
  <si>
    <t>이종협: 기간대비 투입율: 113.82 % 실투입기준 투입율: 113.82 %</t>
  </si>
  <si>
    <t>전체: 기간대비 투입율: 100 % 실투입기준 투입율: 158.67 %</t>
  </si>
  <si>
    <t>이민제: 기간대비 투입율: 100 % 실투입기준 투입율: 100 %</t>
  </si>
  <si>
    <t>해당월</t>
    <phoneticPr fontId="5" type="noConversion"/>
  </si>
  <si>
    <t>해당월
영업일</t>
    <phoneticPr fontId="5" type="noConversion"/>
  </si>
  <si>
    <t>해당월
말일</t>
    <phoneticPr fontId="5" type="noConversion"/>
  </si>
  <si>
    <t>해당월
1일</t>
    <phoneticPr fontId="5" type="noConversion"/>
  </si>
  <si>
    <t>해당월
가동율</t>
    <phoneticPr fontId="5" type="noConversion"/>
  </si>
  <si>
    <t>(모두)</t>
  </si>
  <si>
    <t>평균 : 해당월</t>
  </si>
  <si>
    <r>
      <rPr>
        <sz val="12"/>
        <rFont val="돋움"/>
        <family val="3"/>
        <charset val="129"/>
      </rPr>
      <t>프로젝트관리</t>
    </r>
    <r>
      <rPr>
        <sz val="12"/>
        <rFont val="돋움"/>
        <family val="3"/>
        <charset val="129"/>
      </rPr>
      <t>는</t>
    </r>
    <r>
      <rPr>
        <sz val="12"/>
        <rFont val="Calibri"/>
        <family val="2"/>
      </rPr>
      <t xml:space="preserve"> MS </t>
    </r>
    <r>
      <rPr>
        <sz val="12"/>
        <rFont val="돋움"/>
        <family val="3"/>
        <charset val="129"/>
      </rPr>
      <t>엑셀에서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프로젝트관리를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할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수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있도록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만들어진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프로그램이며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아래와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같은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기능으로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구성되어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있습니다</t>
    </r>
    <r>
      <rPr>
        <sz val="12"/>
        <rFont val="Calibri"/>
        <family val="2"/>
      </rPr>
      <t xml:space="preserve">. 
</t>
    </r>
    <r>
      <rPr>
        <sz val="12"/>
        <rFont val="돋움"/>
        <family val="3"/>
        <charset val="129"/>
      </rPr>
      <t>엑셀</t>
    </r>
    <r>
      <rPr>
        <sz val="12"/>
        <rFont val="Calibri"/>
        <family val="2"/>
      </rPr>
      <t xml:space="preserve"> VBA</t>
    </r>
    <r>
      <rPr>
        <sz val="12"/>
        <rFont val="돋움"/>
        <family val="3"/>
        <charset val="129"/>
      </rPr>
      <t>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작성된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매크로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프로그램이므로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설치가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필요없고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매크로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파일만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실행하면</t>
    </r>
    <r>
      <rPr>
        <sz val="12"/>
        <rFont val="Calibri"/>
        <family val="2"/>
      </rPr>
      <t xml:space="preserve"> </t>
    </r>
    <r>
      <rPr>
        <sz val="12"/>
        <rFont val="돋움"/>
        <family val="3"/>
        <charset val="129"/>
      </rPr>
      <t>됩니다</t>
    </r>
    <r>
      <rPr>
        <sz val="12"/>
        <rFont val="Calibri"/>
        <family val="2"/>
      </rPr>
      <t>.</t>
    </r>
    <phoneticPr fontId="17" type="noConversion"/>
  </si>
  <si>
    <r>
      <rPr>
        <sz val="11"/>
        <rFont val="돋움"/>
        <family val="3"/>
        <charset val="129"/>
      </rPr>
      <t>작성된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실투입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파일을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취합한다</t>
    </r>
    <r>
      <rPr>
        <sz val="11"/>
        <rFont val="Calibri"/>
        <family val="2"/>
      </rPr>
      <t>.</t>
    </r>
    <phoneticPr fontId="20" type="noConversion"/>
  </si>
  <si>
    <r>
      <rPr>
        <sz val="11"/>
        <rFont val="돋움"/>
        <family val="3"/>
        <charset val="129"/>
      </rPr>
      <t>프로젝트별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계획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대비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실투입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결과</t>
    </r>
    <r>
      <rPr>
        <sz val="11"/>
        <rFont val="Calibri"/>
        <family val="2"/>
      </rPr>
      <t>(</t>
    </r>
    <r>
      <rPr>
        <sz val="11"/>
        <rFont val="돋움"/>
        <family val="3"/>
        <charset val="129"/>
      </rPr>
      <t>투입율</t>
    </r>
    <r>
      <rPr>
        <sz val="11"/>
        <rFont val="Calibri"/>
        <family val="2"/>
      </rPr>
      <t>)</t>
    </r>
    <r>
      <rPr>
        <sz val="11"/>
        <rFont val="돋움"/>
        <family val="3"/>
        <charset val="129"/>
      </rPr>
      <t>를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간트차트로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분석한다</t>
    </r>
    <r>
      <rPr>
        <sz val="11"/>
        <rFont val="Calibri"/>
        <family val="2"/>
      </rPr>
      <t xml:space="preserve">. </t>
    </r>
    <phoneticPr fontId="20" type="noConversion"/>
  </si>
  <si>
    <r>
      <rPr>
        <sz val="11"/>
        <rFont val="돋움"/>
        <family val="3"/>
        <charset val="129"/>
      </rPr>
      <t>인력별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가동률을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간트차트로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분석한다</t>
    </r>
    <r>
      <rPr>
        <sz val="11"/>
        <rFont val="Calibri"/>
        <family val="2"/>
      </rPr>
      <t>.</t>
    </r>
    <phoneticPr fontId="20" type="noConversion"/>
  </si>
  <si>
    <r>
      <rPr>
        <sz val="11"/>
        <rFont val="돋움"/>
        <family val="3"/>
        <charset val="129"/>
      </rPr>
      <t>월별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가동률을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피벗차트로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분석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한다</t>
    </r>
    <r>
      <rPr>
        <sz val="11"/>
        <rFont val="Calibri"/>
        <family val="2"/>
      </rPr>
      <t>.</t>
    </r>
    <phoneticPr fontId="20" type="noConversion"/>
  </si>
  <si>
    <t>프로젝트별현황</t>
    <phoneticPr fontId="20" type="noConversion"/>
  </si>
  <si>
    <t>인력별현황</t>
    <phoneticPr fontId="20" type="noConversion"/>
  </si>
  <si>
    <t>월별인력현황</t>
    <phoneticPr fontId="20" type="noConversion"/>
  </si>
  <si>
    <t>실투입입력양식</t>
    <phoneticPr fontId="20" type="noConversion"/>
  </si>
  <si>
    <t>프로젝트입력</t>
    <phoneticPr fontId="20" type="noConversion"/>
  </si>
  <si>
    <t>실투입취합</t>
    <phoneticPr fontId="1" type="noConversion"/>
  </si>
  <si>
    <r>
      <t xml:space="preserve">    - [</t>
    </r>
    <r>
      <rPr>
        <b/>
        <sz val="11"/>
        <color theme="1"/>
        <rFont val="돋움"/>
        <family val="3"/>
        <charset val="129"/>
      </rPr>
      <t>실투입작성파일생성</t>
    </r>
    <r>
      <rPr>
        <b/>
        <sz val="11"/>
        <color theme="1"/>
        <rFont val="Calibri"/>
        <family val="2"/>
      </rPr>
      <t xml:space="preserve">]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생성된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파일을</t>
    </r>
    <r>
      <rPr>
        <b/>
        <sz val="11"/>
        <color theme="1"/>
        <rFont val="Calibri"/>
        <family val="2"/>
      </rPr>
      <t xml:space="preserve"> PM </t>
    </r>
    <r>
      <rPr>
        <b/>
        <sz val="11"/>
        <color theme="1"/>
        <rFont val="돋움"/>
        <family val="3"/>
        <charset val="129"/>
      </rPr>
      <t>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작성한다</t>
    </r>
    <r>
      <rPr>
        <b/>
        <sz val="11"/>
        <color theme="1"/>
        <rFont val="Calibri"/>
        <family val="2"/>
      </rPr>
      <t>.</t>
    </r>
    <phoneticPr fontId="1" type="noConversion"/>
  </si>
  <si>
    <r>
      <t xml:space="preserve">    - [</t>
    </r>
    <r>
      <rPr>
        <b/>
        <sz val="11"/>
        <color theme="1"/>
        <rFont val="돋움"/>
        <family val="3"/>
        <charset val="129"/>
      </rPr>
      <t>실투입결과적용</t>
    </r>
    <r>
      <rPr>
        <b/>
        <sz val="11"/>
        <color theme="1"/>
        <rFont val="Calibri"/>
        <family val="2"/>
      </rPr>
      <t xml:space="preserve">]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클릭하면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실투입결과가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적용된다</t>
    </r>
    <r>
      <rPr>
        <b/>
        <sz val="11"/>
        <color theme="1"/>
        <rFont val="Calibri"/>
        <family val="2"/>
      </rPr>
      <t>.</t>
    </r>
    <phoneticPr fontId="1" type="noConversion"/>
  </si>
  <si>
    <r>
      <t>1) [</t>
    </r>
    <r>
      <rPr>
        <b/>
        <sz val="11"/>
        <color theme="1"/>
        <rFont val="돋움"/>
        <family val="3"/>
        <charset val="129"/>
      </rPr>
      <t>프로젝트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입력</t>
    </r>
    <r>
      <rPr>
        <b/>
        <sz val="11"/>
        <color theme="1"/>
        <rFont val="Calibri"/>
        <family val="2"/>
      </rPr>
      <t xml:space="preserve">] Sheet : </t>
    </r>
    <r>
      <rPr>
        <b/>
        <sz val="11"/>
        <color theme="1"/>
        <rFont val="돋움"/>
        <family val="3"/>
        <charset val="129"/>
      </rPr>
      <t>프로젝트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투입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내용을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입력한다</t>
    </r>
    <r>
      <rPr>
        <b/>
        <sz val="11"/>
        <color theme="1"/>
        <rFont val="Calibri"/>
        <family val="2"/>
      </rPr>
      <t>.</t>
    </r>
    <phoneticPr fontId="1" type="noConversion"/>
  </si>
  <si>
    <r>
      <t>2) [</t>
    </r>
    <r>
      <rPr>
        <b/>
        <sz val="11"/>
        <color theme="1"/>
        <rFont val="돋움"/>
        <family val="3"/>
        <charset val="129"/>
      </rPr>
      <t>실투입취합</t>
    </r>
    <r>
      <rPr>
        <b/>
        <sz val="11"/>
        <color theme="1"/>
        <rFont val="Calibri"/>
        <family val="2"/>
      </rPr>
      <t>] SHEET : [</t>
    </r>
    <r>
      <rPr>
        <b/>
        <sz val="11"/>
        <color theme="1"/>
        <rFont val="돋움"/>
        <family val="3"/>
        <charset val="129"/>
      </rPr>
      <t>파일취합</t>
    </r>
    <r>
      <rPr>
        <b/>
        <sz val="11"/>
        <color theme="1"/>
        <rFont val="Calibri"/>
        <family val="2"/>
      </rPr>
      <t xml:space="preserve">]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클릭하여</t>
    </r>
    <r>
      <rPr>
        <b/>
        <sz val="11"/>
        <color theme="1"/>
        <rFont val="Calibri"/>
        <family val="2"/>
      </rPr>
      <t xml:space="preserve"> PM</t>
    </r>
    <r>
      <rPr>
        <b/>
        <sz val="11"/>
        <color theme="1"/>
        <rFont val="돋움"/>
        <family val="3"/>
        <charset val="129"/>
      </rPr>
      <t>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작성한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파일을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취합한다</t>
    </r>
    <r>
      <rPr>
        <b/>
        <sz val="11"/>
        <color theme="1"/>
        <rFont val="Calibri"/>
        <family val="2"/>
      </rPr>
      <t>.</t>
    </r>
    <phoneticPr fontId="1" type="noConversion"/>
  </si>
  <si>
    <t>Workflow</t>
    <phoneticPr fontId="17" type="noConversion"/>
  </si>
  <si>
    <r>
      <t>3) [</t>
    </r>
    <r>
      <rPr>
        <b/>
        <sz val="11"/>
        <color theme="1"/>
        <rFont val="돋움"/>
        <family val="3"/>
        <charset val="129"/>
      </rPr>
      <t>프로젝트별현황</t>
    </r>
    <r>
      <rPr>
        <b/>
        <sz val="11"/>
        <color theme="1"/>
        <rFont val="Calibri"/>
        <family val="2"/>
      </rPr>
      <t xml:space="preserve">] SHEET : </t>
    </r>
    <r>
      <rPr>
        <b/>
        <sz val="11"/>
        <color theme="1"/>
        <rFont val="돋움"/>
        <family val="3"/>
        <charset val="129"/>
      </rPr>
      <t>검색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조건을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입력후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한다</t>
    </r>
    <r>
      <rPr>
        <b/>
        <sz val="11"/>
        <color theme="1"/>
        <rFont val="Calibri"/>
        <family val="2"/>
      </rPr>
      <t>.</t>
    </r>
    <phoneticPr fontId="1" type="noConversion"/>
  </si>
  <si>
    <r>
      <t>4) [</t>
    </r>
    <r>
      <rPr>
        <b/>
        <sz val="11"/>
        <color theme="1"/>
        <rFont val="돋움"/>
        <family val="3"/>
        <charset val="129"/>
      </rPr>
      <t>인력별현황</t>
    </r>
    <r>
      <rPr>
        <b/>
        <sz val="11"/>
        <color theme="1"/>
        <rFont val="Calibri"/>
        <family val="2"/>
      </rPr>
      <t xml:space="preserve">] SHEET : </t>
    </r>
    <r>
      <rPr>
        <b/>
        <sz val="11"/>
        <color theme="1"/>
        <rFont val="돋움"/>
        <family val="3"/>
        <charset val="129"/>
      </rPr>
      <t>검색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조건을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입력후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조회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한다</t>
    </r>
    <r>
      <rPr>
        <b/>
        <sz val="11"/>
        <color theme="1"/>
        <rFont val="Calibri"/>
        <family val="2"/>
      </rPr>
      <t>. (</t>
    </r>
    <r>
      <rPr>
        <b/>
        <sz val="11"/>
        <color theme="1"/>
        <rFont val="돋움"/>
        <family val="3"/>
        <charset val="129"/>
      </rPr>
      <t>조회시작일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돋움"/>
        <family val="3"/>
        <charset val="129"/>
      </rPr>
      <t>조회종료일은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필수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항목임</t>
    </r>
    <r>
      <rPr>
        <b/>
        <sz val="11"/>
        <color theme="1"/>
        <rFont val="Calibri"/>
        <family val="2"/>
      </rPr>
      <t>)</t>
    </r>
    <phoneticPr fontId="1" type="noConversion"/>
  </si>
  <si>
    <r>
      <t>5) [</t>
    </r>
    <r>
      <rPr>
        <b/>
        <sz val="11"/>
        <color theme="1"/>
        <rFont val="돋움"/>
        <family val="3"/>
        <charset val="129"/>
      </rPr>
      <t>월별인력현황</t>
    </r>
    <r>
      <rPr>
        <b/>
        <sz val="11"/>
        <color theme="1"/>
        <rFont val="Calibri"/>
        <family val="2"/>
      </rPr>
      <t>] SHEET :  [</t>
    </r>
    <r>
      <rPr>
        <b/>
        <sz val="11"/>
        <color theme="1"/>
        <rFont val="돋움"/>
        <family val="3"/>
        <charset val="129"/>
      </rPr>
      <t>조회</t>
    </r>
    <r>
      <rPr>
        <b/>
        <sz val="11"/>
        <color theme="1"/>
        <rFont val="Calibri"/>
        <family val="2"/>
      </rPr>
      <t xml:space="preserve">] </t>
    </r>
    <r>
      <rPr>
        <b/>
        <sz val="11"/>
        <color theme="1"/>
        <rFont val="돋움"/>
        <family val="3"/>
        <charset val="129"/>
      </rPr>
      <t>버튼을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클릭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하면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월별인력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가동율이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피벗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차트로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표시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돋움"/>
        <family val="3"/>
        <charset val="129"/>
      </rPr>
      <t>된다</t>
    </r>
    <r>
      <rPr>
        <b/>
        <sz val="11"/>
        <color theme="1"/>
        <rFont val="Calibri"/>
        <family val="2"/>
      </rPr>
      <t>.</t>
    </r>
    <phoneticPr fontId="1" type="noConversion"/>
  </si>
  <si>
    <r>
      <rPr>
        <b/>
        <sz val="12"/>
        <color theme="1"/>
        <rFont val="돋움"/>
        <family val="3"/>
        <charset val="129"/>
      </rPr>
      <t>프로젝트관리</t>
    </r>
    <r>
      <rPr>
        <b/>
        <sz val="12"/>
        <color theme="1"/>
        <rFont val="Calibri"/>
        <family val="2"/>
      </rPr>
      <t xml:space="preserve"> Version 0.3.0 </t>
    </r>
    <r>
      <rPr>
        <b/>
        <sz val="12"/>
        <color theme="1"/>
        <rFont val="돋움"/>
        <family val="3"/>
        <charset val="129"/>
      </rPr>
      <t>사용조건</t>
    </r>
    <phoneticPr fontId="20" type="noConversion"/>
  </si>
  <si>
    <r>
      <rPr>
        <sz val="11"/>
        <rFont val="돋움"/>
        <family val="3"/>
        <charset val="129"/>
      </rPr>
      <t>프로젝트</t>
    </r>
    <r>
      <rPr>
        <sz val="11"/>
        <rFont val="Calibri"/>
        <family val="2"/>
      </rPr>
      <t xml:space="preserve"> PM </t>
    </r>
    <r>
      <rPr>
        <sz val="11"/>
        <rFont val="돋움"/>
        <family val="3"/>
        <charset val="129"/>
      </rPr>
      <t>이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작성할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파일을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생성하기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위한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양식이다</t>
    </r>
    <r>
      <rPr>
        <sz val="11"/>
        <rFont val="Calibri"/>
        <family val="2"/>
      </rPr>
      <t xml:space="preserve">.
* </t>
    </r>
    <r>
      <rPr>
        <sz val="11"/>
        <rFont val="돋움"/>
        <family val="3"/>
        <charset val="129"/>
      </rPr>
      <t>프로젝트입력</t>
    </r>
    <r>
      <rPr>
        <sz val="11"/>
        <rFont val="Calibri"/>
        <family val="2"/>
      </rPr>
      <t xml:space="preserve"> SHEET</t>
    </r>
    <r>
      <rPr>
        <sz val="11"/>
        <rFont val="돋움"/>
        <family val="3"/>
        <charset val="129"/>
      </rPr>
      <t>에서</t>
    </r>
    <r>
      <rPr>
        <sz val="11"/>
        <rFont val="Calibri"/>
        <family val="2"/>
      </rPr>
      <t xml:space="preserve"> [</t>
    </r>
    <r>
      <rPr>
        <sz val="11"/>
        <rFont val="돋움"/>
        <family val="3"/>
        <charset val="129"/>
      </rPr>
      <t>실투입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작성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파일생성</t>
    </r>
    <r>
      <rPr>
        <sz val="11"/>
        <rFont val="Calibri"/>
        <family val="2"/>
      </rPr>
      <t xml:space="preserve">] </t>
    </r>
    <r>
      <rPr>
        <sz val="11"/>
        <rFont val="돋움"/>
        <family val="3"/>
        <charset val="129"/>
      </rPr>
      <t>버튼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클릭시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 xml:space="preserve">생성됨
</t>
    </r>
    <r>
      <rPr>
        <sz val="11"/>
        <rFont val="Calibri"/>
        <family val="2"/>
      </rPr>
      <t xml:space="preserve">* </t>
    </r>
    <r>
      <rPr>
        <sz val="11"/>
        <rFont val="돋움"/>
        <family val="3"/>
        <charset val="129"/>
      </rPr>
      <t>노란색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부분만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수정이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가능하도록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시트보호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됨</t>
    </r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</si>
</sst>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.0%"/>
  </numFmts>
  <fonts count="4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FFFFFF"/>
      <name val="맑은 고딕"/>
      <family val="2"/>
      <charset val="129"/>
      <scheme val="minor"/>
    </font>
    <font>
      <sz val="10"/>
      <color rgb="FFFFFFFF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0"/>
      <color rgb="FFFF8800"/>
      <name val="맑은 고딕"/>
      <family val="3"/>
      <charset val="129"/>
      <scheme val="minor"/>
    </font>
    <font>
      <b/>
      <sz val="18"/>
      <name val="Calibri"/>
      <family val="2"/>
    </font>
    <font>
      <sz val="8"/>
      <name val="Arial"/>
      <family val="2"/>
    </font>
    <font>
      <sz val="12"/>
      <name val="Calibri"/>
      <family val="2"/>
    </font>
    <font>
      <u/>
      <sz val="11"/>
      <color theme="10"/>
      <name val="돋움"/>
      <family val="3"/>
      <charset val="129"/>
    </font>
    <font>
      <sz val="8"/>
      <name val="맑은 고딕"/>
      <family val="3"/>
      <charset val="129"/>
      <scheme val="minor"/>
    </font>
    <font>
      <sz val="10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333333"/>
      <name val="Calibri"/>
      <family val="2"/>
    </font>
    <font>
      <b/>
      <sz val="18"/>
      <name val="돋움"/>
      <family val="3"/>
      <charset val="129"/>
    </font>
    <font>
      <sz val="12"/>
      <name val="돋움"/>
      <family val="3"/>
      <charset val="129"/>
    </font>
    <font>
      <b/>
      <sz val="12"/>
      <color theme="1"/>
      <name val="돋움"/>
      <family val="3"/>
      <charset val="129"/>
    </font>
    <font>
      <sz val="11"/>
      <color rgb="FF333333"/>
      <name val="돋움"/>
      <family val="3"/>
      <charset val="129"/>
    </font>
    <font>
      <b/>
      <sz val="11"/>
      <color theme="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1"/>
      <color theme="1"/>
      <name val="돋움"/>
      <family val="3"/>
      <charset val="129"/>
    </font>
    <font>
      <sz val="12"/>
      <color theme="1"/>
      <name val="Calibri"/>
      <family val="2"/>
    </font>
    <font>
      <sz val="10"/>
      <color rgb="FF002060"/>
      <name val="맑은 고딕"/>
      <family val="2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u/>
      <sz val="11"/>
      <color theme="0"/>
      <name val="돋움"/>
      <family val="3"/>
      <charset val="129"/>
    </font>
    <font>
      <b/>
      <sz val="14"/>
      <color theme="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/>
    <xf numFmtId="0" fontId="19" fillId="0" borderId="0" applyNumberFormat="0" applyFill="0" applyBorder="0" applyAlignment="0" applyProtection="0"/>
  </cellStyleXfs>
  <cellXfs count="119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10" fillId="0" borderId="0" xfId="0" applyFont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0" fontId="11" fillId="0" borderId="0" xfId="0" applyFont="1">
      <alignment vertical="center"/>
    </xf>
    <xf numFmtId="14" fontId="15" fillId="5" borderId="8" xfId="0" applyNumberFormat="1" applyFont="1" applyFill="1" applyBorder="1">
      <alignment vertical="center"/>
    </xf>
    <xf numFmtId="0" fontId="10" fillId="0" borderId="2" xfId="0" applyFont="1" applyFill="1" applyBorder="1">
      <alignment vertical="center"/>
    </xf>
    <xf numFmtId="0" fontId="18" fillId="0" borderId="2" xfId="0" applyFont="1" applyBorder="1" applyAlignment="1"/>
    <xf numFmtId="0" fontId="21" fillId="0" borderId="2" xfId="0" applyFont="1" applyBorder="1" applyAlignment="1" applyProtection="1"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protection locked="0"/>
    </xf>
    <xf numFmtId="0" fontId="21" fillId="0" borderId="2" xfId="0" applyFont="1" applyBorder="1" applyAlignment="1" applyProtection="1">
      <alignment vertical="center"/>
      <protection locked="0"/>
    </xf>
    <xf numFmtId="0" fontId="18" fillId="0" borderId="2" xfId="0" applyFont="1" applyBorder="1" applyAlignment="1">
      <alignment vertical="center"/>
    </xf>
    <xf numFmtId="0" fontId="25" fillId="0" borderId="2" xfId="0" applyFont="1" applyBorder="1" applyAlignment="1" applyProtection="1">
      <alignment horizontal="center"/>
      <protection locked="0"/>
    </xf>
    <xf numFmtId="0" fontId="18" fillId="0" borderId="2" xfId="0" applyFont="1" applyBorder="1" applyAlignment="1">
      <alignment horizontal="center"/>
    </xf>
    <xf numFmtId="14" fontId="7" fillId="3" borderId="0" xfId="1" applyNumberFormat="1" applyFont="1" applyFill="1" applyBorder="1" applyAlignment="1" applyProtection="1">
      <alignment horizontal="left" vertical="center"/>
    </xf>
    <xf numFmtId="0" fontId="13" fillId="5" borderId="8" xfId="0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1" fillId="0" borderId="3" xfId="0" applyFont="1" applyBorder="1" applyAlignment="1" applyProtection="1">
      <alignment vertical="center"/>
      <protection locked="0"/>
    </xf>
    <xf numFmtId="0" fontId="21" fillId="0" borderId="4" xfId="0" applyFont="1" applyBorder="1" applyAlignment="1" applyProtection="1">
      <protection locked="0"/>
    </xf>
    <xf numFmtId="0" fontId="21" fillId="0" borderId="5" xfId="0" applyFont="1" applyBorder="1" applyAlignment="1" applyProtection="1">
      <protection locked="0"/>
    </xf>
    <xf numFmtId="0" fontId="24" fillId="0" borderId="6" xfId="0" applyFont="1" applyBorder="1" applyAlignment="1">
      <alignment vertical="center"/>
    </xf>
    <xf numFmtId="0" fontId="23" fillId="0" borderId="3" xfId="0" applyFont="1" applyBorder="1" applyAlignment="1" applyProtection="1">
      <alignment horizontal="left"/>
      <protection locked="0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vertical="center"/>
    </xf>
    <xf numFmtId="0" fontId="32" fillId="12" borderId="10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32" fillId="0" borderId="1" xfId="0" applyFont="1" applyFill="1" applyBorder="1" applyAlignment="1">
      <alignment horizontal="right" vertical="center"/>
    </xf>
    <xf numFmtId="14" fontId="2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Protection="1">
      <alignment vertical="center"/>
      <protection locked="0"/>
    </xf>
    <xf numFmtId="0" fontId="0" fillId="6" borderId="2" xfId="0" applyFill="1" applyBorder="1" applyAlignment="1">
      <alignment vertical="center"/>
    </xf>
    <xf numFmtId="14" fontId="7" fillId="11" borderId="2" xfId="1" applyNumberFormat="1" applyFont="1" applyFill="1" applyBorder="1" applyAlignment="1" applyProtection="1">
      <alignment horizontal="center" vertical="center"/>
    </xf>
    <xf numFmtId="177" fontId="3" fillId="0" borderId="0" xfId="0" applyNumberFormat="1" applyFont="1">
      <alignment vertical="center"/>
    </xf>
    <xf numFmtId="14" fontId="7" fillId="3" borderId="2" xfId="1" applyNumberFormat="1" applyFont="1" applyFill="1" applyBorder="1" applyAlignment="1" applyProtection="1">
      <alignment horizontal="center" vertical="center"/>
    </xf>
    <xf numFmtId="176" fontId="3" fillId="0" borderId="0" xfId="0" applyNumberFormat="1" applyFont="1">
      <alignment vertical="center"/>
    </xf>
    <xf numFmtId="9" fontId="3" fillId="0" borderId="0" xfId="0" applyNumberFormat="1" applyFont="1" applyAlignment="1">
      <alignment horizontal="center" vertical="center"/>
    </xf>
    <xf numFmtId="0" fontId="18" fillId="6" borderId="2" xfId="0" applyFont="1" applyFill="1" applyBorder="1" applyAlignment="1">
      <alignment horizontal="right" vertical="center"/>
    </xf>
    <xf numFmtId="0" fontId="35" fillId="2" borderId="2" xfId="2" applyFont="1" applyFill="1" applyBorder="1" applyAlignment="1" applyProtection="1">
      <alignment horizontal="center" vertical="center" wrapText="1"/>
      <protection locked="0"/>
    </xf>
    <xf numFmtId="0" fontId="35" fillId="13" borderId="2" xfId="2" applyFont="1" applyFill="1" applyBorder="1" applyAlignment="1" applyProtection="1">
      <alignment horizontal="center" vertical="center" wrapText="1"/>
      <protection locked="0"/>
    </xf>
    <xf numFmtId="0" fontId="35" fillId="7" borderId="2" xfId="2" applyFont="1" applyFill="1" applyBorder="1" applyAlignment="1" applyProtection="1">
      <alignment horizontal="center" vertical="center" wrapText="1"/>
      <protection locked="0"/>
    </xf>
    <xf numFmtId="0" fontId="36" fillId="0" borderId="2" xfId="0" applyFont="1" applyBorder="1" applyAlignment="1">
      <alignment horizontal="center" vertical="center"/>
    </xf>
    <xf numFmtId="0" fontId="2" fillId="14" borderId="1" xfId="0" applyFont="1" applyFill="1" applyBorder="1" applyProtection="1">
      <alignment vertical="center"/>
    </xf>
    <xf numFmtId="0" fontId="0" fillId="0" borderId="0" xfId="0" applyProtection="1">
      <alignment vertical="center"/>
      <protection locked="0"/>
    </xf>
    <xf numFmtId="14" fontId="7" fillId="3" borderId="2" xfId="1" applyNumberFormat="1" applyFont="1" applyFill="1" applyBorder="1" applyAlignment="1" applyProtection="1">
      <alignment horizontal="center" vertical="center"/>
    </xf>
    <xf numFmtId="0" fontId="3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1" xfId="0" applyFont="1" applyFill="1" applyBorder="1" applyProtection="1">
      <alignment vertical="center"/>
      <protection locked="0"/>
    </xf>
    <xf numFmtId="14" fontId="3" fillId="0" borderId="1" xfId="0" applyNumberFormat="1" applyFont="1" applyFill="1" applyBorder="1">
      <alignment vertical="center"/>
    </xf>
    <xf numFmtId="0" fontId="37" fillId="0" borderId="0" xfId="0" applyFont="1" applyAlignment="1">
      <alignment horizontal="right" vertical="center"/>
    </xf>
    <xf numFmtId="176" fontId="11" fillId="0" borderId="0" xfId="0" applyNumberFormat="1" applyFont="1">
      <alignment vertical="center"/>
    </xf>
    <xf numFmtId="0" fontId="10" fillId="2" borderId="1" xfId="0" applyFont="1" applyFill="1" applyBorder="1" applyAlignment="1">
      <alignment horizontal="center" vertical="center"/>
    </xf>
    <xf numFmtId="14" fontId="3" fillId="2" borderId="1" xfId="0" applyNumberFormat="1" applyFont="1" applyFill="1" applyBorder="1">
      <alignment vertical="center"/>
    </xf>
    <xf numFmtId="49" fontId="3" fillId="2" borderId="11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vertical="center" wrapText="1"/>
    </xf>
    <xf numFmtId="14" fontId="7" fillId="3" borderId="2" xfId="1" applyNumberFormat="1" applyFont="1" applyFill="1" applyBorder="1" applyAlignment="1" applyProtection="1">
      <alignment horizontal="center" vertical="center"/>
    </xf>
    <xf numFmtId="14" fontId="10" fillId="0" borderId="0" xfId="0" applyNumberFormat="1" applyFont="1">
      <alignment vertical="center"/>
    </xf>
    <xf numFmtId="9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4" fontId="7" fillId="3" borderId="2" xfId="1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>
      <alignment horizontal="left" vertical="top" wrapText="1"/>
    </xf>
    <xf numFmtId="0" fontId="25" fillId="9" borderId="3" xfId="0" applyFont="1" applyFill="1" applyBorder="1" applyAlignment="1" applyProtection="1">
      <alignment horizontal="left"/>
      <protection locked="0"/>
    </xf>
    <xf numFmtId="0" fontId="0" fillId="0" borderId="9" xfId="0" applyBorder="1" applyAlignment="1">
      <alignment vertical="center"/>
    </xf>
    <xf numFmtId="0" fontId="23" fillId="0" borderId="2" xfId="0" applyFont="1" applyBorder="1" applyAlignment="1" applyProtection="1">
      <alignment horizontal="left"/>
      <protection locked="0"/>
    </xf>
    <xf numFmtId="0" fontId="0" fillId="0" borderId="2" xfId="0" applyBorder="1" applyAlignment="1">
      <alignment horizontal="left" vertical="center"/>
    </xf>
    <xf numFmtId="0" fontId="16" fillId="6" borderId="2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left" vertical="top" wrapText="1"/>
    </xf>
    <xf numFmtId="14" fontId="7" fillId="3" borderId="3" xfId="1" applyNumberFormat="1" applyFont="1" applyFill="1" applyBorder="1" applyAlignment="1" applyProtection="1">
      <alignment horizontal="center" vertical="center"/>
    </xf>
    <xf numFmtId="14" fontId="7" fillId="3" borderId="9" xfId="1" applyNumberFormat="1" applyFont="1" applyFill="1" applyBorder="1" applyAlignment="1" applyProtection="1">
      <alignment horizontal="center" vertical="center"/>
    </xf>
    <xf numFmtId="14" fontId="7" fillId="3" borderId="4" xfId="1" applyNumberFormat="1" applyFont="1" applyFill="1" applyBorder="1" applyAlignment="1" applyProtection="1">
      <alignment horizontal="center" vertical="center"/>
    </xf>
    <xf numFmtId="14" fontId="7" fillId="11" borderId="3" xfId="1" applyNumberFormat="1" applyFont="1" applyFill="1" applyBorder="1" applyAlignment="1" applyProtection="1">
      <alignment horizontal="center" vertical="center"/>
    </xf>
    <xf numFmtId="14" fontId="7" fillId="11" borderId="4" xfId="1" applyNumberFormat="1" applyFont="1" applyFill="1" applyBorder="1" applyAlignment="1" applyProtection="1">
      <alignment horizontal="center" vertical="center"/>
    </xf>
    <xf numFmtId="14" fontId="7" fillId="11" borderId="5" xfId="1" applyNumberFormat="1" applyFont="1" applyFill="1" applyBorder="1" applyAlignment="1" applyProtection="1">
      <alignment horizontal="center" vertical="center" wrapText="1"/>
    </xf>
    <xf numFmtId="0" fontId="3" fillId="11" borderId="6" xfId="0" applyFont="1" applyFill="1" applyBorder="1">
      <alignment vertical="center"/>
    </xf>
    <xf numFmtId="14" fontId="7" fillId="3" borderId="5" xfId="1" applyNumberFormat="1" applyFont="1" applyFill="1" applyBorder="1" applyAlignment="1" applyProtection="1">
      <alignment horizontal="center" vertical="center"/>
    </xf>
    <xf numFmtId="0" fontId="3" fillId="0" borderId="6" xfId="0" applyFont="1" applyBorder="1">
      <alignment vertical="center"/>
    </xf>
    <xf numFmtId="14" fontId="7" fillId="11" borderId="5" xfId="1" applyNumberFormat="1" applyFont="1" applyFill="1" applyBorder="1" applyAlignment="1" applyProtection="1">
      <alignment horizontal="center" vertical="center"/>
    </xf>
    <xf numFmtId="14" fontId="7" fillId="3" borderId="5" xfId="1" applyNumberFormat="1" applyFont="1" applyFill="1" applyBorder="1" applyAlignment="1" applyProtection="1">
      <alignment horizontal="center" vertical="center" wrapText="1"/>
    </xf>
    <xf numFmtId="0" fontId="12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vertical="center" wrapText="1"/>
    </xf>
    <xf numFmtId="0" fontId="14" fillId="5" borderId="8" xfId="0" applyFont="1" applyFill="1" applyBorder="1" applyAlignment="1">
      <alignment vertical="center"/>
    </xf>
    <xf numFmtId="14" fontId="7" fillId="3" borderId="2" xfId="1" applyNumberFormat="1" applyFont="1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14" fontId="9" fillId="3" borderId="2" xfId="1" applyNumberFormat="1" applyFont="1" applyFill="1" applyBorder="1" applyAlignment="1" applyProtection="1">
      <alignment horizontal="center" vertical="center" wrapText="1"/>
    </xf>
    <xf numFmtId="14" fontId="9" fillId="3" borderId="2" xfId="1" applyNumberFormat="1" applyFont="1" applyFill="1" applyBorder="1" applyAlignment="1" applyProtection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7" fillId="3" borderId="2" xfId="1" applyNumberFormat="1" applyFont="1" applyFill="1" applyBorder="1" applyAlignment="1" applyProtection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4" fillId="0" borderId="1" xfId="0" applyFont="1" applyFill="1" applyBorder="1" applyAlignment="1" applyProtection="1">
      <alignment horizontal="left" vertical="center" wrapText="1"/>
      <protection locked="0"/>
    </xf>
    <xf numFmtId="0" fontId="40" fillId="8" borderId="2" xfId="2" applyFont="1" applyFill="1" applyBorder="1" applyAlignment="1" applyProtection="1">
      <alignment horizontal="center" vertical="center" wrapText="1"/>
      <protection locked="0"/>
    </xf>
    <xf numFmtId="0" fontId="40" fillId="10" borderId="2" xfId="2" applyFont="1" applyFill="1" applyBorder="1" applyAlignment="1" applyProtection="1">
      <alignment horizontal="center" vertical="center" wrapText="1"/>
      <protection locked="0"/>
    </xf>
    <xf numFmtId="0" fontId="40" fillId="11" borderId="2" xfId="2" applyFont="1" applyFill="1" applyBorder="1" applyAlignment="1" applyProtection="1">
      <alignment horizontal="center" vertical="center" wrapText="1"/>
      <protection locked="0"/>
    </xf>
    <xf numFmtId="0" fontId="41" fillId="0" borderId="2" xfId="0" applyFont="1" applyBorder="1" applyAlignment="1" applyProtection="1">
      <alignment horizontal="center"/>
      <protection locked="0"/>
    </xf>
  </cellXfs>
  <cellStyles count="3">
    <cellStyle name="표준" xfId="0" builtinId="0"/>
    <cellStyle name="표준 2" xfId="1"/>
    <cellStyle name="하이퍼링크" xfId="2" builtinId="8"/>
  </cellStyles>
  <dxfs count="3">
    <dxf>
      <font>
        <color auto="1"/>
      </font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0000"/>
      <color rgb="FFFF88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pivotSource>
    <c:name>[프로젝트 인력현황 관리_ver_0.3.xlsm]월별인력현황!피벗 테이블1</c:name>
    <c:fmtId val="0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월별인력현황!$L$3</c:f>
              <c:strCache>
                <c:ptCount val="1"/>
                <c:pt idx="0">
                  <c:v>요약</c:v>
                </c:pt>
              </c:strCache>
            </c:strRef>
          </c:tx>
          <c:cat>
            <c:strRef>
              <c:f>월별인력현황!$K$4:$K$30</c:f>
              <c:strCache>
                <c:ptCount val="26"/>
                <c:pt idx="0">
                  <c:v>2018-01</c:v>
                </c:pt>
                <c:pt idx="1">
                  <c:v>2018-02</c:v>
                </c:pt>
                <c:pt idx="2">
                  <c:v>2018-03</c:v>
                </c:pt>
                <c:pt idx="3">
                  <c:v>2018-04</c:v>
                </c:pt>
                <c:pt idx="4">
                  <c:v>2018-05</c:v>
                </c:pt>
                <c:pt idx="5">
                  <c:v>2018-06</c:v>
                </c:pt>
                <c:pt idx="6">
                  <c:v>2018-07</c:v>
                </c:pt>
                <c:pt idx="7">
                  <c:v>2018-08</c:v>
                </c:pt>
                <c:pt idx="8">
                  <c:v>2018-09</c:v>
                </c:pt>
                <c:pt idx="9">
                  <c:v>2018-10</c:v>
                </c:pt>
                <c:pt idx="10">
                  <c:v>2018-11</c:v>
                </c:pt>
                <c:pt idx="11">
                  <c:v>2018-12</c:v>
                </c:pt>
                <c:pt idx="12">
                  <c:v>2019-01</c:v>
                </c:pt>
                <c:pt idx="13">
                  <c:v>2019-02</c:v>
                </c:pt>
                <c:pt idx="14">
                  <c:v>2019-03</c:v>
                </c:pt>
                <c:pt idx="15">
                  <c:v>2019-04</c:v>
                </c:pt>
                <c:pt idx="16">
                  <c:v>2019-05</c:v>
                </c:pt>
                <c:pt idx="17">
                  <c:v>2019-06</c:v>
                </c:pt>
                <c:pt idx="18">
                  <c:v>2019-07</c:v>
                </c:pt>
                <c:pt idx="19">
                  <c:v>2019-08</c:v>
                </c:pt>
                <c:pt idx="20">
                  <c:v>2019-09</c:v>
                </c:pt>
                <c:pt idx="21">
                  <c:v>2019-10</c:v>
                </c:pt>
                <c:pt idx="22">
                  <c:v>2019-11</c:v>
                </c:pt>
                <c:pt idx="23">
                  <c:v>2019-12</c:v>
                </c:pt>
                <c:pt idx="24">
                  <c:v>2020-01</c:v>
                </c:pt>
                <c:pt idx="25">
                  <c:v>2020-02</c:v>
                </c:pt>
              </c:strCache>
            </c:strRef>
          </c:cat>
          <c:val>
            <c:numRef>
              <c:f>월별인력현황!$L$4:$L$30</c:f>
              <c:numCache>
                <c:formatCode>General</c:formatCode>
                <c:ptCount val="26"/>
                <c:pt idx="0">
                  <c:v>95.65</c:v>
                </c:pt>
                <c:pt idx="1">
                  <c:v>100</c:v>
                </c:pt>
                <c:pt idx="2">
                  <c:v>100</c:v>
                </c:pt>
                <c:pt idx="3">
                  <c:v>46.427499999999995</c:v>
                </c:pt>
                <c:pt idx="4">
                  <c:v>82.608333333333334</c:v>
                </c:pt>
                <c:pt idx="5">
                  <c:v>95.23888888888888</c:v>
                </c:pt>
                <c:pt idx="6">
                  <c:v>97.727000000000004</c:v>
                </c:pt>
                <c:pt idx="7">
                  <c:v>94.927500000000009</c:v>
                </c:pt>
                <c:pt idx="8">
                  <c:v>86.578947368421055</c:v>
                </c:pt>
                <c:pt idx="9">
                  <c:v>95.454545454545453</c:v>
                </c:pt>
                <c:pt idx="10">
                  <c:v>95.791111111111121</c:v>
                </c:pt>
                <c:pt idx="11">
                  <c:v>103.17444444444445</c:v>
                </c:pt>
                <c:pt idx="12">
                  <c:v>99.45656249999999</c:v>
                </c:pt>
                <c:pt idx="13">
                  <c:v>92.125</c:v>
                </c:pt>
                <c:pt idx="14">
                  <c:v>93.395483870967752</c:v>
                </c:pt>
                <c:pt idx="15">
                  <c:v>94.867741935483878</c:v>
                </c:pt>
                <c:pt idx="16">
                  <c:v>87.123461538461541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98.81</c:v>
                </c:pt>
                <c:pt idx="21">
                  <c:v>100</c:v>
                </c:pt>
                <c:pt idx="22">
                  <c:v>88.094999999999985</c:v>
                </c:pt>
                <c:pt idx="23">
                  <c:v>82.954999999999998</c:v>
                </c:pt>
                <c:pt idx="24">
                  <c:v>78.260000000000005</c:v>
                </c:pt>
                <c:pt idx="25">
                  <c:v>30</c:v>
                </c:pt>
              </c:numCache>
            </c:numRef>
          </c:val>
        </c:ser>
        <c:axId val="73385856"/>
        <c:axId val="73775744"/>
      </c:barChart>
      <c:catAx>
        <c:axId val="73385856"/>
        <c:scaling>
          <c:orientation val="minMax"/>
        </c:scaling>
        <c:axPos val="b"/>
        <c:tickLblPos val="nextTo"/>
        <c:crossAx val="73775744"/>
        <c:crosses val="autoZero"/>
        <c:auto val="1"/>
        <c:lblAlgn val="ctr"/>
        <c:lblOffset val="100"/>
      </c:catAx>
      <c:valAx>
        <c:axId val="73775744"/>
        <c:scaling>
          <c:orientation val="minMax"/>
        </c:scaling>
        <c:axPos val="l"/>
        <c:majorGridlines/>
        <c:numFmt formatCode="General" sourceLinked="1"/>
        <c:tickLblPos val="nextTo"/>
        <c:crossAx val="73385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18</xdr:row>
      <xdr:rowOff>28575</xdr:rowOff>
    </xdr:from>
    <xdr:to>
      <xdr:col>3</xdr:col>
      <xdr:colOff>4057650</xdr:colOff>
      <xdr:row>21</xdr:row>
      <xdr:rowOff>190500</xdr:rowOff>
    </xdr:to>
    <xdr:grpSp>
      <xdr:nvGrpSpPr>
        <xdr:cNvPr id="11" name="그룹 10"/>
        <xdr:cNvGrpSpPr/>
      </xdr:nvGrpSpPr>
      <xdr:grpSpPr>
        <a:xfrm>
          <a:off x="638175" y="5895975"/>
          <a:ext cx="6238875" cy="762000"/>
          <a:chOff x="1009650" y="657225"/>
          <a:chExt cx="6238875" cy="762000"/>
        </a:xfrm>
      </xdr:grpSpPr>
      <xdr:sp macro="" textlink="">
        <xdr:nvSpPr>
          <xdr:cNvPr id="13" name="순서도: 처리 12"/>
          <xdr:cNvSpPr/>
        </xdr:nvSpPr>
        <xdr:spPr>
          <a:xfrm>
            <a:off x="1009650" y="657225"/>
            <a:ext cx="1981200" cy="571500"/>
          </a:xfrm>
          <a:prstGeom prst="flowChartProcess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프로젝트입력</a:t>
            </a:r>
          </a:p>
        </xdr:txBody>
      </xdr:sp>
      <xdr:sp macro="" textlink="">
        <xdr:nvSpPr>
          <xdr:cNvPr id="14" name="설명선 1(강조선) 13"/>
          <xdr:cNvSpPr/>
        </xdr:nvSpPr>
        <xdr:spPr>
          <a:xfrm>
            <a:off x="4257674" y="714375"/>
            <a:ext cx="2990851" cy="704850"/>
          </a:xfrm>
          <a:prstGeom prst="accentCallout1">
            <a:avLst>
              <a:gd name="adj1" fmla="val 18750"/>
              <a:gd name="adj2" fmla="val -8333"/>
              <a:gd name="adj3" fmla="val 19022"/>
              <a:gd name="adj4" fmla="val -42709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프로젝트명</a:t>
            </a:r>
            <a:r>
              <a:rPr lang="en-US" altLang="ko-KR" sz="1100"/>
              <a:t>, </a:t>
            </a:r>
            <a:r>
              <a:rPr lang="ko-KR" altLang="en-US" sz="1100"/>
              <a:t>성명</a:t>
            </a:r>
            <a:r>
              <a:rPr lang="en-US" altLang="ko-KR" sz="1100"/>
              <a:t>, </a:t>
            </a:r>
            <a:r>
              <a:rPr lang="ko-KR" altLang="en-US" sz="1100"/>
              <a:t>계약투입일자</a:t>
            </a:r>
            <a:r>
              <a:rPr lang="en-US" altLang="ko-KR" sz="1100"/>
              <a:t>, </a:t>
            </a:r>
            <a:r>
              <a:rPr lang="ko-KR" altLang="en-US" sz="1100"/>
              <a:t>계약철수일자</a:t>
            </a:r>
            <a:r>
              <a:rPr lang="en-US" altLang="ko-KR" sz="1100"/>
              <a:t>, </a:t>
            </a:r>
            <a:r>
              <a:rPr lang="ko-KR" altLang="en-US" sz="1100"/>
              <a:t>투입율 입력</a:t>
            </a:r>
          </a:p>
        </xdr:txBody>
      </xdr:sp>
    </xdr:grpSp>
    <xdr:clientData/>
  </xdr:twoCellAnchor>
  <xdr:twoCellAnchor>
    <xdr:from>
      <xdr:col>1</xdr:col>
      <xdr:colOff>209550</xdr:colOff>
      <xdr:row>23</xdr:row>
      <xdr:rowOff>161925</xdr:rowOff>
    </xdr:from>
    <xdr:to>
      <xdr:col>3</xdr:col>
      <xdr:colOff>4019550</xdr:colOff>
      <xdr:row>29</xdr:row>
      <xdr:rowOff>38099</xdr:rowOff>
    </xdr:to>
    <xdr:grpSp>
      <xdr:nvGrpSpPr>
        <xdr:cNvPr id="15" name="그룹 14"/>
        <xdr:cNvGrpSpPr/>
      </xdr:nvGrpSpPr>
      <xdr:grpSpPr>
        <a:xfrm>
          <a:off x="657225" y="7029450"/>
          <a:ext cx="6181725" cy="1076324"/>
          <a:chOff x="1066800" y="1790700"/>
          <a:chExt cx="6181725" cy="1076324"/>
        </a:xfrm>
      </xdr:grpSpPr>
      <xdr:sp macro="" textlink="">
        <xdr:nvSpPr>
          <xdr:cNvPr id="16" name="순서도: 종속 처리 15"/>
          <xdr:cNvSpPr/>
        </xdr:nvSpPr>
        <xdr:spPr>
          <a:xfrm>
            <a:off x="1066800" y="1790700"/>
            <a:ext cx="1943100" cy="533400"/>
          </a:xfrm>
          <a:prstGeom prst="flowChartPredefinedProcess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실투입작성파일생성</a:t>
            </a:r>
          </a:p>
        </xdr:txBody>
      </xdr:sp>
      <xdr:sp macro="" textlink="">
        <xdr:nvSpPr>
          <xdr:cNvPr id="18" name="설명선 1(강조선) 17"/>
          <xdr:cNvSpPr/>
        </xdr:nvSpPr>
        <xdr:spPr>
          <a:xfrm>
            <a:off x="4257674" y="1904999"/>
            <a:ext cx="2990851" cy="962025"/>
          </a:xfrm>
          <a:prstGeom prst="accentCallout1">
            <a:avLst>
              <a:gd name="adj1" fmla="val 18750"/>
              <a:gd name="adj2" fmla="val -8333"/>
              <a:gd name="adj3" fmla="val 17670"/>
              <a:gd name="adj4" fmla="val -41435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[</a:t>
            </a:r>
            <a:r>
              <a:rPr lang="ko-KR" altLang="en-US" sz="1100"/>
              <a:t>작성파일생성</a:t>
            </a:r>
            <a:r>
              <a:rPr lang="en-US" altLang="ko-KR" sz="1100"/>
              <a:t>] </a:t>
            </a:r>
            <a:r>
              <a:rPr lang="ko-KR" altLang="en-US" sz="1100"/>
              <a:t>버튼클릭 </a:t>
            </a:r>
            <a:endParaRPr lang="en-US" altLang="ko-KR" sz="1100"/>
          </a:p>
          <a:p>
            <a:pPr algn="ctr"/>
            <a:r>
              <a:rPr lang="ko-KR" altLang="en-US" sz="1100"/>
              <a:t>파일 자동 생성</a:t>
            </a:r>
            <a:endParaRPr lang="en-US" altLang="ko-KR" sz="1100"/>
          </a:p>
          <a:p>
            <a:pPr algn="ctr"/>
            <a:r>
              <a:rPr lang="ko-KR" altLang="en-US" sz="1100"/>
              <a:t>생성된 파일 </a:t>
            </a:r>
            <a:r>
              <a:rPr lang="en-US" altLang="ko-KR" sz="1100"/>
              <a:t>PM</a:t>
            </a:r>
            <a:r>
              <a:rPr lang="en-US" altLang="ko-KR" sz="1100" baseline="0"/>
              <a:t> </a:t>
            </a:r>
            <a:r>
              <a:rPr lang="ko-KR" altLang="en-US" sz="1100" baseline="0"/>
              <a:t>작성</a:t>
            </a:r>
            <a:endParaRPr lang="ko-KR" altLang="en-US" sz="1100"/>
          </a:p>
        </xdr:txBody>
      </xdr:sp>
    </xdr:grpSp>
    <xdr:clientData/>
  </xdr:twoCellAnchor>
  <xdr:twoCellAnchor>
    <xdr:from>
      <xdr:col>1</xdr:col>
      <xdr:colOff>180975</xdr:colOff>
      <xdr:row>30</xdr:row>
      <xdr:rowOff>47625</xdr:rowOff>
    </xdr:from>
    <xdr:to>
      <xdr:col>3</xdr:col>
      <xdr:colOff>4048125</xdr:colOff>
      <xdr:row>34</xdr:row>
      <xdr:rowOff>9525</xdr:rowOff>
    </xdr:to>
    <xdr:grpSp>
      <xdr:nvGrpSpPr>
        <xdr:cNvPr id="19" name="그룹 18"/>
        <xdr:cNvGrpSpPr/>
      </xdr:nvGrpSpPr>
      <xdr:grpSpPr>
        <a:xfrm>
          <a:off x="628650" y="8315325"/>
          <a:ext cx="6238875" cy="762000"/>
          <a:chOff x="1009650" y="657225"/>
          <a:chExt cx="6238875" cy="762000"/>
        </a:xfrm>
      </xdr:grpSpPr>
      <xdr:sp macro="" textlink="">
        <xdr:nvSpPr>
          <xdr:cNvPr id="20" name="순서도: 처리 19"/>
          <xdr:cNvSpPr/>
        </xdr:nvSpPr>
        <xdr:spPr>
          <a:xfrm>
            <a:off x="1009650" y="657225"/>
            <a:ext cx="1981200" cy="571500"/>
          </a:xfrm>
          <a:prstGeom prst="flowChartProcess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실투입취합</a:t>
            </a:r>
          </a:p>
        </xdr:txBody>
      </xdr:sp>
      <xdr:sp macro="" textlink="">
        <xdr:nvSpPr>
          <xdr:cNvPr id="21" name="설명선 1(강조선) 20"/>
          <xdr:cNvSpPr/>
        </xdr:nvSpPr>
        <xdr:spPr>
          <a:xfrm>
            <a:off x="4257674" y="714375"/>
            <a:ext cx="2990851" cy="704850"/>
          </a:xfrm>
          <a:prstGeom prst="accentCallout1">
            <a:avLst>
              <a:gd name="adj1" fmla="val 18750"/>
              <a:gd name="adj2" fmla="val -8333"/>
              <a:gd name="adj3" fmla="val 19022"/>
              <a:gd name="adj4" fmla="val -42709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파일취합 버튼 클릭</a:t>
            </a:r>
            <a:endParaRPr lang="en-US" altLang="ko-KR" sz="1100"/>
          </a:p>
          <a:p>
            <a:pPr algn="ctr"/>
            <a:r>
              <a:rPr lang="en-US" altLang="ko-KR" sz="1100"/>
              <a:t>PM</a:t>
            </a:r>
            <a:r>
              <a:rPr lang="ko-KR" altLang="en-US" sz="1100"/>
              <a:t>이 작성한 파일을 취합</a:t>
            </a:r>
          </a:p>
        </xdr:txBody>
      </xdr:sp>
    </xdr:grpSp>
    <xdr:clientData/>
  </xdr:twoCellAnchor>
  <xdr:twoCellAnchor>
    <xdr:from>
      <xdr:col>1</xdr:col>
      <xdr:colOff>180975</xdr:colOff>
      <xdr:row>36</xdr:row>
      <xdr:rowOff>19050</xdr:rowOff>
    </xdr:from>
    <xdr:to>
      <xdr:col>3</xdr:col>
      <xdr:colOff>4048125</xdr:colOff>
      <xdr:row>39</xdr:row>
      <xdr:rowOff>180975</xdr:rowOff>
    </xdr:to>
    <xdr:grpSp>
      <xdr:nvGrpSpPr>
        <xdr:cNvPr id="22" name="그룹 21"/>
        <xdr:cNvGrpSpPr/>
      </xdr:nvGrpSpPr>
      <xdr:grpSpPr>
        <a:xfrm>
          <a:off x="628650" y="9486900"/>
          <a:ext cx="6238875" cy="762000"/>
          <a:chOff x="1009650" y="657225"/>
          <a:chExt cx="6238875" cy="762000"/>
        </a:xfrm>
      </xdr:grpSpPr>
      <xdr:sp macro="" textlink="">
        <xdr:nvSpPr>
          <xdr:cNvPr id="23" name="순서도: 처리 22"/>
          <xdr:cNvSpPr/>
        </xdr:nvSpPr>
        <xdr:spPr>
          <a:xfrm>
            <a:off x="1009650" y="657225"/>
            <a:ext cx="1981200" cy="571500"/>
          </a:xfrm>
          <a:prstGeom prst="flowChartProcess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프로젝트입력</a:t>
            </a:r>
          </a:p>
        </xdr:txBody>
      </xdr:sp>
      <xdr:sp macro="" textlink="">
        <xdr:nvSpPr>
          <xdr:cNvPr id="24" name="설명선 1(강조선) 23"/>
          <xdr:cNvSpPr/>
        </xdr:nvSpPr>
        <xdr:spPr>
          <a:xfrm>
            <a:off x="4257674" y="714375"/>
            <a:ext cx="2990851" cy="704850"/>
          </a:xfrm>
          <a:prstGeom prst="accentCallout1">
            <a:avLst>
              <a:gd name="adj1" fmla="val 18750"/>
              <a:gd name="adj2" fmla="val -8333"/>
              <a:gd name="adj3" fmla="val 19022"/>
              <a:gd name="adj4" fmla="val -42709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실투입결과 버튼 클릭</a:t>
            </a:r>
            <a:endParaRPr lang="en-US" altLang="ko-KR" sz="1100"/>
          </a:p>
          <a:p>
            <a:pPr algn="ctr"/>
            <a:r>
              <a:rPr lang="ko-KR" altLang="en-US" sz="1100"/>
              <a:t>진행결과 자동 셋팅</a:t>
            </a:r>
          </a:p>
        </xdr:txBody>
      </xdr:sp>
    </xdr:grpSp>
    <xdr:clientData/>
  </xdr:twoCellAnchor>
  <xdr:twoCellAnchor>
    <xdr:from>
      <xdr:col>1</xdr:col>
      <xdr:colOff>180975</xdr:colOff>
      <xdr:row>41</xdr:row>
      <xdr:rowOff>85724</xdr:rowOff>
    </xdr:from>
    <xdr:to>
      <xdr:col>3</xdr:col>
      <xdr:colOff>4048125</xdr:colOff>
      <xdr:row>45</xdr:row>
      <xdr:rowOff>114299</xdr:rowOff>
    </xdr:to>
    <xdr:grpSp>
      <xdr:nvGrpSpPr>
        <xdr:cNvPr id="25" name="그룹 24"/>
        <xdr:cNvGrpSpPr/>
      </xdr:nvGrpSpPr>
      <xdr:grpSpPr>
        <a:xfrm>
          <a:off x="628650" y="10553699"/>
          <a:ext cx="6238875" cy="828675"/>
          <a:chOff x="1009650" y="657224"/>
          <a:chExt cx="6238875" cy="828675"/>
        </a:xfrm>
      </xdr:grpSpPr>
      <xdr:sp macro="" textlink="">
        <xdr:nvSpPr>
          <xdr:cNvPr id="26" name="순서도: 처리 25"/>
          <xdr:cNvSpPr/>
        </xdr:nvSpPr>
        <xdr:spPr>
          <a:xfrm>
            <a:off x="1009650" y="657224"/>
            <a:ext cx="1981200" cy="828675"/>
          </a:xfrm>
          <a:prstGeom prst="flowChartProcess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프로젝트현황</a:t>
            </a:r>
            <a:endParaRPr lang="en-US" altLang="ko-KR" sz="1100"/>
          </a:p>
          <a:p>
            <a:pPr algn="ctr"/>
            <a:r>
              <a:rPr lang="ko-KR" altLang="en-US" sz="1100"/>
              <a:t>인력별현황</a:t>
            </a:r>
            <a:endParaRPr lang="en-US" altLang="ko-KR" sz="1100"/>
          </a:p>
          <a:p>
            <a:pPr algn="ctr"/>
            <a:r>
              <a:rPr lang="ko-KR" altLang="en-US" sz="1100"/>
              <a:t>월별인력현황</a:t>
            </a:r>
          </a:p>
        </xdr:txBody>
      </xdr:sp>
      <xdr:sp macro="" textlink="">
        <xdr:nvSpPr>
          <xdr:cNvPr id="27" name="설명선 1(강조선) 26"/>
          <xdr:cNvSpPr/>
        </xdr:nvSpPr>
        <xdr:spPr>
          <a:xfrm>
            <a:off x="4257674" y="714375"/>
            <a:ext cx="2990851" cy="704850"/>
          </a:xfrm>
          <a:prstGeom prst="accentCallout1">
            <a:avLst>
              <a:gd name="adj1" fmla="val 18750"/>
              <a:gd name="adj2" fmla="val -8333"/>
              <a:gd name="adj3" fmla="val 19022"/>
              <a:gd name="adj4" fmla="val -42709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/>
              <a:t>조회 버튼 클릭</a:t>
            </a:r>
            <a:endParaRPr lang="en-US" altLang="ko-KR" sz="1100"/>
          </a:p>
          <a:p>
            <a:pPr algn="ctr"/>
            <a:r>
              <a:rPr lang="ko-KR" altLang="en-US" sz="1100"/>
              <a:t>결과 확인</a:t>
            </a:r>
          </a:p>
        </xdr:txBody>
      </xdr:sp>
    </xdr:grpSp>
    <xdr:clientData/>
  </xdr:twoCellAnchor>
  <xdr:twoCellAnchor>
    <xdr:from>
      <xdr:col>1</xdr:col>
      <xdr:colOff>1181100</xdr:colOff>
      <xdr:row>21</xdr:row>
      <xdr:rowOff>0</xdr:rowOff>
    </xdr:from>
    <xdr:to>
      <xdr:col>1</xdr:col>
      <xdr:colOff>1181100</xdr:colOff>
      <xdr:row>23</xdr:row>
      <xdr:rowOff>161925</xdr:rowOff>
    </xdr:to>
    <xdr:cxnSp macro="">
      <xdr:nvCxnSpPr>
        <xdr:cNvPr id="28" name="직선 화살표 연결선 27"/>
        <xdr:cNvCxnSpPr>
          <a:stCxn id="13" idx="2"/>
          <a:endCxn id="16" idx="0"/>
        </xdr:cNvCxnSpPr>
      </xdr:nvCxnSpPr>
      <xdr:spPr>
        <a:xfrm>
          <a:off x="1628775" y="6191250"/>
          <a:ext cx="0" cy="5619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1171575</xdr:colOff>
      <xdr:row>26</xdr:row>
      <xdr:rowOff>95250</xdr:rowOff>
    </xdr:from>
    <xdr:to>
      <xdr:col>1</xdr:col>
      <xdr:colOff>1181100</xdr:colOff>
      <xdr:row>30</xdr:row>
      <xdr:rowOff>47625</xdr:rowOff>
    </xdr:to>
    <xdr:cxnSp macro="">
      <xdr:nvCxnSpPr>
        <xdr:cNvPr id="29" name="직선 화살표 연결선 28"/>
        <xdr:cNvCxnSpPr>
          <a:stCxn id="16" idx="2"/>
          <a:endCxn id="20" idx="0"/>
        </xdr:cNvCxnSpPr>
      </xdr:nvCxnSpPr>
      <xdr:spPr>
        <a:xfrm flipH="1">
          <a:off x="1619250" y="7286625"/>
          <a:ext cx="95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1171575</xdr:colOff>
      <xdr:row>33</xdr:row>
      <xdr:rowOff>19050</xdr:rowOff>
    </xdr:from>
    <xdr:to>
      <xdr:col>1</xdr:col>
      <xdr:colOff>1171575</xdr:colOff>
      <xdr:row>36</xdr:row>
      <xdr:rowOff>19050</xdr:rowOff>
    </xdr:to>
    <xdr:cxnSp macro="">
      <xdr:nvCxnSpPr>
        <xdr:cNvPr id="30" name="직선 화살표 연결선 29"/>
        <xdr:cNvCxnSpPr>
          <a:stCxn id="20" idx="2"/>
          <a:endCxn id="23" idx="0"/>
        </xdr:cNvCxnSpPr>
      </xdr:nvCxnSpPr>
      <xdr:spPr>
        <a:xfrm>
          <a:off x="1619250" y="8610600"/>
          <a:ext cx="0" cy="6000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1171575</xdr:colOff>
      <xdr:row>38</xdr:row>
      <xdr:rowOff>190500</xdr:rowOff>
    </xdr:from>
    <xdr:to>
      <xdr:col>1</xdr:col>
      <xdr:colOff>1171575</xdr:colOff>
      <xdr:row>41</xdr:row>
      <xdr:rowOff>85724</xdr:rowOff>
    </xdr:to>
    <xdr:cxnSp macro="">
      <xdr:nvCxnSpPr>
        <xdr:cNvPr id="31" name="직선 화살표 연결선 30"/>
        <xdr:cNvCxnSpPr>
          <a:stCxn id="23" idx="2"/>
          <a:endCxn id="26" idx="0"/>
        </xdr:cNvCxnSpPr>
      </xdr:nvCxnSpPr>
      <xdr:spPr>
        <a:xfrm>
          <a:off x="1619250" y="9782175"/>
          <a:ext cx="0" cy="4952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85725</xdr:colOff>
      <xdr:row>52</xdr:row>
      <xdr:rowOff>38100</xdr:rowOff>
    </xdr:from>
    <xdr:to>
      <xdr:col>4</xdr:col>
      <xdr:colOff>152400</xdr:colOff>
      <xdr:row>59</xdr:row>
      <xdr:rowOff>57150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12344400"/>
          <a:ext cx="6867525" cy="14192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381000</xdr:colOff>
      <xdr:row>61</xdr:row>
      <xdr:rowOff>152400</xdr:rowOff>
    </xdr:from>
    <xdr:to>
      <xdr:col>2</xdr:col>
      <xdr:colOff>47625</xdr:colOff>
      <xdr:row>63</xdr:row>
      <xdr:rowOff>171450</xdr:rowOff>
    </xdr:to>
    <xdr:pic>
      <xdr:nvPicPr>
        <xdr:cNvPr id="133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28675" y="14268450"/>
          <a:ext cx="1943100" cy="4191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419100</xdr:colOff>
      <xdr:row>66</xdr:row>
      <xdr:rowOff>142875</xdr:rowOff>
    </xdr:from>
    <xdr:to>
      <xdr:col>1</xdr:col>
      <xdr:colOff>1790700</xdr:colOff>
      <xdr:row>69</xdr:row>
      <xdr:rowOff>9525</xdr:rowOff>
    </xdr:to>
    <xdr:pic>
      <xdr:nvPicPr>
        <xdr:cNvPr id="1331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66775" y="15268575"/>
          <a:ext cx="1371600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409575</xdr:colOff>
      <xdr:row>69</xdr:row>
      <xdr:rowOff>66675</xdr:rowOff>
    </xdr:from>
    <xdr:to>
      <xdr:col>3</xdr:col>
      <xdr:colOff>1114425</xdr:colOff>
      <xdr:row>72</xdr:row>
      <xdr:rowOff>66675</xdr:rowOff>
    </xdr:to>
    <xdr:pic>
      <xdr:nvPicPr>
        <xdr:cNvPr id="1331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57250" y="15792450"/>
          <a:ext cx="3076575" cy="600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171450</xdr:colOff>
      <xdr:row>77</xdr:row>
      <xdr:rowOff>38100</xdr:rowOff>
    </xdr:from>
    <xdr:to>
      <xdr:col>1</xdr:col>
      <xdr:colOff>1152525</xdr:colOff>
      <xdr:row>79</xdr:row>
      <xdr:rowOff>47625</xdr:rowOff>
    </xdr:to>
    <xdr:pic>
      <xdr:nvPicPr>
        <xdr:cNvPr id="1331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19125" y="17373600"/>
          <a:ext cx="981075" cy="409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333375</xdr:colOff>
      <xdr:row>83</xdr:row>
      <xdr:rowOff>0</xdr:rowOff>
    </xdr:from>
    <xdr:to>
      <xdr:col>3</xdr:col>
      <xdr:colOff>3152775</xdr:colOff>
      <xdr:row>90</xdr:row>
      <xdr:rowOff>57150</xdr:rowOff>
    </xdr:to>
    <xdr:pic>
      <xdr:nvPicPr>
        <xdr:cNvPr id="1331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81050" y="18535650"/>
          <a:ext cx="5191125" cy="1457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109</xdr:row>
      <xdr:rowOff>76200</xdr:rowOff>
    </xdr:from>
    <xdr:to>
      <xdr:col>3</xdr:col>
      <xdr:colOff>4114800</xdr:colOff>
      <xdr:row>116</xdr:row>
      <xdr:rowOff>152400</xdr:rowOff>
    </xdr:to>
    <xdr:pic>
      <xdr:nvPicPr>
        <xdr:cNvPr id="1331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47675" y="20821650"/>
          <a:ext cx="6486525" cy="14763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12</xdr:col>
      <xdr:colOff>66675</xdr:colOff>
      <xdr:row>149</xdr:row>
      <xdr:rowOff>85725</xdr:rowOff>
    </xdr:to>
    <xdr:pic>
      <xdr:nvPicPr>
        <xdr:cNvPr id="13320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47675" y="23555325"/>
          <a:ext cx="13277850" cy="33242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247650</xdr:colOff>
      <xdr:row>91</xdr:row>
      <xdr:rowOff>19050</xdr:rowOff>
    </xdr:from>
    <xdr:to>
      <xdr:col>3</xdr:col>
      <xdr:colOff>1847850</xdr:colOff>
      <xdr:row>103</xdr:row>
      <xdr:rowOff>28575</xdr:rowOff>
    </xdr:to>
    <xdr:pic>
      <xdr:nvPicPr>
        <xdr:cNvPr id="39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95325" y="20154900"/>
          <a:ext cx="3971925" cy="24098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66675</xdr:colOff>
      <xdr:row>116</xdr:row>
      <xdr:rowOff>171450</xdr:rowOff>
    </xdr:from>
    <xdr:to>
      <xdr:col>3</xdr:col>
      <xdr:colOff>723900</xdr:colOff>
      <xdr:row>128</xdr:row>
      <xdr:rowOff>28575</xdr:rowOff>
    </xdr:to>
    <xdr:pic>
      <xdr:nvPicPr>
        <xdr:cNvPr id="4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14350" y="25317450"/>
          <a:ext cx="3028950" cy="22574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619125</xdr:colOff>
      <xdr:row>9</xdr:row>
      <xdr:rowOff>0</xdr:rowOff>
    </xdr:to>
    <xdr:sp macro="[0]!실투입결과" textlink="">
      <xdr:nvSpPr>
        <xdr:cNvPr id="2" name="TextBox 1"/>
        <xdr:cNvSpPr txBox="1"/>
      </xdr:nvSpPr>
      <xdr:spPr>
        <a:xfrm>
          <a:off x="9744075" y="1200150"/>
          <a:ext cx="1304925" cy="342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실투입 결과 적용</a:t>
          </a:r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13</xdr:col>
      <xdr:colOff>466725</xdr:colOff>
      <xdr:row>18</xdr:row>
      <xdr:rowOff>0</xdr:rowOff>
    </xdr:to>
    <xdr:sp macro="[0]!실투입작성파일생성" textlink="">
      <xdr:nvSpPr>
        <xdr:cNvPr id="3" name="TextBox 2"/>
        <xdr:cNvSpPr txBox="1"/>
      </xdr:nvSpPr>
      <xdr:spPr>
        <a:xfrm>
          <a:off x="9744075" y="2743200"/>
          <a:ext cx="1838325" cy="342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실투입 작성 파일생성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3</xdr:row>
      <xdr:rowOff>0</xdr:rowOff>
    </xdr:from>
    <xdr:to>
      <xdr:col>9</xdr:col>
      <xdr:colOff>619125</xdr:colOff>
      <xdr:row>4</xdr:row>
      <xdr:rowOff>133350</xdr:rowOff>
    </xdr:to>
    <xdr:sp macro="[0]!취합" textlink="">
      <xdr:nvSpPr>
        <xdr:cNvPr id="2" name="TextBox 1"/>
        <xdr:cNvSpPr txBox="1"/>
      </xdr:nvSpPr>
      <xdr:spPr>
        <a:xfrm>
          <a:off x="10496550" y="628650"/>
          <a:ext cx="885825" cy="342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파일 취합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0</xdr:row>
      <xdr:rowOff>152400</xdr:rowOff>
    </xdr:from>
    <xdr:to>
      <xdr:col>3</xdr:col>
      <xdr:colOff>628650</xdr:colOff>
      <xdr:row>3</xdr:row>
      <xdr:rowOff>57150</xdr:rowOff>
    </xdr:to>
    <xdr:sp macro="[0]!프로젝트별현황조회" textlink="">
      <xdr:nvSpPr>
        <xdr:cNvPr id="476" name="TextBox 475"/>
        <xdr:cNvSpPr txBox="1"/>
      </xdr:nvSpPr>
      <xdr:spPr>
        <a:xfrm>
          <a:off x="4410075" y="152400"/>
          <a:ext cx="523875" cy="342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조회</a:t>
          </a:r>
        </a:p>
      </xdr:txBody>
    </xdr:sp>
    <xdr:clientData/>
  </xdr:twoCellAnchor>
  <xdr:twoCellAnchor>
    <xdr:from>
      <xdr:col>26</xdr:col>
      <xdr:colOff>12700</xdr:colOff>
      <xdr:row>13</xdr:row>
      <xdr:rowOff>31432</xdr:rowOff>
    </xdr:from>
    <xdr:to>
      <xdr:col>96</xdr:col>
      <xdr:colOff>49195</xdr:colOff>
      <xdr:row>13</xdr:row>
      <xdr:rowOff>178117</xdr:rowOff>
    </xdr:to>
    <xdr:sp macro="" textlink="">
      <xdr:nvSpPr>
        <xdr:cNvPr id="477" name="직사각형 476">
          <a:hlinkClick xmlns:r="http://schemas.openxmlformats.org/officeDocument/2006/relationships" r:id="" tooltip="프로젝트명 : 대구은행 신용리스크관리시 시스템 재개발&#10;성명 : 전체&#10;계약 : 2018-01-02~2019-04-30&#10;진행 : 2018-01-02~2019-05-31&#10;투입인원 : 6&#10;기간대비 투입율 : 106.65&#10;실투입기준 투입율 : 55.9&#10;"/>
        </xdr:cNvPr>
        <xdr:cNvSpPr/>
      </xdr:nvSpPr>
      <xdr:spPr>
        <a:xfrm>
          <a:off x="11442700" y="2203132"/>
          <a:ext cx="1003774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13</xdr:row>
      <xdr:rowOff>83820</xdr:rowOff>
    </xdr:from>
    <xdr:to>
      <xdr:col>100</xdr:col>
      <xdr:colOff>121930</xdr:colOff>
      <xdr:row>13</xdr:row>
      <xdr:rowOff>125730</xdr:rowOff>
    </xdr:to>
    <xdr:sp macro="" textlink="">
      <xdr:nvSpPr>
        <xdr:cNvPr id="478" name="직사각형 477">
          <a:hlinkClick xmlns:r="http://schemas.openxmlformats.org/officeDocument/2006/relationships" r:id="" tooltip="프로젝트명 : 대구은행 신용리스크관리시 시스템 재개발&#10;성명 : 전체&#10;계약 : 2018-01-02~2019-04-30&#10;진행 : 2018-01-02~2019-05-31&#10;투입인원 : 6&#10;기간대비 투입율 : 106.65&#10;실투입기준 투입율 : 55.9&#10;"/>
        </xdr:cNvPr>
        <xdr:cNvSpPr/>
      </xdr:nvSpPr>
      <xdr:spPr>
        <a:xfrm>
          <a:off x="11442700" y="2255520"/>
          <a:ext cx="10681980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74</xdr:col>
      <xdr:colOff>75045</xdr:colOff>
      <xdr:row>14</xdr:row>
      <xdr:rowOff>31432</xdr:rowOff>
    </xdr:from>
    <xdr:to>
      <xdr:col>96</xdr:col>
      <xdr:colOff>49193</xdr:colOff>
      <xdr:row>14</xdr:row>
      <xdr:rowOff>178117</xdr:rowOff>
    </xdr:to>
    <xdr:sp macro="" textlink="">
      <xdr:nvSpPr>
        <xdr:cNvPr id="479" name="직사각형 478">
          <a:hlinkClick xmlns:r="http://schemas.openxmlformats.org/officeDocument/2006/relationships" r:id="" tooltip="프로젝트명 : 대구은행 신용리스크관리시 시스템 재개발&#10;성명 : 김경수&#10;계약 : 2018-12-01~2019-04-30&#10;진행 : 2018-12-06~2019-05-10&#10;실투입일수 : 112&#10;기간대비 투입율 : 104.67&#10;실투입기준 투입율 : 104.67&#10;"/>
        </xdr:cNvPr>
        <xdr:cNvSpPr/>
      </xdr:nvSpPr>
      <xdr:spPr>
        <a:xfrm>
          <a:off x="18363045" y="2412682"/>
          <a:ext cx="3117398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75</xdr:col>
      <xdr:colOff>36079</xdr:colOff>
      <xdr:row>14</xdr:row>
      <xdr:rowOff>83820</xdr:rowOff>
    </xdr:from>
    <xdr:to>
      <xdr:col>97</xdr:col>
      <xdr:colOff>114138</xdr:colOff>
      <xdr:row>14</xdr:row>
      <xdr:rowOff>125730</xdr:rowOff>
    </xdr:to>
    <xdr:sp macro="" textlink="">
      <xdr:nvSpPr>
        <xdr:cNvPr id="480" name="직사각형 479">
          <a:hlinkClick xmlns:r="http://schemas.openxmlformats.org/officeDocument/2006/relationships" r:id="" tooltip="프로젝트명 : 대구은행 신용리스크관리시 시스템 재개발&#10;성명 : 김경수&#10;계약 : 2018-12-01~2019-04-30&#10;진행 : 2018-12-06~2019-05-10&#10;실투입일수 : 112&#10;기간대비 투입율 : 104.67&#10;실투입기준 투입율 : 104.67&#10;"/>
        </xdr:cNvPr>
        <xdr:cNvSpPr/>
      </xdr:nvSpPr>
      <xdr:spPr>
        <a:xfrm>
          <a:off x="18466954" y="2465070"/>
          <a:ext cx="32213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15</xdr:row>
      <xdr:rowOff>31432</xdr:rowOff>
    </xdr:from>
    <xdr:to>
      <xdr:col>96</xdr:col>
      <xdr:colOff>49195</xdr:colOff>
      <xdr:row>15</xdr:row>
      <xdr:rowOff>178117</xdr:rowOff>
    </xdr:to>
    <xdr:sp macro="" textlink="">
      <xdr:nvSpPr>
        <xdr:cNvPr id="481" name="직사각형 480">
          <a:hlinkClick xmlns:r="http://schemas.openxmlformats.org/officeDocument/2006/relationships" r:id="" tooltip="프로젝트명 : 대구은행 신용리스크관리시 시스템 재개발&#10;성명 : 윤예슬&#10;계약 : 2018-11-05~2019-04-30&#10;진행 : 2018-11-05~2019-05-03&#10;실투입일수 : 130&#10;기간대비 투입율 : 102.36&#10;실투입기준 투입율 : 102.36&#10;"/>
        </xdr:cNvPr>
        <xdr:cNvSpPr/>
      </xdr:nvSpPr>
      <xdr:spPr>
        <a:xfrm>
          <a:off x="17822718" y="2622232"/>
          <a:ext cx="36577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15</xdr:row>
      <xdr:rowOff>83820</xdr:rowOff>
    </xdr:from>
    <xdr:to>
      <xdr:col>96</xdr:col>
      <xdr:colOff>111540</xdr:colOff>
      <xdr:row>15</xdr:row>
      <xdr:rowOff>125730</xdr:rowOff>
    </xdr:to>
    <xdr:sp macro="" textlink="">
      <xdr:nvSpPr>
        <xdr:cNvPr id="482" name="직사각형 481">
          <a:hlinkClick xmlns:r="http://schemas.openxmlformats.org/officeDocument/2006/relationships" r:id="" tooltip="프로젝트명 : 대구은행 신용리스크관리시 시스템 재개발&#10;성명 : 윤예슬&#10;계약 : 2018-11-05~2019-04-30&#10;진행 : 2018-11-05~2019-05-03&#10;실투입일수 : 130&#10;기간대비 투입율 : 102.36&#10;실투입기준 투입율 : 102.36&#10;"/>
        </xdr:cNvPr>
        <xdr:cNvSpPr/>
      </xdr:nvSpPr>
      <xdr:spPr>
        <a:xfrm>
          <a:off x="17822718" y="2674620"/>
          <a:ext cx="37200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73</xdr:col>
      <xdr:colOff>51666</xdr:colOff>
      <xdr:row>16</xdr:row>
      <xdr:rowOff>31432</xdr:rowOff>
    </xdr:from>
    <xdr:to>
      <xdr:col>96</xdr:col>
      <xdr:colOff>49195</xdr:colOff>
      <xdr:row>16</xdr:row>
      <xdr:rowOff>178117</xdr:rowOff>
    </xdr:to>
    <xdr:sp macro="" textlink="">
      <xdr:nvSpPr>
        <xdr:cNvPr id="483" name="직사각형 482">
          <a:hlinkClick xmlns:r="http://schemas.openxmlformats.org/officeDocument/2006/relationships" r:id="" tooltip="프로젝트명 : 대구은행 신용리스크관리시 시스템 재개발&#10;성명 : 이영호&#10;계약 : 2018-11-23~2019-04-30&#10;진행 : 2018-11-23~2019-05-10&#10;실투입일수 : 121&#10;기간대비 투입율 : 107.08&#10;실투입기준 투입율 : 107.08&#10;"/>
        </xdr:cNvPr>
        <xdr:cNvSpPr/>
      </xdr:nvSpPr>
      <xdr:spPr>
        <a:xfrm>
          <a:off x="18196791" y="2831782"/>
          <a:ext cx="32836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73</xdr:col>
      <xdr:colOff>51666</xdr:colOff>
      <xdr:row>16</xdr:row>
      <xdr:rowOff>83820</xdr:rowOff>
    </xdr:from>
    <xdr:to>
      <xdr:col>97</xdr:col>
      <xdr:colOff>114138</xdr:colOff>
      <xdr:row>16</xdr:row>
      <xdr:rowOff>125730</xdr:rowOff>
    </xdr:to>
    <xdr:sp macro="" textlink="">
      <xdr:nvSpPr>
        <xdr:cNvPr id="484" name="직사각형 483">
          <a:hlinkClick xmlns:r="http://schemas.openxmlformats.org/officeDocument/2006/relationships" r:id="" tooltip="프로젝트명 : 대구은행 신용리스크관리시 시스템 재개발&#10;성명 : 이영호&#10;계약 : 2018-11-23~2019-04-30&#10;진행 : 2018-11-23~2019-05-10&#10;실투입일수 : 121&#10;기간대비 투입율 : 107.08&#10;실투입기준 투입율 : 107.08&#10;"/>
        </xdr:cNvPr>
        <xdr:cNvSpPr/>
      </xdr:nvSpPr>
      <xdr:spPr>
        <a:xfrm>
          <a:off x="18196791" y="2884170"/>
          <a:ext cx="34914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25688</xdr:colOff>
      <xdr:row>17</xdr:row>
      <xdr:rowOff>83820</xdr:rowOff>
    </xdr:from>
    <xdr:to>
      <xdr:col>100</xdr:col>
      <xdr:colOff>121930</xdr:colOff>
      <xdr:row>17</xdr:row>
      <xdr:rowOff>125730</xdr:rowOff>
    </xdr:to>
    <xdr:sp macro="" textlink="">
      <xdr:nvSpPr>
        <xdr:cNvPr id="485" name="직사각형 484">
          <a:hlinkClick xmlns:r="http://schemas.openxmlformats.org/officeDocument/2006/relationships" r:id="" tooltip="프로젝트명 : 대구은행 신용리스크관리시 시스템 재개발&#10;성명 : 이재덕&#10;계약 : ~&#10;진행 : 2019-01-02~2019-05-31&#10;실투입일수 : 108&#10;기간대비 투입율 : &#10;실투입기준 투입율 : &#10;"/>
        </xdr:cNvPr>
        <xdr:cNvSpPr/>
      </xdr:nvSpPr>
      <xdr:spPr>
        <a:xfrm>
          <a:off x="19028063" y="3093720"/>
          <a:ext cx="309661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18</xdr:row>
      <xdr:rowOff>31432</xdr:rowOff>
    </xdr:from>
    <xdr:to>
      <xdr:col>96</xdr:col>
      <xdr:colOff>49195</xdr:colOff>
      <xdr:row>18</xdr:row>
      <xdr:rowOff>178117</xdr:rowOff>
    </xdr:to>
    <xdr:sp macro="" textlink="">
      <xdr:nvSpPr>
        <xdr:cNvPr id="486" name="직사각형 485">
          <a:hlinkClick xmlns:r="http://schemas.openxmlformats.org/officeDocument/2006/relationships" r:id="" tooltip="프로젝트명 : 대구은행 신용리스크관리시 시스템 재개발&#10;성명 : 한강민&#10;계약 : 2018-11-05~2019-04-30&#10;진행 : 2018-11-05~2019-05-31&#10;실투입일수 : 150&#10;기간대비 투입율 : 118.11&#10;실투입기준 투입율 : 118.11&#10;"/>
        </xdr:cNvPr>
        <xdr:cNvSpPr/>
      </xdr:nvSpPr>
      <xdr:spPr>
        <a:xfrm>
          <a:off x="17822718" y="3250882"/>
          <a:ext cx="36577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18</xdr:row>
      <xdr:rowOff>83820</xdr:rowOff>
    </xdr:from>
    <xdr:to>
      <xdr:col>100</xdr:col>
      <xdr:colOff>121932</xdr:colOff>
      <xdr:row>18</xdr:row>
      <xdr:rowOff>125729</xdr:rowOff>
    </xdr:to>
    <xdr:sp macro="" textlink="">
      <xdr:nvSpPr>
        <xdr:cNvPr id="487" name="직사각형 486">
          <a:hlinkClick xmlns:r="http://schemas.openxmlformats.org/officeDocument/2006/relationships" r:id="" tooltip="프로젝트명 : 대구은행 신용리스크관리시 시스템 재개발&#10;성명 : 한강민&#10;계약 : 2018-11-05~2019-04-30&#10;진행 : 2018-11-05~2019-05-31&#10;실투입일수 : 150&#10;기간대비 투입율 : 118.11&#10;실투입기준 투입율 : 118.11&#10;"/>
        </xdr:cNvPr>
        <xdr:cNvSpPr/>
      </xdr:nvSpPr>
      <xdr:spPr>
        <a:xfrm>
          <a:off x="17822718" y="3303270"/>
          <a:ext cx="430196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19</xdr:row>
      <xdr:rowOff>31432</xdr:rowOff>
    </xdr:from>
    <xdr:to>
      <xdr:col>96</xdr:col>
      <xdr:colOff>49195</xdr:colOff>
      <xdr:row>19</xdr:row>
      <xdr:rowOff>178117</xdr:rowOff>
    </xdr:to>
    <xdr:sp macro="" textlink="">
      <xdr:nvSpPr>
        <xdr:cNvPr id="488" name="직사각형 487">
          <a:hlinkClick xmlns:r="http://schemas.openxmlformats.org/officeDocument/2006/relationships" r:id="" tooltip="프로젝트명 : 대구은행 신용리스크관리시 시스템 재개발&#10;성명 : 한성빈&#10;계약 : 2018-01-02~2019-04-30&#10;진행 : 2018-01-02~2019-04-30&#10;실투입일수 : 346&#10;기간대비 투입율 : 100&#10;실투입기준 투입율 : 100&#10;"/>
        </xdr:cNvPr>
        <xdr:cNvSpPr/>
      </xdr:nvSpPr>
      <xdr:spPr>
        <a:xfrm>
          <a:off x="11442700" y="3460432"/>
          <a:ext cx="1003774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19</xdr:row>
      <xdr:rowOff>83820</xdr:rowOff>
    </xdr:from>
    <xdr:to>
      <xdr:col>96</xdr:col>
      <xdr:colOff>49195</xdr:colOff>
      <xdr:row>19</xdr:row>
      <xdr:rowOff>125729</xdr:rowOff>
    </xdr:to>
    <xdr:sp macro="" textlink="">
      <xdr:nvSpPr>
        <xdr:cNvPr id="489" name="직사각형 488">
          <a:hlinkClick xmlns:r="http://schemas.openxmlformats.org/officeDocument/2006/relationships" r:id="" tooltip="프로젝트명 : 대구은행 신용리스크관리시 시스템 재개발&#10;성명 : 한성빈&#10;계약 : 2018-01-02~2019-04-30&#10;진행 : 2018-01-02~2019-04-30&#10;실투입일수 : 346&#10;기간대비 투입율 : 100&#10;실투입기준 투입율 : 100&#10;"/>
        </xdr:cNvPr>
        <xdr:cNvSpPr/>
      </xdr:nvSpPr>
      <xdr:spPr>
        <a:xfrm>
          <a:off x="11442700" y="3512820"/>
          <a:ext cx="1003774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72448</xdr:colOff>
      <xdr:row>20</xdr:row>
      <xdr:rowOff>31432</xdr:rowOff>
    </xdr:from>
    <xdr:to>
      <xdr:col>82</xdr:col>
      <xdr:colOff>116737</xdr:colOff>
      <xdr:row>20</xdr:row>
      <xdr:rowOff>178117</xdr:rowOff>
    </xdr:to>
    <xdr:sp macro="" textlink="">
      <xdr:nvSpPr>
        <xdr:cNvPr id="490" name="직사각형 489">
          <a:hlinkClick xmlns:r="http://schemas.openxmlformats.org/officeDocument/2006/relationships" r:id="" tooltip="프로젝트명 : 수협은행 기업신용평가 모형 및 시스템 개선개발&#10;성명 : 전체&#10;계약 : 2018-06-12~2019-01-27&#10;진행 : 2018-06-12~2019-01-30&#10;투입인원 : 1&#10;기간대비 투입율 : 101.83&#10;실투입기준 투입율 : 101.83&#10;"/>
        </xdr:cNvPr>
        <xdr:cNvSpPr/>
      </xdr:nvSpPr>
      <xdr:spPr>
        <a:xfrm>
          <a:off x="14788573" y="3669982"/>
          <a:ext cx="475916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72448</xdr:colOff>
      <xdr:row>20</xdr:row>
      <xdr:rowOff>83820</xdr:rowOff>
    </xdr:from>
    <xdr:to>
      <xdr:col>83</xdr:col>
      <xdr:colOff>36207</xdr:colOff>
      <xdr:row>20</xdr:row>
      <xdr:rowOff>125729</xdr:rowOff>
    </xdr:to>
    <xdr:sp macro="" textlink="">
      <xdr:nvSpPr>
        <xdr:cNvPr id="491" name="직사각형 490">
          <a:hlinkClick xmlns:r="http://schemas.openxmlformats.org/officeDocument/2006/relationships" r:id="" tooltip="프로젝트명 : 수협은행 기업신용평가 모형 및 시스템 개선개발&#10;성명 : 전체&#10;계약 : 2018-06-12~2019-01-27&#10;진행 : 2018-06-12~2019-01-30&#10;투입인원 : 1&#10;기간대비 투입율 : 101.83&#10;실투입기준 투입율 : 101.83&#10;"/>
        </xdr:cNvPr>
        <xdr:cNvSpPr/>
      </xdr:nvSpPr>
      <xdr:spPr>
        <a:xfrm>
          <a:off x="14788573" y="3722370"/>
          <a:ext cx="4821509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72448</xdr:colOff>
      <xdr:row>21</xdr:row>
      <xdr:rowOff>31432</xdr:rowOff>
    </xdr:from>
    <xdr:to>
      <xdr:col>82</xdr:col>
      <xdr:colOff>116737</xdr:colOff>
      <xdr:row>21</xdr:row>
      <xdr:rowOff>178117</xdr:rowOff>
    </xdr:to>
    <xdr:sp macro="" textlink="">
      <xdr:nvSpPr>
        <xdr:cNvPr id="492" name="직사각형 491">
          <a:hlinkClick xmlns:r="http://schemas.openxmlformats.org/officeDocument/2006/relationships" r:id="" tooltip="프로젝트명 : 수협은행 기업신용평가 모형 및 시스템 개선개발&#10;성명 : 이민제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4788573" y="3879532"/>
          <a:ext cx="475916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49</xdr:col>
      <xdr:colOff>72448</xdr:colOff>
      <xdr:row>21</xdr:row>
      <xdr:rowOff>83820</xdr:rowOff>
    </xdr:from>
    <xdr:to>
      <xdr:col>83</xdr:col>
      <xdr:colOff>36207</xdr:colOff>
      <xdr:row>21</xdr:row>
      <xdr:rowOff>125729</xdr:rowOff>
    </xdr:to>
    <xdr:sp macro="" textlink="">
      <xdr:nvSpPr>
        <xdr:cNvPr id="493" name="직사각형 492">
          <a:hlinkClick xmlns:r="http://schemas.openxmlformats.org/officeDocument/2006/relationships" r:id="" tooltip="프로젝트명 : 수협은행 기업신용평가 모형 및 시스템 개선개발&#10;성명 : 이민제&#10;계약 : 2018-06-12~2019-01-27&#10;진행 : 2018-06-12~2019-01-30&#10;실투입일수 : 167&#10;기간대비 투입율 : 101.83&#10;실투입기준 투입율 : 101.83&#10;"/>
        </xdr:cNvPr>
        <xdr:cNvSpPr/>
      </xdr:nvSpPr>
      <xdr:spPr>
        <a:xfrm>
          <a:off x="14788573" y="3931920"/>
          <a:ext cx="4821509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22</xdr:row>
      <xdr:rowOff>31432</xdr:rowOff>
    </xdr:from>
    <xdr:to>
      <xdr:col>81</xdr:col>
      <xdr:colOff>10228</xdr:colOff>
      <xdr:row>22</xdr:row>
      <xdr:rowOff>178117</xdr:rowOff>
    </xdr:to>
    <xdr:sp macro="" textlink="">
      <xdr:nvSpPr>
        <xdr:cNvPr id="494" name="직사각형 493">
          <a:hlinkClick xmlns:r="http://schemas.openxmlformats.org/officeDocument/2006/relationships" r:id="" tooltip="프로젝트명 : 서울보증보험 기업신용평가시스템 고도화&#10;성명 : 전체&#10;계약 : 2018-04-30~2019-01-15&#10;진행 : 2018-04-30~2019-02-18&#10;투입인원 : 4&#10;기간대비 투입율 : 112.83&#10;실투입기준 투입율 : 91.84&#10;"/>
        </xdr:cNvPr>
        <xdr:cNvSpPr/>
      </xdr:nvSpPr>
      <xdr:spPr>
        <a:xfrm>
          <a:off x="13894954" y="4089082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22</xdr:row>
      <xdr:rowOff>83820</xdr:rowOff>
    </xdr:from>
    <xdr:to>
      <xdr:col>86</xdr:col>
      <xdr:colOff>2437</xdr:colOff>
      <xdr:row>22</xdr:row>
      <xdr:rowOff>125729</xdr:rowOff>
    </xdr:to>
    <xdr:sp macro="" textlink="">
      <xdr:nvSpPr>
        <xdr:cNvPr id="495" name="직사각형 494">
          <a:hlinkClick xmlns:r="http://schemas.openxmlformats.org/officeDocument/2006/relationships" r:id="" tooltip="프로젝트명 : 서울보증보험 기업신용평가시스템 고도화&#10;성명 : 전체&#10;계약 : 2018-04-30~2019-01-15&#10;진행 : 2018-04-30~2019-02-18&#10;투입인원 : 4&#10;기간대비 투입율 : 112.83&#10;실투입기준 투입율 : 91.84&#10;"/>
        </xdr:cNvPr>
        <xdr:cNvSpPr/>
      </xdr:nvSpPr>
      <xdr:spPr>
        <a:xfrm>
          <a:off x="13894954" y="4141470"/>
          <a:ext cx="6109983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23</xdr:row>
      <xdr:rowOff>31432</xdr:rowOff>
    </xdr:from>
    <xdr:to>
      <xdr:col>81</xdr:col>
      <xdr:colOff>10228</xdr:colOff>
      <xdr:row>23</xdr:row>
      <xdr:rowOff>178117</xdr:rowOff>
    </xdr:to>
    <xdr:sp macro="" textlink="">
      <xdr:nvSpPr>
        <xdr:cNvPr id="496" name="직사각형 495">
          <a:hlinkClick xmlns:r="http://schemas.openxmlformats.org/officeDocument/2006/relationships" r:id="" tooltip="프로젝트명 : 서울보증보험 기업신용평가시스템 고도화&#10;성명 : 강민규&#10;계약 : 2018-04-30~2019-01-15&#10;진행 : 2018-04-30~2019-02-01&#10;실투입일수 : 200&#10;기간대비 투입율 : 106.95&#10;실투입기준 투입율 : 106.95&#10;"/>
        </xdr:cNvPr>
        <xdr:cNvSpPr/>
      </xdr:nvSpPr>
      <xdr:spPr>
        <a:xfrm>
          <a:off x="13894954" y="4298632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23</xdr:row>
      <xdr:rowOff>83820</xdr:rowOff>
    </xdr:from>
    <xdr:to>
      <xdr:col>83</xdr:col>
      <xdr:colOff>77770</xdr:colOff>
      <xdr:row>23</xdr:row>
      <xdr:rowOff>125729</xdr:rowOff>
    </xdr:to>
    <xdr:sp macro="" textlink="">
      <xdr:nvSpPr>
        <xdr:cNvPr id="497" name="직사각형 496">
          <a:hlinkClick xmlns:r="http://schemas.openxmlformats.org/officeDocument/2006/relationships" r:id="" tooltip="프로젝트명 : 서울보증보험 기업신용평가시스템 고도화&#10;성명 : 강민규&#10;계약 : 2018-04-30~2019-01-15&#10;진행 : 2018-04-30~2019-02-01&#10;실투입일수 : 200&#10;기간대비 투입율 : 106.95&#10;실투입기준 투입율 : 106.95&#10;"/>
        </xdr:cNvPr>
        <xdr:cNvSpPr/>
      </xdr:nvSpPr>
      <xdr:spPr>
        <a:xfrm>
          <a:off x="13894954" y="4351020"/>
          <a:ext cx="5756691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24</xdr:row>
      <xdr:rowOff>31432</xdr:rowOff>
    </xdr:from>
    <xdr:to>
      <xdr:col>81</xdr:col>
      <xdr:colOff>10228</xdr:colOff>
      <xdr:row>24</xdr:row>
      <xdr:rowOff>178117</xdr:rowOff>
    </xdr:to>
    <xdr:sp macro="" textlink="">
      <xdr:nvSpPr>
        <xdr:cNvPr id="498" name="직사각형 497">
          <a:hlinkClick xmlns:r="http://schemas.openxmlformats.org/officeDocument/2006/relationships" r:id="" tooltip="프로젝트명 : 서울보증보험 기업신용평가시스템 고도화&#10;성명 : 박장수&#10;계약 : 2018-04-30~2019-01-15&#10;진행 : 2018-04-30~2019-02-13&#10;실투입일수 : 208&#10;기간대비 투입율 : 111.23&#10;실투입기준 투입율 : 111.23&#10;"/>
        </xdr:cNvPr>
        <xdr:cNvSpPr/>
      </xdr:nvSpPr>
      <xdr:spPr>
        <a:xfrm>
          <a:off x="13894954" y="4508182"/>
          <a:ext cx="5403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43</xdr:col>
      <xdr:colOff>36079</xdr:colOff>
      <xdr:row>24</xdr:row>
      <xdr:rowOff>83820</xdr:rowOff>
    </xdr:from>
    <xdr:to>
      <xdr:col>85</xdr:col>
      <xdr:colOff>41402</xdr:colOff>
      <xdr:row>24</xdr:row>
      <xdr:rowOff>125729</xdr:rowOff>
    </xdr:to>
    <xdr:sp macro="" textlink="">
      <xdr:nvSpPr>
        <xdr:cNvPr id="499" name="직사각형 498">
          <a:hlinkClick xmlns:r="http://schemas.openxmlformats.org/officeDocument/2006/relationships" r:id="" tooltip="프로젝트명 : 서울보증보험 기업신용평가시스템 고도화&#10;성명 : 박장수&#10;계약 : 2018-04-30~2019-01-15&#10;진행 : 2018-04-30~2019-02-13&#10;실투입일수 : 208&#10;기간대비 투입율 : 111.23&#10;실투입기준 투입율 : 111.23&#10;"/>
        </xdr:cNvPr>
        <xdr:cNvSpPr/>
      </xdr:nvSpPr>
      <xdr:spPr>
        <a:xfrm>
          <a:off x="13894954" y="4560570"/>
          <a:ext cx="6006073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56</xdr:col>
      <xdr:colOff>90631</xdr:colOff>
      <xdr:row>25</xdr:row>
      <xdr:rowOff>31432</xdr:rowOff>
    </xdr:from>
    <xdr:to>
      <xdr:col>81</xdr:col>
      <xdr:colOff>10228</xdr:colOff>
      <xdr:row>25</xdr:row>
      <xdr:rowOff>178117</xdr:rowOff>
    </xdr:to>
    <xdr:sp macro="" textlink="">
      <xdr:nvSpPr>
        <xdr:cNvPr id="500" name="직사각형 499">
          <a:hlinkClick xmlns:r="http://schemas.openxmlformats.org/officeDocument/2006/relationships" r:id="" tooltip="프로젝트명 : 서울보증보험 기업신용평가시스템 고도화&#10;성명 : 이연경&#10;계약 : 2018-07-31~2019-01-15&#10;진행 : 2018-07-09~2019-02-18&#10;실투입일수 : 161&#10;기간대비 투입율 : 133.06&#10;실투입기준 투입율 : 133.06&#10;"/>
        </xdr:cNvPr>
        <xdr:cNvSpPr/>
      </xdr:nvSpPr>
      <xdr:spPr>
        <a:xfrm>
          <a:off x="15806881" y="4717732"/>
          <a:ext cx="34914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53</xdr:col>
      <xdr:colOff>62056</xdr:colOff>
      <xdr:row>25</xdr:row>
      <xdr:rowOff>83820</xdr:rowOff>
    </xdr:from>
    <xdr:to>
      <xdr:col>86</xdr:col>
      <xdr:colOff>2435</xdr:colOff>
      <xdr:row>25</xdr:row>
      <xdr:rowOff>125729</xdr:rowOff>
    </xdr:to>
    <xdr:sp macro="" textlink="">
      <xdr:nvSpPr>
        <xdr:cNvPr id="501" name="직사각형 500">
          <a:hlinkClick xmlns:r="http://schemas.openxmlformats.org/officeDocument/2006/relationships" r:id="" tooltip="프로젝트명 : 서울보증보험 기업신용평가시스템 고도화&#10;성명 : 이연경&#10;계약 : 2018-07-31~2019-01-15&#10;진행 : 2018-07-09~2019-02-18&#10;실투입일수 : 161&#10;기간대비 투입율 : 133.06&#10;실투입기준 투입율 : 133.06&#10;"/>
        </xdr:cNvPr>
        <xdr:cNvSpPr/>
      </xdr:nvSpPr>
      <xdr:spPr>
        <a:xfrm>
          <a:off x="15349681" y="4770120"/>
          <a:ext cx="46552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82838</xdr:colOff>
      <xdr:row>26</xdr:row>
      <xdr:rowOff>31432</xdr:rowOff>
    </xdr:from>
    <xdr:to>
      <xdr:col>74</xdr:col>
      <xdr:colOff>54390</xdr:colOff>
      <xdr:row>26</xdr:row>
      <xdr:rowOff>178117</xdr:rowOff>
    </xdr:to>
    <xdr:sp macro="" textlink="">
      <xdr:nvSpPr>
        <xdr:cNvPr id="502" name="직사각형 501">
          <a:hlinkClick xmlns:r="http://schemas.openxmlformats.org/officeDocument/2006/relationships" r:id="" tooltip="프로젝트명 : 서울보증보험 기업신용평가시스템 고도화&#10;성명 : 최재훈&#10;계약 : 2018-09-03~2018-11-30&#10;진행 : 2018-09-05~2019-02-15&#10;실투입일수 : 118&#10;기간대비 투입율 : 181.54&#10;실투입기준 투입율 : 181.54&#10;"/>
        </xdr:cNvPr>
        <xdr:cNvSpPr/>
      </xdr:nvSpPr>
      <xdr:spPr>
        <a:xfrm>
          <a:off x="16513463" y="4927282"/>
          <a:ext cx="18289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124401</xdr:colOff>
      <xdr:row>26</xdr:row>
      <xdr:rowOff>83820</xdr:rowOff>
    </xdr:from>
    <xdr:to>
      <xdr:col>85</xdr:col>
      <xdr:colOff>82965</xdr:colOff>
      <xdr:row>26</xdr:row>
      <xdr:rowOff>125729</xdr:rowOff>
    </xdr:to>
    <xdr:sp macro="" textlink="">
      <xdr:nvSpPr>
        <xdr:cNvPr id="503" name="직사각형 502">
          <a:hlinkClick xmlns:r="http://schemas.openxmlformats.org/officeDocument/2006/relationships" r:id="" tooltip="프로젝트명 : 서울보증보험 기업신용평가시스템 고도화&#10;성명 : 최재훈&#10;계약 : 2018-09-03~2018-11-30&#10;진행 : 2018-09-05~2019-02-15&#10;실투입일수 : 118&#10;기간대비 투입율 : 181.54&#10;실투입기준 투입율 : 181.54&#10;"/>
        </xdr:cNvPr>
        <xdr:cNvSpPr/>
      </xdr:nvSpPr>
      <xdr:spPr>
        <a:xfrm>
          <a:off x="16555026" y="4979670"/>
          <a:ext cx="338756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27</xdr:row>
      <xdr:rowOff>31432</xdr:rowOff>
    </xdr:from>
    <xdr:to>
      <xdr:col>90</xdr:col>
      <xdr:colOff>95955</xdr:colOff>
      <xdr:row>27</xdr:row>
      <xdr:rowOff>178117</xdr:rowOff>
    </xdr:to>
    <xdr:sp macro="" textlink="">
      <xdr:nvSpPr>
        <xdr:cNvPr id="504" name="직사각형 503">
          <a:hlinkClick xmlns:r="http://schemas.openxmlformats.org/officeDocument/2006/relationships" r:id="" tooltip="프로젝트명 : BNK지주 내부등급법 도입&#10;성명 : 전체&#10;계약 : 2019-01-07~2019-03-22&#10;진행 : 2019-01-07~2019-03-22&#10;투입인원 : 2&#10;기간대비 투입율 : 100&#10;실투입기준 투입율 : 73.41&#10;"/>
        </xdr:cNvPr>
        <xdr:cNvSpPr/>
      </xdr:nvSpPr>
      <xdr:spPr>
        <a:xfrm>
          <a:off x="19131973" y="5136832"/>
          <a:ext cx="15379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27</xdr:row>
      <xdr:rowOff>83820</xdr:rowOff>
    </xdr:from>
    <xdr:to>
      <xdr:col>90</xdr:col>
      <xdr:colOff>95955</xdr:colOff>
      <xdr:row>27</xdr:row>
      <xdr:rowOff>125729</xdr:rowOff>
    </xdr:to>
    <xdr:sp macro="" textlink="">
      <xdr:nvSpPr>
        <xdr:cNvPr id="505" name="직사각형 504">
          <a:hlinkClick xmlns:r="http://schemas.openxmlformats.org/officeDocument/2006/relationships" r:id="" tooltip="프로젝트명 : BNK지주 내부등급법 도입&#10;성명 : 전체&#10;계약 : 2019-01-07~2019-03-22&#10;진행 : 2019-01-07~2019-03-22&#10;투입인원 : 2&#10;기간대비 투입율 : 100&#10;실투입기준 투입율 : 73.41&#10;"/>
        </xdr:cNvPr>
        <xdr:cNvSpPr/>
      </xdr:nvSpPr>
      <xdr:spPr>
        <a:xfrm>
          <a:off x="19131973" y="5189220"/>
          <a:ext cx="1537982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84</xdr:col>
      <xdr:colOff>142586</xdr:colOff>
      <xdr:row>28</xdr:row>
      <xdr:rowOff>31432</xdr:rowOff>
    </xdr:from>
    <xdr:to>
      <xdr:col>90</xdr:col>
      <xdr:colOff>95953</xdr:colOff>
      <xdr:row>28</xdr:row>
      <xdr:rowOff>178117</xdr:rowOff>
    </xdr:to>
    <xdr:sp macro="" textlink="">
      <xdr:nvSpPr>
        <xdr:cNvPr id="506" name="직사각형 505">
          <a:hlinkClick xmlns:r="http://schemas.openxmlformats.org/officeDocument/2006/relationships" r:id="" tooltip="프로젝트명 : BNK지주 내부등급법 도입&#10;성명 : 강민규&#10;계약 : 2019-02-11~2019-03-22&#10;진행 : 2019-02-11~2019-03-22&#10;실투입일수 : 14.6&#10;기간대비 투입율 : 100&#10;실투입기준 투입율 : 81.11&#10;"/>
        </xdr:cNvPr>
        <xdr:cNvSpPr/>
      </xdr:nvSpPr>
      <xdr:spPr>
        <a:xfrm>
          <a:off x="19859336" y="5346382"/>
          <a:ext cx="8106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84</xdr:col>
      <xdr:colOff>142586</xdr:colOff>
      <xdr:row>28</xdr:row>
      <xdr:rowOff>83820</xdr:rowOff>
    </xdr:from>
    <xdr:to>
      <xdr:col>90</xdr:col>
      <xdr:colOff>95953</xdr:colOff>
      <xdr:row>28</xdr:row>
      <xdr:rowOff>125729</xdr:rowOff>
    </xdr:to>
    <xdr:sp macro="" textlink="">
      <xdr:nvSpPr>
        <xdr:cNvPr id="507" name="직사각형 506">
          <a:hlinkClick xmlns:r="http://schemas.openxmlformats.org/officeDocument/2006/relationships" r:id="" tooltip="프로젝트명 : BNK지주 내부등급법 도입&#10;성명 : 강민규&#10;계약 : 2019-02-11~2019-03-22&#10;진행 : 2019-02-11~2019-03-22&#10;실투입일수 : 14.6&#10;기간대비 투입율 : 100&#10;실투입기준 투입율 : 81.11&#10;"/>
        </xdr:cNvPr>
        <xdr:cNvSpPr/>
      </xdr:nvSpPr>
      <xdr:spPr>
        <a:xfrm>
          <a:off x="19859336" y="5398770"/>
          <a:ext cx="810617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29</xdr:row>
      <xdr:rowOff>31432</xdr:rowOff>
    </xdr:from>
    <xdr:to>
      <xdr:col>89</xdr:col>
      <xdr:colOff>93357</xdr:colOff>
      <xdr:row>29</xdr:row>
      <xdr:rowOff>178117</xdr:rowOff>
    </xdr:to>
    <xdr:sp macro="" textlink="">
      <xdr:nvSpPr>
        <xdr:cNvPr id="508" name="직사각형 507">
          <a:hlinkClick xmlns:r="http://schemas.openxmlformats.org/officeDocument/2006/relationships" r:id="" tooltip="프로젝트명 : BNK지주 내부등급법 도입&#10;성명 : 한창우&#10;계약 : 2019-01-07~2019-03-15&#10;진행 : 2019-01-07~2019-03-15&#10;실투입일수 : 50&#10;기간대비 투입율 : 100&#10;실투입기준 투입율 : 100&#10;"/>
        </xdr:cNvPr>
        <xdr:cNvSpPr/>
      </xdr:nvSpPr>
      <xdr:spPr>
        <a:xfrm>
          <a:off x="19131973" y="5555932"/>
          <a:ext cx="13925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29</xdr:row>
      <xdr:rowOff>83820</xdr:rowOff>
    </xdr:from>
    <xdr:to>
      <xdr:col>89</xdr:col>
      <xdr:colOff>93357</xdr:colOff>
      <xdr:row>29</xdr:row>
      <xdr:rowOff>125729</xdr:rowOff>
    </xdr:to>
    <xdr:sp macro="" textlink="">
      <xdr:nvSpPr>
        <xdr:cNvPr id="509" name="직사각형 508">
          <a:hlinkClick xmlns:r="http://schemas.openxmlformats.org/officeDocument/2006/relationships" r:id="" tooltip="프로젝트명 : BNK지주 내부등급법 도입&#10;성명 : 한창우&#10;계약 : 2019-01-07~2019-03-15&#10;진행 : 2019-01-07~2019-03-15&#10;실투입일수 : 50&#10;기간대비 투입율 : 100&#10;실투입기준 투입율 : 100&#10;"/>
        </xdr:cNvPr>
        <xdr:cNvSpPr/>
      </xdr:nvSpPr>
      <xdr:spPr>
        <a:xfrm>
          <a:off x="19131973" y="5608320"/>
          <a:ext cx="1392509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39</xdr:col>
      <xdr:colOff>4906</xdr:colOff>
      <xdr:row>30</xdr:row>
      <xdr:rowOff>31432</xdr:rowOff>
    </xdr:from>
    <xdr:to>
      <xdr:col>74</xdr:col>
      <xdr:colOff>54390</xdr:colOff>
      <xdr:row>30</xdr:row>
      <xdr:rowOff>178117</xdr:rowOff>
    </xdr:to>
    <xdr:sp macro="" textlink="">
      <xdr:nvSpPr>
        <xdr:cNvPr id="510" name="직사각형 509">
          <a:hlinkClick xmlns:r="http://schemas.openxmlformats.org/officeDocument/2006/relationships" r:id="" tooltip="프로젝트명 : JB금융지주 그룹 신용리스크 내부등급법 시스템 구축&#10;성명 : 전체&#10;계약 : 2018-04-01~2018-11-30&#10;진행 : 2018-05-08~2019-02-22&#10;투입인원 : 1&#10;기간대비 투입율 : 119.43&#10;실투입기준 투입율 : 119.43&#10;"/>
        </xdr:cNvPr>
        <xdr:cNvSpPr/>
      </xdr:nvSpPr>
      <xdr:spPr>
        <a:xfrm>
          <a:off x="13292281" y="5765482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59458</xdr:colOff>
      <xdr:row>30</xdr:row>
      <xdr:rowOff>83820</xdr:rowOff>
    </xdr:from>
    <xdr:to>
      <xdr:col>86</xdr:col>
      <xdr:colOff>85562</xdr:colOff>
      <xdr:row>30</xdr:row>
      <xdr:rowOff>125729</xdr:rowOff>
    </xdr:to>
    <xdr:sp macro="" textlink="">
      <xdr:nvSpPr>
        <xdr:cNvPr id="511" name="직사각형 510">
          <a:hlinkClick xmlns:r="http://schemas.openxmlformats.org/officeDocument/2006/relationships" r:id="" tooltip="프로젝트명 : JB금융지주 그룹 신용리스크 내부등급법 시스템 구축&#10;성명 : 전체&#10;계약 : 2018-04-01~2018-11-30&#10;진행 : 2018-05-08~2019-02-22&#10;투입인원 : 1&#10;기간대비 투입율 : 119.43&#10;실투입기준 투입율 : 119.43&#10;"/>
        </xdr:cNvPr>
        <xdr:cNvSpPr/>
      </xdr:nvSpPr>
      <xdr:spPr>
        <a:xfrm>
          <a:off x="14061208" y="5817870"/>
          <a:ext cx="60268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39</xdr:col>
      <xdr:colOff>4906</xdr:colOff>
      <xdr:row>31</xdr:row>
      <xdr:rowOff>31432</xdr:rowOff>
    </xdr:from>
    <xdr:to>
      <xdr:col>74</xdr:col>
      <xdr:colOff>54390</xdr:colOff>
      <xdr:row>31</xdr:row>
      <xdr:rowOff>178117</xdr:rowOff>
    </xdr:to>
    <xdr:sp macro="" textlink="">
      <xdr:nvSpPr>
        <xdr:cNvPr id="512" name="직사각형 511">
          <a:hlinkClick xmlns:r="http://schemas.openxmlformats.org/officeDocument/2006/relationships" r:id="" tooltip="프로젝트명 : JB금융지주 그룹 신용리스크 내부등급법 시스템 구축&#10;성명 : 박지웅&#10;계약 : 2018-04-01~2018-11-30&#10;진행 : 2018-05-08~2019-02-22&#10;실투입일수 : 209&#10;기간대비 투입율 : 119.43&#10;실투입기준 투입율 : 119.43&#10;"/>
        </xdr:cNvPr>
        <xdr:cNvSpPr/>
      </xdr:nvSpPr>
      <xdr:spPr>
        <a:xfrm>
          <a:off x="13292281" y="5975032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59458</xdr:colOff>
      <xdr:row>31</xdr:row>
      <xdr:rowOff>83820</xdr:rowOff>
    </xdr:from>
    <xdr:to>
      <xdr:col>86</xdr:col>
      <xdr:colOff>85562</xdr:colOff>
      <xdr:row>31</xdr:row>
      <xdr:rowOff>125729</xdr:rowOff>
    </xdr:to>
    <xdr:sp macro="" textlink="">
      <xdr:nvSpPr>
        <xdr:cNvPr id="513" name="직사각형 512">
          <a:hlinkClick xmlns:r="http://schemas.openxmlformats.org/officeDocument/2006/relationships" r:id="" tooltip="프로젝트명 : JB금융지주 그룹 신용리스크 내부등급법 시스템 구축&#10;성명 : 박지웅&#10;계약 : 2018-04-01~2018-11-30&#10;진행 : 2018-05-08~2019-02-22&#10;실투입일수 : 209&#10;기간대비 투입율 : 119.43&#10;실투입기준 투입율 : 119.43&#10;"/>
        </xdr:cNvPr>
        <xdr:cNvSpPr/>
      </xdr:nvSpPr>
      <xdr:spPr>
        <a:xfrm>
          <a:off x="14061208" y="6027420"/>
          <a:ext cx="6026854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32</xdr:row>
      <xdr:rowOff>31432</xdr:rowOff>
    </xdr:from>
    <xdr:to>
      <xdr:col>77</xdr:col>
      <xdr:colOff>62183</xdr:colOff>
      <xdr:row>32</xdr:row>
      <xdr:rowOff>178117</xdr:rowOff>
    </xdr:to>
    <xdr:sp macro="" textlink="">
      <xdr:nvSpPr>
        <xdr:cNvPr id="514" name="직사각형 513">
          <a:hlinkClick xmlns:r="http://schemas.openxmlformats.org/officeDocument/2006/relationships" r:id="" tooltip="프로젝트명 : 하나은행 기업신용평가 프로세스 개선&#10;성명 : 전체&#10;계약 : 2018-10-25~2018-12-21&#10;진행 : 2018-10-25~2019-01-04&#10;투입인원 : 1&#10;기간대비 투입율 : 123.81&#10;실투입기준 투입율 : 123.81&#10;"/>
        </xdr:cNvPr>
        <xdr:cNvSpPr/>
      </xdr:nvSpPr>
      <xdr:spPr>
        <a:xfrm>
          <a:off x="17594118" y="6184582"/>
          <a:ext cx="118469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32</xdr:row>
      <xdr:rowOff>83820</xdr:rowOff>
    </xdr:from>
    <xdr:to>
      <xdr:col>79</xdr:col>
      <xdr:colOff>67378</xdr:colOff>
      <xdr:row>32</xdr:row>
      <xdr:rowOff>125729</xdr:rowOff>
    </xdr:to>
    <xdr:sp macro="" textlink="">
      <xdr:nvSpPr>
        <xdr:cNvPr id="515" name="직사각형 514">
          <a:hlinkClick xmlns:r="http://schemas.openxmlformats.org/officeDocument/2006/relationships" r:id="" tooltip="프로젝트명 : 하나은행 기업신용평가 프로세스 개선&#10;성명 : 전체&#10;계약 : 2018-10-25~2018-12-21&#10;진행 : 2018-10-25~2019-01-04&#10;투입인원 : 1&#10;기간대비 투입율 : 123.81&#10;실투입기준 투입율 : 123.81&#10;"/>
        </xdr:cNvPr>
        <xdr:cNvSpPr/>
      </xdr:nvSpPr>
      <xdr:spPr>
        <a:xfrm>
          <a:off x="17594118" y="6236970"/>
          <a:ext cx="147563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33</xdr:row>
      <xdr:rowOff>31432</xdr:rowOff>
    </xdr:from>
    <xdr:to>
      <xdr:col>77</xdr:col>
      <xdr:colOff>62183</xdr:colOff>
      <xdr:row>33</xdr:row>
      <xdr:rowOff>178117</xdr:rowOff>
    </xdr:to>
    <xdr:sp macro="" textlink="">
      <xdr:nvSpPr>
        <xdr:cNvPr id="516" name="직사각형 515">
          <a:hlinkClick xmlns:r="http://schemas.openxmlformats.org/officeDocument/2006/relationships" r:id="" tooltip="프로젝트명 : 하나은행 기업신용평가 프로세스 개선&#10;성명 : 이재진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7594118" y="6394132"/>
          <a:ext cx="118469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69</xdr:col>
      <xdr:colOff>20493</xdr:colOff>
      <xdr:row>33</xdr:row>
      <xdr:rowOff>83820</xdr:rowOff>
    </xdr:from>
    <xdr:to>
      <xdr:col>79</xdr:col>
      <xdr:colOff>67378</xdr:colOff>
      <xdr:row>33</xdr:row>
      <xdr:rowOff>125729</xdr:rowOff>
    </xdr:to>
    <xdr:sp macro="" textlink="">
      <xdr:nvSpPr>
        <xdr:cNvPr id="517" name="직사각형 516">
          <a:hlinkClick xmlns:r="http://schemas.openxmlformats.org/officeDocument/2006/relationships" r:id="" tooltip="프로젝트명 : 하나은행 기업신용평가 프로세스 개선&#10;성명 : 이재진&#10;계약 : 2018-10-25~2018-12-21&#10;진행 : 2018-10-25~2019-01-04&#10;실투입일수 : 52&#10;기간대비 투입율 : 123.81&#10;실투입기준 투입율 : 123.81&#10;"/>
        </xdr:cNvPr>
        <xdr:cNvSpPr/>
      </xdr:nvSpPr>
      <xdr:spPr>
        <a:xfrm>
          <a:off x="17594118" y="6446520"/>
          <a:ext cx="1475635" cy="41909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34</xdr:row>
      <xdr:rowOff>31432</xdr:rowOff>
    </xdr:from>
    <xdr:to>
      <xdr:col>137</xdr:col>
      <xdr:colOff>134918</xdr:colOff>
      <xdr:row>34</xdr:row>
      <xdr:rowOff>178117</xdr:rowOff>
    </xdr:to>
    <xdr:sp macro="" textlink="">
      <xdr:nvSpPr>
        <xdr:cNvPr id="518" name="직사각형 517">
          <a:hlinkClick xmlns:r="http://schemas.openxmlformats.org/officeDocument/2006/relationships" r:id="" tooltip="프로젝트명 : 국민은행 Rule기반 기업여신 자동심사승인 모형&#10;성명 : 전체&#10;계약 : 2019-03-11~2020-02-10&#10;진행 : 2019-03-12~2020-02-10&#10;투입인원 : 6&#10;기간대비 투입율 : 99.59&#10;실투입기준 투입율 : 75.73&#10;"/>
        </xdr:cNvPr>
        <xdr:cNvSpPr/>
      </xdr:nvSpPr>
      <xdr:spPr>
        <a:xfrm>
          <a:off x="20441226" y="6603682"/>
          <a:ext cx="69828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34</xdr:row>
      <xdr:rowOff>83819</xdr:rowOff>
    </xdr:from>
    <xdr:to>
      <xdr:col>137</xdr:col>
      <xdr:colOff>134918</xdr:colOff>
      <xdr:row>34</xdr:row>
      <xdr:rowOff>125729</xdr:rowOff>
    </xdr:to>
    <xdr:sp macro="" textlink="">
      <xdr:nvSpPr>
        <xdr:cNvPr id="519" name="직사각형 518">
          <a:hlinkClick xmlns:r="http://schemas.openxmlformats.org/officeDocument/2006/relationships" r:id="" tooltip="프로젝트명 : 국민은행 Rule기반 기업여신 자동심사승인 모형&#10;성명 : 전체&#10;계약 : 2019-03-11~2020-02-10&#10;진행 : 2019-03-12~2020-02-10&#10;투입인원 : 6&#10;기간대비 투입율 : 99.59&#10;실투입기준 투입율 : 75.73&#10;"/>
        </xdr:cNvPr>
        <xdr:cNvSpPr/>
      </xdr:nvSpPr>
      <xdr:spPr>
        <a:xfrm>
          <a:off x="20462008" y="6656069"/>
          <a:ext cx="6962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35</xdr:row>
      <xdr:rowOff>31432</xdr:rowOff>
    </xdr:from>
    <xdr:to>
      <xdr:col>137</xdr:col>
      <xdr:colOff>134918</xdr:colOff>
      <xdr:row>35</xdr:row>
      <xdr:rowOff>178117</xdr:rowOff>
    </xdr:to>
    <xdr:sp macro="" textlink="">
      <xdr:nvSpPr>
        <xdr:cNvPr id="520" name="직사각형 519">
          <a:hlinkClick xmlns:r="http://schemas.openxmlformats.org/officeDocument/2006/relationships" r:id="" tooltip="프로젝트명 : 국민은행 Rule기반 기업여신 자동심사승인 모형&#10;성명 : 박장수&#10;계약 : 2019-03-11~2020-02-10&#10;진행 : 2019-03-12~2020-02-10&#10;실투입일수 : 240&#10;기간대비 투입율 : 99.59&#10;실투입기준 투입율 : 99.59&#10;"/>
        </xdr:cNvPr>
        <xdr:cNvSpPr/>
      </xdr:nvSpPr>
      <xdr:spPr>
        <a:xfrm>
          <a:off x="20441226" y="6813232"/>
          <a:ext cx="698281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35</xdr:row>
      <xdr:rowOff>83819</xdr:rowOff>
    </xdr:from>
    <xdr:to>
      <xdr:col>137</xdr:col>
      <xdr:colOff>134918</xdr:colOff>
      <xdr:row>35</xdr:row>
      <xdr:rowOff>125729</xdr:rowOff>
    </xdr:to>
    <xdr:sp macro="" textlink="">
      <xdr:nvSpPr>
        <xdr:cNvPr id="521" name="직사각형 520">
          <a:hlinkClick xmlns:r="http://schemas.openxmlformats.org/officeDocument/2006/relationships" r:id="" tooltip="프로젝트명 : 국민은행 Rule기반 기업여신 자동심사승인 모형&#10;성명 : 박장수&#10;계약 : 2019-03-11~2020-02-10&#10;진행 : 2019-03-12~2020-02-10&#10;실투입일수 : 240&#10;기간대비 투입율 : 99.59&#10;실투입기준 투입율 : 99.59&#10;"/>
        </xdr:cNvPr>
        <xdr:cNvSpPr/>
      </xdr:nvSpPr>
      <xdr:spPr>
        <a:xfrm>
          <a:off x="20462008" y="6865619"/>
          <a:ext cx="6962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91</xdr:col>
      <xdr:colOff>15298</xdr:colOff>
      <xdr:row>36</xdr:row>
      <xdr:rowOff>31432</xdr:rowOff>
    </xdr:from>
    <xdr:to>
      <xdr:col>128</xdr:col>
      <xdr:colOff>132323</xdr:colOff>
      <xdr:row>36</xdr:row>
      <xdr:rowOff>178117</xdr:rowOff>
    </xdr:to>
    <xdr:sp macro="" textlink="">
      <xdr:nvSpPr>
        <xdr:cNvPr id="522" name="직사각형 521">
          <a:hlinkClick xmlns:r="http://schemas.openxmlformats.org/officeDocument/2006/relationships" r:id="" tooltip="프로젝트명 : 국민은행 Rule기반 기업여신 자동심사승인 모형&#10;성명 : 박지웅&#10;계약 : 2019-03-25~2019-12-10&#10;진행 : 2019-03-12~2019-12-10&#10;실투입일수 : 196&#10;기간대비 투입율 : 104.81&#10;실투입기준 투입율 : 104.81&#10;"/>
        </xdr:cNvPr>
        <xdr:cNvSpPr/>
      </xdr:nvSpPr>
      <xdr:spPr>
        <a:xfrm>
          <a:off x="20732173" y="7022782"/>
          <a:ext cx="540340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36</xdr:row>
      <xdr:rowOff>83819</xdr:rowOff>
    </xdr:from>
    <xdr:to>
      <xdr:col>128</xdr:col>
      <xdr:colOff>132320</xdr:colOff>
      <xdr:row>36</xdr:row>
      <xdr:rowOff>125729</xdr:rowOff>
    </xdr:to>
    <xdr:sp macro="" textlink="">
      <xdr:nvSpPr>
        <xdr:cNvPr id="523" name="직사각형 522">
          <a:hlinkClick xmlns:r="http://schemas.openxmlformats.org/officeDocument/2006/relationships" r:id="" tooltip="프로젝트명 : 국민은행 Rule기반 기업여신 자동심사승인 모형&#10;성명 : 박지웅&#10;계약 : 2019-03-25~2019-12-10&#10;진행 : 2019-03-12~2019-12-10&#10;실투입일수 : 196&#10;기간대비 투입율 : 104.81&#10;실투입기준 투입율 : 104.81&#10;"/>
        </xdr:cNvPr>
        <xdr:cNvSpPr/>
      </xdr:nvSpPr>
      <xdr:spPr>
        <a:xfrm>
          <a:off x="20462008" y="7075169"/>
          <a:ext cx="567356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91</xdr:col>
      <xdr:colOff>15298</xdr:colOff>
      <xdr:row>37</xdr:row>
      <xdr:rowOff>31432</xdr:rowOff>
    </xdr:from>
    <xdr:to>
      <xdr:col>137</xdr:col>
      <xdr:colOff>134918</xdr:colOff>
      <xdr:row>37</xdr:row>
      <xdr:rowOff>178117</xdr:rowOff>
    </xdr:to>
    <xdr:sp macro="" textlink="">
      <xdr:nvSpPr>
        <xdr:cNvPr id="524" name="직사각형 523">
          <a:hlinkClick xmlns:r="http://schemas.openxmlformats.org/officeDocument/2006/relationships" r:id="" tooltip="프로젝트명 : 국민은행 Rule기반 기업여신 자동심사승인 모형&#10;성명 : 배재영&#10;계약 : 2019-03-25~2020-02-10&#10;진행 : 2019-04-01~2020-02-10&#10;실투입일수 : 226&#10;기간대비 투입율 : 97.84&#10;실투입기준 투입율 : 97.84&#10;"/>
        </xdr:cNvPr>
        <xdr:cNvSpPr/>
      </xdr:nvSpPr>
      <xdr:spPr>
        <a:xfrm>
          <a:off x="20732173" y="7232332"/>
          <a:ext cx="669187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92</xdr:col>
      <xdr:colOff>17895</xdr:colOff>
      <xdr:row>37</xdr:row>
      <xdr:rowOff>83819</xdr:rowOff>
    </xdr:from>
    <xdr:to>
      <xdr:col>137</xdr:col>
      <xdr:colOff>134918</xdr:colOff>
      <xdr:row>37</xdr:row>
      <xdr:rowOff>125729</xdr:rowOff>
    </xdr:to>
    <xdr:sp macro="" textlink="">
      <xdr:nvSpPr>
        <xdr:cNvPr id="525" name="직사각형 524">
          <a:hlinkClick xmlns:r="http://schemas.openxmlformats.org/officeDocument/2006/relationships" r:id="" tooltip="프로젝트명 : 국민은행 Rule기반 기업여신 자동심사승인 모형&#10;성명 : 배재영&#10;계약 : 2019-03-25~2020-02-10&#10;진행 : 2019-04-01~2020-02-10&#10;실투입일수 : 226&#10;기간대비 투입율 : 97.84&#10;실투입기준 투입율 : 97.84&#10;"/>
        </xdr:cNvPr>
        <xdr:cNvSpPr/>
      </xdr:nvSpPr>
      <xdr:spPr>
        <a:xfrm>
          <a:off x="20877645" y="7284719"/>
          <a:ext cx="6546398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38</xdr:row>
      <xdr:rowOff>31432</xdr:rowOff>
    </xdr:from>
    <xdr:to>
      <xdr:col>133</xdr:col>
      <xdr:colOff>62182</xdr:colOff>
      <xdr:row>38</xdr:row>
      <xdr:rowOff>178117</xdr:rowOff>
    </xdr:to>
    <xdr:sp macro="" textlink="">
      <xdr:nvSpPr>
        <xdr:cNvPr id="526" name="직사각형 525">
          <a:hlinkClick xmlns:r="http://schemas.openxmlformats.org/officeDocument/2006/relationships" r:id="" tooltip="프로젝트명 : 국민은행 Rule기반 기업여신 자동심사승인 모형&#10;성명 : 이연경&#10;계약 : 2019-03-11~2020-01-10&#10;진행 : 2019-03-12~2020-01-10&#10;실투입일수 : 219&#10;기간대비 투입율 : 99.55&#10;실투입기준 투입율 : 99.55&#10;"/>
        </xdr:cNvPr>
        <xdr:cNvSpPr/>
      </xdr:nvSpPr>
      <xdr:spPr>
        <a:xfrm>
          <a:off x="20441226" y="7441882"/>
          <a:ext cx="633858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38</xdr:row>
      <xdr:rowOff>83819</xdr:rowOff>
    </xdr:from>
    <xdr:to>
      <xdr:col>133</xdr:col>
      <xdr:colOff>62182</xdr:colOff>
      <xdr:row>38</xdr:row>
      <xdr:rowOff>125729</xdr:rowOff>
    </xdr:to>
    <xdr:sp macro="" textlink="">
      <xdr:nvSpPr>
        <xdr:cNvPr id="527" name="직사각형 526">
          <a:hlinkClick xmlns:r="http://schemas.openxmlformats.org/officeDocument/2006/relationships" r:id="" tooltip="프로젝트명 : 국민은행 Rule기반 기업여신 자동심사승인 모형&#10;성명 : 이연경&#10;계약 : 2019-03-11~2020-01-10&#10;진행 : 2019-03-12~2020-01-10&#10;실투입일수 : 219&#10;기간대비 투입율 : 99.55&#10;실투입기준 투입율 : 99.55&#10;"/>
        </xdr:cNvPr>
        <xdr:cNvSpPr/>
      </xdr:nvSpPr>
      <xdr:spPr>
        <a:xfrm>
          <a:off x="20462008" y="7494269"/>
          <a:ext cx="631779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39</xdr:row>
      <xdr:rowOff>31432</xdr:rowOff>
    </xdr:from>
    <xdr:to>
      <xdr:col>97</xdr:col>
      <xdr:colOff>114137</xdr:colOff>
      <xdr:row>39</xdr:row>
      <xdr:rowOff>178117</xdr:rowOff>
    </xdr:to>
    <xdr:sp macro="" textlink="">
      <xdr:nvSpPr>
        <xdr:cNvPr id="528" name="직사각형 527">
          <a:hlinkClick xmlns:r="http://schemas.openxmlformats.org/officeDocument/2006/relationships" r:id="" tooltip="프로젝트명 : 국민은행 Rule기반 기업여신 자동심사승인 모형&#10;성명 : 이재진&#10;계약 : 2019-03-11~2019-05-10&#10;진행 : 2019-03-12~2019-05-10&#10;실투입일수 : 44&#10;기간대비 투입율 : 97.78&#10;실투입기준 투입율 : 97.78&#10;"/>
        </xdr:cNvPr>
        <xdr:cNvSpPr/>
      </xdr:nvSpPr>
      <xdr:spPr>
        <a:xfrm>
          <a:off x="20441226" y="7651432"/>
          <a:ext cx="124703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30883</xdr:colOff>
      <xdr:row>39</xdr:row>
      <xdr:rowOff>83819</xdr:rowOff>
    </xdr:from>
    <xdr:to>
      <xdr:col>97</xdr:col>
      <xdr:colOff>114137</xdr:colOff>
      <xdr:row>39</xdr:row>
      <xdr:rowOff>125729</xdr:rowOff>
    </xdr:to>
    <xdr:sp macro="" textlink="">
      <xdr:nvSpPr>
        <xdr:cNvPr id="529" name="직사각형 528">
          <a:hlinkClick xmlns:r="http://schemas.openxmlformats.org/officeDocument/2006/relationships" r:id="" tooltip="프로젝트명 : 국민은행 Rule기반 기업여신 자동심사승인 모형&#10;성명 : 이재진&#10;계약 : 2019-03-11~2019-05-10&#10;진행 : 2019-03-12~2019-05-10&#10;실투입일수 : 44&#10;기간대비 투입율 : 97.78&#10;실투입기준 투입율 : 97.78&#10;"/>
        </xdr:cNvPr>
        <xdr:cNvSpPr/>
      </xdr:nvSpPr>
      <xdr:spPr>
        <a:xfrm>
          <a:off x="20462008" y="7703819"/>
          <a:ext cx="12262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40</xdr:row>
      <xdr:rowOff>31432</xdr:rowOff>
    </xdr:from>
    <xdr:to>
      <xdr:col>124</xdr:col>
      <xdr:colOff>80367</xdr:colOff>
      <xdr:row>40</xdr:row>
      <xdr:rowOff>178117</xdr:rowOff>
    </xdr:to>
    <xdr:sp macro="" textlink="">
      <xdr:nvSpPr>
        <xdr:cNvPr id="530" name="직사각형 529">
          <a:hlinkClick xmlns:r="http://schemas.openxmlformats.org/officeDocument/2006/relationships" r:id="" tooltip="프로젝트명 : 국민은행 Rule기반 기업여신 자동심사승인 모형&#10;성명 : 최재훈&#10;계약 : 2019-03-11~2019-11-10&#10;진행 : 2019-03-18~2019-11-08&#10;실투입일수 : 170&#10;기간대비 투입율 : 97.14&#10;실투입기준 투입율 : 97.14&#10;"/>
        </xdr:cNvPr>
        <xdr:cNvSpPr/>
      </xdr:nvSpPr>
      <xdr:spPr>
        <a:xfrm>
          <a:off x="20441226" y="7860982"/>
          <a:ext cx="507089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90</xdr:col>
      <xdr:colOff>12700</xdr:colOff>
      <xdr:row>40</xdr:row>
      <xdr:rowOff>83819</xdr:rowOff>
    </xdr:from>
    <xdr:to>
      <xdr:col>124</xdr:col>
      <xdr:colOff>38803</xdr:colOff>
      <xdr:row>40</xdr:row>
      <xdr:rowOff>125729</xdr:rowOff>
    </xdr:to>
    <xdr:sp macro="" textlink="">
      <xdr:nvSpPr>
        <xdr:cNvPr id="531" name="직사각형 530">
          <a:hlinkClick xmlns:r="http://schemas.openxmlformats.org/officeDocument/2006/relationships" r:id="" tooltip="프로젝트명 : 국민은행 Rule기반 기업여신 자동심사승인 모형&#10;성명 : 최재훈&#10;계약 : 2019-03-11~2019-11-10&#10;진행 : 2019-03-18~2019-11-08&#10;실투입일수 : 170&#10;기간대비 투입율 : 97.14&#10;실투입기준 투입율 : 97.14&#10;"/>
        </xdr:cNvPr>
        <xdr:cNvSpPr/>
      </xdr:nvSpPr>
      <xdr:spPr>
        <a:xfrm>
          <a:off x="20586700" y="7913369"/>
          <a:ext cx="4883853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41</xdr:row>
      <xdr:rowOff>31432</xdr:rowOff>
    </xdr:from>
    <xdr:to>
      <xdr:col>80</xdr:col>
      <xdr:colOff>7632</xdr:colOff>
      <xdr:row>41</xdr:row>
      <xdr:rowOff>178117</xdr:rowOff>
    </xdr:to>
    <xdr:sp macro="" textlink="">
      <xdr:nvSpPr>
        <xdr:cNvPr id="532" name="직사각형 531">
          <a:hlinkClick xmlns:r="http://schemas.openxmlformats.org/officeDocument/2006/relationships" r:id="" tooltip="프로젝트명 : 농협금융 일반기업 신용평가모형 개선 개발&#10;성명 : 전체&#10;계약 : 2018-04-09~2019-01-08&#10;진행 : 2018-04-09~2019-02-22&#10;투입인원 : 2&#10;기간대비 투입율 : 116.75&#10;실투입기준 투입율 : 100.76&#10;"/>
        </xdr:cNvPr>
        <xdr:cNvSpPr/>
      </xdr:nvSpPr>
      <xdr:spPr>
        <a:xfrm>
          <a:off x="13458536" y="8070532"/>
          <a:ext cx="569434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41</xdr:row>
      <xdr:rowOff>83819</xdr:rowOff>
    </xdr:from>
    <xdr:to>
      <xdr:col>86</xdr:col>
      <xdr:colOff>85563</xdr:colOff>
      <xdr:row>41</xdr:row>
      <xdr:rowOff>125729</xdr:rowOff>
    </xdr:to>
    <xdr:sp macro="" textlink="">
      <xdr:nvSpPr>
        <xdr:cNvPr id="533" name="직사각형 532">
          <a:hlinkClick xmlns:r="http://schemas.openxmlformats.org/officeDocument/2006/relationships" r:id="" tooltip="프로젝트명 : 농협금융 일반기업 신용평가모형 개선 개발&#10;성명 : 전체&#10;계약 : 2018-04-09~2019-01-08&#10;진행 : 2018-04-09~2019-02-22&#10;투입인원 : 2&#10;기간대비 투입율 : 116.75&#10;실투입기준 투입율 : 100.76&#10;"/>
        </xdr:cNvPr>
        <xdr:cNvSpPr/>
      </xdr:nvSpPr>
      <xdr:spPr>
        <a:xfrm>
          <a:off x="13458536" y="8122919"/>
          <a:ext cx="66295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42</xdr:row>
      <xdr:rowOff>31432</xdr:rowOff>
    </xdr:from>
    <xdr:to>
      <xdr:col>80</xdr:col>
      <xdr:colOff>7632</xdr:colOff>
      <xdr:row>42</xdr:row>
      <xdr:rowOff>178117</xdr:rowOff>
    </xdr:to>
    <xdr:sp macro="" textlink="">
      <xdr:nvSpPr>
        <xdr:cNvPr id="534" name="직사각형 533">
          <a:hlinkClick xmlns:r="http://schemas.openxmlformats.org/officeDocument/2006/relationships" r:id="" tooltip="프로젝트명 : 농협금융 일반기업 신용평가모형 개선 개발&#10;성명 : 송효임&#10;계약 : 2018-04-09~2019-01-08&#10;진행 : 2018-04-09~2019-02-22&#10;실투입일수 : 230&#10;기간대비 투입율 : 116.75&#10;실투입기준 투입율 : 116.75&#10;"/>
        </xdr:cNvPr>
        <xdr:cNvSpPr/>
      </xdr:nvSpPr>
      <xdr:spPr>
        <a:xfrm>
          <a:off x="13458536" y="8280082"/>
          <a:ext cx="569434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28286</xdr:colOff>
      <xdr:row>42</xdr:row>
      <xdr:rowOff>83819</xdr:rowOff>
    </xdr:from>
    <xdr:to>
      <xdr:col>86</xdr:col>
      <xdr:colOff>85563</xdr:colOff>
      <xdr:row>42</xdr:row>
      <xdr:rowOff>125729</xdr:rowOff>
    </xdr:to>
    <xdr:sp macro="" textlink="">
      <xdr:nvSpPr>
        <xdr:cNvPr id="535" name="직사각형 534">
          <a:hlinkClick xmlns:r="http://schemas.openxmlformats.org/officeDocument/2006/relationships" r:id="" tooltip="프로젝트명 : 농협금융 일반기업 신용평가모형 개선 개발&#10;성명 : 송효임&#10;계약 : 2018-04-09~2019-01-08&#10;진행 : 2018-04-09~2019-02-22&#10;실투입일수 : 230&#10;기간대비 투입율 : 116.75&#10;실투입기준 투입율 : 116.75&#10;"/>
        </xdr:cNvPr>
        <xdr:cNvSpPr/>
      </xdr:nvSpPr>
      <xdr:spPr>
        <a:xfrm>
          <a:off x="13458536" y="8332469"/>
          <a:ext cx="66295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44</xdr:col>
      <xdr:colOff>80241</xdr:colOff>
      <xdr:row>43</xdr:row>
      <xdr:rowOff>31432</xdr:rowOff>
    </xdr:from>
    <xdr:to>
      <xdr:col>75</xdr:col>
      <xdr:colOff>77770</xdr:colOff>
      <xdr:row>43</xdr:row>
      <xdr:rowOff>178117</xdr:rowOff>
    </xdr:to>
    <xdr:sp macro="" textlink="">
      <xdr:nvSpPr>
        <xdr:cNvPr id="536" name="직사각형 535">
          <a:hlinkClick xmlns:r="http://schemas.openxmlformats.org/officeDocument/2006/relationships" r:id="" tooltip="프로젝트명 : 농협금융 일반기업 신용평가모형 개선 개발&#10;성명 : 장주리&#10;계약 : 2018-05-09~2018-12-08&#10;진행 : 2018-05-28~2019-01-15&#10;실투입일수 : 167&#10;기간대비 투입율 : 109.15&#10;실투입기준 투입율 : 109.15&#10;"/>
        </xdr:cNvPr>
        <xdr:cNvSpPr/>
      </xdr:nvSpPr>
      <xdr:spPr>
        <a:xfrm>
          <a:off x="14081991" y="8489632"/>
          <a:ext cx="44266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47</xdr:col>
      <xdr:colOff>46470</xdr:colOff>
      <xdr:row>43</xdr:row>
      <xdr:rowOff>83819</xdr:rowOff>
    </xdr:from>
    <xdr:to>
      <xdr:col>81</xdr:col>
      <xdr:colOff>10228</xdr:colOff>
      <xdr:row>43</xdr:row>
      <xdr:rowOff>125729</xdr:rowOff>
    </xdr:to>
    <xdr:sp macro="" textlink="">
      <xdr:nvSpPr>
        <xdr:cNvPr id="537" name="직사각형 536">
          <a:hlinkClick xmlns:r="http://schemas.openxmlformats.org/officeDocument/2006/relationships" r:id="" tooltip="프로젝트명 : 농협금융 일반기업 신용평가모형 개선 개발&#10;성명 : 장주리&#10;계약 : 2018-05-09~2018-12-08&#10;진행 : 2018-05-28~2019-01-15&#10;실투입일수 : 167&#10;기간대비 투입율 : 109.15&#10;실투입기준 투입율 : 109.15&#10;"/>
        </xdr:cNvPr>
        <xdr:cNvSpPr/>
      </xdr:nvSpPr>
      <xdr:spPr>
        <a:xfrm>
          <a:off x="14476845" y="8542019"/>
          <a:ext cx="4821508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44</xdr:row>
      <xdr:rowOff>31432</xdr:rowOff>
    </xdr:from>
    <xdr:to>
      <xdr:col>115</xdr:col>
      <xdr:colOff>15425</xdr:colOff>
      <xdr:row>44</xdr:row>
      <xdr:rowOff>178117</xdr:rowOff>
    </xdr:to>
    <xdr:sp macro="" textlink="">
      <xdr:nvSpPr>
        <xdr:cNvPr id="538" name="직사각형 537">
          <a:hlinkClick xmlns:r="http://schemas.openxmlformats.org/officeDocument/2006/relationships" r:id="" tooltip="프로젝트명 : 농협중앙회 신용평가모형 개선&#10;성명 : 전체&#10;계약 : 2019-01-07~2019-09-06&#10;진행 : 2019-01-07~2019-09-27&#10;투입인원 : 4&#10;기간대비 투입율 : 108.57&#10;실투입기준 투입율 : 71.43&#10;"/>
        </xdr:cNvPr>
        <xdr:cNvSpPr/>
      </xdr:nvSpPr>
      <xdr:spPr>
        <a:xfrm>
          <a:off x="19131973" y="8699182"/>
          <a:ext cx="50293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44</xdr:row>
      <xdr:rowOff>83819</xdr:rowOff>
    </xdr:from>
    <xdr:to>
      <xdr:col>118</xdr:col>
      <xdr:colOff>23218</xdr:colOff>
      <xdr:row>44</xdr:row>
      <xdr:rowOff>125729</xdr:rowOff>
    </xdr:to>
    <xdr:sp macro="" textlink="">
      <xdr:nvSpPr>
        <xdr:cNvPr id="539" name="직사각형 538">
          <a:hlinkClick xmlns:r="http://schemas.openxmlformats.org/officeDocument/2006/relationships" r:id="" tooltip="프로젝트명 : 농협중앙회 신용평가모형 개선&#10;성명 : 전체&#10;계약 : 2019-01-07~2019-09-06&#10;진행 : 2019-01-07~2019-09-27&#10;투입인원 : 4&#10;기간대비 투입율 : 108.57&#10;실투입기준 투입율 : 71.43&#10;"/>
        </xdr:cNvPr>
        <xdr:cNvSpPr/>
      </xdr:nvSpPr>
      <xdr:spPr>
        <a:xfrm>
          <a:off x="19131973" y="8751569"/>
          <a:ext cx="546574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45</xdr:row>
      <xdr:rowOff>31432</xdr:rowOff>
    </xdr:from>
    <xdr:to>
      <xdr:col>115</xdr:col>
      <xdr:colOff>15425</xdr:colOff>
      <xdr:row>45</xdr:row>
      <xdr:rowOff>178117</xdr:rowOff>
    </xdr:to>
    <xdr:sp macro="" textlink="">
      <xdr:nvSpPr>
        <xdr:cNvPr id="540" name="직사각형 539">
          <a:hlinkClick xmlns:r="http://schemas.openxmlformats.org/officeDocument/2006/relationships" r:id="" tooltip="프로젝트명 : 농협중앙회 신용평가모형 개선&#10;성명 : 유재원&#10;계약 : 2019-01-07~2019-09-06&#10;진행 : 2019-01-07~2019-09-27&#10;실투입일수 : 190&#10;기간대비 투입율 : 108.57&#10;실투입기준 투입율 : 108.57&#10;"/>
        </xdr:cNvPr>
        <xdr:cNvSpPr/>
      </xdr:nvSpPr>
      <xdr:spPr>
        <a:xfrm>
          <a:off x="19131973" y="8908732"/>
          <a:ext cx="502932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45</xdr:row>
      <xdr:rowOff>83819</xdr:rowOff>
    </xdr:from>
    <xdr:to>
      <xdr:col>118</xdr:col>
      <xdr:colOff>23218</xdr:colOff>
      <xdr:row>45</xdr:row>
      <xdr:rowOff>125729</xdr:rowOff>
    </xdr:to>
    <xdr:sp macro="" textlink="">
      <xdr:nvSpPr>
        <xdr:cNvPr id="541" name="직사각형 540">
          <a:hlinkClick xmlns:r="http://schemas.openxmlformats.org/officeDocument/2006/relationships" r:id="" tooltip="프로젝트명 : 농협중앙회 신용평가모형 개선&#10;성명 : 유재원&#10;계약 : 2019-01-07~2019-09-06&#10;진행 : 2019-01-07~2019-09-27&#10;실투입일수 : 190&#10;기간대비 투입율 : 108.57&#10;실투입기준 투입율 : 108.57&#10;"/>
        </xdr:cNvPr>
        <xdr:cNvSpPr/>
      </xdr:nvSpPr>
      <xdr:spPr>
        <a:xfrm>
          <a:off x="19131973" y="8961119"/>
          <a:ext cx="546574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46</xdr:row>
      <xdr:rowOff>31432</xdr:rowOff>
    </xdr:from>
    <xdr:to>
      <xdr:col>88</xdr:col>
      <xdr:colOff>90758</xdr:colOff>
      <xdr:row>46</xdr:row>
      <xdr:rowOff>178117</xdr:rowOff>
    </xdr:to>
    <xdr:sp macro="" textlink="">
      <xdr:nvSpPr>
        <xdr:cNvPr id="542" name="직사각형 541">
          <a:hlinkClick xmlns:r="http://schemas.openxmlformats.org/officeDocument/2006/relationships" r:id="" tooltip="프로젝트명 : 농협중앙회 신용평가모형 개선&#10;성명 : 이재진&#10;계약 : 2019-01-07~2019-03-08&#10;진행 : 2019-01-07~2019-03-08&#10;실투입일수 : 45&#10;기간대비 투입율 : 100&#10;실투입기준 투입율 : 100&#10;"/>
        </xdr:cNvPr>
        <xdr:cNvSpPr/>
      </xdr:nvSpPr>
      <xdr:spPr>
        <a:xfrm>
          <a:off x="19131973" y="9118282"/>
          <a:ext cx="12470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46</xdr:row>
      <xdr:rowOff>83819</xdr:rowOff>
    </xdr:from>
    <xdr:to>
      <xdr:col>88</xdr:col>
      <xdr:colOff>90758</xdr:colOff>
      <xdr:row>46</xdr:row>
      <xdr:rowOff>125729</xdr:rowOff>
    </xdr:to>
    <xdr:sp macro="" textlink="">
      <xdr:nvSpPr>
        <xdr:cNvPr id="543" name="직사각형 542">
          <a:hlinkClick xmlns:r="http://schemas.openxmlformats.org/officeDocument/2006/relationships" r:id="" tooltip="프로젝트명 : 농협중앙회 신용평가모형 개선&#10;성명 : 이재진&#10;계약 : 2019-01-07~2019-03-08&#10;진행 : 2019-01-07~2019-03-08&#10;실투입일수 : 45&#10;기간대비 투입율 : 100&#10;실투입기준 투입율 : 100&#10;"/>
        </xdr:cNvPr>
        <xdr:cNvSpPr/>
      </xdr:nvSpPr>
      <xdr:spPr>
        <a:xfrm>
          <a:off x="19131973" y="9170669"/>
          <a:ext cx="1247035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47</xdr:row>
      <xdr:rowOff>31432</xdr:rowOff>
    </xdr:from>
    <xdr:to>
      <xdr:col>107</xdr:col>
      <xdr:colOff>140115</xdr:colOff>
      <xdr:row>47</xdr:row>
      <xdr:rowOff>178117</xdr:rowOff>
    </xdr:to>
    <xdr:sp macro="" textlink="">
      <xdr:nvSpPr>
        <xdr:cNvPr id="544" name="직사각형 543">
          <a:hlinkClick xmlns:r="http://schemas.openxmlformats.org/officeDocument/2006/relationships" r:id="" tooltip="프로젝트명 : 농협중앙회 신용평가모형 개선&#10;성명 : 장주리&#10;계약 : 2019-02-18~2019-07-19&#10;진행 : 2019-02-18~2019-09-27&#10;실투입일수 : 160&#10;기간대비 투입율 : 145.45&#10;실투입기준 투입율 : 145.45&#10;"/>
        </xdr:cNvPr>
        <xdr:cNvSpPr/>
      </xdr:nvSpPr>
      <xdr:spPr>
        <a:xfrm>
          <a:off x="20004808" y="9327832"/>
          <a:ext cx="31381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47</xdr:row>
      <xdr:rowOff>83819</xdr:rowOff>
    </xdr:from>
    <xdr:to>
      <xdr:col>118</xdr:col>
      <xdr:colOff>23217</xdr:colOff>
      <xdr:row>47</xdr:row>
      <xdr:rowOff>125729</xdr:rowOff>
    </xdr:to>
    <xdr:sp macro="" textlink="">
      <xdr:nvSpPr>
        <xdr:cNvPr id="545" name="직사각형 544">
          <a:hlinkClick xmlns:r="http://schemas.openxmlformats.org/officeDocument/2006/relationships" r:id="" tooltip="프로젝트명 : 농협중앙회 신용평가모형 개선&#10;성명 : 장주리&#10;계약 : 2019-02-18~2019-07-19&#10;진행 : 2019-02-18~2019-09-27&#10;실투입일수 : 160&#10;기간대비 투입율 : 145.45&#10;실투입기준 투입율 : 145.45&#10;"/>
        </xdr:cNvPr>
        <xdr:cNvSpPr/>
      </xdr:nvSpPr>
      <xdr:spPr>
        <a:xfrm>
          <a:off x="20004808" y="9380219"/>
          <a:ext cx="45929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48</xdr:row>
      <xdr:rowOff>31432</xdr:rowOff>
    </xdr:from>
    <xdr:to>
      <xdr:col>101</xdr:col>
      <xdr:colOff>103748</xdr:colOff>
      <xdr:row>48</xdr:row>
      <xdr:rowOff>178117</xdr:rowOff>
    </xdr:to>
    <xdr:sp macro="" textlink="">
      <xdr:nvSpPr>
        <xdr:cNvPr id="546" name="직사각형 545">
          <a:hlinkClick xmlns:r="http://schemas.openxmlformats.org/officeDocument/2006/relationships" r:id="" tooltip="프로젝트명 : 농협중앙회 신용평가모형 개선&#10;성명 : 한동훈&#10;계약 : 2019-01-07~2019-06-06&#10;진행 : 2019-01-07~2019-05-31&#10;실투입일수 : 105&#10;기간대비 투입율 : 96.33&#10;실투입기준 투입율 : 96.33&#10;"/>
        </xdr:cNvPr>
        <xdr:cNvSpPr/>
      </xdr:nvSpPr>
      <xdr:spPr>
        <a:xfrm>
          <a:off x="19131973" y="9537382"/>
          <a:ext cx="311740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129598</xdr:colOff>
      <xdr:row>48</xdr:row>
      <xdr:rowOff>83819</xdr:rowOff>
    </xdr:from>
    <xdr:to>
      <xdr:col>100</xdr:col>
      <xdr:colOff>121932</xdr:colOff>
      <xdr:row>48</xdr:row>
      <xdr:rowOff>125729</xdr:rowOff>
    </xdr:to>
    <xdr:sp macro="" textlink="">
      <xdr:nvSpPr>
        <xdr:cNvPr id="547" name="직사각형 546">
          <a:hlinkClick xmlns:r="http://schemas.openxmlformats.org/officeDocument/2006/relationships" r:id="" tooltip="프로젝트명 : 농협중앙회 신용평가모형 개선&#10;성명 : 한동훈&#10;계약 : 2019-01-07~2019-06-06&#10;진행 : 2019-01-07~2019-05-31&#10;실투입일수 : 105&#10;기간대비 투입율 : 96.33&#10;실투입기준 투입율 : 96.33&#10;"/>
        </xdr:cNvPr>
        <xdr:cNvSpPr/>
      </xdr:nvSpPr>
      <xdr:spPr>
        <a:xfrm>
          <a:off x="19131973" y="9589769"/>
          <a:ext cx="29927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49</xdr:row>
      <xdr:rowOff>31432</xdr:rowOff>
    </xdr:from>
    <xdr:to>
      <xdr:col>105</xdr:col>
      <xdr:colOff>31012</xdr:colOff>
      <xdr:row>49</xdr:row>
      <xdr:rowOff>178117</xdr:rowOff>
    </xdr:to>
    <xdr:sp macro="" textlink="">
      <xdr:nvSpPr>
        <xdr:cNvPr id="548" name="직사각형 547">
          <a:hlinkClick xmlns:r="http://schemas.openxmlformats.org/officeDocument/2006/relationships" r:id="" tooltip="프로젝트명 : 우리은행 기업여신 자동심사 프로세스 신설&#10;성명 : 전체&#10;계약 : 2018-11-05~2019-06-30&#10;진행 : 2018-09-06~2019-06-28&#10;투입인원 : 3&#10;기간대비 투입율 : 124.71&#10;실투입기준 투입율 : 108.04&#10;"/>
        </xdr:cNvPr>
        <xdr:cNvSpPr/>
      </xdr:nvSpPr>
      <xdr:spPr>
        <a:xfrm>
          <a:off x="17822718" y="9746932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62</xdr:col>
      <xdr:colOff>2308</xdr:colOff>
      <xdr:row>49</xdr:row>
      <xdr:rowOff>83819</xdr:rowOff>
    </xdr:from>
    <xdr:to>
      <xdr:col>104</xdr:col>
      <xdr:colOff>132322</xdr:colOff>
      <xdr:row>49</xdr:row>
      <xdr:rowOff>125729</xdr:rowOff>
    </xdr:to>
    <xdr:sp macro="" textlink="">
      <xdr:nvSpPr>
        <xdr:cNvPr id="549" name="직사각형 548">
          <a:hlinkClick xmlns:r="http://schemas.openxmlformats.org/officeDocument/2006/relationships" r:id="" tooltip="프로젝트명 : 우리은행 기업여신 자동심사 프로세스 신설&#10;성명 : 전체&#10;계약 : 2018-11-05~2019-06-30&#10;진행 : 2018-09-06~2019-06-28&#10;투입인원 : 3&#10;기간대비 투입율 : 124.71&#10;실투입기준 투입율 : 108.04&#10;"/>
        </xdr:cNvPr>
        <xdr:cNvSpPr/>
      </xdr:nvSpPr>
      <xdr:spPr>
        <a:xfrm>
          <a:off x="16575808" y="9799319"/>
          <a:ext cx="613076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50</xdr:row>
      <xdr:rowOff>31432</xdr:rowOff>
    </xdr:from>
    <xdr:to>
      <xdr:col>105</xdr:col>
      <xdr:colOff>31012</xdr:colOff>
      <xdr:row>50</xdr:row>
      <xdr:rowOff>178117</xdr:rowOff>
    </xdr:to>
    <xdr:sp macro="" textlink="">
      <xdr:nvSpPr>
        <xdr:cNvPr id="550" name="직사각형 549">
          <a:hlinkClick xmlns:r="http://schemas.openxmlformats.org/officeDocument/2006/relationships" r:id="" tooltip="프로젝트명 : 우리은행 기업여신 자동심사 프로세스 신설&#10;성명 : 문명기&#10;계약 : 2018-11-05~2019-06-30&#10;진행 : 2018-11-01~2019-06-28&#10;실투입일수 : 172&#10;기간대비 투입율 : 101.18&#10;실투입기준 투입율 : 101.18&#10;"/>
        </xdr:cNvPr>
        <xdr:cNvSpPr/>
      </xdr:nvSpPr>
      <xdr:spPr>
        <a:xfrm>
          <a:off x="17822718" y="9956482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23091</xdr:colOff>
      <xdr:row>50</xdr:row>
      <xdr:rowOff>83819</xdr:rowOff>
    </xdr:from>
    <xdr:to>
      <xdr:col>104</xdr:col>
      <xdr:colOff>132323</xdr:colOff>
      <xdr:row>50</xdr:row>
      <xdr:rowOff>125729</xdr:rowOff>
    </xdr:to>
    <xdr:sp macro="" textlink="">
      <xdr:nvSpPr>
        <xdr:cNvPr id="551" name="직사각형 550">
          <a:hlinkClick xmlns:r="http://schemas.openxmlformats.org/officeDocument/2006/relationships" r:id="" tooltip="프로젝트명 : 우리은행 기업여신 자동심사 프로세스 신설&#10;성명 : 문명기&#10;계약 : 2018-11-05~2019-06-30&#10;진행 : 2018-11-01~2019-06-28&#10;실투입일수 : 172&#10;기간대비 투입율 : 101.18&#10;실투입기준 투입율 : 101.18&#10;"/>
        </xdr:cNvPr>
        <xdr:cNvSpPr/>
      </xdr:nvSpPr>
      <xdr:spPr>
        <a:xfrm>
          <a:off x="17739591" y="10008869"/>
          <a:ext cx="49669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51</xdr:row>
      <xdr:rowOff>31432</xdr:rowOff>
    </xdr:from>
    <xdr:to>
      <xdr:col>105</xdr:col>
      <xdr:colOff>31012</xdr:colOff>
      <xdr:row>51</xdr:row>
      <xdr:rowOff>178117</xdr:rowOff>
    </xdr:to>
    <xdr:sp macro="" textlink="">
      <xdr:nvSpPr>
        <xdr:cNvPr id="552" name="직사각형 551">
          <a:hlinkClick xmlns:r="http://schemas.openxmlformats.org/officeDocument/2006/relationships" r:id="" tooltip="프로젝트명 : 우리은행 기업여신 자동심사 프로세스 신설&#10;성명 : 송욱&#10;계약 : 2018-11-05~2019-06-30&#10;진행 : 2018-09-06~2019-06-28&#10;실투입일수 : 212&#10;기간대비 투입율 : 124.71&#10;실투입기준 투입율 : 124.71&#10;"/>
        </xdr:cNvPr>
        <xdr:cNvSpPr/>
      </xdr:nvSpPr>
      <xdr:spPr>
        <a:xfrm>
          <a:off x="17822718" y="10166032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62</xdr:col>
      <xdr:colOff>2308</xdr:colOff>
      <xdr:row>51</xdr:row>
      <xdr:rowOff>83819</xdr:rowOff>
    </xdr:from>
    <xdr:to>
      <xdr:col>104</xdr:col>
      <xdr:colOff>132322</xdr:colOff>
      <xdr:row>51</xdr:row>
      <xdr:rowOff>125729</xdr:rowOff>
    </xdr:to>
    <xdr:sp macro="" textlink="">
      <xdr:nvSpPr>
        <xdr:cNvPr id="553" name="직사각형 552">
          <a:hlinkClick xmlns:r="http://schemas.openxmlformats.org/officeDocument/2006/relationships" r:id="" tooltip="프로젝트명 : 우리은행 기업여신 자동심사 프로세스 신설&#10;성명 : 송욱&#10;계약 : 2018-11-05~2019-06-30&#10;진행 : 2018-09-06~2019-06-28&#10;실투입일수 : 212&#10;기간대비 투입율 : 124.71&#10;실투입기준 투입율 : 124.71&#10;"/>
        </xdr:cNvPr>
        <xdr:cNvSpPr/>
      </xdr:nvSpPr>
      <xdr:spPr>
        <a:xfrm>
          <a:off x="16575808" y="10218419"/>
          <a:ext cx="613076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106218</xdr:colOff>
      <xdr:row>52</xdr:row>
      <xdr:rowOff>31432</xdr:rowOff>
    </xdr:from>
    <xdr:to>
      <xdr:col>105</xdr:col>
      <xdr:colOff>31012</xdr:colOff>
      <xdr:row>52</xdr:row>
      <xdr:rowOff>178117</xdr:rowOff>
    </xdr:to>
    <xdr:sp macro="" textlink="">
      <xdr:nvSpPr>
        <xdr:cNvPr id="554" name="직사각형 553">
          <a:hlinkClick xmlns:r="http://schemas.openxmlformats.org/officeDocument/2006/relationships" r:id="" tooltip="프로젝트명 : 우리은행 기업여신 자동심사 프로세스 신설&#10;성명 : 임성훈&#10;계약 : 2018-11-05~2019-06-30&#10;진행 : 2018-11-08~2019-06-28&#10;실투입일수 : 167&#10;기간대비 투입율 : 98.24&#10;실투입기준 투입율 : 98.24&#10;"/>
        </xdr:cNvPr>
        <xdr:cNvSpPr/>
      </xdr:nvSpPr>
      <xdr:spPr>
        <a:xfrm>
          <a:off x="17822718" y="10375582"/>
          <a:ext cx="492541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71</xdr:col>
      <xdr:colOff>25688</xdr:colOff>
      <xdr:row>52</xdr:row>
      <xdr:rowOff>83819</xdr:rowOff>
    </xdr:from>
    <xdr:to>
      <xdr:col>104</xdr:col>
      <xdr:colOff>132322</xdr:colOff>
      <xdr:row>52</xdr:row>
      <xdr:rowOff>125729</xdr:rowOff>
    </xdr:to>
    <xdr:sp macro="" textlink="">
      <xdr:nvSpPr>
        <xdr:cNvPr id="555" name="직사각형 554">
          <a:hlinkClick xmlns:r="http://schemas.openxmlformats.org/officeDocument/2006/relationships" r:id="" tooltip="프로젝트명 : 우리은행 기업여신 자동심사 프로세스 신설&#10;성명 : 임성훈&#10;계약 : 2018-11-05~2019-06-30&#10;진행 : 2018-11-08~2019-06-28&#10;실투입일수 : 167&#10;기간대비 투입율 : 98.24&#10;실투입기준 투입율 : 98.24&#10;"/>
        </xdr:cNvPr>
        <xdr:cNvSpPr/>
      </xdr:nvSpPr>
      <xdr:spPr>
        <a:xfrm>
          <a:off x="17885063" y="10427969"/>
          <a:ext cx="48215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53</xdr:row>
      <xdr:rowOff>31432</xdr:rowOff>
    </xdr:from>
    <xdr:to>
      <xdr:col>91</xdr:col>
      <xdr:colOff>140115</xdr:colOff>
      <xdr:row>53</xdr:row>
      <xdr:rowOff>178117</xdr:rowOff>
    </xdr:to>
    <xdr:sp macro="" textlink="">
      <xdr:nvSpPr>
        <xdr:cNvPr id="556" name="직사각형 555">
          <a:hlinkClick xmlns:r="http://schemas.openxmlformats.org/officeDocument/2006/relationships" r:id="" tooltip="프로젝트명 : 우리은행 M/S 및 기업신용평가모형 개선&#10;성명 : 전체&#10;계약 : 2018-06-04~2019-03-31&#10;진행 : 2018-06-04~2019-04-05&#10;투입인원 : 4&#10;기간대비 투입율 : 102.33&#10;실투입기준 투입율 : 84.19&#10;"/>
        </xdr:cNvPr>
        <xdr:cNvSpPr/>
      </xdr:nvSpPr>
      <xdr:spPr>
        <a:xfrm>
          <a:off x="14622318" y="10585132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53</xdr:row>
      <xdr:rowOff>83819</xdr:rowOff>
    </xdr:from>
    <xdr:to>
      <xdr:col>92</xdr:col>
      <xdr:colOff>101150</xdr:colOff>
      <xdr:row>53</xdr:row>
      <xdr:rowOff>125729</xdr:rowOff>
    </xdr:to>
    <xdr:sp macro="" textlink="">
      <xdr:nvSpPr>
        <xdr:cNvPr id="557" name="직사각형 556">
          <a:hlinkClick xmlns:r="http://schemas.openxmlformats.org/officeDocument/2006/relationships" r:id="" tooltip="프로젝트명 : 우리은행 M/S 및 기업신용평가모형 개선&#10;성명 : 전체&#10;계약 : 2018-06-04~2019-03-31&#10;진행 : 2018-06-04~2019-04-05&#10;투입인원 : 4&#10;기간대비 투입율 : 102.33&#10;실투입기준 투입율 : 84.19&#10;"/>
        </xdr:cNvPr>
        <xdr:cNvSpPr/>
      </xdr:nvSpPr>
      <xdr:spPr>
        <a:xfrm>
          <a:off x="14622318" y="10637519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70</xdr:col>
      <xdr:colOff>85436</xdr:colOff>
      <xdr:row>54</xdr:row>
      <xdr:rowOff>31432</xdr:rowOff>
    </xdr:from>
    <xdr:to>
      <xdr:col>91</xdr:col>
      <xdr:colOff>140115</xdr:colOff>
      <xdr:row>54</xdr:row>
      <xdr:rowOff>178117</xdr:rowOff>
    </xdr:to>
    <xdr:sp macro="" textlink="">
      <xdr:nvSpPr>
        <xdr:cNvPr id="558" name="직사각형 557">
          <a:hlinkClick xmlns:r="http://schemas.openxmlformats.org/officeDocument/2006/relationships" r:id="" tooltip="프로젝트명 : 우리은행 M/S 및 기업신용평가모형 개선&#10;성명 : 김대호&#10;계약 : 2018-11-04~2019-03-31&#10;진행 : 2018-10-08~2019-03-07&#10;실투입일수 : 109&#10;기간대비 투입율 : 103.81&#10;실투입기준 투입율 : 103.81&#10;"/>
        </xdr:cNvPr>
        <xdr:cNvSpPr/>
      </xdr:nvSpPr>
      <xdr:spPr>
        <a:xfrm>
          <a:off x="17801936" y="10794682"/>
          <a:ext cx="30550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66</xdr:col>
      <xdr:colOff>95826</xdr:colOff>
      <xdr:row>54</xdr:row>
      <xdr:rowOff>83819</xdr:rowOff>
    </xdr:from>
    <xdr:to>
      <xdr:col>88</xdr:col>
      <xdr:colOff>69977</xdr:colOff>
      <xdr:row>54</xdr:row>
      <xdr:rowOff>125729</xdr:rowOff>
    </xdr:to>
    <xdr:sp macro="" textlink="">
      <xdr:nvSpPr>
        <xdr:cNvPr id="559" name="직사각형 558">
          <a:hlinkClick xmlns:r="http://schemas.openxmlformats.org/officeDocument/2006/relationships" r:id="" tooltip="프로젝트명 : 우리은행 M/S 및 기업신용평가모형 개선&#10;성명 : 김대호&#10;계약 : 2018-11-04~2019-03-31&#10;진행 : 2018-10-08~2019-03-07&#10;실투입일수 : 109&#10;기간대비 투입율 : 103.81&#10;실투입기준 투입율 : 103.81&#10;"/>
        </xdr:cNvPr>
        <xdr:cNvSpPr/>
      </xdr:nvSpPr>
      <xdr:spPr>
        <a:xfrm>
          <a:off x="17240826" y="10847069"/>
          <a:ext cx="3117401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55</xdr:row>
      <xdr:rowOff>31432</xdr:rowOff>
    </xdr:from>
    <xdr:to>
      <xdr:col>91</xdr:col>
      <xdr:colOff>140115</xdr:colOff>
      <xdr:row>55</xdr:row>
      <xdr:rowOff>178117</xdr:rowOff>
    </xdr:to>
    <xdr:sp macro="" textlink="">
      <xdr:nvSpPr>
        <xdr:cNvPr id="560" name="직사각형 559">
          <a:hlinkClick xmlns:r="http://schemas.openxmlformats.org/officeDocument/2006/relationships" r:id="" tooltip="프로젝트명 : 우리은행 M/S 및 기업신용평가모형 개선&#10;성명 : 김진백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4622318" y="11004232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55</xdr:row>
      <xdr:rowOff>83819</xdr:rowOff>
    </xdr:from>
    <xdr:to>
      <xdr:col>92</xdr:col>
      <xdr:colOff>101150</xdr:colOff>
      <xdr:row>55</xdr:row>
      <xdr:rowOff>125729</xdr:rowOff>
    </xdr:to>
    <xdr:sp macro="" textlink="">
      <xdr:nvSpPr>
        <xdr:cNvPr id="561" name="직사각형 560">
          <a:hlinkClick xmlns:r="http://schemas.openxmlformats.org/officeDocument/2006/relationships" r:id="" tooltip="프로젝트명 : 우리은행 M/S 및 기업신용평가모형 개선&#10;성명 : 김진백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4622318" y="11056619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56</xdr:row>
      <xdr:rowOff>31432</xdr:rowOff>
    </xdr:from>
    <xdr:to>
      <xdr:col>91</xdr:col>
      <xdr:colOff>140115</xdr:colOff>
      <xdr:row>56</xdr:row>
      <xdr:rowOff>178117</xdr:rowOff>
    </xdr:to>
    <xdr:sp macro="" textlink="">
      <xdr:nvSpPr>
        <xdr:cNvPr id="562" name="직사각형 561">
          <a:hlinkClick xmlns:r="http://schemas.openxmlformats.org/officeDocument/2006/relationships" r:id="" tooltip="프로젝트명 : 우리은행 M/S 및 기업신용평가모형 개선&#10;성명 : 연권흠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4622318" y="11213782"/>
          <a:ext cx="62346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48</xdr:col>
      <xdr:colOff>49068</xdr:colOff>
      <xdr:row>56</xdr:row>
      <xdr:rowOff>83819</xdr:rowOff>
    </xdr:from>
    <xdr:to>
      <xdr:col>92</xdr:col>
      <xdr:colOff>101150</xdr:colOff>
      <xdr:row>56</xdr:row>
      <xdr:rowOff>125729</xdr:rowOff>
    </xdr:to>
    <xdr:sp macro="" textlink="">
      <xdr:nvSpPr>
        <xdr:cNvPr id="563" name="직사각형 562">
          <a:hlinkClick xmlns:r="http://schemas.openxmlformats.org/officeDocument/2006/relationships" r:id="" tooltip="프로젝트명 : 우리은행 M/S 및 기업신용평가모형 개선&#10;성명 : 연권흠&#10;계약 : 2018-06-04~2019-03-31&#10;진행 : 2018-06-04~2019-04-05&#10;실투입일수 : 220&#10;기간대비 투입율 : 102.33&#10;실투입기준 투입율 : 102.33&#10;"/>
        </xdr:cNvPr>
        <xdr:cNvSpPr/>
      </xdr:nvSpPr>
      <xdr:spPr>
        <a:xfrm>
          <a:off x="14622318" y="11266169"/>
          <a:ext cx="63385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57</xdr:col>
      <xdr:colOff>30883</xdr:colOff>
      <xdr:row>57</xdr:row>
      <xdr:rowOff>31432</xdr:rowOff>
    </xdr:from>
    <xdr:to>
      <xdr:col>91</xdr:col>
      <xdr:colOff>140115</xdr:colOff>
      <xdr:row>57</xdr:row>
      <xdr:rowOff>178117</xdr:rowOff>
    </xdr:to>
    <xdr:sp macro="" textlink="">
      <xdr:nvSpPr>
        <xdr:cNvPr id="564" name="직사각형 563">
          <a:hlinkClick xmlns:r="http://schemas.openxmlformats.org/officeDocument/2006/relationships" r:id="" tooltip="프로젝트명 : 우리은행 M/S 및 기업신용평가모형 개선&#10;성명 : 윤화형&#10;계약 : 2018-08-04~2019-03-31&#10;진행 : 2018-08-06~2019-04-05&#10;실투입일수 : 175&#10;기간대비 투입율 : 102.94&#10;실투입기준 투입율 : 102.94&#10;"/>
        </xdr:cNvPr>
        <xdr:cNvSpPr/>
      </xdr:nvSpPr>
      <xdr:spPr>
        <a:xfrm>
          <a:off x="15890008" y="11423332"/>
          <a:ext cx="496698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57</xdr:col>
      <xdr:colOff>72448</xdr:colOff>
      <xdr:row>57</xdr:row>
      <xdr:rowOff>83819</xdr:rowOff>
    </xdr:from>
    <xdr:to>
      <xdr:col>92</xdr:col>
      <xdr:colOff>101150</xdr:colOff>
      <xdr:row>57</xdr:row>
      <xdr:rowOff>125729</xdr:rowOff>
    </xdr:to>
    <xdr:sp macro="" textlink="">
      <xdr:nvSpPr>
        <xdr:cNvPr id="565" name="직사각형 564">
          <a:hlinkClick xmlns:r="http://schemas.openxmlformats.org/officeDocument/2006/relationships" r:id="" tooltip="프로젝트명 : 우리은행 M/S 및 기업신용평가모형 개선&#10;성명 : 윤화형&#10;계약 : 2018-08-04~2019-03-31&#10;진행 : 2018-08-06~2019-04-05&#10;실투입일수 : 175&#10;기간대비 투입율 : 102.94&#10;실투입기준 투입율 : 102.94&#10;"/>
        </xdr:cNvPr>
        <xdr:cNvSpPr/>
      </xdr:nvSpPr>
      <xdr:spPr>
        <a:xfrm>
          <a:off x="15931573" y="11475719"/>
          <a:ext cx="50293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58</xdr:row>
      <xdr:rowOff>31432</xdr:rowOff>
    </xdr:from>
    <xdr:to>
      <xdr:col>127</xdr:col>
      <xdr:colOff>67378</xdr:colOff>
      <xdr:row>58</xdr:row>
      <xdr:rowOff>178117</xdr:rowOff>
    </xdr:to>
    <xdr:sp macro="" textlink="">
      <xdr:nvSpPr>
        <xdr:cNvPr id="566" name="직사각형 565">
          <a:hlinkClick xmlns:r="http://schemas.openxmlformats.org/officeDocument/2006/relationships" r:id="" tooltip="프로젝트명 : 우리지주 내부등급법 이행 시스템 구축&#10;성명 : 전체&#10;계약 : 2019-04-08~2019-11-30&#10;진행 : 2019-04-08~2019-11-29&#10;투입인원 : 3&#10;기간대비 투입율 : 100&#10;실투입기준 투입율 : 116.47&#10;"/>
        </xdr:cNvPr>
        <xdr:cNvSpPr/>
      </xdr:nvSpPr>
      <xdr:spPr>
        <a:xfrm>
          <a:off x="21023118" y="11632882"/>
          <a:ext cx="49046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58</xdr:row>
      <xdr:rowOff>83819</xdr:rowOff>
    </xdr:from>
    <xdr:to>
      <xdr:col>127</xdr:col>
      <xdr:colOff>46597</xdr:colOff>
      <xdr:row>58</xdr:row>
      <xdr:rowOff>125729</xdr:rowOff>
    </xdr:to>
    <xdr:sp macro="" textlink="">
      <xdr:nvSpPr>
        <xdr:cNvPr id="567" name="직사각형 566">
          <a:hlinkClick xmlns:r="http://schemas.openxmlformats.org/officeDocument/2006/relationships" r:id="" tooltip="프로젝트명 : 우리지주 내부등급법 이행 시스템 구축&#10;성명 : 전체&#10;계약 : 2019-04-08~2019-11-30&#10;진행 : 2019-04-08~2019-11-29&#10;투입인원 : 3&#10;기간대비 투입율 : 100&#10;실투입기준 투입율 : 116.47&#10;"/>
        </xdr:cNvPr>
        <xdr:cNvSpPr/>
      </xdr:nvSpPr>
      <xdr:spPr>
        <a:xfrm>
          <a:off x="21023118" y="11685269"/>
          <a:ext cx="48838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59</xdr:row>
      <xdr:rowOff>83819</xdr:rowOff>
    </xdr:from>
    <xdr:to>
      <xdr:col>96</xdr:col>
      <xdr:colOff>49195</xdr:colOff>
      <xdr:row>59</xdr:row>
      <xdr:rowOff>125729</xdr:rowOff>
    </xdr:to>
    <xdr:sp macro="" textlink="">
      <xdr:nvSpPr>
        <xdr:cNvPr id="568" name="직사각형 567">
          <a:hlinkClick xmlns:r="http://schemas.openxmlformats.org/officeDocument/2006/relationships" r:id="" tooltip="프로젝트명 : 우리지주 내부등급법 이행 시스템 구축&#10;성명 : 김대호&#10;계약 : ~&#10;진행 : 2019-04-08~2019-04-30&#10;실투입일수 : 17&#10;기간대비 투입율 : &#10;실투입기준 투입율 : &#10;"/>
        </xdr:cNvPr>
        <xdr:cNvSpPr/>
      </xdr:nvSpPr>
      <xdr:spPr>
        <a:xfrm>
          <a:off x="21023118" y="11894819"/>
          <a:ext cx="457327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60</xdr:row>
      <xdr:rowOff>83819</xdr:rowOff>
    </xdr:from>
    <xdr:to>
      <xdr:col>95</xdr:col>
      <xdr:colOff>25815</xdr:colOff>
      <xdr:row>60</xdr:row>
      <xdr:rowOff>125729</xdr:rowOff>
    </xdr:to>
    <xdr:sp macro="" textlink="">
      <xdr:nvSpPr>
        <xdr:cNvPr id="569" name="직사각형 568">
          <a:hlinkClick xmlns:r="http://schemas.openxmlformats.org/officeDocument/2006/relationships" r:id="" tooltip="프로젝트명 : 우리지주 내부등급법 이행 시스템 구축&#10;성명 : 윤화형&#10;계약 : ~&#10;진행 : 2019-04-08~2019-04-22&#10;실투입일수 : 11&#10;기간대비 투입율 : &#10;실투입기준 투입율 : &#10;"/>
        </xdr:cNvPr>
        <xdr:cNvSpPr/>
      </xdr:nvSpPr>
      <xdr:spPr>
        <a:xfrm>
          <a:off x="21023118" y="12104369"/>
          <a:ext cx="29107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61</xdr:row>
      <xdr:rowOff>31432</xdr:rowOff>
    </xdr:from>
    <xdr:to>
      <xdr:col>127</xdr:col>
      <xdr:colOff>67378</xdr:colOff>
      <xdr:row>61</xdr:row>
      <xdr:rowOff>178117</xdr:rowOff>
    </xdr:to>
    <xdr:sp macro="" textlink="">
      <xdr:nvSpPr>
        <xdr:cNvPr id="570" name="직사각형 569">
          <a:hlinkClick xmlns:r="http://schemas.openxmlformats.org/officeDocument/2006/relationships" r:id="" tooltip="프로젝트명 : 우리지주 내부등급법 이행 시스템 구축&#10;성명 : 정혜정&#10;계약 : 2019-04-08~2019-11-30&#10;진행 : 2019-04-08~2019-11-29&#10;실투입일수 : 170&#10;기간대비 투입율 : 100&#10;실투입기준 투입율 : 100&#10;"/>
        </xdr:cNvPr>
        <xdr:cNvSpPr/>
      </xdr:nvSpPr>
      <xdr:spPr>
        <a:xfrm>
          <a:off x="21023118" y="12261532"/>
          <a:ext cx="490463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93</xdr:col>
      <xdr:colOff>20493</xdr:colOff>
      <xdr:row>61</xdr:row>
      <xdr:rowOff>83819</xdr:rowOff>
    </xdr:from>
    <xdr:to>
      <xdr:col>127</xdr:col>
      <xdr:colOff>46597</xdr:colOff>
      <xdr:row>61</xdr:row>
      <xdr:rowOff>125729</xdr:rowOff>
    </xdr:to>
    <xdr:sp macro="" textlink="">
      <xdr:nvSpPr>
        <xdr:cNvPr id="571" name="직사각형 570">
          <a:hlinkClick xmlns:r="http://schemas.openxmlformats.org/officeDocument/2006/relationships" r:id="" tooltip="프로젝트명 : 우리지주 내부등급법 이행 시스템 구축&#10;성명 : 정혜정&#10;계약 : 2019-04-08~2019-11-30&#10;진행 : 2019-04-08~2019-11-29&#10;실투입일수 : 170&#10;기간대비 투입율 : 100&#10;실투입기준 투입율 : 100&#10;"/>
        </xdr:cNvPr>
        <xdr:cNvSpPr/>
      </xdr:nvSpPr>
      <xdr:spPr>
        <a:xfrm>
          <a:off x="21023118" y="12313919"/>
          <a:ext cx="488385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58</xdr:col>
      <xdr:colOff>137391</xdr:colOff>
      <xdr:row>62</xdr:row>
      <xdr:rowOff>31432</xdr:rowOff>
    </xdr:from>
    <xdr:to>
      <xdr:col>94</xdr:col>
      <xdr:colOff>44000</xdr:colOff>
      <xdr:row>62</xdr:row>
      <xdr:rowOff>178117</xdr:rowOff>
    </xdr:to>
    <xdr:sp macro="" textlink="">
      <xdr:nvSpPr>
        <xdr:cNvPr id="572" name="직사각형 571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전체&#10;계약 : 2018-08-16~2019-04-16&#10;진행 : 2018-08-16~2019-06-28&#10;투입인원 : 10&#10;기간대비 투입율 : 130.46&#10;실투입기준 투입율 : 138.51&#10;"/>
        </xdr:cNvPr>
        <xdr:cNvSpPr/>
      </xdr:nvSpPr>
      <xdr:spPr>
        <a:xfrm>
          <a:off x="16139391" y="12471082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58</xdr:col>
      <xdr:colOff>137391</xdr:colOff>
      <xdr:row>62</xdr:row>
      <xdr:rowOff>83819</xdr:rowOff>
    </xdr:from>
    <xdr:to>
      <xdr:col>104</xdr:col>
      <xdr:colOff>132323</xdr:colOff>
      <xdr:row>62</xdr:row>
      <xdr:rowOff>125729</xdr:rowOff>
    </xdr:to>
    <xdr:sp macro="" textlink="">
      <xdr:nvSpPr>
        <xdr:cNvPr id="573" name="직사각형 572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전체&#10;계약 : 2018-08-16~2019-04-16&#10;진행 : 2018-08-16~2019-06-28&#10;투입인원 : 10&#10;기간대비 투입율 : 130.46&#10;실투입기준 투입율 : 138.51&#10;"/>
        </xdr:cNvPr>
        <xdr:cNvSpPr/>
      </xdr:nvSpPr>
      <xdr:spPr>
        <a:xfrm>
          <a:off x="16139391" y="12523469"/>
          <a:ext cx="6567182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63</xdr:col>
      <xdr:colOff>67251</xdr:colOff>
      <xdr:row>63</xdr:row>
      <xdr:rowOff>31432</xdr:rowOff>
    </xdr:from>
    <xdr:to>
      <xdr:col>89</xdr:col>
      <xdr:colOff>93355</xdr:colOff>
      <xdr:row>63</xdr:row>
      <xdr:rowOff>178117</xdr:rowOff>
    </xdr:to>
    <xdr:sp macro="" textlink="">
      <xdr:nvSpPr>
        <xdr:cNvPr id="574" name="직사각형 573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경수&#10;계약 : 2018-09-16~2019-03-15&#10;진행 : 2018-09-03~2019-03-29&#10;실투입일수 : 150&#10;기간대비 투입율 : 115.38&#10;실투입기준 투입율 : 115.38&#10;"/>
        </xdr:cNvPr>
        <xdr:cNvSpPr/>
      </xdr:nvSpPr>
      <xdr:spPr>
        <a:xfrm>
          <a:off x="16783626" y="12680632"/>
          <a:ext cx="374085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82838</xdr:colOff>
      <xdr:row>63</xdr:row>
      <xdr:rowOff>83819</xdr:rowOff>
    </xdr:from>
    <xdr:to>
      <xdr:col>91</xdr:col>
      <xdr:colOff>98552</xdr:colOff>
      <xdr:row>63</xdr:row>
      <xdr:rowOff>125729</xdr:rowOff>
    </xdr:to>
    <xdr:sp macro="" textlink="">
      <xdr:nvSpPr>
        <xdr:cNvPr id="575" name="직사각형 574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경수&#10;계약 : 2018-09-16~2019-03-15&#10;진행 : 2018-09-03~2019-03-29&#10;실투입일수 : 150&#10;기간대비 투입율 : 115.38&#10;실투입기준 투입율 : 115.38&#10;"/>
        </xdr:cNvPr>
        <xdr:cNvSpPr/>
      </xdr:nvSpPr>
      <xdr:spPr>
        <a:xfrm>
          <a:off x="16513463" y="12733019"/>
          <a:ext cx="4301964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58</xdr:col>
      <xdr:colOff>137391</xdr:colOff>
      <xdr:row>64</xdr:row>
      <xdr:rowOff>31432</xdr:rowOff>
    </xdr:from>
    <xdr:to>
      <xdr:col>85</xdr:col>
      <xdr:colOff>82965</xdr:colOff>
      <xdr:row>64</xdr:row>
      <xdr:rowOff>178117</xdr:rowOff>
    </xdr:to>
    <xdr:sp macro="" textlink="">
      <xdr:nvSpPr>
        <xdr:cNvPr id="576" name="직사각형 575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기연&#10;계약 : 2018-08-16~2019-02-15&#10;진행 : 2018-09-03~2019-06-28&#10;실투입일수 : 215&#10;기간대비 투입율 : 162.88&#10;실투입기준 투입율 : 162.88&#10;"/>
        </xdr:cNvPr>
        <xdr:cNvSpPr/>
      </xdr:nvSpPr>
      <xdr:spPr>
        <a:xfrm>
          <a:off x="16139391" y="12890182"/>
          <a:ext cx="38031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61</xdr:col>
      <xdr:colOff>82838</xdr:colOff>
      <xdr:row>64</xdr:row>
      <xdr:rowOff>83819</xdr:rowOff>
    </xdr:from>
    <xdr:to>
      <xdr:col>104</xdr:col>
      <xdr:colOff>132322</xdr:colOff>
      <xdr:row>64</xdr:row>
      <xdr:rowOff>125729</xdr:rowOff>
    </xdr:to>
    <xdr:sp macro="" textlink="">
      <xdr:nvSpPr>
        <xdr:cNvPr id="577" name="직사각형 576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기연&#10;계약 : 2018-08-16~2019-02-15&#10;진행 : 2018-09-03~2019-06-28&#10;실투입일수 : 215&#10;기간대비 투입율 : 162.88&#10;실투입기준 투입율 : 162.88&#10;"/>
        </xdr:cNvPr>
        <xdr:cNvSpPr/>
      </xdr:nvSpPr>
      <xdr:spPr>
        <a:xfrm>
          <a:off x="16513463" y="12942569"/>
          <a:ext cx="6193109" cy="41910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58</xdr:col>
      <xdr:colOff>137391</xdr:colOff>
      <xdr:row>65</xdr:row>
      <xdr:rowOff>31432</xdr:rowOff>
    </xdr:from>
    <xdr:to>
      <xdr:col>94</xdr:col>
      <xdr:colOff>44000</xdr:colOff>
      <xdr:row>65</xdr:row>
      <xdr:rowOff>178117</xdr:rowOff>
    </xdr:to>
    <xdr:sp macro="" textlink="">
      <xdr:nvSpPr>
        <xdr:cNvPr id="578" name="직사각형 577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남선&#10;계약 : 2018-08-16~2019-04-16&#10;진행 : 2018-08-16~2019-06-28&#10;실투입일수 : 227&#10;기간대비 투입율 : 130.46&#10;실투입기준 투입율 : 130.46&#10;"/>
        </xdr:cNvPr>
        <xdr:cNvSpPr/>
      </xdr:nvSpPr>
      <xdr:spPr>
        <a:xfrm>
          <a:off x="16139391" y="13099732"/>
          <a:ext cx="50501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58</xdr:col>
      <xdr:colOff>137391</xdr:colOff>
      <xdr:row>65</xdr:row>
      <xdr:rowOff>83819</xdr:rowOff>
    </xdr:from>
    <xdr:to>
      <xdr:col>104</xdr:col>
      <xdr:colOff>132323</xdr:colOff>
      <xdr:row>65</xdr:row>
      <xdr:rowOff>125730</xdr:rowOff>
    </xdr:to>
    <xdr:sp macro="" textlink="">
      <xdr:nvSpPr>
        <xdr:cNvPr id="579" name="직사각형 578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남선&#10;계약 : 2018-08-16~2019-04-16&#10;진행 : 2018-08-16~2019-06-28&#10;실투입일수 : 227&#10;기간대비 투입율 : 130.46&#10;실투입기준 투입율 : 130.46&#10;"/>
        </xdr:cNvPr>
        <xdr:cNvSpPr/>
      </xdr:nvSpPr>
      <xdr:spPr>
        <a:xfrm>
          <a:off x="16139391" y="13152119"/>
          <a:ext cx="6567182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89</xdr:col>
      <xdr:colOff>10101</xdr:colOff>
      <xdr:row>66</xdr:row>
      <xdr:rowOff>83819</xdr:rowOff>
    </xdr:from>
    <xdr:to>
      <xdr:col>90</xdr:col>
      <xdr:colOff>95953</xdr:colOff>
      <xdr:row>66</xdr:row>
      <xdr:rowOff>125730</xdr:rowOff>
    </xdr:to>
    <xdr:sp macro="" textlink="">
      <xdr:nvSpPr>
        <xdr:cNvPr id="580" name="직사각형 579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대호&#10;계약 : ~&#10;진행 : 2019-03-11~2019-03-22&#10;실투입일수 : 10&#10;기간대비 투입율 : &#10;실투입기준 투입율 : &#10;"/>
        </xdr:cNvPr>
        <xdr:cNvSpPr/>
      </xdr:nvSpPr>
      <xdr:spPr>
        <a:xfrm>
          <a:off x="20441226" y="13361669"/>
          <a:ext cx="228727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92</xdr:col>
      <xdr:colOff>38676</xdr:colOff>
      <xdr:row>67</xdr:row>
      <xdr:rowOff>83819</xdr:rowOff>
    </xdr:from>
    <xdr:to>
      <xdr:col>104</xdr:col>
      <xdr:colOff>132322</xdr:colOff>
      <xdr:row>67</xdr:row>
      <xdr:rowOff>125730</xdr:rowOff>
    </xdr:to>
    <xdr:sp macro="" textlink="">
      <xdr:nvSpPr>
        <xdr:cNvPr id="581" name="직사각형 580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재겸&#10;계약 : ~&#10;진행 : 2019-04-02~2019-06-28&#10;실투입일수 : 64&#10;기간대비 투입율 : &#10;실투입기준 투입율 : &#10;"/>
        </xdr:cNvPr>
        <xdr:cNvSpPr/>
      </xdr:nvSpPr>
      <xdr:spPr>
        <a:xfrm>
          <a:off x="20898426" y="13571219"/>
          <a:ext cx="1808146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65</xdr:col>
      <xdr:colOff>93229</xdr:colOff>
      <xdr:row>68</xdr:row>
      <xdr:rowOff>31432</xdr:rowOff>
    </xdr:from>
    <xdr:to>
      <xdr:col>94</xdr:col>
      <xdr:colOff>44000</xdr:colOff>
      <xdr:row>68</xdr:row>
      <xdr:rowOff>178117</xdr:rowOff>
    </xdr:to>
    <xdr:sp macro="" textlink="">
      <xdr:nvSpPr>
        <xdr:cNvPr id="582" name="직사각형 581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진호&#10;계약 : 2018-10-01~2019-04-16&#10;진행 : 2018-10-01~2019-06-28&#10;실투입일수 : 195&#10;기간대비 투입율 : 137.32&#10;실투입기준 투입율 : 137.32&#10;"/>
        </xdr:cNvPr>
        <xdr:cNvSpPr/>
      </xdr:nvSpPr>
      <xdr:spPr>
        <a:xfrm>
          <a:off x="17095354" y="13728382"/>
          <a:ext cx="4094146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65</xdr:col>
      <xdr:colOff>93229</xdr:colOff>
      <xdr:row>68</xdr:row>
      <xdr:rowOff>83819</xdr:rowOff>
    </xdr:from>
    <xdr:to>
      <xdr:col>104</xdr:col>
      <xdr:colOff>132323</xdr:colOff>
      <xdr:row>68</xdr:row>
      <xdr:rowOff>125730</xdr:rowOff>
    </xdr:to>
    <xdr:sp macro="" textlink="">
      <xdr:nvSpPr>
        <xdr:cNvPr id="583" name="직사각형 582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김진호&#10;계약 : 2018-10-01~2019-04-16&#10;진행 : 2018-10-01~2019-06-28&#10;실투입일수 : 195&#10;기간대비 투입율 : 137.32&#10;실투입기준 투입율 : 137.32&#10;"/>
        </xdr:cNvPr>
        <xdr:cNvSpPr/>
      </xdr:nvSpPr>
      <xdr:spPr>
        <a:xfrm>
          <a:off x="17095354" y="13780769"/>
          <a:ext cx="5611219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79</xdr:col>
      <xdr:colOff>25688</xdr:colOff>
      <xdr:row>69</xdr:row>
      <xdr:rowOff>83819</xdr:rowOff>
    </xdr:from>
    <xdr:to>
      <xdr:col>91</xdr:col>
      <xdr:colOff>56988</xdr:colOff>
      <xdr:row>69</xdr:row>
      <xdr:rowOff>125730</xdr:rowOff>
    </xdr:to>
    <xdr:sp macro="" textlink="">
      <xdr:nvSpPr>
        <xdr:cNvPr id="584" name="직사각형 583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배재영&#10;계약 : ~&#10;진행 : 2019-01-02~2019-03-27&#10;실투입일수 : 61&#10;기간대비 투입율 : &#10;실투입기준 투입율 : &#10;"/>
        </xdr:cNvPr>
        <xdr:cNvSpPr/>
      </xdr:nvSpPr>
      <xdr:spPr>
        <a:xfrm>
          <a:off x="19028063" y="13990319"/>
          <a:ext cx="1745800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63</xdr:col>
      <xdr:colOff>67251</xdr:colOff>
      <xdr:row>70</xdr:row>
      <xdr:rowOff>31432</xdr:rowOff>
    </xdr:from>
    <xdr:to>
      <xdr:col>94</xdr:col>
      <xdr:colOff>43998</xdr:colOff>
      <xdr:row>70</xdr:row>
      <xdr:rowOff>178117</xdr:rowOff>
    </xdr:to>
    <xdr:sp macro="" textlink="">
      <xdr:nvSpPr>
        <xdr:cNvPr id="585" name="직사각형 584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신용훈&#10;계약 : 2018-09-16~2019-04-16&#10;진행 : 2018-09-27~2019-06-28&#10;실투입일수 : 197&#10;기간대비 투입율 : 129.61&#10;실투입기준 투입율 : 129.61&#10;"/>
        </xdr:cNvPr>
        <xdr:cNvSpPr/>
      </xdr:nvSpPr>
      <xdr:spPr>
        <a:xfrm>
          <a:off x="16783626" y="14147482"/>
          <a:ext cx="44058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65</xdr:col>
      <xdr:colOff>10101</xdr:colOff>
      <xdr:row>70</xdr:row>
      <xdr:rowOff>83819</xdr:rowOff>
    </xdr:from>
    <xdr:to>
      <xdr:col>104</xdr:col>
      <xdr:colOff>132322</xdr:colOff>
      <xdr:row>70</xdr:row>
      <xdr:rowOff>125730</xdr:rowOff>
    </xdr:to>
    <xdr:sp macro="" textlink="">
      <xdr:nvSpPr>
        <xdr:cNvPr id="586" name="직사각형 585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신용훈&#10;계약 : 2018-09-16~2019-04-16&#10;진행 : 2018-09-27~2019-06-28&#10;실투입일수 : 197&#10;기간대비 투입율 : 129.61&#10;실투입기준 투입율 : 129.61&#10;"/>
        </xdr:cNvPr>
        <xdr:cNvSpPr/>
      </xdr:nvSpPr>
      <xdr:spPr>
        <a:xfrm>
          <a:off x="17012226" y="14199869"/>
          <a:ext cx="5694346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63</xdr:col>
      <xdr:colOff>67251</xdr:colOff>
      <xdr:row>71</xdr:row>
      <xdr:rowOff>31432</xdr:rowOff>
    </xdr:from>
    <xdr:to>
      <xdr:col>94</xdr:col>
      <xdr:colOff>43998</xdr:colOff>
      <xdr:row>71</xdr:row>
      <xdr:rowOff>178117</xdr:rowOff>
    </xdr:to>
    <xdr:sp macro="" textlink="">
      <xdr:nvSpPr>
        <xdr:cNvPr id="587" name="직사각형 586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이종협&#10;계약 : 2018-09-16~2019-04-16&#10;진행 : 2018-09-17~2019-05-15&#10;실투입일수 : 173&#10;기간대비 투입율 : 113.82&#10;실투입기준 투입율 : 113.82&#10;"/>
        </xdr:cNvPr>
        <xdr:cNvSpPr/>
      </xdr:nvSpPr>
      <xdr:spPr>
        <a:xfrm>
          <a:off x="16783626" y="14357032"/>
          <a:ext cx="44058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63</xdr:col>
      <xdr:colOff>88033</xdr:colOff>
      <xdr:row>71</xdr:row>
      <xdr:rowOff>83819</xdr:rowOff>
    </xdr:from>
    <xdr:to>
      <xdr:col>98</xdr:col>
      <xdr:colOff>75172</xdr:colOff>
      <xdr:row>71</xdr:row>
      <xdr:rowOff>125730</xdr:rowOff>
    </xdr:to>
    <xdr:sp macro="" textlink="">
      <xdr:nvSpPr>
        <xdr:cNvPr id="588" name="직사각형 587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이종협&#10;계약 : 2018-09-16~2019-04-16&#10;진행 : 2018-09-17~2019-05-15&#10;실투입일수 : 173&#10;기간대비 투입율 : 113.82&#10;실투입기준 투입율 : 113.82&#10;"/>
        </xdr:cNvPr>
        <xdr:cNvSpPr/>
      </xdr:nvSpPr>
      <xdr:spPr>
        <a:xfrm>
          <a:off x="16804408" y="14409419"/>
          <a:ext cx="4987764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65</xdr:col>
      <xdr:colOff>10101</xdr:colOff>
      <xdr:row>72</xdr:row>
      <xdr:rowOff>83819</xdr:rowOff>
    </xdr:from>
    <xdr:to>
      <xdr:col>96</xdr:col>
      <xdr:colOff>49193</xdr:colOff>
      <xdr:row>72</xdr:row>
      <xdr:rowOff>125730</xdr:rowOff>
    </xdr:to>
    <xdr:sp macro="" textlink="">
      <xdr:nvSpPr>
        <xdr:cNvPr id="589" name="직사각형 588">
          <a:hlinkClick xmlns:r="http://schemas.openxmlformats.org/officeDocument/2006/relationships" r:id="" tooltip="프로젝트명 : 신한은행 기업신용평가시스템 업그레이드 및 기업여신 시스템 심사 판단 모형 개발 프로젝트 內 머신러닝 TEST 모형 개발(PoC)&#10;성명 : 정지연&#10;계약 : ~&#10;진행 : 2018-09-27~2019-04-30&#10;실투입일수 : 154&#10;기간대비 투입율 : &#10;실투입기준 투입율 : &#10;"/>
        </xdr:cNvPr>
        <xdr:cNvSpPr/>
      </xdr:nvSpPr>
      <xdr:spPr>
        <a:xfrm>
          <a:off x="17012226" y="14618969"/>
          <a:ext cx="4468217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73</xdr:row>
      <xdr:rowOff>31432</xdr:rowOff>
    </xdr:from>
    <xdr:to>
      <xdr:col>100</xdr:col>
      <xdr:colOff>121930</xdr:colOff>
      <xdr:row>73</xdr:row>
      <xdr:rowOff>178117</xdr:rowOff>
    </xdr:to>
    <xdr:sp macro="" textlink="">
      <xdr:nvSpPr>
        <xdr:cNvPr id="590" name="직사각형 589">
          <a:hlinkClick xmlns:r="http://schemas.openxmlformats.org/officeDocument/2006/relationships" r:id="" tooltip="프로젝트명 : 신한지주 제주은행 지주통합모형 영향도분석&#10;성명 : 전체&#10;계약 : 2019-02-18~2019-05-31&#10;진행 : 2019-02-18~2019-05-31&#10;투입인원 : 2&#10;기간대비 투입율 : 100&#10;실투입기준 투입율 : 158.67&#10;"/>
        </xdr:cNvPr>
        <xdr:cNvSpPr/>
      </xdr:nvSpPr>
      <xdr:spPr>
        <a:xfrm>
          <a:off x="20004808" y="14776132"/>
          <a:ext cx="21198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73</xdr:row>
      <xdr:rowOff>83819</xdr:rowOff>
    </xdr:from>
    <xdr:to>
      <xdr:col>100</xdr:col>
      <xdr:colOff>121930</xdr:colOff>
      <xdr:row>73</xdr:row>
      <xdr:rowOff>125730</xdr:rowOff>
    </xdr:to>
    <xdr:sp macro="" textlink="">
      <xdr:nvSpPr>
        <xdr:cNvPr id="591" name="직사각형 590">
          <a:hlinkClick xmlns:r="http://schemas.openxmlformats.org/officeDocument/2006/relationships" r:id="" tooltip="프로젝트명 : 신한지주 제주은행 지주통합모형 영향도분석&#10;성명 : 전체&#10;계약 : 2019-02-18~2019-05-31&#10;진행 : 2019-02-18~2019-05-31&#10;투입인원 : 2&#10;기간대비 투입율 : 100&#10;실투입기준 투입율 : 158.67&#10;"/>
        </xdr:cNvPr>
        <xdr:cNvSpPr/>
      </xdr:nvSpPr>
      <xdr:spPr>
        <a:xfrm>
          <a:off x="20004808" y="14828519"/>
          <a:ext cx="2119872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74</xdr:row>
      <xdr:rowOff>31432</xdr:rowOff>
    </xdr:from>
    <xdr:to>
      <xdr:col>100</xdr:col>
      <xdr:colOff>121930</xdr:colOff>
      <xdr:row>74</xdr:row>
      <xdr:rowOff>178117</xdr:rowOff>
    </xdr:to>
    <xdr:sp macro="" textlink="">
      <xdr:nvSpPr>
        <xdr:cNvPr id="592" name="직사각형 591">
          <a:hlinkClick xmlns:r="http://schemas.openxmlformats.org/officeDocument/2006/relationships" r:id="" tooltip="프로젝트명 : 신한지주 제주은행 지주통합모형 영향도분석&#10;성명 : 이민제&#10;계약 : 2019-02-18~2019-05-31&#10;진행 : 2019-02-18~2019-05-31&#10;실투입일수 : 75&#10;기간대비 투입율 : 100&#10;실투입기준 투입율 : 100&#10;"/>
        </xdr:cNvPr>
        <xdr:cNvSpPr/>
      </xdr:nvSpPr>
      <xdr:spPr>
        <a:xfrm>
          <a:off x="20004808" y="14985682"/>
          <a:ext cx="211987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86</xdr:col>
      <xdr:colOff>2308</xdr:colOff>
      <xdr:row>74</xdr:row>
      <xdr:rowOff>83819</xdr:rowOff>
    </xdr:from>
    <xdr:to>
      <xdr:col>100</xdr:col>
      <xdr:colOff>121930</xdr:colOff>
      <xdr:row>74</xdr:row>
      <xdr:rowOff>125730</xdr:rowOff>
    </xdr:to>
    <xdr:sp macro="" textlink="">
      <xdr:nvSpPr>
        <xdr:cNvPr id="593" name="직사각형 592">
          <a:hlinkClick xmlns:r="http://schemas.openxmlformats.org/officeDocument/2006/relationships" r:id="" tooltip="프로젝트명 : 신한지주 제주은행 지주통합모형 영향도분석&#10;성명 : 이민제&#10;계약 : 2019-02-18~2019-05-31&#10;진행 : 2019-02-18~2019-05-31&#10;실투입일수 : 75&#10;기간대비 투입율 : 100&#10;실투입기준 투입율 : 100&#10;"/>
        </xdr:cNvPr>
        <xdr:cNvSpPr/>
      </xdr:nvSpPr>
      <xdr:spPr>
        <a:xfrm>
          <a:off x="20004808" y="15038069"/>
          <a:ext cx="2119872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92</xdr:col>
      <xdr:colOff>38676</xdr:colOff>
      <xdr:row>75</xdr:row>
      <xdr:rowOff>83819</xdr:rowOff>
    </xdr:from>
    <xdr:to>
      <xdr:col>100</xdr:col>
      <xdr:colOff>121930</xdr:colOff>
      <xdr:row>75</xdr:row>
      <xdr:rowOff>125730</xdr:rowOff>
    </xdr:to>
    <xdr:sp macro="" textlink="">
      <xdr:nvSpPr>
        <xdr:cNvPr id="594" name="직사각형 593">
          <a:hlinkClick xmlns:r="http://schemas.openxmlformats.org/officeDocument/2006/relationships" r:id="" tooltip="프로젝트명 : 신한지주 제주은행 지주통합모형 영향도분석&#10;성명 : 최호중&#10;계약 : ~&#10;진행 : 2019-04-02~2019-05-31&#10;실투입일수 : 44&#10;기간대비 투입율 : &#10;실투입기준 투입율 : &#10;"/>
        </xdr:cNvPr>
        <xdr:cNvSpPr/>
      </xdr:nvSpPr>
      <xdr:spPr>
        <a:xfrm>
          <a:off x="20898426" y="15247619"/>
          <a:ext cx="1226254" cy="41911"/>
        </a:xfrm>
        <a:prstGeom prst="rect">
          <a:avLst/>
        </a:prstGeom>
        <a:solidFill>
          <a:srgbClr val="6ED2FA">
            <a:alpha val="20000"/>
          </a:srgbClr>
        </a:solidFill>
        <a:ln w="126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291230</xdr:colOff>
      <xdr:row>0</xdr:row>
      <xdr:rowOff>31432</xdr:rowOff>
    </xdr:from>
    <xdr:to>
      <xdr:col>1</xdr:col>
      <xdr:colOff>554403</xdr:colOff>
      <xdr:row>0</xdr:row>
      <xdr:rowOff>178117</xdr:rowOff>
    </xdr:to>
    <xdr:sp macro="" textlink="">
      <xdr:nvSpPr>
        <xdr:cNvPr id="34" name="직사각형 33">
          <a:hlinkClick xmlns:r="http://schemas.openxmlformats.org/officeDocument/2006/relationships" r:id="" tooltip="2001-02-01-2001-03-01"/>
        </xdr:cNvPr>
        <xdr:cNvSpPr/>
      </xdr:nvSpPr>
      <xdr:spPr>
        <a:xfrm>
          <a:off x="977030" y="31432"/>
          <a:ext cx="263173" cy="146685"/>
        </a:xfrm>
        <a:prstGeom prst="rect">
          <a:avLst/>
        </a:prstGeom>
        <a:solidFill>
          <a:srgbClr val="FAD2B4">
            <a:alpha val="70000"/>
          </a:srgbClr>
        </a:solidFill>
        <a:ln w="6350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291230</xdr:colOff>
      <xdr:row>0</xdr:row>
      <xdr:rowOff>73342</xdr:rowOff>
    </xdr:from>
    <xdr:to>
      <xdr:col>1</xdr:col>
      <xdr:colOff>554403</xdr:colOff>
      <xdr:row>0</xdr:row>
      <xdr:rowOff>136207</xdr:rowOff>
    </xdr:to>
    <xdr:sp macro="" textlink="">
      <xdr:nvSpPr>
        <xdr:cNvPr id="35" name="직사각형 34">
          <a:hlinkClick xmlns:r="http://schemas.openxmlformats.org/officeDocument/2006/relationships" r:id="" tooltip="2001-02-01-2001-03-01"/>
        </xdr:cNvPr>
        <xdr:cNvSpPr/>
      </xdr:nvSpPr>
      <xdr:spPr>
        <a:xfrm>
          <a:off x="977030" y="73342"/>
          <a:ext cx="263173" cy="62865"/>
        </a:xfrm>
        <a:prstGeom prst="rect">
          <a:avLst/>
        </a:prstGeom>
        <a:solidFill>
          <a:srgbClr val="6ED2FA">
            <a:alpha val="70000"/>
          </a:srgbClr>
        </a:solidFill>
        <a:ln w="6350">
          <a:solidFill>
            <a:srgbClr val="96BE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5</xdr:row>
      <xdr:rowOff>161925</xdr:rowOff>
    </xdr:from>
    <xdr:to>
      <xdr:col>4</xdr:col>
      <xdr:colOff>638175</xdr:colOff>
      <xdr:row>7</xdr:row>
      <xdr:rowOff>66675</xdr:rowOff>
    </xdr:to>
    <xdr:sp macro="[0]!인력별현황조회" textlink="">
      <xdr:nvSpPr>
        <xdr:cNvPr id="6" name="TextBox 5"/>
        <xdr:cNvSpPr txBox="1"/>
      </xdr:nvSpPr>
      <xdr:spPr>
        <a:xfrm>
          <a:off x="7419975" y="1038225"/>
          <a:ext cx="523875" cy="342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조회</a:t>
          </a:r>
        </a:p>
      </xdr:txBody>
    </xdr:sp>
    <xdr:clientData/>
  </xdr:twoCellAnchor>
  <xdr:twoCellAnchor>
    <xdr:from>
      <xdr:col>26</xdr:col>
      <xdr:colOff>12700</xdr:colOff>
      <xdr:row>13</xdr:row>
      <xdr:rowOff>31432</xdr:rowOff>
    </xdr:from>
    <xdr:to>
      <xdr:col>38</xdr:col>
      <xdr:colOff>108077</xdr:colOff>
      <xdr:row>13</xdr:row>
      <xdr:rowOff>178117</xdr:rowOff>
    </xdr:to>
    <xdr:sp macro="" textlink="">
      <xdr:nvSpPr>
        <xdr:cNvPr id="339" name="직사각형 338">
          <a:hlinkClick xmlns:r="http://schemas.openxmlformats.org/officeDocument/2006/relationships" r:id="" tooltip="성명 : 강민규&#10;프로젝트명 : 전체&#10;계약 : 2018-04-30~2019-03-22&#10;진행 : 2018-04-30~2019-03-22&#10;조회 : 2019-01-01~2019-03-22&#10;실투입일수 : 38.6&#10;기간대비 가동율 : 68.6&#10;실투입대비 가동율 : 44.88&#10;"/>
        </xdr:cNvPr>
        <xdr:cNvSpPr/>
      </xdr:nvSpPr>
      <xdr:spPr>
        <a:xfrm>
          <a:off x="12728575" y="1965007"/>
          <a:ext cx="180987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32</xdr:col>
      <xdr:colOff>82946</xdr:colOff>
      <xdr:row>14</xdr:row>
      <xdr:rowOff>31432</xdr:rowOff>
    </xdr:from>
    <xdr:to>
      <xdr:col>38</xdr:col>
      <xdr:colOff>108077</xdr:colOff>
      <xdr:row>14</xdr:row>
      <xdr:rowOff>178117</xdr:rowOff>
    </xdr:to>
    <xdr:sp macro="" textlink="">
      <xdr:nvSpPr>
        <xdr:cNvPr id="340" name="직사각형 339">
          <a:hlinkClick xmlns:r="http://schemas.openxmlformats.org/officeDocument/2006/relationships" r:id="" tooltip="성명 : 강민규&#10;프로젝트명 : BNK지주 내부등급법 도입&#10;계약 : 2019-02-11~2019-03-22&#10;진행 : 2019-02-11~2019-03-22&#10;조회 : 2019-02-11~2019-03-22&#10;실투입일수 : 14.6&#10;기간대비 가동율 : 34.88&#10;실투입대비 가동율 : 16.98&#10;"/>
        </xdr:cNvPr>
        <xdr:cNvSpPr/>
      </xdr:nvSpPr>
      <xdr:spPr>
        <a:xfrm>
          <a:off x="13656071" y="2174557"/>
          <a:ext cx="88238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15</xdr:row>
      <xdr:rowOff>31432</xdr:rowOff>
    </xdr:from>
    <xdr:to>
      <xdr:col>30</xdr:col>
      <xdr:colOff>142605</xdr:colOff>
      <xdr:row>15</xdr:row>
      <xdr:rowOff>178117</xdr:rowOff>
    </xdr:to>
    <xdr:sp macro="" textlink="">
      <xdr:nvSpPr>
        <xdr:cNvPr id="341" name="직사각형 340">
          <a:hlinkClick xmlns:r="http://schemas.openxmlformats.org/officeDocument/2006/relationships" r:id="" tooltip="성명 : 강민규&#10;프로젝트명 : 서울보증보험 기업신용평가시스템 고도화&#10;계약 : 2018-04-30~2019-01-15&#10;진행 : 2018-04-30~2019-02-01&#10;조회 : 2019-01-01~2019-02-01&#10;실투입일수 : 24&#10;기간대비 가동율 : 27.91&#10;실투입대비 가동율 : 27.91&#10;"/>
        </xdr:cNvPr>
        <xdr:cNvSpPr/>
      </xdr:nvSpPr>
      <xdr:spPr>
        <a:xfrm>
          <a:off x="12728575" y="2384107"/>
          <a:ext cx="70140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16</xdr:row>
      <xdr:rowOff>31432</xdr:rowOff>
    </xdr:from>
    <xdr:to>
      <xdr:col>44</xdr:col>
      <xdr:colOff>133080</xdr:colOff>
      <xdr:row>16</xdr:row>
      <xdr:rowOff>178117</xdr:rowOff>
    </xdr:to>
    <xdr:sp macro="" textlink="">
      <xdr:nvSpPr>
        <xdr:cNvPr id="342" name="직사각형 341">
          <a:hlinkClick xmlns:r="http://schemas.openxmlformats.org/officeDocument/2006/relationships" r:id="" tooltip="성명 : 박장수&#10;프로젝트명 : 전체&#10;계약 : 2018-04-30~2020-02-10&#10;진행 : 2018-04-30~2020-02-10&#10;조회 : 2019-01-01~2019-04-30&#10;실투입일수 : 68&#10;기간대비 가동율 : 100&#10;실투입대비 가동율 : 79.07&#10;"/>
        </xdr:cNvPr>
        <xdr:cNvSpPr/>
      </xdr:nvSpPr>
      <xdr:spPr>
        <a:xfrm>
          <a:off x="12728575" y="25936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37</xdr:col>
      <xdr:colOff>24606</xdr:colOff>
      <xdr:row>17</xdr:row>
      <xdr:rowOff>31432</xdr:rowOff>
    </xdr:from>
    <xdr:to>
      <xdr:col>44</xdr:col>
      <xdr:colOff>133080</xdr:colOff>
      <xdr:row>17</xdr:row>
      <xdr:rowOff>178117</xdr:rowOff>
    </xdr:to>
    <xdr:sp macro="" textlink="">
      <xdr:nvSpPr>
        <xdr:cNvPr id="343" name="직사각형 342">
          <a:hlinkClick xmlns:r="http://schemas.openxmlformats.org/officeDocument/2006/relationships" r:id="" tooltip="성명 : 박장수&#10;프로젝트명 : 국민은행 Rule기반 기업여신 자동심사승인 모형&#10;계약 : 2019-03-11~2020-02-10&#10;진행 : 2019-03-12~2020-02-10&#10;조회 : 2019-03-12~2019-04-30&#10;실투입일수 : 36&#10;기간대비 가동율 : 41.86&#10;실투입대비 가동율 : 41.86&#10;"/>
        </xdr:cNvPr>
        <xdr:cNvSpPr/>
      </xdr:nvSpPr>
      <xdr:spPr>
        <a:xfrm>
          <a:off x="14312106" y="2803207"/>
          <a:ext cx="11085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18</xdr:row>
      <xdr:rowOff>31432</xdr:rowOff>
    </xdr:from>
    <xdr:to>
      <xdr:col>32</xdr:col>
      <xdr:colOff>128317</xdr:colOff>
      <xdr:row>18</xdr:row>
      <xdr:rowOff>178117</xdr:rowOff>
    </xdr:to>
    <xdr:sp macro="" textlink="">
      <xdr:nvSpPr>
        <xdr:cNvPr id="344" name="직사각형 343">
          <a:hlinkClick xmlns:r="http://schemas.openxmlformats.org/officeDocument/2006/relationships" r:id="" tooltip="성명 : 박장수&#10;프로젝트명 : 서울보증보험 기업신용평가시스템 고도화&#10;계약 : 2018-04-30~2019-01-15&#10;진행 : 2018-04-30~2019-02-13&#10;조회 : 2019-01-01~2019-02-13&#10;실투입일수 : 32&#10;기간대비 가동율 : 37.21&#10;실투입대비 가동율 : 37.21&#10;"/>
        </xdr:cNvPr>
        <xdr:cNvSpPr/>
      </xdr:nvSpPr>
      <xdr:spPr>
        <a:xfrm>
          <a:off x="12728575" y="3012757"/>
          <a:ext cx="97286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19</xdr:row>
      <xdr:rowOff>31432</xdr:rowOff>
    </xdr:from>
    <xdr:to>
      <xdr:col>44</xdr:col>
      <xdr:colOff>133080</xdr:colOff>
      <xdr:row>19</xdr:row>
      <xdr:rowOff>178117</xdr:rowOff>
    </xdr:to>
    <xdr:sp macro="" textlink="">
      <xdr:nvSpPr>
        <xdr:cNvPr id="345" name="직사각형 344">
          <a:hlinkClick xmlns:r="http://schemas.openxmlformats.org/officeDocument/2006/relationships" r:id="" tooltip="성명 : 박지웅&#10;프로젝트명 : 전체&#10;계약 : 2018-04-01~2019-12-10&#10;진행 : 2018-05-08~2019-12-10&#10;조회 : 2019-01-01~2019-04-30&#10;실투입일수 : 75&#10;기간대비 가동율 : 100&#10;실투입대비 가동율 : 87.21&#10;"/>
        </xdr:cNvPr>
        <xdr:cNvSpPr/>
      </xdr:nvSpPr>
      <xdr:spPr>
        <a:xfrm>
          <a:off x="12728575" y="32223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20</xdr:row>
      <xdr:rowOff>31432</xdr:rowOff>
    </xdr:from>
    <xdr:to>
      <xdr:col>34</xdr:col>
      <xdr:colOff>46164</xdr:colOff>
      <xdr:row>20</xdr:row>
      <xdr:rowOff>178117</xdr:rowOff>
    </xdr:to>
    <xdr:sp macro="" textlink="">
      <xdr:nvSpPr>
        <xdr:cNvPr id="346" name="직사각형 345">
          <a:hlinkClick xmlns:r="http://schemas.openxmlformats.org/officeDocument/2006/relationships" r:id="" tooltip="성명 : 박지웅&#10;프로젝트명 : JB금융지주 그룹 신용리스크 내부등급법 시스템 구축&#10;계약 : 2018-04-01~2018-11-30&#10;진행 : 2018-05-08~2019-02-22&#10;조회 : 2019-01-01~2019-02-22&#10;실투입일수 : 39&#10;기간대비 가동율 : 45.35&#10;실투입대비 가동율 : 45.35&#10;"/>
        </xdr:cNvPr>
        <xdr:cNvSpPr/>
      </xdr:nvSpPr>
      <xdr:spPr>
        <a:xfrm>
          <a:off x="12728575" y="3431857"/>
          <a:ext cx="117646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37</xdr:col>
      <xdr:colOff>24606</xdr:colOff>
      <xdr:row>21</xdr:row>
      <xdr:rowOff>31432</xdr:rowOff>
    </xdr:from>
    <xdr:to>
      <xdr:col>44</xdr:col>
      <xdr:colOff>133080</xdr:colOff>
      <xdr:row>21</xdr:row>
      <xdr:rowOff>178117</xdr:rowOff>
    </xdr:to>
    <xdr:sp macro="" textlink="">
      <xdr:nvSpPr>
        <xdr:cNvPr id="347" name="직사각형 346">
          <a:hlinkClick xmlns:r="http://schemas.openxmlformats.org/officeDocument/2006/relationships" r:id="" tooltip="성명 : 박지웅&#10;프로젝트명 : 국민은행 Rule기반 기업여신 자동심사승인 모형&#10;계약 : 2019-03-25~2019-12-10&#10;진행 : 2019-03-12~2019-12-10&#10;조회 : 2019-03-12~2019-04-30&#10;실투입일수 : 36&#10;기간대비 가동율 : 41.86&#10;실투입대비 가동율 : 41.86&#10;"/>
        </xdr:cNvPr>
        <xdr:cNvSpPr/>
      </xdr:nvSpPr>
      <xdr:spPr>
        <a:xfrm>
          <a:off x="14312106" y="3641407"/>
          <a:ext cx="11085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41</xdr:col>
      <xdr:colOff>63896</xdr:colOff>
      <xdr:row>22</xdr:row>
      <xdr:rowOff>31432</xdr:rowOff>
    </xdr:from>
    <xdr:to>
      <xdr:col>44</xdr:col>
      <xdr:colOff>133080</xdr:colOff>
      <xdr:row>22</xdr:row>
      <xdr:rowOff>178117</xdr:rowOff>
    </xdr:to>
    <xdr:sp macro="" textlink="">
      <xdr:nvSpPr>
        <xdr:cNvPr id="348" name="직사각형 347">
          <a:hlinkClick xmlns:r="http://schemas.openxmlformats.org/officeDocument/2006/relationships" r:id="" tooltip="성명 : 정혜정&#10;프로젝트명 : 전체&#10;계약 : 2019-04-08~2019-11-30&#10;진행 : 2019-04-08~2019-11-29&#10;조회 : 2019-04-08~2019-04-30&#10;실투입일수 : 17&#10;기간대비 가동율 : 19.77&#10;실투입대비 가동율 : 19.77&#10;"/>
        </xdr:cNvPr>
        <xdr:cNvSpPr/>
      </xdr:nvSpPr>
      <xdr:spPr>
        <a:xfrm>
          <a:off x="14922896" y="3850957"/>
          <a:ext cx="4978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41</xdr:col>
      <xdr:colOff>63896</xdr:colOff>
      <xdr:row>23</xdr:row>
      <xdr:rowOff>31432</xdr:rowOff>
    </xdr:from>
    <xdr:to>
      <xdr:col>44</xdr:col>
      <xdr:colOff>133080</xdr:colOff>
      <xdr:row>23</xdr:row>
      <xdr:rowOff>178117</xdr:rowOff>
    </xdr:to>
    <xdr:sp macro="" textlink="">
      <xdr:nvSpPr>
        <xdr:cNvPr id="349" name="직사각형 348">
          <a:hlinkClick xmlns:r="http://schemas.openxmlformats.org/officeDocument/2006/relationships" r:id="" tooltip="성명 : 정혜정&#10;프로젝트명 : 우리지주 내부등급법 이행 시스템 구축&#10;계약 : 2019-04-08~2019-11-30&#10;진행 : 2019-04-08~2019-11-29&#10;조회 : 2019-04-08~2019-04-30&#10;실투입일수 : 17&#10;기간대비 가동율 : 19.77&#10;실투입대비 가동율 : 19.77&#10;"/>
        </xdr:cNvPr>
        <xdr:cNvSpPr/>
      </xdr:nvSpPr>
      <xdr:spPr>
        <a:xfrm>
          <a:off x="14922896" y="4060507"/>
          <a:ext cx="4978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24</xdr:row>
      <xdr:rowOff>31432</xdr:rowOff>
    </xdr:from>
    <xdr:to>
      <xdr:col>44</xdr:col>
      <xdr:colOff>133080</xdr:colOff>
      <xdr:row>24</xdr:row>
      <xdr:rowOff>178117</xdr:rowOff>
    </xdr:to>
    <xdr:sp macro="" textlink="">
      <xdr:nvSpPr>
        <xdr:cNvPr id="350" name="직사각형 349">
          <a:hlinkClick xmlns:r="http://schemas.openxmlformats.org/officeDocument/2006/relationships" r:id="" tooltip="성명 : 정지연&#10;프로젝트명 : 전체&#10;계약 : ~&#10;진행 : 2018-09-27~2019-04-30&#10;조회 : 2019-01-01~2019-04-30&#10;실투입일수 : 86&#10;기간대비 가동율 : 100&#10;실투입대비 가동율 : 100&#10;"/>
        </xdr:cNvPr>
        <xdr:cNvSpPr/>
      </xdr:nvSpPr>
      <xdr:spPr>
        <a:xfrm>
          <a:off x="12728575" y="42700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25</xdr:row>
      <xdr:rowOff>31432</xdr:rowOff>
    </xdr:from>
    <xdr:to>
      <xdr:col>44</xdr:col>
      <xdr:colOff>133080</xdr:colOff>
      <xdr:row>25</xdr:row>
      <xdr:rowOff>178117</xdr:rowOff>
    </xdr:to>
    <xdr:sp macro="" textlink="">
      <xdr:nvSpPr>
        <xdr:cNvPr id="351" name="직사각형 350">
          <a:hlinkClick xmlns:r="http://schemas.openxmlformats.org/officeDocument/2006/relationships" r:id="" tooltip="성명 : 정지연&#10;프로젝트명 : 신한은행 기업신용평가시스템 업그레이드 및 기업여신 시스템 심사 판단 모형 개발 프로젝트 內 머신러닝 TEST 모형 개발(PoC)&#10;계약 : ~&#10;진행 : 2018-09-27~2019-04-30&#10;조회 : 2019-01-01~2019-04-30&#10;실투입일수 : 86&#10;기간대비 가동율 : 100&#10;실투입대비 가동율 : 100&#10;"/>
        </xdr:cNvPr>
        <xdr:cNvSpPr/>
      </xdr:nvSpPr>
      <xdr:spPr>
        <a:xfrm>
          <a:off x="12728575" y="44796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26</xdr:row>
      <xdr:rowOff>31432</xdr:rowOff>
    </xdr:from>
    <xdr:to>
      <xdr:col>44</xdr:col>
      <xdr:colOff>133080</xdr:colOff>
      <xdr:row>26</xdr:row>
      <xdr:rowOff>178117</xdr:rowOff>
    </xdr:to>
    <xdr:sp macro="" textlink="">
      <xdr:nvSpPr>
        <xdr:cNvPr id="352" name="직사각형 351">
          <a:hlinkClick xmlns:r="http://schemas.openxmlformats.org/officeDocument/2006/relationships" r:id="" tooltip="성명 : 유재원&#10;프로젝트명 : 전체&#10;계약 : 2019-01-07~2019-09-06&#10;진행 : 2019-01-07~2019-09-27&#10;조회 : 2019-01-07~2019-04-30&#10;실투입일수 : 82&#10;기간대비 가동율 : 95.35&#10;실투입대비 가동율 : 95.35&#10;"/>
        </xdr:cNvPr>
        <xdr:cNvSpPr/>
      </xdr:nvSpPr>
      <xdr:spPr>
        <a:xfrm>
          <a:off x="12864306" y="4689157"/>
          <a:ext cx="2556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27</xdr:row>
      <xdr:rowOff>31432</xdr:rowOff>
    </xdr:from>
    <xdr:to>
      <xdr:col>44</xdr:col>
      <xdr:colOff>133080</xdr:colOff>
      <xdr:row>27</xdr:row>
      <xdr:rowOff>178117</xdr:rowOff>
    </xdr:to>
    <xdr:sp macro="" textlink="">
      <xdr:nvSpPr>
        <xdr:cNvPr id="353" name="직사각형 352">
          <a:hlinkClick xmlns:r="http://schemas.openxmlformats.org/officeDocument/2006/relationships" r:id="" tooltip="성명 : 유재원&#10;프로젝트명 : 농협중앙회 신용평가모형 개선&#10;계약 : 2019-01-07~2019-09-06&#10;진행 : 2019-01-07~2019-09-27&#10;조회 : 2019-01-07~2019-04-30&#10;실투입일수 : 82&#10;기간대비 가동율 : 95.35&#10;실투입대비 가동율 : 95.35&#10;"/>
        </xdr:cNvPr>
        <xdr:cNvSpPr/>
      </xdr:nvSpPr>
      <xdr:spPr>
        <a:xfrm>
          <a:off x="12864306" y="4898707"/>
          <a:ext cx="2556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28</xdr:row>
      <xdr:rowOff>31432</xdr:rowOff>
    </xdr:from>
    <xdr:to>
      <xdr:col>44</xdr:col>
      <xdr:colOff>133080</xdr:colOff>
      <xdr:row>28</xdr:row>
      <xdr:rowOff>178117</xdr:rowOff>
    </xdr:to>
    <xdr:sp macro="" textlink="">
      <xdr:nvSpPr>
        <xdr:cNvPr id="354" name="직사각형 353">
          <a:hlinkClick xmlns:r="http://schemas.openxmlformats.org/officeDocument/2006/relationships" r:id="" tooltip="성명 : 윤예슬&#10;프로젝트명 : 전체&#10;계약 : 2018-11-05~2019-04-30&#10;진행 : 2018-11-05~2019-05-03&#10;조회 : 2019-01-01~2019-04-30&#10;실투입일수 : 86&#10;기간대비 가동율 : 100&#10;실투입대비 가동율 : 100&#10;"/>
        </xdr:cNvPr>
        <xdr:cNvSpPr/>
      </xdr:nvSpPr>
      <xdr:spPr>
        <a:xfrm>
          <a:off x="12728575" y="51082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29</xdr:row>
      <xdr:rowOff>31432</xdr:rowOff>
    </xdr:from>
    <xdr:to>
      <xdr:col>44</xdr:col>
      <xdr:colOff>133080</xdr:colOff>
      <xdr:row>29</xdr:row>
      <xdr:rowOff>178117</xdr:rowOff>
    </xdr:to>
    <xdr:sp macro="" textlink="">
      <xdr:nvSpPr>
        <xdr:cNvPr id="355" name="직사각형 354">
          <a:hlinkClick xmlns:r="http://schemas.openxmlformats.org/officeDocument/2006/relationships" r:id="" tooltip="성명 : 윤예슬&#10;프로젝트명 : 대구은행 신용리스크관리시 시스템 재개발&#10;계약 : 2018-11-05~2019-04-30&#10;진행 : 2018-11-05~2019-05-03&#10;조회 : 2019-01-01~2019-04-30&#10;실투입일수 : 86&#10;기간대비 가동율 : 100&#10;실투입대비 가동율 : 100&#10;"/>
        </xdr:cNvPr>
        <xdr:cNvSpPr/>
      </xdr:nvSpPr>
      <xdr:spPr>
        <a:xfrm>
          <a:off x="12728575" y="53178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30</xdr:row>
      <xdr:rowOff>31432</xdr:rowOff>
    </xdr:from>
    <xdr:to>
      <xdr:col>43</xdr:col>
      <xdr:colOff>94980</xdr:colOff>
      <xdr:row>30</xdr:row>
      <xdr:rowOff>178117</xdr:rowOff>
    </xdr:to>
    <xdr:sp macro="" textlink="">
      <xdr:nvSpPr>
        <xdr:cNvPr id="356" name="직사각형 355">
          <a:hlinkClick xmlns:r="http://schemas.openxmlformats.org/officeDocument/2006/relationships" r:id="" tooltip="성명 : 윤화형&#10;프로젝트명 : 전체&#10;계약 : 2018-08-04~2019-03-31&#10;진행 : 2018-08-06~2019-04-22&#10;조회 : 2019-01-01~2019-04-22&#10;실투입일수 : 80&#10;기간대비 가동율 : 93.02&#10;실투입대비 가동율 : 93.02&#10;"/>
        </xdr:cNvPr>
        <xdr:cNvSpPr/>
      </xdr:nvSpPr>
      <xdr:spPr>
        <a:xfrm>
          <a:off x="12728575" y="5527357"/>
          <a:ext cx="251115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31</xdr:row>
      <xdr:rowOff>31432</xdr:rowOff>
    </xdr:from>
    <xdr:to>
      <xdr:col>40</xdr:col>
      <xdr:colOff>139033</xdr:colOff>
      <xdr:row>31</xdr:row>
      <xdr:rowOff>178117</xdr:rowOff>
    </xdr:to>
    <xdr:sp macro="" textlink="">
      <xdr:nvSpPr>
        <xdr:cNvPr id="357" name="직사각형 356">
          <a:hlinkClick xmlns:r="http://schemas.openxmlformats.org/officeDocument/2006/relationships" r:id="" tooltip="성명 : 윤화형&#10;프로젝트명 : 우리은행 M/S 및 기업신용평가모형 개선&#10;계약 : 2018-08-04~2019-03-31&#10;진행 : 2018-08-06~2019-04-05&#10;조회 : 2019-01-01~2019-04-05&#10;실투입일수 : 69&#10;기간대비 가동율 : 80.23&#10;실투입대비 가동율 : 80.23&#10;"/>
        </xdr:cNvPr>
        <xdr:cNvSpPr/>
      </xdr:nvSpPr>
      <xdr:spPr>
        <a:xfrm>
          <a:off x="12728575" y="5736907"/>
          <a:ext cx="212658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41</xdr:col>
      <xdr:colOff>63896</xdr:colOff>
      <xdr:row>32</xdr:row>
      <xdr:rowOff>31432</xdr:rowOff>
    </xdr:from>
    <xdr:to>
      <xdr:col>43</xdr:col>
      <xdr:colOff>94980</xdr:colOff>
      <xdr:row>32</xdr:row>
      <xdr:rowOff>178117</xdr:rowOff>
    </xdr:to>
    <xdr:sp macro="" textlink="">
      <xdr:nvSpPr>
        <xdr:cNvPr id="358" name="직사각형 357">
          <a:hlinkClick xmlns:r="http://schemas.openxmlformats.org/officeDocument/2006/relationships" r:id="" tooltip="성명 : 윤화형&#10;프로젝트명 : 우리지주 내부등급법 이행 시스템 구축&#10;계약 : ~&#10;진행 : 2019-04-08~2019-04-22&#10;조회 : 2019-04-08~2019-04-22&#10;실투입일수 : 11&#10;기간대비 가동율 : 12.79&#10;실투입대비 가동율 : 12.79&#10;"/>
        </xdr:cNvPr>
        <xdr:cNvSpPr/>
      </xdr:nvSpPr>
      <xdr:spPr>
        <a:xfrm>
          <a:off x="14922896" y="5946457"/>
          <a:ext cx="31683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35321</xdr:colOff>
      <xdr:row>33</xdr:row>
      <xdr:rowOff>31432</xdr:rowOff>
    </xdr:from>
    <xdr:to>
      <xdr:col>44</xdr:col>
      <xdr:colOff>133080</xdr:colOff>
      <xdr:row>33</xdr:row>
      <xdr:rowOff>178117</xdr:rowOff>
    </xdr:to>
    <xdr:sp macro="" textlink="">
      <xdr:nvSpPr>
        <xdr:cNvPr id="359" name="직사각형 358">
          <a:hlinkClick xmlns:r="http://schemas.openxmlformats.org/officeDocument/2006/relationships" r:id="" tooltip="성명 : 배재영&#10;프로젝트명 : 전체&#10;계약 : 2019-03-25~2020-02-10&#10;진행 : 2019-01-02~2020-02-10&#10;조회 : 2019-01-02~2019-04-30&#10;실투입일수 : 83&#10;기간대비 가동율 : 98.84&#10;실투입대비 가동율 : 96.51&#10;"/>
        </xdr:cNvPr>
        <xdr:cNvSpPr/>
      </xdr:nvSpPr>
      <xdr:spPr>
        <a:xfrm>
          <a:off x="12751196" y="6156007"/>
          <a:ext cx="26695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48418</xdr:colOff>
      <xdr:row>34</xdr:row>
      <xdr:rowOff>31432</xdr:rowOff>
    </xdr:from>
    <xdr:to>
      <xdr:col>44</xdr:col>
      <xdr:colOff>133080</xdr:colOff>
      <xdr:row>34</xdr:row>
      <xdr:rowOff>178117</xdr:rowOff>
    </xdr:to>
    <xdr:sp macro="" textlink="">
      <xdr:nvSpPr>
        <xdr:cNvPr id="360" name="직사각형 359">
          <a:hlinkClick xmlns:r="http://schemas.openxmlformats.org/officeDocument/2006/relationships" r:id="" tooltip="성명 : 배재영&#10;프로젝트명 : 국민은행 Rule기반 기업여신 자동심사승인 모형&#10;계약 : 2019-03-25~2020-02-10&#10;진행 : 2019-04-01~2020-02-10&#10;조회 : 2019-04-01~2019-04-30&#10;실투입일수 : 22&#10;기간대비 가동율 : 25.58&#10;실투입대비 가동율 : 25.58&#10;"/>
        </xdr:cNvPr>
        <xdr:cNvSpPr/>
      </xdr:nvSpPr>
      <xdr:spPr>
        <a:xfrm>
          <a:off x="14764543" y="6365557"/>
          <a:ext cx="65616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35321</xdr:colOff>
      <xdr:row>35</xdr:row>
      <xdr:rowOff>31432</xdr:rowOff>
    </xdr:from>
    <xdr:to>
      <xdr:col>39</xdr:col>
      <xdr:colOff>78311</xdr:colOff>
      <xdr:row>35</xdr:row>
      <xdr:rowOff>178117</xdr:rowOff>
    </xdr:to>
    <xdr:sp macro="" textlink="">
      <xdr:nvSpPr>
        <xdr:cNvPr id="361" name="직사각형 360">
          <a:hlinkClick xmlns:r="http://schemas.openxmlformats.org/officeDocument/2006/relationships" r:id="" tooltip="성명 : 배재영&#10;프로젝트명 : 신한은행 기업신용평가시스템 업그레이드 및 기업여신 시스템 심사 판단 모형 개발 프로젝트 內 머신러닝 TEST 모형 개발(PoC)&#10;계약 : ~&#10;진행 : 2019-01-02~2019-03-27&#10;조회 : 2019-01-02~2019-03-27&#10;실투입일수 : 61&#10;기간대비 가동율 : 70.93&#10;실투입대비 가동율 : 70.93&#10;"/>
        </xdr:cNvPr>
        <xdr:cNvSpPr/>
      </xdr:nvSpPr>
      <xdr:spPr>
        <a:xfrm>
          <a:off x="12751196" y="6575107"/>
          <a:ext cx="1900365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36</xdr:row>
      <xdr:rowOff>31432</xdr:rowOff>
    </xdr:from>
    <xdr:to>
      <xdr:col>44</xdr:col>
      <xdr:colOff>133080</xdr:colOff>
      <xdr:row>36</xdr:row>
      <xdr:rowOff>178117</xdr:rowOff>
    </xdr:to>
    <xdr:sp macro="" textlink="">
      <xdr:nvSpPr>
        <xdr:cNvPr id="362" name="직사각형 361">
          <a:hlinkClick xmlns:r="http://schemas.openxmlformats.org/officeDocument/2006/relationships" r:id="" tooltip="성명 : 문명기&#10;프로젝트명 : 전체&#10;계약 : 2018-11-05~2019-06-30&#10;진행 : 2018-11-01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67846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37</xdr:row>
      <xdr:rowOff>31432</xdr:rowOff>
    </xdr:from>
    <xdr:to>
      <xdr:col>44</xdr:col>
      <xdr:colOff>133080</xdr:colOff>
      <xdr:row>37</xdr:row>
      <xdr:rowOff>178117</xdr:rowOff>
    </xdr:to>
    <xdr:sp macro="" textlink="">
      <xdr:nvSpPr>
        <xdr:cNvPr id="363" name="직사각형 362">
          <a:hlinkClick xmlns:r="http://schemas.openxmlformats.org/officeDocument/2006/relationships" r:id="" tooltip="성명 : 문명기&#10;프로젝트명 : 우리은행 기업여신 자동심사 프로세스 신설&#10;계약 : 2018-11-05~2019-06-30&#10;진행 : 2018-11-01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69942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38</xdr:row>
      <xdr:rowOff>31432</xdr:rowOff>
    </xdr:from>
    <xdr:to>
      <xdr:col>44</xdr:col>
      <xdr:colOff>133080</xdr:colOff>
      <xdr:row>38</xdr:row>
      <xdr:rowOff>178117</xdr:rowOff>
    </xdr:to>
    <xdr:sp macro="" textlink="">
      <xdr:nvSpPr>
        <xdr:cNvPr id="364" name="직사각형 363">
          <a:hlinkClick xmlns:r="http://schemas.openxmlformats.org/officeDocument/2006/relationships" r:id="" tooltip="성명 : 김대호&#10;프로젝트명 : 전체&#10;계약 : 2018-11-04~2019-03-31&#10;진행 : 2018-10-08~2019-04-30&#10;조회 : 2019-01-01~2019-04-30&#10;실투입일수 : 75&#10;기간대비 가동율 : 100&#10;실투입대비 가동율 : 87.21&#10;"/>
        </xdr:cNvPr>
        <xdr:cNvSpPr/>
      </xdr:nvSpPr>
      <xdr:spPr>
        <a:xfrm>
          <a:off x="12728575" y="72037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37</xdr:col>
      <xdr:colOff>1984</xdr:colOff>
      <xdr:row>39</xdr:row>
      <xdr:rowOff>31432</xdr:rowOff>
    </xdr:from>
    <xdr:to>
      <xdr:col>38</xdr:col>
      <xdr:colOff>108077</xdr:colOff>
      <xdr:row>39</xdr:row>
      <xdr:rowOff>178117</xdr:rowOff>
    </xdr:to>
    <xdr:sp macro="" textlink="">
      <xdr:nvSpPr>
        <xdr:cNvPr id="365" name="직사각형 364">
          <a:hlinkClick xmlns:r="http://schemas.openxmlformats.org/officeDocument/2006/relationships" r:id="" tooltip="성명 : 김대호&#10;프로젝트명 : 신한은행 기업신용평가시스템 업그레이드 및 기업여신 시스템 심사 판단 모형 개발 프로젝트 內 머신러닝 TEST 모형 개발(PoC)&#10;계약 : ~&#10;진행 : 2019-03-11~2019-03-22&#10;조회 : 2019-03-11~2019-03-22&#10;실투입일수 : 10&#10;기간대비 가동율 : 11.63&#10;실투입대비 가동율 : 11.63&#10;"/>
        </xdr:cNvPr>
        <xdr:cNvSpPr/>
      </xdr:nvSpPr>
      <xdr:spPr>
        <a:xfrm>
          <a:off x="14289484" y="7413307"/>
          <a:ext cx="248968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40</xdr:row>
      <xdr:rowOff>31432</xdr:rowOff>
    </xdr:from>
    <xdr:to>
      <xdr:col>36</xdr:col>
      <xdr:colOff>54498</xdr:colOff>
      <xdr:row>40</xdr:row>
      <xdr:rowOff>178117</xdr:rowOff>
    </xdr:to>
    <xdr:sp macro="" textlink="">
      <xdr:nvSpPr>
        <xdr:cNvPr id="366" name="직사각형 365">
          <a:hlinkClick xmlns:r="http://schemas.openxmlformats.org/officeDocument/2006/relationships" r:id="" tooltip="성명 : 김대호&#10;프로젝트명 : 우리은행 M/S 및 기업신용평가모형 개선&#10;계약 : 2018-11-04~2019-03-31&#10;진행 : 2018-10-08~2019-03-07&#10;조회 : 2019-01-01~2019-03-07&#10;실투입일수 : 48&#10;기간대비 가동율 : 55.81&#10;실투입대비 가동율 : 55.81&#10;"/>
        </xdr:cNvPr>
        <xdr:cNvSpPr/>
      </xdr:nvSpPr>
      <xdr:spPr>
        <a:xfrm>
          <a:off x="12728575" y="7622857"/>
          <a:ext cx="1470548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41</xdr:col>
      <xdr:colOff>63896</xdr:colOff>
      <xdr:row>41</xdr:row>
      <xdr:rowOff>31432</xdr:rowOff>
    </xdr:from>
    <xdr:to>
      <xdr:col>44</xdr:col>
      <xdr:colOff>133080</xdr:colOff>
      <xdr:row>41</xdr:row>
      <xdr:rowOff>178117</xdr:rowOff>
    </xdr:to>
    <xdr:sp macro="" textlink="">
      <xdr:nvSpPr>
        <xdr:cNvPr id="367" name="직사각형 366">
          <a:hlinkClick xmlns:r="http://schemas.openxmlformats.org/officeDocument/2006/relationships" r:id="" tooltip="성명 : 김대호&#10;프로젝트명 : 우리지주 내부등급법 이행 시스템 구축&#10;계약 : ~&#10;진행 : 2019-04-08~2019-04-30&#10;조회 : 2019-04-08~2019-04-30&#10;실투입일수 : 17&#10;기간대비 가동율 : 19.77&#10;실투입대비 가동율 : 19.77&#10;"/>
        </xdr:cNvPr>
        <xdr:cNvSpPr/>
      </xdr:nvSpPr>
      <xdr:spPr>
        <a:xfrm>
          <a:off x="14922896" y="7832407"/>
          <a:ext cx="4978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42</xdr:row>
      <xdr:rowOff>31432</xdr:rowOff>
    </xdr:from>
    <xdr:to>
      <xdr:col>44</xdr:col>
      <xdr:colOff>133080</xdr:colOff>
      <xdr:row>42</xdr:row>
      <xdr:rowOff>178117</xdr:rowOff>
    </xdr:to>
    <xdr:sp macro="" textlink="">
      <xdr:nvSpPr>
        <xdr:cNvPr id="368" name="직사각형 367">
          <a:hlinkClick xmlns:r="http://schemas.openxmlformats.org/officeDocument/2006/relationships" r:id="" tooltip="성명 : 김기연&#10;프로젝트명 : 전체&#10;계약 : 2018-08-16~2019-02-15&#10;진행 : 2018-09-03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80419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43</xdr:row>
      <xdr:rowOff>31432</xdr:rowOff>
    </xdr:from>
    <xdr:to>
      <xdr:col>44</xdr:col>
      <xdr:colOff>133080</xdr:colOff>
      <xdr:row>43</xdr:row>
      <xdr:rowOff>178117</xdr:rowOff>
    </xdr:to>
    <xdr:sp macro="" textlink="">
      <xdr:nvSpPr>
        <xdr:cNvPr id="369" name="직사각형 368">
          <a:hlinkClick xmlns:r="http://schemas.openxmlformats.org/officeDocument/2006/relationships" r:id="" tooltip="성명 : 김기연&#10;프로젝트명 : 신한은행 기업신용평가시스템 업그레이드 및 기업여신 시스템 심사 판단 모형 개발 프로젝트 內 머신러닝 TEST 모형 개발(PoC)&#10;계약 : 2018-08-16~2019-02-15&#10;진행 : 2018-09-03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82515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44</xdr:row>
      <xdr:rowOff>31432</xdr:rowOff>
    </xdr:from>
    <xdr:to>
      <xdr:col>44</xdr:col>
      <xdr:colOff>133080</xdr:colOff>
      <xdr:row>44</xdr:row>
      <xdr:rowOff>178117</xdr:rowOff>
    </xdr:to>
    <xdr:sp macro="" textlink="">
      <xdr:nvSpPr>
        <xdr:cNvPr id="370" name="직사각형 369">
          <a:hlinkClick xmlns:r="http://schemas.openxmlformats.org/officeDocument/2006/relationships" r:id="" tooltip="성명 : 김남선&#10;프로젝트명 : 전체&#10;계약 : 2018-08-16~2019-04-16&#10;진행 : 2018-08-16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84610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45</xdr:row>
      <xdr:rowOff>31432</xdr:rowOff>
    </xdr:from>
    <xdr:to>
      <xdr:col>44</xdr:col>
      <xdr:colOff>133080</xdr:colOff>
      <xdr:row>45</xdr:row>
      <xdr:rowOff>178117</xdr:rowOff>
    </xdr:to>
    <xdr:sp macro="" textlink="">
      <xdr:nvSpPr>
        <xdr:cNvPr id="371" name="직사각형 370">
          <a:hlinkClick xmlns:r="http://schemas.openxmlformats.org/officeDocument/2006/relationships" r:id="" tooltip="성명 : 김남선&#10;프로젝트명 : 신한은행 기업신용평가시스템 업그레이드 및 기업여신 시스템 심사 판단 모형 개발 프로젝트 內 머신러닝 TEST 모형 개발(PoC)&#10;계약 : 2018-08-16~2019-04-16&#10;진행 : 2018-08-16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86706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71040</xdr:colOff>
      <xdr:row>46</xdr:row>
      <xdr:rowOff>31432</xdr:rowOff>
    </xdr:from>
    <xdr:to>
      <xdr:col>44</xdr:col>
      <xdr:colOff>133080</xdr:colOff>
      <xdr:row>46</xdr:row>
      <xdr:rowOff>178117</xdr:rowOff>
    </xdr:to>
    <xdr:sp macro="" textlink="">
      <xdr:nvSpPr>
        <xdr:cNvPr id="372" name="직사각형 371">
          <a:hlinkClick xmlns:r="http://schemas.openxmlformats.org/officeDocument/2006/relationships" r:id="" tooltip="성명 : 김재겸&#10;프로젝트명 : 전체&#10;계약 : ~&#10;진행 : 2019-04-02~2019-06-28&#10;조회 : 2019-04-02~2019-04-30&#10;실투입일수 : 21&#10;기간대비 가동율 : 24.42&#10;실투입대비 가동율 : 24.42&#10;"/>
        </xdr:cNvPr>
        <xdr:cNvSpPr/>
      </xdr:nvSpPr>
      <xdr:spPr>
        <a:xfrm>
          <a:off x="14787165" y="8880157"/>
          <a:ext cx="63354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71040</xdr:colOff>
      <xdr:row>47</xdr:row>
      <xdr:rowOff>31432</xdr:rowOff>
    </xdr:from>
    <xdr:to>
      <xdr:col>44</xdr:col>
      <xdr:colOff>133080</xdr:colOff>
      <xdr:row>47</xdr:row>
      <xdr:rowOff>178117</xdr:rowOff>
    </xdr:to>
    <xdr:sp macro="" textlink="">
      <xdr:nvSpPr>
        <xdr:cNvPr id="373" name="직사각형 372">
          <a:hlinkClick xmlns:r="http://schemas.openxmlformats.org/officeDocument/2006/relationships" r:id="" tooltip="성명 : 김재겸&#10;프로젝트명 : 신한은행 기업신용평가시스템 업그레이드 및 기업여신 시스템 심사 판단 모형 개발 프로젝트 內 머신러닝 TEST 모형 개발(PoC)&#10;계약 : ~&#10;진행 : 2019-04-02~2019-06-28&#10;조회 : 2019-04-02~2019-04-30&#10;실투입일수 : 21&#10;기간대비 가동율 : 24.42&#10;실투입대비 가동율 : 24.42&#10;"/>
        </xdr:cNvPr>
        <xdr:cNvSpPr/>
      </xdr:nvSpPr>
      <xdr:spPr>
        <a:xfrm>
          <a:off x="14787165" y="9089707"/>
          <a:ext cx="63354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48</xdr:row>
      <xdr:rowOff>31432</xdr:rowOff>
    </xdr:from>
    <xdr:to>
      <xdr:col>44</xdr:col>
      <xdr:colOff>133080</xdr:colOff>
      <xdr:row>48</xdr:row>
      <xdr:rowOff>178117</xdr:rowOff>
    </xdr:to>
    <xdr:sp macro="" textlink="">
      <xdr:nvSpPr>
        <xdr:cNvPr id="374" name="직사각형 373">
          <a:hlinkClick xmlns:r="http://schemas.openxmlformats.org/officeDocument/2006/relationships" r:id="" tooltip="성명 : 김경수&#10;프로젝트명 : 전체&#10;계약 : 2018-09-16~2019-04-30&#10;진행 : 2018-09-03~2019-05-10&#10;조회 : 2019-01-01~2019-04-30&#10;실투입일수 : 150&#10;기간대비 가동율 : 100&#10;실투입대비 가동율 : 174.42&#10;"/>
        </xdr:cNvPr>
        <xdr:cNvSpPr/>
      </xdr:nvSpPr>
      <xdr:spPr>
        <a:xfrm>
          <a:off x="12728575" y="92992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49</xdr:row>
      <xdr:rowOff>31432</xdr:rowOff>
    </xdr:from>
    <xdr:to>
      <xdr:col>44</xdr:col>
      <xdr:colOff>133080</xdr:colOff>
      <xdr:row>49</xdr:row>
      <xdr:rowOff>178117</xdr:rowOff>
    </xdr:to>
    <xdr:sp macro="" textlink="">
      <xdr:nvSpPr>
        <xdr:cNvPr id="375" name="직사각형 374">
          <a:hlinkClick xmlns:r="http://schemas.openxmlformats.org/officeDocument/2006/relationships" r:id="" tooltip="성명 : 김경수&#10;프로젝트명 : 대구은행 신용리스크관리시 시스템 재개발&#10;계약 : 2018-12-01~2019-04-30&#10;진행 : 2018-12-06~2019-05-10&#10;조회 : 2019-01-01~2019-04-30&#10;실투입일수 : 86&#10;기간대비 가동율 : 100&#10;실투입대비 가동율 : 100&#10;"/>
        </xdr:cNvPr>
        <xdr:cNvSpPr/>
      </xdr:nvSpPr>
      <xdr:spPr>
        <a:xfrm>
          <a:off x="12728575" y="95088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50</xdr:row>
      <xdr:rowOff>31432</xdr:rowOff>
    </xdr:from>
    <xdr:to>
      <xdr:col>39</xdr:col>
      <xdr:colOff>123555</xdr:colOff>
      <xdr:row>50</xdr:row>
      <xdr:rowOff>178117</xdr:rowOff>
    </xdr:to>
    <xdr:sp macro="" textlink="">
      <xdr:nvSpPr>
        <xdr:cNvPr id="376" name="직사각형 375">
          <a:hlinkClick xmlns:r="http://schemas.openxmlformats.org/officeDocument/2006/relationships" r:id="" tooltip="성명 : 김경수&#10;프로젝트명 : 신한은행 기업신용평가시스템 업그레이드 및 기업여신 시스템 심사 판단 모형 개발 프로젝트 內 머신러닝 TEST 모형 개발(PoC)&#10;계약 : 2018-09-16~2019-03-15&#10;진행 : 2018-09-03~2019-03-29&#10;조회 : 2019-01-01~2019-03-29&#10;실투입일수 : 64&#10;기간대비 가동율 : 74.42&#10;실투입대비 가동율 : 74.42&#10;"/>
        </xdr:cNvPr>
        <xdr:cNvSpPr/>
      </xdr:nvSpPr>
      <xdr:spPr>
        <a:xfrm>
          <a:off x="12728575" y="9718357"/>
          <a:ext cx="19682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51</xdr:row>
      <xdr:rowOff>31432</xdr:rowOff>
    </xdr:from>
    <xdr:to>
      <xdr:col>40</xdr:col>
      <xdr:colOff>139033</xdr:colOff>
      <xdr:row>51</xdr:row>
      <xdr:rowOff>178117</xdr:rowOff>
    </xdr:to>
    <xdr:sp macro="" textlink="">
      <xdr:nvSpPr>
        <xdr:cNvPr id="377" name="직사각형 376">
          <a:hlinkClick xmlns:r="http://schemas.openxmlformats.org/officeDocument/2006/relationships" r:id="" tooltip="성명 : 김진백&#10;프로젝트명 : 전체&#10;계약 : 2018-06-04~2019-03-31&#10;진행 : 2018-06-04~2019-04-05&#10;조회 : 2019-01-01~2019-04-05&#10;실투입일수 : 69&#10;기간대비 가동율 : 80.23&#10;실투입대비 가동율 : 80.23&#10;"/>
        </xdr:cNvPr>
        <xdr:cNvSpPr/>
      </xdr:nvSpPr>
      <xdr:spPr>
        <a:xfrm>
          <a:off x="12728575" y="9927907"/>
          <a:ext cx="212658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52</xdr:row>
      <xdr:rowOff>31432</xdr:rowOff>
    </xdr:from>
    <xdr:to>
      <xdr:col>40</xdr:col>
      <xdr:colOff>139033</xdr:colOff>
      <xdr:row>52</xdr:row>
      <xdr:rowOff>178117</xdr:rowOff>
    </xdr:to>
    <xdr:sp macro="" textlink="">
      <xdr:nvSpPr>
        <xdr:cNvPr id="378" name="직사각형 377">
          <a:hlinkClick xmlns:r="http://schemas.openxmlformats.org/officeDocument/2006/relationships" r:id="" tooltip="성명 : 김진백&#10;프로젝트명 : 우리은행 M/S 및 기업신용평가모형 개선&#10;계약 : 2018-06-04~2019-03-31&#10;진행 : 2018-06-04~2019-04-05&#10;조회 : 2019-01-01~2019-04-05&#10;실투입일수 : 69&#10;기간대비 가동율 : 80.23&#10;실투입대비 가동율 : 80.23&#10;"/>
        </xdr:cNvPr>
        <xdr:cNvSpPr/>
      </xdr:nvSpPr>
      <xdr:spPr>
        <a:xfrm>
          <a:off x="12728575" y="10137457"/>
          <a:ext cx="212658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53</xdr:row>
      <xdr:rowOff>31432</xdr:rowOff>
    </xdr:from>
    <xdr:to>
      <xdr:col>44</xdr:col>
      <xdr:colOff>133080</xdr:colOff>
      <xdr:row>53</xdr:row>
      <xdr:rowOff>178117</xdr:rowOff>
    </xdr:to>
    <xdr:sp macro="" textlink="">
      <xdr:nvSpPr>
        <xdr:cNvPr id="379" name="직사각형 378">
          <a:hlinkClick xmlns:r="http://schemas.openxmlformats.org/officeDocument/2006/relationships" r:id="" tooltip="성명 : 김진호&#10;프로젝트명 : 전체&#10;계약 : 2018-10-01~2019-04-16&#10;진행 : 2018-10-01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03470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54</xdr:row>
      <xdr:rowOff>31432</xdr:rowOff>
    </xdr:from>
    <xdr:to>
      <xdr:col>44</xdr:col>
      <xdr:colOff>133080</xdr:colOff>
      <xdr:row>54</xdr:row>
      <xdr:rowOff>178117</xdr:rowOff>
    </xdr:to>
    <xdr:sp macro="" textlink="">
      <xdr:nvSpPr>
        <xdr:cNvPr id="380" name="직사각형 379">
          <a:hlinkClick xmlns:r="http://schemas.openxmlformats.org/officeDocument/2006/relationships" r:id="" tooltip="성명 : 김진호&#10;프로젝트명 : 신한은행 기업신용평가시스템 업그레이드 및 기업여신 시스템 심사 판단 모형 개발 프로젝트 內 머신러닝 TEST 모형 개발(PoC)&#10;계약 : 2018-10-01~2019-04-16&#10;진행 : 2018-10-01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05565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71040</xdr:colOff>
      <xdr:row>55</xdr:row>
      <xdr:rowOff>31432</xdr:rowOff>
    </xdr:from>
    <xdr:to>
      <xdr:col>44</xdr:col>
      <xdr:colOff>133080</xdr:colOff>
      <xdr:row>55</xdr:row>
      <xdr:rowOff>178117</xdr:rowOff>
    </xdr:to>
    <xdr:sp macro="" textlink="">
      <xdr:nvSpPr>
        <xdr:cNvPr id="381" name="직사각형 380">
          <a:hlinkClick xmlns:r="http://schemas.openxmlformats.org/officeDocument/2006/relationships" r:id="" tooltip="성명 : 최호중&#10;프로젝트명 : 전체&#10;계약 : ~&#10;진행 : 2019-04-02~2019-05-31&#10;조회 : 2019-04-02~2019-04-30&#10;실투입일수 : 21&#10;기간대비 가동율 : 24.42&#10;실투입대비 가동율 : 24.42&#10;"/>
        </xdr:cNvPr>
        <xdr:cNvSpPr/>
      </xdr:nvSpPr>
      <xdr:spPr>
        <a:xfrm>
          <a:off x="14787165" y="10766107"/>
          <a:ext cx="63354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40</xdr:col>
      <xdr:colOff>71040</xdr:colOff>
      <xdr:row>56</xdr:row>
      <xdr:rowOff>31432</xdr:rowOff>
    </xdr:from>
    <xdr:to>
      <xdr:col>44</xdr:col>
      <xdr:colOff>133080</xdr:colOff>
      <xdr:row>56</xdr:row>
      <xdr:rowOff>178117</xdr:rowOff>
    </xdr:to>
    <xdr:sp macro="" textlink="">
      <xdr:nvSpPr>
        <xdr:cNvPr id="382" name="직사각형 381">
          <a:hlinkClick xmlns:r="http://schemas.openxmlformats.org/officeDocument/2006/relationships" r:id="" tooltip="성명 : 최호중&#10;프로젝트명 : 신한지주 제주은행 지주통합모형 영향도분석&#10;계약 : ~&#10;진행 : 2019-04-02~2019-05-31&#10;조회 : 2019-04-02~2019-04-30&#10;실투입일수 : 21&#10;기간대비 가동율 : 24.42&#10;실투입대비 가동율 : 24.42&#10;"/>
        </xdr:cNvPr>
        <xdr:cNvSpPr/>
      </xdr:nvSpPr>
      <xdr:spPr>
        <a:xfrm>
          <a:off x="14787165" y="10975657"/>
          <a:ext cx="63354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57</xdr:row>
      <xdr:rowOff>31432</xdr:rowOff>
    </xdr:from>
    <xdr:to>
      <xdr:col>44</xdr:col>
      <xdr:colOff>133080</xdr:colOff>
      <xdr:row>57</xdr:row>
      <xdr:rowOff>178117</xdr:rowOff>
    </xdr:to>
    <xdr:sp macro="" textlink="">
      <xdr:nvSpPr>
        <xdr:cNvPr id="383" name="직사각형 382">
          <a:hlinkClick xmlns:r="http://schemas.openxmlformats.org/officeDocument/2006/relationships" r:id="" tooltip="성명 : 최재훈&#10;프로젝트명 : 전체&#10;계약 : 2018-09-03~2019-11-10&#10;진행 : 2018-09-05~2019-11-08&#10;조회 : 2019-01-01~2019-04-30&#10;실투입일수 : 66&#10;기간대비 가동율 : 100&#10;실투입대비 가동율 : 76.74&#10;"/>
        </xdr:cNvPr>
        <xdr:cNvSpPr/>
      </xdr:nvSpPr>
      <xdr:spPr>
        <a:xfrm>
          <a:off x="12728575" y="111852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38</xdr:col>
      <xdr:colOff>17462</xdr:colOff>
      <xdr:row>58</xdr:row>
      <xdr:rowOff>31432</xdr:rowOff>
    </xdr:from>
    <xdr:to>
      <xdr:col>44</xdr:col>
      <xdr:colOff>133080</xdr:colOff>
      <xdr:row>58</xdr:row>
      <xdr:rowOff>178117</xdr:rowOff>
    </xdr:to>
    <xdr:sp macro="" textlink="">
      <xdr:nvSpPr>
        <xdr:cNvPr id="384" name="직사각형 383">
          <a:hlinkClick xmlns:r="http://schemas.openxmlformats.org/officeDocument/2006/relationships" r:id="" tooltip="성명 : 최재훈&#10;프로젝트명 : 국민은행 Rule기반 기업여신 자동심사승인 모형&#10;계약 : 2019-03-11~2019-11-10&#10;진행 : 2019-03-18~2019-11-08&#10;조회 : 2019-03-18~2019-04-30&#10;실투입일수 : 32&#10;기간대비 가동율 : 37.21&#10;실투입대비 가동율 : 37.21&#10;"/>
        </xdr:cNvPr>
        <xdr:cNvSpPr/>
      </xdr:nvSpPr>
      <xdr:spPr>
        <a:xfrm>
          <a:off x="14447837" y="11394757"/>
          <a:ext cx="972868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59</xdr:row>
      <xdr:rowOff>31432</xdr:rowOff>
    </xdr:from>
    <xdr:to>
      <xdr:col>33</xdr:col>
      <xdr:colOff>30686</xdr:colOff>
      <xdr:row>59</xdr:row>
      <xdr:rowOff>178117</xdr:rowOff>
    </xdr:to>
    <xdr:sp macro="" textlink="">
      <xdr:nvSpPr>
        <xdr:cNvPr id="385" name="직사각형 384">
          <a:hlinkClick xmlns:r="http://schemas.openxmlformats.org/officeDocument/2006/relationships" r:id="" tooltip="성명 : 최재훈&#10;프로젝트명 : 서울보증보험 기업신용평가시스템 고도화&#10;계약 : 2018-09-03~2018-11-30&#10;진행 : 2018-09-05~2019-02-15&#10;조회 : 2019-01-01~2019-02-15&#10;실투입일수 : 34&#10;기간대비 가동율 : 39.53&#10;실투입대비 가동율 : 39.53&#10;"/>
        </xdr:cNvPr>
        <xdr:cNvSpPr/>
      </xdr:nvSpPr>
      <xdr:spPr>
        <a:xfrm>
          <a:off x="12728575" y="11604307"/>
          <a:ext cx="101811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60</xdr:row>
      <xdr:rowOff>31432</xdr:rowOff>
    </xdr:from>
    <xdr:to>
      <xdr:col>44</xdr:col>
      <xdr:colOff>133080</xdr:colOff>
      <xdr:row>60</xdr:row>
      <xdr:rowOff>178117</xdr:rowOff>
    </xdr:to>
    <xdr:sp macro="" textlink="">
      <xdr:nvSpPr>
        <xdr:cNvPr id="386" name="직사각형 385">
          <a:hlinkClick xmlns:r="http://schemas.openxmlformats.org/officeDocument/2006/relationships" r:id="" tooltip="성명 : 한강민&#10;프로젝트명 : 전체&#10;계약 : 2018-11-05~2019-04-30&#10;진행 : 2018-11-05~2019-05-31&#10;조회 : 2019-01-01~2019-04-30&#10;실투입일수 : 86&#10;기간대비 가동율 : 100&#10;실투입대비 가동율 : 100&#10;"/>
        </xdr:cNvPr>
        <xdr:cNvSpPr/>
      </xdr:nvSpPr>
      <xdr:spPr>
        <a:xfrm>
          <a:off x="12728575" y="118138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61</xdr:row>
      <xdr:rowOff>31432</xdr:rowOff>
    </xdr:from>
    <xdr:to>
      <xdr:col>44</xdr:col>
      <xdr:colOff>133080</xdr:colOff>
      <xdr:row>61</xdr:row>
      <xdr:rowOff>178117</xdr:rowOff>
    </xdr:to>
    <xdr:sp macro="" textlink="">
      <xdr:nvSpPr>
        <xdr:cNvPr id="387" name="직사각형 386">
          <a:hlinkClick xmlns:r="http://schemas.openxmlformats.org/officeDocument/2006/relationships" r:id="" tooltip="성명 : 한강민&#10;프로젝트명 : 대구은행 신용리스크관리시 시스템 재개발&#10;계약 : 2018-11-05~2019-04-30&#10;진행 : 2018-11-05~2019-05-31&#10;조회 : 2019-01-01~2019-04-30&#10;실투입일수 : 86&#10;기간대비 가동율 : 100&#10;실투입대비 가동율 : 100&#10;"/>
        </xdr:cNvPr>
        <xdr:cNvSpPr/>
      </xdr:nvSpPr>
      <xdr:spPr>
        <a:xfrm>
          <a:off x="12728575" y="120234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62</xdr:row>
      <xdr:rowOff>31432</xdr:rowOff>
    </xdr:from>
    <xdr:to>
      <xdr:col>44</xdr:col>
      <xdr:colOff>133080</xdr:colOff>
      <xdr:row>62</xdr:row>
      <xdr:rowOff>178117</xdr:rowOff>
    </xdr:to>
    <xdr:sp macro="" textlink="">
      <xdr:nvSpPr>
        <xdr:cNvPr id="388" name="직사각형 387">
          <a:hlinkClick xmlns:r="http://schemas.openxmlformats.org/officeDocument/2006/relationships" r:id="" tooltip="성명 : 한성빈&#10;프로젝트명 : 전체&#10;계약 : 2018-01-02~2019-04-30&#10;진행 : 2018-01-02~2019-04-30&#10;조회 : 2019-01-01~2019-04-30&#10;실투입일수 : 86&#10;기간대비 가동율 : 100&#10;실투입대비 가동율 : 100&#10;"/>
        </xdr:cNvPr>
        <xdr:cNvSpPr/>
      </xdr:nvSpPr>
      <xdr:spPr>
        <a:xfrm>
          <a:off x="12728575" y="122329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63</xdr:row>
      <xdr:rowOff>31432</xdr:rowOff>
    </xdr:from>
    <xdr:to>
      <xdr:col>44</xdr:col>
      <xdr:colOff>133080</xdr:colOff>
      <xdr:row>63</xdr:row>
      <xdr:rowOff>178117</xdr:rowOff>
    </xdr:to>
    <xdr:sp macro="" textlink="">
      <xdr:nvSpPr>
        <xdr:cNvPr id="389" name="직사각형 388">
          <a:hlinkClick xmlns:r="http://schemas.openxmlformats.org/officeDocument/2006/relationships" r:id="" tooltip="성명 : 한성빈&#10;프로젝트명 : 대구은행 신용리스크관리시 시스템 재개발&#10;계약 : 2018-01-02~2019-04-30&#10;진행 : 2018-01-02~2019-04-30&#10;조회 : 2019-01-01~2019-04-30&#10;실투입일수 : 86&#10;기간대비 가동율 : 100&#10;실투입대비 가동율 : 100&#10;"/>
        </xdr:cNvPr>
        <xdr:cNvSpPr/>
      </xdr:nvSpPr>
      <xdr:spPr>
        <a:xfrm>
          <a:off x="12728575" y="124425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64</xdr:row>
      <xdr:rowOff>31432</xdr:rowOff>
    </xdr:from>
    <xdr:to>
      <xdr:col>37</xdr:col>
      <xdr:colOff>92598</xdr:colOff>
      <xdr:row>64</xdr:row>
      <xdr:rowOff>178117</xdr:rowOff>
    </xdr:to>
    <xdr:sp macro="" textlink="">
      <xdr:nvSpPr>
        <xdr:cNvPr id="390" name="직사각형 389">
          <a:hlinkClick xmlns:r="http://schemas.openxmlformats.org/officeDocument/2006/relationships" r:id="" tooltip="성명 : 한창우&#10;프로젝트명 : 전체&#10;계약 : 2019-01-07~2019-03-15&#10;진행 : 2019-01-07~2019-03-15&#10;조회 : 2019-01-07~2019-03-15&#10;실투입일수 : 50&#10;기간대비 가동율 : 58.14&#10;실투입대비 가동율 : 58.14&#10;"/>
        </xdr:cNvPr>
        <xdr:cNvSpPr/>
      </xdr:nvSpPr>
      <xdr:spPr>
        <a:xfrm>
          <a:off x="12864306" y="12652057"/>
          <a:ext cx="151579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65</xdr:row>
      <xdr:rowOff>31432</xdr:rowOff>
    </xdr:from>
    <xdr:to>
      <xdr:col>37</xdr:col>
      <xdr:colOff>92598</xdr:colOff>
      <xdr:row>65</xdr:row>
      <xdr:rowOff>178117</xdr:rowOff>
    </xdr:to>
    <xdr:sp macro="" textlink="">
      <xdr:nvSpPr>
        <xdr:cNvPr id="391" name="직사각형 390">
          <a:hlinkClick xmlns:r="http://schemas.openxmlformats.org/officeDocument/2006/relationships" r:id="" tooltip="성명 : 한창우&#10;프로젝트명 : BNK지주 내부등급법 도입&#10;계약 : 2019-01-07~2019-03-15&#10;진행 : 2019-01-07~2019-03-15&#10;조회 : 2019-01-07~2019-03-15&#10;실투입일수 : 50&#10;기간대비 가동율 : 58.14&#10;실투입대비 가동율 : 58.14&#10;"/>
        </xdr:cNvPr>
        <xdr:cNvSpPr/>
      </xdr:nvSpPr>
      <xdr:spPr>
        <a:xfrm>
          <a:off x="12864306" y="12861607"/>
          <a:ext cx="151579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66</xdr:row>
      <xdr:rowOff>31432</xdr:rowOff>
    </xdr:from>
    <xdr:to>
      <xdr:col>44</xdr:col>
      <xdr:colOff>133080</xdr:colOff>
      <xdr:row>66</xdr:row>
      <xdr:rowOff>178117</xdr:rowOff>
    </xdr:to>
    <xdr:sp macro="" textlink="">
      <xdr:nvSpPr>
        <xdr:cNvPr id="392" name="직사각형 391">
          <a:hlinkClick xmlns:r="http://schemas.openxmlformats.org/officeDocument/2006/relationships" r:id="" tooltip="성명 : 한동훈&#10;프로젝트명 : 전체&#10;계약 : 2019-01-07~2019-06-06&#10;진행 : 2019-01-07~2019-05-31&#10;조회 : 2019-01-07~2019-04-30&#10;실투입일수 : 82&#10;기간대비 가동율 : 95.35&#10;실투입대비 가동율 : 95.35&#10;"/>
        </xdr:cNvPr>
        <xdr:cNvSpPr/>
      </xdr:nvSpPr>
      <xdr:spPr>
        <a:xfrm>
          <a:off x="12864306" y="13071157"/>
          <a:ext cx="2556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67</xdr:row>
      <xdr:rowOff>31432</xdr:rowOff>
    </xdr:from>
    <xdr:to>
      <xdr:col>44</xdr:col>
      <xdr:colOff>133080</xdr:colOff>
      <xdr:row>67</xdr:row>
      <xdr:rowOff>178117</xdr:rowOff>
    </xdr:to>
    <xdr:sp macro="" textlink="">
      <xdr:nvSpPr>
        <xdr:cNvPr id="393" name="직사각형 392">
          <a:hlinkClick xmlns:r="http://schemas.openxmlformats.org/officeDocument/2006/relationships" r:id="" tooltip="성명 : 한동훈&#10;프로젝트명 : 농협중앙회 신용평가모형 개선&#10;계약 : 2019-01-07~2019-06-06&#10;진행 : 2019-01-07~2019-05-31&#10;조회 : 2019-01-07~2019-04-30&#10;실투입일수 : 82&#10;기간대비 가동율 : 95.35&#10;실투입대비 가동율 : 95.35&#10;"/>
        </xdr:cNvPr>
        <xdr:cNvSpPr/>
      </xdr:nvSpPr>
      <xdr:spPr>
        <a:xfrm>
          <a:off x="12864306" y="13280707"/>
          <a:ext cx="25563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68</xdr:row>
      <xdr:rowOff>31432</xdr:rowOff>
    </xdr:from>
    <xdr:to>
      <xdr:col>44</xdr:col>
      <xdr:colOff>133080</xdr:colOff>
      <xdr:row>68</xdr:row>
      <xdr:rowOff>178117</xdr:rowOff>
    </xdr:to>
    <xdr:sp macro="" textlink="">
      <xdr:nvSpPr>
        <xdr:cNvPr id="394" name="직사각형 393">
          <a:hlinkClick xmlns:r="http://schemas.openxmlformats.org/officeDocument/2006/relationships" r:id="" tooltip="성명 : 이영호&#10;프로젝트명 : 전체&#10;계약 : 2018-11-23~2019-04-30&#10;진행 : 2018-11-23~2019-05-10&#10;조회 : 2019-01-01~2019-04-30&#10;실투입일수 : 86&#10;기간대비 가동율 : 100&#10;실투입대비 가동율 : 100&#10;"/>
        </xdr:cNvPr>
        <xdr:cNvSpPr/>
      </xdr:nvSpPr>
      <xdr:spPr>
        <a:xfrm>
          <a:off x="12728575" y="134902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69</xdr:row>
      <xdr:rowOff>31432</xdr:rowOff>
    </xdr:from>
    <xdr:to>
      <xdr:col>44</xdr:col>
      <xdr:colOff>133080</xdr:colOff>
      <xdr:row>69</xdr:row>
      <xdr:rowOff>178117</xdr:rowOff>
    </xdr:to>
    <xdr:sp macro="" textlink="">
      <xdr:nvSpPr>
        <xdr:cNvPr id="395" name="직사각형 394">
          <a:hlinkClick xmlns:r="http://schemas.openxmlformats.org/officeDocument/2006/relationships" r:id="" tooltip="성명 : 이영호&#10;프로젝트명 : 대구은행 신용리스크관리시 시스템 재개발&#10;계약 : 2018-11-23~2019-04-30&#10;진행 : 2018-11-23~2019-05-10&#10;조회 : 2019-01-01~2019-04-30&#10;실투입일수 : 86&#10;기간대비 가동율 : 100&#10;실투입대비 가동율 : 100&#10;"/>
        </xdr:cNvPr>
        <xdr:cNvSpPr/>
      </xdr:nvSpPr>
      <xdr:spPr>
        <a:xfrm>
          <a:off x="12728575" y="136998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70</xdr:row>
      <xdr:rowOff>31432</xdr:rowOff>
    </xdr:from>
    <xdr:to>
      <xdr:col>44</xdr:col>
      <xdr:colOff>133080</xdr:colOff>
      <xdr:row>70</xdr:row>
      <xdr:rowOff>178117</xdr:rowOff>
    </xdr:to>
    <xdr:sp macro="" textlink="">
      <xdr:nvSpPr>
        <xdr:cNvPr id="396" name="직사각형 395">
          <a:hlinkClick xmlns:r="http://schemas.openxmlformats.org/officeDocument/2006/relationships" r:id="" tooltip="성명 : 이종협&#10;프로젝트명 : 전체&#10;계약 : 2018-09-16~2019-04-16&#10;진행 : 2018-09-17~2019-05-15&#10;조회 : 2019-01-01~2019-04-30&#10;실투입일수 : 86&#10;기간대비 가동율 : 100&#10;실투입대비 가동율 : 100&#10;"/>
        </xdr:cNvPr>
        <xdr:cNvSpPr/>
      </xdr:nvSpPr>
      <xdr:spPr>
        <a:xfrm>
          <a:off x="12728575" y="139093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71</xdr:row>
      <xdr:rowOff>31432</xdr:rowOff>
    </xdr:from>
    <xdr:to>
      <xdr:col>44</xdr:col>
      <xdr:colOff>133080</xdr:colOff>
      <xdr:row>71</xdr:row>
      <xdr:rowOff>178117</xdr:rowOff>
    </xdr:to>
    <xdr:sp macro="" textlink="">
      <xdr:nvSpPr>
        <xdr:cNvPr id="397" name="직사각형 396">
          <a:hlinkClick xmlns:r="http://schemas.openxmlformats.org/officeDocument/2006/relationships" r:id="" tooltip="성명 : 이종협&#10;프로젝트명 : 신한은행 기업신용평가시스템 업그레이드 및 기업여신 시스템 심사 판단 모형 개발 프로젝트 內 머신러닝 TEST 모형 개발(PoC)&#10;계약 : 2018-09-16~2019-04-16&#10;진행 : 2018-09-17~2019-05-15&#10;조회 : 2019-01-01~2019-04-30&#10;실투입일수 : 86&#10;기간대비 가동율 : 100&#10;실투입대비 가동율 : 100&#10;"/>
        </xdr:cNvPr>
        <xdr:cNvSpPr/>
      </xdr:nvSpPr>
      <xdr:spPr>
        <a:xfrm>
          <a:off x="12728575" y="141189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35321</xdr:colOff>
      <xdr:row>72</xdr:row>
      <xdr:rowOff>31432</xdr:rowOff>
    </xdr:from>
    <xdr:to>
      <xdr:col>44</xdr:col>
      <xdr:colOff>133080</xdr:colOff>
      <xdr:row>72</xdr:row>
      <xdr:rowOff>178117</xdr:rowOff>
    </xdr:to>
    <xdr:sp macro="" textlink="">
      <xdr:nvSpPr>
        <xdr:cNvPr id="398" name="직사각형 397">
          <a:hlinkClick xmlns:r="http://schemas.openxmlformats.org/officeDocument/2006/relationships" r:id="" tooltip="성명 : 이재덕&#10;프로젝트명 : 전체&#10;계약 : ~&#10;진행 : 2019-01-02~2019-05-31&#10;조회 : 2019-01-02~2019-04-30&#10;실투입일수 : 85&#10;기간대비 가동율 : 98.84&#10;실투입대비 가동율 : 98.84&#10;"/>
        </xdr:cNvPr>
        <xdr:cNvSpPr/>
      </xdr:nvSpPr>
      <xdr:spPr>
        <a:xfrm>
          <a:off x="12751196" y="14328457"/>
          <a:ext cx="26695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35321</xdr:colOff>
      <xdr:row>73</xdr:row>
      <xdr:rowOff>31432</xdr:rowOff>
    </xdr:from>
    <xdr:to>
      <xdr:col>44</xdr:col>
      <xdr:colOff>133080</xdr:colOff>
      <xdr:row>73</xdr:row>
      <xdr:rowOff>178117</xdr:rowOff>
    </xdr:to>
    <xdr:sp macro="" textlink="">
      <xdr:nvSpPr>
        <xdr:cNvPr id="399" name="직사각형 398">
          <a:hlinkClick xmlns:r="http://schemas.openxmlformats.org/officeDocument/2006/relationships" r:id="" tooltip="성명 : 이재덕&#10;프로젝트명 : 대구은행 신용리스크관리시 시스템 재개발&#10;계약 : ~&#10;진행 : 2019-01-02~2019-05-31&#10;조회 : 2019-01-02~2019-04-30&#10;실투입일수 : 85&#10;기간대비 가동율 : 98.84&#10;실투입대비 가동율 : 98.84&#10;"/>
        </xdr:cNvPr>
        <xdr:cNvSpPr/>
      </xdr:nvSpPr>
      <xdr:spPr>
        <a:xfrm>
          <a:off x="12751196" y="14538007"/>
          <a:ext cx="266950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74</xdr:row>
      <xdr:rowOff>31432</xdr:rowOff>
    </xdr:from>
    <xdr:to>
      <xdr:col>44</xdr:col>
      <xdr:colOff>133080</xdr:colOff>
      <xdr:row>74</xdr:row>
      <xdr:rowOff>178117</xdr:rowOff>
    </xdr:to>
    <xdr:sp macro="" textlink="">
      <xdr:nvSpPr>
        <xdr:cNvPr id="400" name="직사각형 399">
          <a:hlinkClick xmlns:r="http://schemas.openxmlformats.org/officeDocument/2006/relationships" r:id="" tooltip="성명 : 이재진&#10;프로젝트명 : 전체&#10;계약 : 2018-10-25~2019-05-10&#10;진행 : 2018-10-25~2019-05-10&#10;조회 : 2019-01-01~2019-04-30&#10;실투입일수 : 85&#10;기간대비 가동율 : 100&#10;실투입대비 가동율 : 98.84&#10;"/>
        </xdr:cNvPr>
        <xdr:cNvSpPr/>
      </xdr:nvSpPr>
      <xdr:spPr>
        <a:xfrm>
          <a:off x="12728575" y="147475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37</xdr:col>
      <xdr:colOff>24606</xdr:colOff>
      <xdr:row>75</xdr:row>
      <xdr:rowOff>31432</xdr:rowOff>
    </xdr:from>
    <xdr:to>
      <xdr:col>44</xdr:col>
      <xdr:colOff>133080</xdr:colOff>
      <xdr:row>75</xdr:row>
      <xdr:rowOff>178117</xdr:rowOff>
    </xdr:to>
    <xdr:sp macro="" textlink="">
      <xdr:nvSpPr>
        <xdr:cNvPr id="401" name="직사각형 400">
          <a:hlinkClick xmlns:r="http://schemas.openxmlformats.org/officeDocument/2006/relationships" r:id="" tooltip="성명 : 이재진&#10;프로젝트명 : 국민은행 Rule기반 기업여신 자동심사승인 모형&#10;계약 : 2019-03-11~2019-05-10&#10;진행 : 2019-03-12~2019-05-10&#10;조회 : 2019-03-12~2019-04-30&#10;실투입일수 : 36&#10;기간대비 가동율 : 41.86&#10;실투입대비 가동율 : 41.86&#10;"/>
        </xdr:cNvPr>
        <xdr:cNvSpPr/>
      </xdr:nvSpPr>
      <xdr:spPr>
        <a:xfrm>
          <a:off x="14312106" y="14957107"/>
          <a:ext cx="11085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27</xdr:col>
      <xdr:colOff>5556</xdr:colOff>
      <xdr:row>76</xdr:row>
      <xdr:rowOff>31432</xdr:rowOff>
    </xdr:from>
    <xdr:to>
      <xdr:col>36</xdr:col>
      <xdr:colOff>77120</xdr:colOff>
      <xdr:row>76</xdr:row>
      <xdr:rowOff>178117</xdr:rowOff>
    </xdr:to>
    <xdr:sp macro="" textlink="">
      <xdr:nvSpPr>
        <xdr:cNvPr id="402" name="직사각형 401">
          <a:hlinkClick xmlns:r="http://schemas.openxmlformats.org/officeDocument/2006/relationships" r:id="" tooltip="성명 : 이재진&#10;프로젝트명 : 농협중앙회 신용평가모형 개선&#10;계약 : 2019-01-07~2019-03-08&#10;진행 : 2019-01-07~2019-03-08&#10;조회 : 2019-01-07~2019-03-08&#10;실투입일수 : 45&#10;기간대비 가동율 : 52.33&#10;실투입대비 가동율 : 52.33&#10;"/>
        </xdr:cNvPr>
        <xdr:cNvSpPr/>
      </xdr:nvSpPr>
      <xdr:spPr>
        <a:xfrm>
          <a:off x="12864306" y="15166657"/>
          <a:ext cx="135743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77</xdr:row>
      <xdr:rowOff>31432</xdr:rowOff>
    </xdr:from>
    <xdr:to>
      <xdr:col>26</xdr:col>
      <xdr:colOff>80692</xdr:colOff>
      <xdr:row>77</xdr:row>
      <xdr:rowOff>178117</xdr:rowOff>
    </xdr:to>
    <xdr:sp macro="" textlink="">
      <xdr:nvSpPr>
        <xdr:cNvPr id="403" name="직사각형 402">
          <a:hlinkClick xmlns:r="http://schemas.openxmlformats.org/officeDocument/2006/relationships" r:id="" tooltip="성명 : 이재진&#10;프로젝트명 : 하나은행 기업신용평가 프로세스 개선&#10;계약 : 2018-10-25~2018-12-21&#10;진행 : 2018-10-25~2019-01-04&#10;조회 : 2019-01-01~2019-01-04&#10;실투입일수 : 4&#10;기간대비 가동율 : 4.65&#10;실투입대비 가동율 : 4.65&#10;"/>
        </xdr:cNvPr>
        <xdr:cNvSpPr/>
      </xdr:nvSpPr>
      <xdr:spPr>
        <a:xfrm>
          <a:off x="12728575" y="15376207"/>
          <a:ext cx="67992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78</xdr:row>
      <xdr:rowOff>31432</xdr:rowOff>
    </xdr:from>
    <xdr:to>
      <xdr:col>44</xdr:col>
      <xdr:colOff>133080</xdr:colOff>
      <xdr:row>78</xdr:row>
      <xdr:rowOff>178117</xdr:rowOff>
    </xdr:to>
    <xdr:sp macro="" textlink="">
      <xdr:nvSpPr>
        <xdr:cNvPr id="404" name="직사각형 403">
          <a:hlinkClick xmlns:r="http://schemas.openxmlformats.org/officeDocument/2006/relationships" r:id="" tooltip="성명 : 이연경&#10;프로젝트명 : 전체&#10;계약 : 2018-07-31~2020-01-10&#10;진행 : 2018-07-09~2020-01-10&#10;조회 : 2019-01-01~2019-04-30&#10;실투입일수 : 71&#10;기간대비 가동율 : 100&#10;실투입대비 가동율 : 82.56&#10;"/>
        </xdr:cNvPr>
        <xdr:cNvSpPr/>
      </xdr:nvSpPr>
      <xdr:spPr>
        <a:xfrm>
          <a:off x="12728575" y="155857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37</xdr:col>
      <xdr:colOff>24606</xdr:colOff>
      <xdr:row>79</xdr:row>
      <xdr:rowOff>31432</xdr:rowOff>
    </xdr:from>
    <xdr:to>
      <xdr:col>44</xdr:col>
      <xdr:colOff>133080</xdr:colOff>
      <xdr:row>79</xdr:row>
      <xdr:rowOff>178117</xdr:rowOff>
    </xdr:to>
    <xdr:sp macro="" textlink="">
      <xdr:nvSpPr>
        <xdr:cNvPr id="405" name="직사각형 404">
          <a:hlinkClick xmlns:r="http://schemas.openxmlformats.org/officeDocument/2006/relationships" r:id="" tooltip="성명 : 이연경&#10;프로젝트명 : 국민은행 Rule기반 기업여신 자동심사승인 모형&#10;계약 : 2019-03-11~2020-01-10&#10;진행 : 2019-03-12~2020-01-10&#10;조회 : 2019-03-12~2019-04-30&#10;실투입일수 : 36&#10;기간대비 가동율 : 41.86&#10;실투입대비 가동율 : 41.86&#10;"/>
        </xdr:cNvPr>
        <xdr:cNvSpPr/>
      </xdr:nvSpPr>
      <xdr:spPr>
        <a:xfrm>
          <a:off x="14312106" y="15795307"/>
          <a:ext cx="1108599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80</xdr:row>
      <xdr:rowOff>31432</xdr:rowOff>
    </xdr:from>
    <xdr:to>
      <xdr:col>33</xdr:col>
      <xdr:colOff>98552</xdr:colOff>
      <xdr:row>80</xdr:row>
      <xdr:rowOff>178117</xdr:rowOff>
    </xdr:to>
    <xdr:sp macro="" textlink="">
      <xdr:nvSpPr>
        <xdr:cNvPr id="406" name="직사각형 405">
          <a:hlinkClick xmlns:r="http://schemas.openxmlformats.org/officeDocument/2006/relationships" r:id="" tooltip="성명 : 이연경&#10;프로젝트명 : 서울보증보험 기업신용평가시스템 고도화&#10;계약 : 2018-07-31~2019-01-15&#10;진행 : 2018-07-09~2019-02-18&#10;조회 : 2019-01-01~2019-02-18&#10;실투입일수 : 35&#10;기간대비 가동율 : 40.7&#10;실투입대비 가동율 : 40.7&#10;"/>
        </xdr:cNvPr>
        <xdr:cNvSpPr/>
      </xdr:nvSpPr>
      <xdr:spPr>
        <a:xfrm>
          <a:off x="12728575" y="16004857"/>
          <a:ext cx="1085977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81</xdr:row>
      <xdr:rowOff>31432</xdr:rowOff>
    </xdr:from>
    <xdr:to>
      <xdr:col>44</xdr:col>
      <xdr:colOff>133080</xdr:colOff>
      <xdr:row>81</xdr:row>
      <xdr:rowOff>178117</xdr:rowOff>
    </xdr:to>
    <xdr:sp macro="" textlink="">
      <xdr:nvSpPr>
        <xdr:cNvPr id="407" name="직사각형 406">
          <a:hlinkClick xmlns:r="http://schemas.openxmlformats.org/officeDocument/2006/relationships" r:id="" tooltip="성명 : 이민제&#10;프로젝트명 : 전체&#10;계약 : 2018-06-12~2019-05-31&#10;진행 : 2018-06-12~2019-05-31&#10;조회 : 2019-01-01~2019-04-30&#10;실투입일수 : 74&#10;기간대비 가동율 : 100&#10;실투입대비 가동율 : 86.05&#10;"/>
        </xdr:cNvPr>
        <xdr:cNvSpPr/>
      </xdr:nvSpPr>
      <xdr:spPr>
        <a:xfrm>
          <a:off x="12728575" y="162144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82</xdr:row>
      <xdr:rowOff>31432</xdr:rowOff>
    </xdr:from>
    <xdr:to>
      <xdr:col>30</xdr:col>
      <xdr:colOff>97361</xdr:colOff>
      <xdr:row>82</xdr:row>
      <xdr:rowOff>178117</xdr:rowOff>
    </xdr:to>
    <xdr:sp macro="" textlink="">
      <xdr:nvSpPr>
        <xdr:cNvPr id="408" name="직사각형 407">
          <a:hlinkClick xmlns:r="http://schemas.openxmlformats.org/officeDocument/2006/relationships" r:id="" tooltip="성명 : 이민제&#10;프로젝트명 : 수협은행 기업신용평가 모형 및 시스템 개선개발&#10;계약 : 2018-06-12~2019-01-27&#10;진행 : 2018-06-12~2019-01-30&#10;조회 : 2019-01-01~2019-01-30&#10;실투입일수 : 22&#10;기간대비 가동율 : 25.58&#10;실투입대비 가동율 : 25.58&#10;"/>
        </xdr:cNvPr>
        <xdr:cNvSpPr/>
      </xdr:nvSpPr>
      <xdr:spPr>
        <a:xfrm>
          <a:off x="12728575" y="16423957"/>
          <a:ext cx="656161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33</xdr:col>
      <xdr:colOff>98425</xdr:colOff>
      <xdr:row>83</xdr:row>
      <xdr:rowOff>31432</xdr:rowOff>
    </xdr:from>
    <xdr:to>
      <xdr:col>44</xdr:col>
      <xdr:colOff>133080</xdr:colOff>
      <xdr:row>83</xdr:row>
      <xdr:rowOff>178117</xdr:rowOff>
    </xdr:to>
    <xdr:sp macro="" textlink="">
      <xdr:nvSpPr>
        <xdr:cNvPr id="409" name="직사각형 408">
          <a:hlinkClick xmlns:r="http://schemas.openxmlformats.org/officeDocument/2006/relationships" r:id="" tooltip="성명 : 이민제&#10;프로젝트명 : 신한지주 제주은행 지주통합모형 영향도분석&#10;계약 : 2019-02-18~2019-05-31&#10;진행 : 2019-02-18~2019-05-31&#10;조회 : 2019-02-18~2019-04-30&#10;실투입일수 : 52&#10;기간대비 가동율 : 60.47&#10;실투입대비 가동율 : 60.47&#10;"/>
        </xdr:cNvPr>
        <xdr:cNvSpPr/>
      </xdr:nvSpPr>
      <xdr:spPr>
        <a:xfrm>
          <a:off x="13814425" y="16633507"/>
          <a:ext cx="160628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84</xdr:row>
      <xdr:rowOff>31432</xdr:rowOff>
    </xdr:from>
    <xdr:to>
      <xdr:col>44</xdr:col>
      <xdr:colOff>133080</xdr:colOff>
      <xdr:row>84</xdr:row>
      <xdr:rowOff>178117</xdr:rowOff>
    </xdr:to>
    <xdr:sp macro="" textlink="">
      <xdr:nvSpPr>
        <xdr:cNvPr id="410" name="직사각형 409">
          <a:hlinkClick xmlns:r="http://schemas.openxmlformats.org/officeDocument/2006/relationships" r:id="" tooltip="성명 : 임성훈&#10;프로젝트명 : 전체&#10;계약 : 2018-11-05~2019-06-30&#10;진행 : 2018-11-08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68430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85</xdr:row>
      <xdr:rowOff>31432</xdr:rowOff>
    </xdr:from>
    <xdr:to>
      <xdr:col>44</xdr:col>
      <xdr:colOff>133080</xdr:colOff>
      <xdr:row>85</xdr:row>
      <xdr:rowOff>178117</xdr:rowOff>
    </xdr:to>
    <xdr:sp macro="" textlink="">
      <xdr:nvSpPr>
        <xdr:cNvPr id="411" name="직사각형 410">
          <a:hlinkClick xmlns:r="http://schemas.openxmlformats.org/officeDocument/2006/relationships" r:id="" tooltip="성명 : 임성훈&#10;프로젝트명 : 우리은행 기업여신 자동심사 프로세스 신설&#10;계약 : 2018-11-05~2019-06-30&#10;진행 : 2018-11-08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70526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86</xdr:row>
      <xdr:rowOff>31432</xdr:rowOff>
    </xdr:from>
    <xdr:to>
      <xdr:col>34</xdr:col>
      <xdr:colOff>46164</xdr:colOff>
      <xdr:row>86</xdr:row>
      <xdr:rowOff>178117</xdr:rowOff>
    </xdr:to>
    <xdr:sp macro="" textlink="">
      <xdr:nvSpPr>
        <xdr:cNvPr id="412" name="직사각형 411">
          <a:hlinkClick xmlns:r="http://schemas.openxmlformats.org/officeDocument/2006/relationships" r:id="" tooltip="성명 : 송효임&#10;프로젝트명 : 전체&#10;계약 : 2018-04-09~2019-01-08&#10;진행 : 2018-04-09~2019-02-22&#10;조회 : 2019-01-01~2019-02-22&#10;실투입일수 : 39&#10;기간대비 가동율 : 45.35&#10;실투입대비 가동율 : 45.35&#10;"/>
        </xdr:cNvPr>
        <xdr:cNvSpPr/>
      </xdr:nvSpPr>
      <xdr:spPr>
        <a:xfrm>
          <a:off x="12728575" y="17262157"/>
          <a:ext cx="117646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87</xdr:row>
      <xdr:rowOff>31432</xdr:rowOff>
    </xdr:from>
    <xdr:to>
      <xdr:col>34</xdr:col>
      <xdr:colOff>46164</xdr:colOff>
      <xdr:row>87</xdr:row>
      <xdr:rowOff>178117</xdr:rowOff>
    </xdr:to>
    <xdr:sp macro="" textlink="">
      <xdr:nvSpPr>
        <xdr:cNvPr id="413" name="직사각형 412">
          <a:hlinkClick xmlns:r="http://schemas.openxmlformats.org/officeDocument/2006/relationships" r:id="" tooltip="성명 : 송효임&#10;프로젝트명 : 농협금융 일반기업 신용평가모형 개선 개발&#10;계약 : 2018-04-09~2019-01-08&#10;진행 : 2018-04-09~2019-02-22&#10;조회 : 2019-01-01~2019-02-22&#10;실투입일수 : 39&#10;기간대비 가동율 : 45.35&#10;실투입대비 가동율 : 45.35&#10;"/>
        </xdr:cNvPr>
        <xdr:cNvSpPr/>
      </xdr:nvSpPr>
      <xdr:spPr>
        <a:xfrm>
          <a:off x="12728575" y="17471707"/>
          <a:ext cx="1176464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88</xdr:row>
      <xdr:rowOff>31432</xdr:rowOff>
    </xdr:from>
    <xdr:to>
      <xdr:col>44</xdr:col>
      <xdr:colOff>133080</xdr:colOff>
      <xdr:row>88</xdr:row>
      <xdr:rowOff>178117</xdr:rowOff>
    </xdr:to>
    <xdr:sp macro="" textlink="">
      <xdr:nvSpPr>
        <xdr:cNvPr id="414" name="직사각형 413">
          <a:hlinkClick xmlns:r="http://schemas.openxmlformats.org/officeDocument/2006/relationships" r:id="" tooltip="성명 : 송욱&#10;프로젝트명 : 전체&#10;계약 : 2018-11-05~2019-06-30&#10;진행 : 2018-09-06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76812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89</xdr:row>
      <xdr:rowOff>31432</xdr:rowOff>
    </xdr:from>
    <xdr:to>
      <xdr:col>44</xdr:col>
      <xdr:colOff>133080</xdr:colOff>
      <xdr:row>89</xdr:row>
      <xdr:rowOff>178117</xdr:rowOff>
    </xdr:to>
    <xdr:sp macro="" textlink="">
      <xdr:nvSpPr>
        <xdr:cNvPr id="415" name="직사각형 414">
          <a:hlinkClick xmlns:r="http://schemas.openxmlformats.org/officeDocument/2006/relationships" r:id="" tooltip="성명 : 송욱&#10;프로젝트명 : 우리은행 기업여신 자동심사 프로세스 신설&#10;계약 : 2018-11-05~2019-06-30&#10;진행 : 2018-09-06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78908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90</xdr:row>
      <xdr:rowOff>31432</xdr:rowOff>
    </xdr:from>
    <xdr:to>
      <xdr:col>44</xdr:col>
      <xdr:colOff>133080</xdr:colOff>
      <xdr:row>90</xdr:row>
      <xdr:rowOff>178117</xdr:rowOff>
    </xdr:to>
    <xdr:sp macro="" textlink="">
      <xdr:nvSpPr>
        <xdr:cNvPr id="416" name="직사각형 415">
          <a:hlinkClick xmlns:r="http://schemas.openxmlformats.org/officeDocument/2006/relationships" r:id="" tooltip="성명 : 장주리&#10;프로젝트명 : 전체&#10;계약 : 2018-05-09~2019-07-19&#10;진행 : 2018-05-28~2019-09-27&#10;조회 : 2019-01-01~2019-04-30&#10;실투입일수 : 63&#10;기간대비 가동율 : 100&#10;실투입대비 가동율 : 73.26&#10;"/>
        </xdr:cNvPr>
        <xdr:cNvSpPr/>
      </xdr:nvSpPr>
      <xdr:spPr>
        <a:xfrm>
          <a:off x="12728575" y="181003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91</xdr:row>
      <xdr:rowOff>31432</xdr:rowOff>
    </xdr:from>
    <xdr:to>
      <xdr:col>28</xdr:col>
      <xdr:colOff>43783</xdr:colOff>
      <xdr:row>91</xdr:row>
      <xdr:rowOff>178117</xdr:rowOff>
    </xdr:to>
    <xdr:sp macro="" textlink="">
      <xdr:nvSpPr>
        <xdr:cNvPr id="417" name="직사각형 416">
          <a:hlinkClick xmlns:r="http://schemas.openxmlformats.org/officeDocument/2006/relationships" r:id="" tooltip="성명 : 장주리&#10;프로젝트명 : 농협금융 일반기업 신용평가모형 개선 개발&#10;계약 : 2018-05-09~2018-12-08&#10;진행 : 2018-05-28~2019-01-15&#10;조회 : 2019-01-01~2019-01-15&#10;실투입일수 : 11&#10;기간대비 가동율 : 12.79&#10;실투입대비 가동율 : 12.79&#10;"/>
        </xdr:cNvPr>
        <xdr:cNvSpPr/>
      </xdr:nvSpPr>
      <xdr:spPr>
        <a:xfrm>
          <a:off x="12728575" y="18309907"/>
          <a:ext cx="31683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33</xdr:col>
      <xdr:colOff>98425</xdr:colOff>
      <xdr:row>92</xdr:row>
      <xdr:rowOff>31432</xdr:rowOff>
    </xdr:from>
    <xdr:to>
      <xdr:col>44</xdr:col>
      <xdr:colOff>133080</xdr:colOff>
      <xdr:row>92</xdr:row>
      <xdr:rowOff>178117</xdr:rowOff>
    </xdr:to>
    <xdr:sp macro="" textlink="">
      <xdr:nvSpPr>
        <xdr:cNvPr id="418" name="직사각형 417">
          <a:hlinkClick xmlns:r="http://schemas.openxmlformats.org/officeDocument/2006/relationships" r:id="" tooltip="성명 : 장주리&#10;프로젝트명 : 농협중앙회 신용평가모형 개선&#10;계약 : 2019-02-18~2019-07-19&#10;진행 : 2019-02-18~2019-09-27&#10;조회 : 2019-02-18~2019-04-30&#10;실투입일수 : 52&#10;기간대비 가동율 : 60.47&#10;실투입대비 가동율 : 60.47&#10;"/>
        </xdr:cNvPr>
        <xdr:cNvSpPr/>
      </xdr:nvSpPr>
      <xdr:spPr>
        <a:xfrm>
          <a:off x="13814425" y="18519457"/>
          <a:ext cx="160628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93</xdr:row>
      <xdr:rowOff>31432</xdr:rowOff>
    </xdr:from>
    <xdr:to>
      <xdr:col>44</xdr:col>
      <xdr:colOff>133080</xdr:colOff>
      <xdr:row>93</xdr:row>
      <xdr:rowOff>178117</xdr:rowOff>
    </xdr:to>
    <xdr:sp macro="" textlink="">
      <xdr:nvSpPr>
        <xdr:cNvPr id="419" name="직사각형 418">
          <a:hlinkClick xmlns:r="http://schemas.openxmlformats.org/officeDocument/2006/relationships" r:id="" tooltip="성명 : 신용훈&#10;프로젝트명 : 전체&#10;계약 : 2018-09-16~2019-04-16&#10;진행 : 2018-09-27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872900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94</xdr:row>
      <xdr:rowOff>31432</xdr:rowOff>
    </xdr:from>
    <xdr:to>
      <xdr:col>44</xdr:col>
      <xdr:colOff>133080</xdr:colOff>
      <xdr:row>94</xdr:row>
      <xdr:rowOff>178117</xdr:rowOff>
    </xdr:to>
    <xdr:sp macro="" textlink="">
      <xdr:nvSpPr>
        <xdr:cNvPr id="420" name="직사각형 419">
          <a:hlinkClick xmlns:r="http://schemas.openxmlformats.org/officeDocument/2006/relationships" r:id="" tooltip="성명 : 신용훈&#10;프로젝트명 : 신한은행 기업신용평가시스템 업그레이드 및 기업여신 시스템 심사 판단 모형 개발 프로젝트 內 머신러닝 TEST 모형 개발(PoC)&#10;계약 : 2018-09-16~2019-04-16&#10;진행 : 2018-09-27~2019-06-28&#10;조회 : 2019-01-01~2019-04-30&#10;실투입일수 : 86&#10;기간대비 가동율 : 100&#10;실투입대비 가동율 : 100&#10;"/>
        </xdr:cNvPr>
        <xdr:cNvSpPr/>
      </xdr:nvSpPr>
      <xdr:spPr>
        <a:xfrm>
          <a:off x="12728575" y="18938557"/>
          <a:ext cx="2692130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95</xdr:row>
      <xdr:rowOff>31432</xdr:rowOff>
    </xdr:from>
    <xdr:to>
      <xdr:col>40</xdr:col>
      <xdr:colOff>139033</xdr:colOff>
      <xdr:row>95</xdr:row>
      <xdr:rowOff>178117</xdr:rowOff>
    </xdr:to>
    <xdr:sp macro="" textlink="">
      <xdr:nvSpPr>
        <xdr:cNvPr id="421" name="직사각형 420">
          <a:hlinkClick xmlns:r="http://schemas.openxmlformats.org/officeDocument/2006/relationships" r:id="" tooltip="성명 : 연권흠&#10;프로젝트명 : 전체&#10;계약 : 2018-06-04~2019-03-31&#10;진행 : 2018-06-04~2019-04-05&#10;조회 : 2019-01-01~2019-04-05&#10;실투입일수 : 69&#10;기간대비 가동율 : 80.23&#10;실투입대비 가동율 : 80.23&#10;"/>
        </xdr:cNvPr>
        <xdr:cNvSpPr/>
      </xdr:nvSpPr>
      <xdr:spPr>
        <a:xfrm>
          <a:off x="12728575" y="19148107"/>
          <a:ext cx="212658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12700</xdr:colOff>
      <xdr:row>96</xdr:row>
      <xdr:rowOff>31432</xdr:rowOff>
    </xdr:from>
    <xdr:to>
      <xdr:col>40</xdr:col>
      <xdr:colOff>139033</xdr:colOff>
      <xdr:row>96</xdr:row>
      <xdr:rowOff>178117</xdr:rowOff>
    </xdr:to>
    <xdr:sp macro="" textlink="">
      <xdr:nvSpPr>
        <xdr:cNvPr id="422" name="직사각형 421">
          <a:hlinkClick xmlns:r="http://schemas.openxmlformats.org/officeDocument/2006/relationships" r:id="" tooltip="성명 : 연권흠&#10;프로젝트명 : 우리은행 M/S 및 기업신용평가모형 개선&#10;계약 : 2018-06-04~2019-03-31&#10;진행 : 2018-06-04~2019-04-05&#10;조회 : 2019-01-01~2019-04-05&#10;실투입일수 : 69&#10;기간대비 가동율 : 80.23&#10;실투입대비 가동율 : 80.23&#10;"/>
        </xdr:cNvPr>
        <xdr:cNvSpPr/>
      </xdr:nvSpPr>
      <xdr:spPr>
        <a:xfrm>
          <a:off x="12728575" y="19357657"/>
          <a:ext cx="2126583" cy="146685"/>
        </a:xfrm>
        <a:prstGeom prst="rect">
          <a:avLst/>
        </a:prstGeom>
        <a:solidFill>
          <a:srgbClr val="FAD2B4">
            <a:alpha val="20000"/>
          </a:srgbClr>
        </a:solidFill>
        <a:ln w="126">
          <a:solidFill>
            <a:srgbClr val="FABE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0</xdr:row>
      <xdr:rowOff>57149</xdr:rowOff>
    </xdr:from>
    <xdr:to>
      <xdr:col>8</xdr:col>
      <xdr:colOff>771525</xdr:colOff>
      <xdr:row>0</xdr:row>
      <xdr:rowOff>400050</xdr:rowOff>
    </xdr:to>
    <xdr:sp macro="[0]!월별인력현황조회" textlink="">
      <xdr:nvSpPr>
        <xdr:cNvPr id="4" name="TextBox 3"/>
        <xdr:cNvSpPr txBox="1"/>
      </xdr:nvSpPr>
      <xdr:spPr>
        <a:xfrm>
          <a:off x="5048250" y="57149"/>
          <a:ext cx="523875" cy="3429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조회</a:t>
          </a:r>
        </a:p>
      </xdr:txBody>
    </xdr:sp>
    <xdr:clientData/>
  </xdr:twoCellAnchor>
  <xdr:twoCellAnchor>
    <xdr:from>
      <xdr:col>10</xdr:col>
      <xdr:colOff>126999</xdr:colOff>
      <xdr:row>11</xdr:row>
      <xdr:rowOff>123825</xdr:rowOff>
    </xdr:from>
    <xdr:to>
      <xdr:col>22</xdr:col>
      <xdr:colOff>149224</xdr:colOff>
      <xdr:row>24</xdr:row>
      <xdr:rowOff>193675</xdr:rowOff>
    </xdr:to>
    <xdr:graphicFrame macro="">
      <xdr:nvGraphicFramePr>
        <xdr:cNvPr id="17" name="차트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daeho" refreshedDate="44278.3618599537" createdVersion="3" refreshedVersion="3" minRefreshableVersion="3" recordCount="353">
  <cacheSource type="worksheet">
    <worksheetSource ref="A1:G354" sheet="월별인력현황"/>
  </cacheSource>
  <cacheFields count="7">
    <cacheField name="성명" numFmtId="0">
      <sharedItems count="35">
        <s v="강민규"/>
        <s v="박장수"/>
        <s v="박지웅"/>
        <s v="정혜정"/>
        <s v="정지연"/>
        <s v="유재원"/>
        <s v="윤예슬"/>
        <s v="윤화형"/>
        <s v="배재영"/>
        <s v="문명기"/>
        <s v="김대호"/>
        <s v="김기연"/>
        <s v="김남선"/>
        <s v="김재겸"/>
        <s v="김경수"/>
        <s v="김진백"/>
        <s v="김진호"/>
        <s v="최호중"/>
        <s v="최재훈"/>
        <s v="한강민"/>
        <s v="한성빈"/>
        <s v="한창우"/>
        <s v="한동훈"/>
        <s v="이영호"/>
        <s v="이종협"/>
        <s v="이재덕"/>
        <s v="이재진"/>
        <s v="이연경"/>
        <s v="이민제"/>
        <s v="임성훈"/>
        <s v="송효임"/>
        <s v="송욱"/>
        <s v="장주리"/>
        <s v="신용훈"/>
        <s v="연권흠"/>
      </sharedItems>
    </cacheField>
    <cacheField name="해당월" numFmtId="0">
      <sharedItems count="26">
        <s v="2018-04"/>
        <s v="2018-05"/>
        <s v="2018-06"/>
        <s v="2018-07"/>
        <s v="2018-08"/>
        <s v="2018-09"/>
        <s v="2018-10"/>
        <s v="2018-11"/>
        <s v="2018-12"/>
        <s v="2019-01"/>
        <s v="2019-02"/>
        <s v="2019-03"/>
        <s v="2019-04"/>
        <s v="2019-05"/>
        <s v="2019-06"/>
        <s v="2019-07"/>
        <s v="2019-08"/>
        <s v="2019-09"/>
        <s v="2019-10"/>
        <s v="2019-11"/>
        <s v="2019-12"/>
        <s v="2020-01"/>
        <s v="2020-02"/>
        <s v="2018-01"/>
        <s v="2018-02"/>
        <s v="2018-03"/>
      </sharedItems>
    </cacheField>
    <cacheField name="실투입일수" numFmtId="0">
      <sharedItems containsSemiMixedTypes="0" containsString="0" containsNumber="1" minValue="1" maxValue="46"/>
    </cacheField>
    <cacheField name="해당월_x000a_1일" numFmtId="0">
      <sharedItems containsBlank="1"/>
    </cacheField>
    <cacheField name="해당월_x000a_말일" numFmtId="0">
      <sharedItems containsBlank="1"/>
    </cacheField>
    <cacheField name="해당월_x000a_영업일" numFmtId="0">
      <sharedItems containsString="0" containsBlank="1" containsNumber="1" containsInteger="1" minValue="20" maxValue="23"/>
    </cacheField>
    <cacheField name="해당월_x000a_가동율" numFmtId="0">
      <sharedItems containsString="0" containsBlank="1" containsNumber="1" minValue="4.76" maxValue="2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3">
  <r>
    <x v="0"/>
    <x v="0"/>
    <n v="1"/>
    <s v="2018-04-01"/>
    <s v="2018-04-30"/>
    <n v="21"/>
    <n v="4.76"/>
  </r>
  <r>
    <x v="0"/>
    <x v="1"/>
    <n v="23"/>
    <s v="2018-05-01"/>
    <s v="2018-05-31"/>
    <n v="23"/>
    <n v="100"/>
  </r>
  <r>
    <x v="0"/>
    <x v="2"/>
    <n v="21"/>
    <s v="2018-06-01"/>
    <s v="2018-06-30"/>
    <n v="21"/>
    <n v="100"/>
  </r>
  <r>
    <x v="0"/>
    <x v="3"/>
    <n v="22"/>
    <s v="2018-07-01"/>
    <s v="2018-07-31"/>
    <n v="22"/>
    <n v="100"/>
  </r>
  <r>
    <x v="0"/>
    <x v="4"/>
    <n v="23"/>
    <s v="2018-08-01"/>
    <s v="2018-08-31"/>
    <n v="23"/>
    <n v="100"/>
  </r>
  <r>
    <x v="0"/>
    <x v="5"/>
    <n v="20"/>
    <s v="2018-09-01"/>
    <s v="2018-09-30"/>
    <n v="20"/>
    <n v="100"/>
  </r>
  <r>
    <x v="0"/>
    <x v="6"/>
    <n v="23"/>
    <s v="2018-10-01"/>
    <s v="2018-10-31"/>
    <n v="23"/>
    <n v="100"/>
  </r>
  <r>
    <x v="0"/>
    <x v="7"/>
    <n v="22"/>
    <s v="2018-11-01"/>
    <s v="2018-11-30"/>
    <n v="22"/>
    <n v="100"/>
  </r>
  <r>
    <x v="0"/>
    <x v="8"/>
    <n v="21"/>
    <s v="2018-12-01"/>
    <s v="2018-12-31"/>
    <n v="21"/>
    <n v="100"/>
  </r>
  <r>
    <x v="0"/>
    <x v="9"/>
    <n v="23"/>
    <s v="2019-01-01"/>
    <s v="2019-01-31"/>
    <n v="23"/>
    <n v="100"/>
  </r>
  <r>
    <x v="0"/>
    <x v="10"/>
    <n v="7.6"/>
    <s v="2019-02-01"/>
    <s v="2019-02-28"/>
    <n v="20"/>
    <n v="38"/>
  </r>
  <r>
    <x v="0"/>
    <x v="11"/>
    <n v="8"/>
    <s v="2019-03-01"/>
    <s v="2019-03-31"/>
    <n v="21"/>
    <n v="38.1"/>
  </r>
  <r>
    <x v="1"/>
    <x v="0"/>
    <n v="1"/>
    <s v="2018-04-01"/>
    <s v="2018-04-30"/>
    <n v="21"/>
    <n v="4.76"/>
  </r>
  <r>
    <x v="1"/>
    <x v="1"/>
    <n v="23"/>
    <s v="2018-05-01"/>
    <s v="2018-05-31"/>
    <n v="23"/>
    <n v="100"/>
  </r>
  <r>
    <x v="1"/>
    <x v="2"/>
    <n v="21"/>
    <s v="2018-06-01"/>
    <s v="2018-06-30"/>
    <n v="21"/>
    <n v="100"/>
  </r>
  <r>
    <x v="1"/>
    <x v="3"/>
    <n v="22"/>
    <s v="2018-07-01"/>
    <s v="2018-07-31"/>
    <n v="22"/>
    <n v="100"/>
  </r>
  <r>
    <x v="1"/>
    <x v="4"/>
    <n v="23"/>
    <s v="2018-08-01"/>
    <s v="2018-08-31"/>
    <n v="23"/>
    <n v="100"/>
  </r>
  <r>
    <x v="1"/>
    <x v="5"/>
    <n v="20"/>
    <s v="2018-09-01"/>
    <s v="2018-09-30"/>
    <n v="20"/>
    <n v="100"/>
  </r>
  <r>
    <x v="1"/>
    <x v="6"/>
    <n v="23"/>
    <s v="2018-10-01"/>
    <s v="2018-10-31"/>
    <n v="23"/>
    <n v="100"/>
  </r>
  <r>
    <x v="1"/>
    <x v="7"/>
    <n v="22"/>
    <s v="2018-11-01"/>
    <s v="2018-11-30"/>
    <n v="22"/>
    <n v="100"/>
  </r>
  <r>
    <x v="1"/>
    <x v="8"/>
    <n v="21"/>
    <s v="2018-12-01"/>
    <s v="2018-12-31"/>
    <n v="21"/>
    <n v="100"/>
  </r>
  <r>
    <x v="1"/>
    <x v="9"/>
    <n v="23"/>
    <s v="2019-01-01"/>
    <s v="2019-01-31"/>
    <n v="23"/>
    <n v="100"/>
  </r>
  <r>
    <x v="1"/>
    <x v="10"/>
    <n v="9"/>
    <s v="2019-02-01"/>
    <s v="2019-02-28"/>
    <n v="20"/>
    <n v="45"/>
  </r>
  <r>
    <x v="1"/>
    <x v="11"/>
    <n v="14"/>
    <s v="2019-03-01"/>
    <s v="2019-03-31"/>
    <n v="21"/>
    <n v="66.67"/>
  </r>
  <r>
    <x v="1"/>
    <x v="12"/>
    <n v="22"/>
    <s v="2019-04-01"/>
    <s v="2019-04-30"/>
    <n v="22"/>
    <n v="100"/>
  </r>
  <r>
    <x v="1"/>
    <x v="13"/>
    <n v="23"/>
    <s v="2019-05-01"/>
    <s v="2019-05-31"/>
    <n v="23"/>
    <n v="100"/>
  </r>
  <r>
    <x v="1"/>
    <x v="14"/>
    <n v="20"/>
    <s v="2019-06-01"/>
    <s v="2019-06-30"/>
    <n v="20"/>
    <n v="100"/>
  </r>
  <r>
    <x v="1"/>
    <x v="15"/>
    <n v="23"/>
    <s v="2019-07-01"/>
    <s v="2019-07-31"/>
    <n v="23"/>
    <n v="100"/>
  </r>
  <r>
    <x v="1"/>
    <x v="16"/>
    <n v="22"/>
    <s v="2019-08-01"/>
    <s v="2019-08-31"/>
    <n v="22"/>
    <n v="100"/>
  </r>
  <r>
    <x v="1"/>
    <x v="17"/>
    <n v="21"/>
    <s v="2019-09-01"/>
    <s v="2019-09-30"/>
    <n v="21"/>
    <n v="100"/>
  </r>
  <r>
    <x v="1"/>
    <x v="18"/>
    <n v="23"/>
    <s v="2019-10-01"/>
    <s v="2019-10-31"/>
    <n v="23"/>
    <n v="100"/>
  </r>
  <r>
    <x v="1"/>
    <x v="19"/>
    <n v="21"/>
    <s v="2019-11-01"/>
    <s v="2019-11-30"/>
    <n v="21"/>
    <n v="100"/>
  </r>
  <r>
    <x v="1"/>
    <x v="20"/>
    <n v="22"/>
    <s v="2019-12-01"/>
    <s v="2019-12-31"/>
    <n v="22"/>
    <n v="100"/>
  </r>
  <r>
    <x v="1"/>
    <x v="21"/>
    <n v="23"/>
    <s v="2020-01-01"/>
    <s v="2020-01-31"/>
    <n v="23"/>
    <n v="100"/>
  </r>
  <r>
    <x v="1"/>
    <x v="22"/>
    <n v="6"/>
    <s v="2020-02-01"/>
    <s v="2020-02-29"/>
    <n v="20"/>
    <n v="30"/>
  </r>
  <r>
    <x v="2"/>
    <x v="1"/>
    <n v="18"/>
    <s v="2018-05-01"/>
    <s v="2018-05-31"/>
    <n v="23"/>
    <n v="78.260000000000005"/>
  </r>
  <r>
    <x v="2"/>
    <x v="2"/>
    <n v="21"/>
    <s v="2018-06-01"/>
    <s v="2018-06-30"/>
    <n v="21"/>
    <n v="100"/>
  </r>
  <r>
    <x v="2"/>
    <x v="3"/>
    <n v="22"/>
    <s v="2018-07-01"/>
    <s v="2018-07-31"/>
    <n v="22"/>
    <n v="100"/>
  </r>
  <r>
    <x v="2"/>
    <x v="4"/>
    <n v="23"/>
    <s v="2018-08-01"/>
    <s v="2018-08-31"/>
    <n v="23"/>
    <n v="100"/>
  </r>
  <r>
    <x v="2"/>
    <x v="5"/>
    <n v="20"/>
    <s v="2018-09-01"/>
    <s v="2018-09-30"/>
    <n v="20"/>
    <n v="100"/>
  </r>
  <r>
    <x v="2"/>
    <x v="6"/>
    <n v="23"/>
    <s v="2018-10-01"/>
    <s v="2018-10-31"/>
    <n v="23"/>
    <n v="100"/>
  </r>
  <r>
    <x v="2"/>
    <x v="7"/>
    <n v="22"/>
    <s v="2018-11-01"/>
    <s v="2018-11-30"/>
    <n v="22"/>
    <n v="100"/>
  </r>
  <r>
    <x v="2"/>
    <x v="8"/>
    <n v="21"/>
    <s v="2018-12-01"/>
    <s v="2018-12-31"/>
    <n v="21"/>
    <n v="100"/>
  </r>
  <r>
    <x v="2"/>
    <x v="9"/>
    <n v="23"/>
    <s v="2019-01-01"/>
    <s v="2019-01-31"/>
    <n v="23"/>
    <n v="100"/>
  </r>
  <r>
    <x v="2"/>
    <x v="10"/>
    <n v="16"/>
    <s v="2019-02-01"/>
    <s v="2019-02-28"/>
    <n v="20"/>
    <n v="80"/>
  </r>
  <r>
    <x v="2"/>
    <x v="11"/>
    <n v="14"/>
    <s v="2019-03-01"/>
    <s v="2019-03-31"/>
    <n v="21"/>
    <n v="66.67"/>
  </r>
  <r>
    <x v="2"/>
    <x v="12"/>
    <n v="22"/>
    <s v="2019-04-01"/>
    <s v="2019-04-30"/>
    <n v="22"/>
    <n v="100"/>
  </r>
  <r>
    <x v="2"/>
    <x v="13"/>
    <n v="23"/>
    <s v="2019-05-01"/>
    <s v="2019-05-31"/>
    <n v="23"/>
    <n v="100"/>
  </r>
  <r>
    <x v="2"/>
    <x v="14"/>
    <n v="20"/>
    <s v="2019-06-01"/>
    <s v="2019-06-30"/>
    <n v="20"/>
    <n v="100"/>
  </r>
  <r>
    <x v="2"/>
    <x v="15"/>
    <n v="23"/>
    <s v="2019-07-01"/>
    <s v="2019-07-31"/>
    <n v="23"/>
    <n v="100"/>
  </r>
  <r>
    <x v="2"/>
    <x v="16"/>
    <n v="22"/>
    <s v="2019-08-01"/>
    <s v="2019-08-31"/>
    <n v="22"/>
    <n v="100"/>
  </r>
  <r>
    <x v="2"/>
    <x v="17"/>
    <n v="21"/>
    <s v="2019-09-01"/>
    <s v="2019-09-30"/>
    <n v="21"/>
    <n v="100"/>
  </r>
  <r>
    <x v="2"/>
    <x v="18"/>
    <n v="23"/>
    <s v="2019-10-01"/>
    <s v="2019-10-31"/>
    <n v="23"/>
    <n v="100"/>
  </r>
  <r>
    <x v="2"/>
    <x v="19"/>
    <n v="21"/>
    <s v="2019-11-01"/>
    <s v="2019-11-30"/>
    <n v="21"/>
    <n v="100"/>
  </r>
  <r>
    <x v="2"/>
    <x v="20"/>
    <n v="7"/>
    <s v="2019-12-01"/>
    <s v="2019-12-31"/>
    <n v="22"/>
    <n v="31.82"/>
  </r>
  <r>
    <x v="3"/>
    <x v="12"/>
    <n v="17"/>
    <s v="2019-04-01"/>
    <s v="2019-04-30"/>
    <n v="22"/>
    <n v="77.27"/>
  </r>
  <r>
    <x v="3"/>
    <x v="13"/>
    <n v="23"/>
    <s v="2019-05-01"/>
    <s v="2019-05-31"/>
    <n v="23"/>
    <n v="100"/>
  </r>
  <r>
    <x v="3"/>
    <x v="14"/>
    <n v="20"/>
    <s v="2019-06-01"/>
    <s v="2019-06-30"/>
    <n v="20"/>
    <n v="100"/>
  </r>
  <r>
    <x v="3"/>
    <x v="15"/>
    <n v="23"/>
    <s v="2019-07-01"/>
    <s v="2019-07-31"/>
    <n v="23"/>
    <n v="100"/>
  </r>
  <r>
    <x v="3"/>
    <x v="16"/>
    <n v="22"/>
    <s v="2019-08-01"/>
    <s v="2019-08-31"/>
    <n v="22"/>
    <n v="100"/>
  </r>
  <r>
    <x v="3"/>
    <x v="17"/>
    <n v="21"/>
    <s v="2019-09-01"/>
    <s v="2019-09-30"/>
    <n v="21"/>
    <n v="100"/>
  </r>
  <r>
    <x v="3"/>
    <x v="18"/>
    <n v="23"/>
    <s v="2019-10-01"/>
    <s v="2019-10-31"/>
    <n v="23"/>
    <n v="100"/>
  </r>
  <r>
    <x v="3"/>
    <x v="19"/>
    <n v="21"/>
    <s v="2019-11-01"/>
    <s v="2019-11-30"/>
    <n v="21"/>
    <n v="100"/>
  </r>
  <r>
    <x v="4"/>
    <x v="5"/>
    <n v="2"/>
    <s v="2018-09-01"/>
    <s v="2018-09-30"/>
    <n v="20"/>
    <n v="10"/>
  </r>
  <r>
    <x v="4"/>
    <x v="6"/>
    <n v="23"/>
    <s v="2018-10-01"/>
    <s v="2018-10-31"/>
    <n v="23"/>
    <n v="100"/>
  </r>
  <r>
    <x v="4"/>
    <x v="7"/>
    <n v="22"/>
    <s v="2018-11-01"/>
    <s v="2018-11-30"/>
    <n v="22"/>
    <n v="100"/>
  </r>
  <r>
    <x v="4"/>
    <x v="8"/>
    <n v="21"/>
    <s v="2018-12-01"/>
    <s v="2018-12-31"/>
    <n v="21"/>
    <n v="100"/>
  </r>
  <r>
    <x v="4"/>
    <x v="9"/>
    <n v="23"/>
    <s v="2019-01-01"/>
    <s v="2019-01-31"/>
    <n v="23"/>
    <n v="100"/>
  </r>
  <r>
    <x v="4"/>
    <x v="10"/>
    <n v="20"/>
    <s v="2019-02-01"/>
    <s v="2019-02-28"/>
    <n v="20"/>
    <n v="100"/>
  </r>
  <r>
    <x v="4"/>
    <x v="11"/>
    <n v="21"/>
    <s v="2019-03-01"/>
    <s v="2019-03-31"/>
    <n v="21"/>
    <n v="100"/>
  </r>
  <r>
    <x v="4"/>
    <x v="12"/>
    <n v="22"/>
    <s v="2019-04-01"/>
    <s v="2019-04-30"/>
    <n v="22"/>
    <n v="100"/>
  </r>
  <r>
    <x v="5"/>
    <x v="9"/>
    <n v="19"/>
    <s v="2019-01-01"/>
    <s v="2019-01-31"/>
    <n v="23"/>
    <n v="82.61"/>
  </r>
  <r>
    <x v="5"/>
    <x v="10"/>
    <n v="20"/>
    <s v="2019-02-01"/>
    <s v="2019-02-28"/>
    <n v="20"/>
    <n v="100"/>
  </r>
  <r>
    <x v="5"/>
    <x v="11"/>
    <n v="21"/>
    <s v="2019-03-01"/>
    <s v="2019-03-31"/>
    <n v="21"/>
    <n v="100"/>
  </r>
  <r>
    <x v="5"/>
    <x v="12"/>
    <n v="22"/>
    <s v="2019-04-01"/>
    <s v="2019-04-30"/>
    <n v="22"/>
    <n v="100"/>
  </r>
  <r>
    <x v="5"/>
    <x v="13"/>
    <n v="23"/>
    <s v="2019-05-01"/>
    <s v="2019-05-31"/>
    <n v="23"/>
    <n v="100"/>
  </r>
  <r>
    <x v="5"/>
    <x v="14"/>
    <n v="20"/>
    <s v="2019-06-01"/>
    <s v="2019-06-30"/>
    <n v="20"/>
    <n v="100"/>
  </r>
  <r>
    <x v="5"/>
    <x v="15"/>
    <n v="23"/>
    <s v="2019-07-01"/>
    <s v="2019-07-31"/>
    <n v="23"/>
    <n v="100"/>
  </r>
  <r>
    <x v="5"/>
    <x v="16"/>
    <n v="22"/>
    <s v="2019-08-01"/>
    <s v="2019-08-31"/>
    <n v="22"/>
    <n v="100"/>
  </r>
  <r>
    <x v="5"/>
    <x v="17"/>
    <n v="20"/>
    <s v="2019-09-01"/>
    <s v="2019-09-30"/>
    <n v="21"/>
    <n v="95.24"/>
  </r>
  <r>
    <x v="6"/>
    <x v="7"/>
    <n v="20"/>
    <s v="2018-11-01"/>
    <s v="2018-11-30"/>
    <n v="22"/>
    <n v="90.91"/>
  </r>
  <r>
    <x v="6"/>
    <x v="8"/>
    <n v="21"/>
    <s v="2018-12-01"/>
    <s v="2018-12-31"/>
    <n v="21"/>
    <n v="100"/>
  </r>
  <r>
    <x v="6"/>
    <x v="9"/>
    <n v="23"/>
    <s v="2019-01-01"/>
    <s v="2019-01-31"/>
    <n v="23"/>
    <n v="100"/>
  </r>
  <r>
    <x v="6"/>
    <x v="10"/>
    <n v="20"/>
    <s v="2019-02-01"/>
    <s v="2019-02-28"/>
    <n v="20"/>
    <n v="100"/>
  </r>
  <r>
    <x v="6"/>
    <x v="11"/>
    <n v="21"/>
    <s v="2019-03-01"/>
    <s v="2019-03-31"/>
    <n v="21"/>
    <n v="100"/>
  </r>
  <r>
    <x v="6"/>
    <x v="12"/>
    <n v="22"/>
    <s v="2019-04-01"/>
    <s v="2019-04-30"/>
    <n v="22"/>
    <n v="100"/>
  </r>
  <r>
    <x v="6"/>
    <x v="13"/>
    <n v="3"/>
    <s v="2019-05-01"/>
    <s v="2019-05-31"/>
    <n v="23"/>
    <n v="13.04"/>
  </r>
  <r>
    <x v="7"/>
    <x v="4"/>
    <n v="20"/>
    <s v="2018-08-01"/>
    <s v="2018-08-31"/>
    <n v="23"/>
    <n v="86.96"/>
  </r>
  <r>
    <x v="7"/>
    <x v="5"/>
    <n v="20"/>
    <s v="2018-09-01"/>
    <s v="2018-09-30"/>
    <n v="20"/>
    <n v="100"/>
  </r>
  <r>
    <x v="7"/>
    <x v="6"/>
    <n v="23"/>
    <s v="2018-10-01"/>
    <s v="2018-10-31"/>
    <n v="23"/>
    <n v="100"/>
  </r>
  <r>
    <x v="7"/>
    <x v="7"/>
    <n v="22"/>
    <s v="2018-11-01"/>
    <s v="2018-11-30"/>
    <n v="22"/>
    <n v="100"/>
  </r>
  <r>
    <x v="7"/>
    <x v="8"/>
    <n v="21"/>
    <s v="2018-12-01"/>
    <s v="2018-12-31"/>
    <n v="21"/>
    <n v="100"/>
  </r>
  <r>
    <x v="7"/>
    <x v="9"/>
    <n v="23"/>
    <s v="2019-01-01"/>
    <s v="2019-01-31"/>
    <n v="23"/>
    <n v="100"/>
  </r>
  <r>
    <x v="7"/>
    <x v="10"/>
    <n v="20"/>
    <s v="2019-02-01"/>
    <s v="2019-02-28"/>
    <n v="20"/>
    <n v="100"/>
  </r>
  <r>
    <x v="7"/>
    <x v="11"/>
    <n v="21"/>
    <s v="2019-03-01"/>
    <s v="2019-03-31"/>
    <n v="21"/>
    <n v="100"/>
  </r>
  <r>
    <x v="7"/>
    <x v="12"/>
    <n v="16"/>
    <s v="2019-04-01"/>
    <s v="2019-04-30"/>
    <n v="22"/>
    <n v="72.73"/>
  </r>
  <r>
    <x v="8"/>
    <x v="9"/>
    <n v="22"/>
    <s v="2019-01-01"/>
    <s v="2019-01-31"/>
    <n v="23"/>
    <n v="95.65"/>
  </r>
  <r>
    <x v="8"/>
    <x v="10"/>
    <n v="20"/>
    <s v="2019-02-01"/>
    <s v="2019-02-28"/>
    <n v="20"/>
    <n v="100"/>
  </r>
  <r>
    <x v="8"/>
    <x v="11"/>
    <n v="19"/>
    <s v="2019-03-01"/>
    <s v="2019-03-31"/>
    <n v="21"/>
    <n v="90.48"/>
  </r>
  <r>
    <x v="8"/>
    <x v="12"/>
    <n v="22"/>
    <s v="2019-04-01"/>
    <s v="2019-04-30"/>
    <n v="22"/>
    <n v="100"/>
  </r>
  <r>
    <x v="8"/>
    <x v="13"/>
    <n v="23"/>
    <s v="2019-05-01"/>
    <s v="2019-05-31"/>
    <n v="23"/>
    <n v="100"/>
  </r>
  <r>
    <x v="8"/>
    <x v="14"/>
    <n v="20"/>
    <s v="2019-06-01"/>
    <s v="2019-06-30"/>
    <n v="20"/>
    <n v="100"/>
  </r>
  <r>
    <x v="8"/>
    <x v="15"/>
    <n v="23"/>
    <s v="2019-07-01"/>
    <s v="2019-07-31"/>
    <n v="23"/>
    <n v="100"/>
  </r>
  <r>
    <x v="8"/>
    <x v="16"/>
    <n v="22"/>
    <s v="2019-08-01"/>
    <s v="2019-08-31"/>
    <n v="22"/>
    <n v="100"/>
  </r>
  <r>
    <x v="8"/>
    <x v="17"/>
    <n v="21"/>
    <s v="2019-09-01"/>
    <s v="2019-09-30"/>
    <n v="21"/>
    <n v="100"/>
  </r>
  <r>
    <x v="8"/>
    <x v="18"/>
    <n v="23"/>
    <s v="2019-10-01"/>
    <s v="2019-10-31"/>
    <n v="23"/>
    <n v="100"/>
  </r>
  <r>
    <x v="8"/>
    <x v="19"/>
    <n v="21"/>
    <s v="2019-11-01"/>
    <s v="2019-11-30"/>
    <n v="21"/>
    <n v="100"/>
  </r>
  <r>
    <x v="8"/>
    <x v="20"/>
    <n v="22"/>
    <s v="2019-12-01"/>
    <s v="2019-12-31"/>
    <n v="22"/>
    <n v="100"/>
  </r>
  <r>
    <x v="8"/>
    <x v="21"/>
    <n v="23"/>
    <s v="2020-01-01"/>
    <s v="2020-01-31"/>
    <n v="23"/>
    <n v="100"/>
  </r>
  <r>
    <x v="8"/>
    <x v="22"/>
    <n v="6"/>
    <s v="2020-02-01"/>
    <s v="2020-02-29"/>
    <n v="20"/>
    <n v="30"/>
  </r>
  <r>
    <x v="9"/>
    <x v="7"/>
    <n v="22"/>
    <s v="2018-11-01"/>
    <s v="2018-11-30"/>
    <n v="22"/>
    <n v="100"/>
  </r>
  <r>
    <x v="9"/>
    <x v="8"/>
    <n v="21"/>
    <s v="2018-12-01"/>
    <s v="2018-12-31"/>
    <n v="21"/>
    <n v="100"/>
  </r>
  <r>
    <x v="9"/>
    <x v="9"/>
    <n v="23"/>
    <s v="2019-01-01"/>
    <s v="2019-01-31"/>
    <n v="23"/>
    <n v="100"/>
  </r>
  <r>
    <x v="9"/>
    <x v="10"/>
    <n v="20"/>
    <s v="2019-02-01"/>
    <s v="2019-02-28"/>
    <n v="20"/>
    <n v="100"/>
  </r>
  <r>
    <x v="9"/>
    <x v="11"/>
    <n v="21"/>
    <s v="2019-03-01"/>
    <s v="2019-03-31"/>
    <n v="21"/>
    <n v="100"/>
  </r>
  <r>
    <x v="9"/>
    <x v="12"/>
    <n v="22"/>
    <s v="2019-04-01"/>
    <s v="2019-04-30"/>
    <n v="22"/>
    <n v="100"/>
  </r>
  <r>
    <x v="9"/>
    <x v="13"/>
    <n v="23"/>
    <s v="2019-05-01"/>
    <s v="2019-05-31"/>
    <n v="23"/>
    <n v="100"/>
  </r>
  <r>
    <x v="9"/>
    <x v="14"/>
    <n v="20"/>
    <s v="2019-06-01"/>
    <s v="2019-06-30"/>
    <n v="20"/>
    <n v="100"/>
  </r>
  <r>
    <x v="10"/>
    <x v="6"/>
    <n v="18"/>
    <s v="2018-10-01"/>
    <s v="2018-10-31"/>
    <n v="23"/>
    <n v="78.260000000000005"/>
  </r>
  <r>
    <x v="10"/>
    <x v="7"/>
    <n v="22"/>
    <s v="2018-11-01"/>
    <s v="2018-11-30"/>
    <n v="22"/>
    <n v="100"/>
  </r>
  <r>
    <x v="10"/>
    <x v="8"/>
    <n v="21"/>
    <s v="2018-12-01"/>
    <s v="2018-12-31"/>
    <n v="21"/>
    <n v="100"/>
  </r>
  <r>
    <x v="10"/>
    <x v="9"/>
    <n v="23"/>
    <s v="2019-01-01"/>
    <s v="2019-01-31"/>
    <n v="23"/>
    <n v="100"/>
  </r>
  <r>
    <x v="10"/>
    <x v="10"/>
    <n v="20"/>
    <s v="2019-02-01"/>
    <s v="2019-02-28"/>
    <n v="20"/>
    <n v="100"/>
  </r>
  <r>
    <x v="10"/>
    <x v="11"/>
    <n v="15"/>
    <s v="2019-03-01"/>
    <s v="2019-03-31"/>
    <n v="21"/>
    <n v="71.430000000000007"/>
  </r>
  <r>
    <x v="10"/>
    <x v="12"/>
    <n v="17"/>
    <s v="2019-04-01"/>
    <s v="2019-04-30"/>
    <n v="22"/>
    <n v="77.27"/>
  </r>
  <r>
    <x v="11"/>
    <x v="5"/>
    <n v="20"/>
    <s v="2018-09-01"/>
    <s v="2018-09-30"/>
    <n v="20"/>
    <n v="100"/>
  </r>
  <r>
    <x v="11"/>
    <x v="6"/>
    <n v="23"/>
    <s v="2018-10-01"/>
    <s v="2018-10-31"/>
    <n v="23"/>
    <n v="100"/>
  </r>
  <r>
    <x v="11"/>
    <x v="7"/>
    <n v="22"/>
    <s v="2018-11-01"/>
    <s v="2018-11-30"/>
    <n v="22"/>
    <n v="100"/>
  </r>
  <r>
    <x v="11"/>
    <x v="8"/>
    <n v="21"/>
    <s v="2018-12-01"/>
    <s v="2018-12-31"/>
    <n v="21"/>
    <n v="100"/>
  </r>
  <r>
    <x v="11"/>
    <x v="9"/>
    <n v="23"/>
    <s v="2019-01-01"/>
    <s v="2019-01-31"/>
    <n v="23"/>
    <n v="100"/>
  </r>
  <r>
    <x v="11"/>
    <x v="10"/>
    <n v="20"/>
    <s v="2019-02-01"/>
    <s v="2019-02-28"/>
    <n v="20"/>
    <n v="100"/>
  </r>
  <r>
    <x v="11"/>
    <x v="11"/>
    <n v="21"/>
    <s v="2019-03-01"/>
    <s v="2019-03-31"/>
    <n v="21"/>
    <n v="100"/>
  </r>
  <r>
    <x v="11"/>
    <x v="12"/>
    <n v="22"/>
    <s v="2019-04-01"/>
    <s v="2019-04-30"/>
    <n v="22"/>
    <n v="100"/>
  </r>
  <r>
    <x v="11"/>
    <x v="13"/>
    <n v="23"/>
    <s v="2019-05-01"/>
    <s v="2019-05-31"/>
    <n v="23"/>
    <n v="100"/>
  </r>
  <r>
    <x v="11"/>
    <x v="14"/>
    <n v="20"/>
    <s v="2019-06-01"/>
    <s v="2019-06-30"/>
    <n v="20"/>
    <n v="100"/>
  </r>
  <r>
    <x v="12"/>
    <x v="4"/>
    <n v="12"/>
    <s v="2018-08-01"/>
    <s v="2018-08-31"/>
    <n v="23"/>
    <n v="52.17"/>
  </r>
  <r>
    <x v="12"/>
    <x v="5"/>
    <n v="20"/>
    <s v="2018-09-01"/>
    <s v="2018-09-30"/>
    <n v="20"/>
    <n v="100"/>
  </r>
  <r>
    <x v="12"/>
    <x v="6"/>
    <n v="23"/>
    <s v="2018-10-01"/>
    <s v="2018-10-31"/>
    <n v="23"/>
    <n v="100"/>
  </r>
  <r>
    <x v="12"/>
    <x v="7"/>
    <n v="22"/>
    <s v="2018-11-01"/>
    <s v="2018-11-30"/>
    <n v="22"/>
    <n v="100"/>
  </r>
  <r>
    <x v="12"/>
    <x v="8"/>
    <n v="21"/>
    <s v="2018-12-01"/>
    <s v="2018-12-31"/>
    <n v="21"/>
    <n v="100"/>
  </r>
  <r>
    <x v="12"/>
    <x v="9"/>
    <n v="23"/>
    <s v="2019-01-01"/>
    <s v="2019-01-31"/>
    <n v="23"/>
    <n v="100"/>
  </r>
  <r>
    <x v="12"/>
    <x v="10"/>
    <n v="20"/>
    <s v="2019-02-01"/>
    <s v="2019-02-28"/>
    <n v="20"/>
    <n v="100"/>
  </r>
  <r>
    <x v="12"/>
    <x v="11"/>
    <n v="21"/>
    <s v="2019-03-01"/>
    <s v="2019-03-31"/>
    <n v="21"/>
    <n v="100"/>
  </r>
  <r>
    <x v="12"/>
    <x v="12"/>
    <n v="22"/>
    <s v="2019-04-01"/>
    <s v="2019-04-30"/>
    <n v="22"/>
    <n v="100"/>
  </r>
  <r>
    <x v="12"/>
    <x v="13"/>
    <n v="23"/>
    <s v="2019-05-01"/>
    <s v="2019-05-31"/>
    <n v="23"/>
    <n v="100"/>
  </r>
  <r>
    <x v="12"/>
    <x v="14"/>
    <n v="20"/>
    <s v="2019-06-01"/>
    <s v="2019-06-30"/>
    <n v="20"/>
    <n v="100"/>
  </r>
  <r>
    <x v="13"/>
    <x v="12"/>
    <n v="21"/>
    <s v="2019-04-01"/>
    <s v="2019-04-30"/>
    <n v="22"/>
    <n v="95.45"/>
  </r>
  <r>
    <x v="13"/>
    <x v="13"/>
    <n v="23"/>
    <s v="2019-05-01"/>
    <s v="2019-05-31"/>
    <n v="23"/>
    <n v="100"/>
  </r>
  <r>
    <x v="13"/>
    <x v="14"/>
    <n v="20"/>
    <s v="2019-06-01"/>
    <s v="2019-06-30"/>
    <n v="20"/>
    <n v="100"/>
  </r>
  <r>
    <x v="14"/>
    <x v="5"/>
    <n v="20"/>
    <s v="2018-09-01"/>
    <s v="2018-09-30"/>
    <n v="20"/>
    <n v="100"/>
  </r>
  <r>
    <x v="14"/>
    <x v="6"/>
    <n v="23"/>
    <s v="2018-10-01"/>
    <s v="2018-10-31"/>
    <n v="23"/>
    <n v="100"/>
  </r>
  <r>
    <x v="14"/>
    <x v="7"/>
    <n v="22"/>
    <s v="2018-11-01"/>
    <s v="2018-11-30"/>
    <n v="22"/>
    <n v="100"/>
  </r>
  <r>
    <x v="14"/>
    <x v="8"/>
    <n v="39"/>
    <s v="2018-12-01"/>
    <s v="2018-12-31"/>
    <n v="21"/>
    <n v="185.71"/>
  </r>
  <r>
    <x v="14"/>
    <x v="9"/>
    <n v="46"/>
    <s v="2019-01-01"/>
    <s v="2019-01-31"/>
    <n v="23"/>
    <n v="200"/>
  </r>
  <r>
    <x v="14"/>
    <x v="10"/>
    <n v="40"/>
    <s v="2019-02-01"/>
    <s v="2019-02-28"/>
    <n v="20"/>
    <n v="200"/>
  </r>
  <r>
    <x v="14"/>
    <x v="11"/>
    <n v="42"/>
    <s v="2019-03-01"/>
    <s v="2019-03-31"/>
    <n v="21"/>
    <n v="200"/>
  </r>
  <r>
    <x v="14"/>
    <x v="12"/>
    <n v="22"/>
    <s v="2019-04-01"/>
    <s v="2019-04-30"/>
    <n v="22"/>
    <n v="100"/>
  </r>
  <r>
    <x v="14"/>
    <x v="13"/>
    <n v="8"/>
    <s v="2019-05-01"/>
    <s v="2019-05-31"/>
    <n v="23"/>
    <n v="34.78"/>
  </r>
  <r>
    <x v="15"/>
    <x v="2"/>
    <n v="20"/>
    <s v="2018-06-01"/>
    <s v="2018-06-30"/>
    <n v="21"/>
    <n v="95.24"/>
  </r>
  <r>
    <x v="15"/>
    <x v="3"/>
    <n v="22"/>
    <s v="2018-07-01"/>
    <s v="2018-07-31"/>
    <n v="22"/>
    <n v="100"/>
  </r>
  <r>
    <x v="15"/>
    <x v="4"/>
    <n v="23"/>
    <s v="2018-08-01"/>
    <s v="2018-08-31"/>
    <n v="23"/>
    <n v="100"/>
  </r>
  <r>
    <x v="15"/>
    <x v="5"/>
    <n v="20"/>
    <s v="2018-09-01"/>
    <s v="2018-09-30"/>
    <n v="20"/>
    <n v="100"/>
  </r>
  <r>
    <x v="15"/>
    <x v="6"/>
    <n v="23"/>
    <s v="2018-10-01"/>
    <s v="2018-10-31"/>
    <n v="23"/>
    <n v="100"/>
  </r>
  <r>
    <x v="15"/>
    <x v="7"/>
    <n v="22"/>
    <s v="2018-11-01"/>
    <s v="2018-11-30"/>
    <n v="22"/>
    <n v="100"/>
  </r>
  <r>
    <x v="15"/>
    <x v="8"/>
    <n v="21"/>
    <s v="2018-12-01"/>
    <s v="2018-12-31"/>
    <n v="21"/>
    <n v="100"/>
  </r>
  <r>
    <x v="15"/>
    <x v="9"/>
    <n v="23"/>
    <s v="2019-01-01"/>
    <s v="2019-01-31"/>
    <n v="23"/>
    <n v="100"/>
  </r>
  <r>
    <x v="15"/>
    <x v="10"/>
    <n v="20"/>
    <s v="2019-02-01"/>
    <s v="2019-02-28"/>
    <n v="20"/>
    <n v="100"/>
  </r>
  <r>
    <x v="15"/>
    <x v="11"/>
    <n v="21"/>
    <s v="2019-03-01"/>
    <s v="2019-03-31"/>
    <n v="21"/>
    <n v="100"/>
  </r>
  <r>
    <x v="15"/>
    <x v="12"/>
    <n v="5"/>
    <s v="2019-04-01"/>
    <s v="2019-04-30"/>
    <n v="22"/>
    <n v="22.73"/>
  </r>
  <r>
    <x v="16"/>
    <x v="6"/>
    <n v="23"/>
    <s v="2018-10-01"/>
    <s v="2018-10-31"/>
    <n v="23"/>
    <n v="100"/>
  </r>
  <r>
    <x v="16"/>
    <x v="7"/>
    <n v="22"/>
    <s v="2018-11-01"/>
    <s v="2018-11-30"/>
    <n v="22"/>
    <n v="100"/>
  </r>
  <r>
    <x v="16"/>
    <x v="8"/>
    <n v="21"/>
    <s v="2018-12-01"/>
    <s v="2018-12-31"/>
    <n v="21"/>
    <n v="100"/>
  </r>
  <r>
    <x v="16"/>
    <x v="9"/>
    <n v="23"/>
    <s v="2019-01-01"/>
    <s v="2019-01-31"/>
    <n v="23"/>
    <n v="100"/>
  </r>
  <r>
    <x v="16"/>
    <x v="10"/>
    <n v="20"/>
    <s v="2019-02-01"/>
    <s v="2019-02-28"/>
    <n v="20"/>
    <n v="100"/>
  </r>
  <r>
    <x v="16"/>
    <x v="11"/>
    <n v="21"/>
    <s v="2019-03-01"/>
    <s v="2019-03-31"/>
    <n v="21"/>
    <n v="100"/>
  </r>
  <r>
    <x v="16"/>
    <x v="12"/>
    <n v="22"/>
    <s v="2019-04-01"/>
    <s v="2019-04-30"/>
    <n v="22"/>
    <n v="100"/>
  </r>
  <r>
    <x v="16"/>
    <x v="13"/>
    <n v="23"/>
    <s v="2019-05-01"/>
    <s v="2019-05-31"/>
    <n v="23"/>
    <n v="100"/>
  </r>
  <r>
    <x v="16"/>
    <x v="14"/>
    <n v="20"/>
    <s v="2019-06-01"/>
    <s v="2019-06-30"/>
    <n v="20"/>
    <n v="100"/>
  </r>
  <r>
    <x v="17"/>
    <x v="12"/>
    <n v="21"/>
    <s v="2019-04-01"/>
    <s v="2019-04-30"/>
    <n v="22"/>
    <n v="95.45"/>
  </r>
  <r>
    <x v="17"/>
    <x v="13"/>
    <n v="23"/>
    <s v="2019-05-01"/>
    <s v="2019-05-31"/>
    <n v="23"/>
    <n v="100"/>
  </r>
  <r>
    <x v="18"/>
    <x v="5"/>
    <n v="18"/>
    <s v="2018-09-01"/>
    <s v="2018-09-30"/>
    <n v="20"/>
    <n v="90"/>
  </r>
  <r>
    <x v="18"/>
    <x v="6"/>
    <n v="23"/>
    <s v="2018-10-01"/>
    <s v="2018-10-31"/>
    <n v="23"/>
    <n v="100"/>
  </r>
  <r>
    <x v="18"/>
    <x v="7"/>
    <n v="22"/>
    <s v="2018-11-01"/>
    <s v="2018-11-30"/>
    <n v="22"/>
    <n v="100"/>
  </r>
  <r>
    <x v="18"/>
    <x v="8"/>
    <n v="21"/>
    <s v="2018-12-01"/>
    <s v="2018-12-31"/>
    <n v="21"/>
    <n v="100"/>
  </r>
  <r>
    <x v="18"/>
    <x v="9"/>
    <n v="23"/>
    <s v="2019-01-01"/>
    <s v="2019-01-31"/>
    <n v="23"/>
    <n v="100"/>
  </r>
  <r>
    <x v="18"/>
    <x v="10"/>
    <n v="11"/>
    <s v="2019-02-01"/>
    <s v="2019-02-28"/>
    <n v="20"/>
    <n v="55"/>
  </r>
  <r>
    <x v="18"/>
    <x v="11"/>
    <n v="10"/>
    <s v="2019-03-01"/>
    <s v="2019-03-31"/>
    <n v="21"/>
    <n v="47.62"/>
  </r>
  <r>
    <x v="18"/>
    <x v="12"/>
    <n v="22"/>
    <s v="2019-04-01"/>
    <s v="2019-04-30"/>
    <n v="22"/>
    <n v="100"/>
  </r>
  <r>
    <x v="18"/>
    <x v="13"/>
    <n v="23"/>
    <s v="2019-05-01"/>
    <s v="2019-05-31"/>
    <n v="23"/>
    <n v="100"/>
  </r>
  <r>
    <x v="18"/>
    <x v="14"/>
    <n v="20"/>
    <s v="2019-06-01"/>
    <s v="2019-06-30"/>
    <n v="20"/>
    <n v="100"/>
  </r>
  <r>
    <x v="18"/>
    <x v="15"/>
    <n v="23"/>
    <s v="2019-07-01"/>
    <s v="2019-07-31"/>
    <n v="23"/>
    <n v="100"/>
  </r>
  <r>
    <x v="18"/>
    <x v="16"/>
    <n v="22"/>
    <s v="2019-08-01"/>
    <s v="2019-08-31"/>
    <n v="22"/>
    <n v="100"/>
  </r>
  <r>
    <x v="18"/>
    <x v="17"/>
    <n v="21"/>
    <s v="2019-09-01"/>
    <s v="2019-09-30"/>
    <n v="21"/>
    <n v="100"/>
  </r>
  <r>
    <x v="18"/>
    <x v="18"/>
    <n v="23"/>
    <s v="2019-10-01"/>
    <s v="2019-10-31"/>
    <n v="23"/>
    <n v="100"/>
  </r>
  <r>
    <x v="18"/>
    <x v="19"/>
    <n v="6"/>
    <s v="2019-11-01"/>
    <s v="2019-11-30"/>
    <n v="21"/>
    <n v="28.57"/>
  </r>
  <r>
    <x v="19"/>
    <x v="7"/>
    <n v="20"/>
    <s v="2018-11-01"/>
    <s v="2018-11-30"/>
    <n v="22"/>
    <n v="90.91"/>
  </r>
  <r>
    <x v="19"/>
    <x v="8"/>
    <n v="21"/>
    <s v="2018-12-01"/>
    <s v="2018-12-31"/>
    <n v="21"/>
    <n v="100"/>
  </r>
  <r>
    <x v="19"/>
    <x v="9"/>
    <n v="23"/>
    <s v="2019-01-01"/>
    <s v="2019-01-31"/>
    <n v="23"/>
    <n v="100"/>
  </r>
  <r>
    <x v="19"/>
    <x v="10"/>
    <n v="20"/>
    <s v="2019-02-01"/>
    <s v="2019-02-28"/>
    <n v="20"/>
    <n v="100"/>
  </r>
  <r>
    <x v="19"/>
    <x v="11"/>
    <n v="21"/>
    <s v="2019-03-01"/>
    <s v="2019-03-31"/>
    <n v="21"/>
    <n v="100"/>
  </r>
  <r>
    <x v="19"/>
    <x v="12"/>
    <n v="22"/>
    <s v="2019-04-01"/>
    <s v="2019-04-30"/>
    <n v="22"/>
    <n v="100"/>
  </r>
  <r>
    <x v="19"/>
    <x v="13"/>
    <n v="23"/>
    <s v="2019-05-01"/>
    <s v="2019-05-31"/>
    <n v="23"/>
    <n v="100"/>
  </r>
  <r>
    <x v="20"/>
    <x v="23"/>
    <n v="22"/>
    <s v="2018-01-01"/>
    <s v="2018-01-31"/>
    <n v="23"/>
    <n v="95.65"/>
  </r>
  <r>
    <x v="20"/>
    <x v="24"/>
    <n v="20"/>
    <s v="2018-02-01"/>
    <s v="2018-02-28"/>
    <n v="20"/>
    <n v="100"/>
  </r>
  <r>
    <x v="20"/>
    <x v="25"/>
    <n v="22"/>
    <s v="2018-03-01"/>
    <s v="2018-03-31"/>
    <n v="22"/>
    <n v="100"/>
  </r>
  <r>
    <x v="20"/>
    <x v="0"/>
    <n v="21"/>
    <s v="2018-04-01"/>
    <s v="2018-04-30"/>
    <n v="21"/>
    <n v="100"/>
  </r>
  <r>
    <x v="20"/>
    <x v="1"/>
    <n v="23"/>
    <s v="2018-05-01"/>
    <s v="2018-05-31"/>
    <n v="23"/>
    <n v="100"/>
  </r>
  <r>
    <x v="20"/>
    <x v="2"/>
    <n v="21"/>
    <s v="2018-06-01"/>
    <s v="2018-06-30"/>
    <n v="21"/>
    <n v="100"/>
  </r>
  <r>
    <x v="20"/>
    <x v="3"/>
    <n v="22"/>
    <s v="2018-07-01"/>
    <s v="2018-07-31"/>
    <n v="22"/>
    <n v="100"/>
  </r>
  <r>
    <x v="20"/>
    <x v="4"/>
    <n v="23"/>
    <s v="2018-08-01"/>
    <s v="2018-08-31"/>
    <n v="23"/>
    <n v="100"/>
  </r>
  <r>
    <x v="20"/>
    <x v="5"/>
    <n v="20"/>
    <s v="2018-09-01"/>
    <s v="2018-09-30"/>
    <n v="20"/>
    <n v="100"/>
  </r>
  <r>
    <x v="20"/>
    <x v="6"/>
    <n v="23"/>
    <s v="2018-10-01"/>
    <s v="2018-10-31"/>
    <n v="23"/>
    <n v="100"/>
  </r>
  <r>
    <x v="20"/>
    <x v="7"/>
    <n v="22"/>
    <s v="2018-11-01"/>
    <s v="2018-11-30"/>
    <n v="22"/>
    <n v="100"/>
  </r>
  <r>
    <x v="20"/>
    <x v="8"/>
    <n v="21"/>
    <s v="2018-12-01"/>
    <s v="2018-12-31"/>
    <n v="21"/>
    <n v="100"/>
  </r>
  <r>
    <x v="20"/>
    <x v="9"/>
    <n v="23"/>
    <s v="2019-01-01"/>
    <s v="2019-01-31"/>
    <n v="23"/>
    <n v="100"/>
  </r>
  <r>
    <x v="20"/>
    <x v="10"/>
    <n v="20"/>
    <s v="2019-02-01"/>
    <s v="2019-02-28"/>
    <n v="20"/>
    <n v="100"/>
  </r>
  <r>
    <x v="20"/>
    <x v="11"/>
    <n v="21"/>
    <s v="2019-03-01"/>
    <s v="2019-03-31"/>
    <n v="21"/>
    <n v="100"/>
  </r>
  <r>
    <x v="20"/>
    <x v="12"/>
    <n v="22"/>
    <s v="2019-04-01"/>
    <s v="2019-04-30"/>
    <n v="22"/>
    <n v="100"/>
  </r>
  <r>
    <x v="21"/>
    <x v="9"/>
    <n v="19"/>
    <s v="2019-01-01"/>
    <s v="2019-01-31"/>
    <n v="23"/>
    <n v="82.61"/>
  </r>
  <r>
    <x v="21"/>
    <x v="10"/>
    <n v="20"/>
    <s v="2019-02-01"/>
    <s v="2019-02-28"/>
    <n v="20"/>
    <n v="100"/>
  </r>
  <r>
    <x v="21"/>
    <x v="11"/>
    <n v="11"/>
    <s v="2019-03-01"/>
    <s v="2019-03-31"/>
    <n v="21"/>
    <n v="52.38"/>
  </r>
  <r>
    <x v="22"/>
    <x v="9"/>
    <n v="19"/>
    <s v="2019-01-01"/>
    <s v="2019-01-31"/>
    <n v="23"/>
    <n v="82.61"/>
  </r>
  <r>
    <x v="22"/>
    <x v="10"/>
    <n v="20"/>
    <s v="2019-02-01"/>
    <s v="2019-02-28"/>
    <n v="20"/>
    <n v="100"/>
  </r>
  <r>
    <x v="22"/>
    <x v="11"/>
    <n v="21"/>
    <s v="2019-03-01"/>
    <s v="2019-03-31"/>
    <n v="21"/>
    <n v="100"/>
  </r>
  <r>
    <x v="22"/>
    <x v="12"/>
    <n v="22"/>
    <s v="2019-04-01"/>
    <s v="2019-04-30"/>
    <n v="22"/>
    <n v="100"/>
  </r>
  <r>
    <x v="22"/>
    <x v="13"/>
    <n v="23"/>
    <s v="2019-05-01"/>
    <s v="2019-05-31"/>
    <n v="23"/>
    <n v="100"/>
  </r>
  <r>
    <x v="23"/>
    <x v="7"/>
    <n v="6"/>
    <s v="2018-11-01"/>
    <s v="2018-11-30"/>
    <n v="22"/>
    <n v="27.27"/>
  </r>
  <r>
    <x v="23"/>
    <x v="8"/>
    <n v="21"/>
    <s v="2018-12-01"/>
    <s v="2018-12-31"/>
    <n v="21"/>
    <n v="100"/>
  </r>
  <r>
    <x v="23"/>
    <x v="9"/>
    <n v="23"/>
    <s v="2019-01-01"/>
    <s v="2019-01-31"/>
    <n v="23"/>
    <n v="100"/>
  </r>
  <r>
    <x v="23"/>
    <x v="10"/>
    <n v="20"/>
    <s v="2019-02-01"/>
    <s v="2019-02-28"/>
    <n v="20"/>
    <n v="100"/>
  </r>
  <r>
    <x v="23"/>
    <x v="11"/>
    <n v="21"/>
    <s v="2019-03-01"/>
    <s v="2019-03-31"/>
    <n v="21"/>
    <n v="100"/>
  </r>
  <r>
    <x v="23"/>
    <x v="12"/>
    <n v="22"/>
    <s v="2019-04-01"/>
    <s v="2019-04-30"/>
    <n v="22"/>
    <n v="100"/>
  </r>
  <r>
    <x v="23"/>
    <x v="13"/>
    <n v="8"/>
    <s v="2019-05-01"/>
    <s v="2019-05-31"/>
    <n v="23"/>
    <n v="34.78"/>
  </r>
  <r>
    <x v="24"/>
    <x v="5"/>
    <n v="10"/>
    <s v="2018-09-01"/>
    <s v="2018-09-30"/>
    <n v="20"/>
    <n v="50"/>
  </r>
  <r>
    <x v="24"/>
    <x v="6"/>
    <n v="23"/>
    <s v="2018-10-01"/>
    <s v="2018-10-31"/>
    <n v="23"/>
    <n v="100"/>
  </r>
  <r>
    <x v="24"/>
    <x v="7"/>
    <n v="22"/>
    <s v="2018-11-01"/>
    <s v="2018-11-30"/>
    <n v="22"/>
    <n v="100"/>
  </r>
  <r>
    <x v="24"/>
    <x v="8"/>
    <n v="21"/>
    <s v="2018-12-01"/>
    <s v="2018-12-31"/>
    <n v="21"/>
    <n v="100"/>
  </r>
  <r>
    <x v="24"/>
    <x v="9"/>
    <n v="23"/>
    <s v="2019-01-01"/>
    <s v="2019-01-31"/>
    <n v="23"/>
    <n v="100"/>
  </r>
  <r>
    <x v="24"/>
    <x v="10"/>
    <n v="20"/>
    <s v="2019-02-01"/>
    <s v="2019-02-28"/>
    <n v="20"/>
    <n v="100"/>
  </r>
  <r>
    <x v="24"/>
    <x v="11"/>
    <n v="21"/>
    <s v="2019-03-01"/>
    <s v="2019-03-31"/>
    <n v="21"/>
    <n v="100"/>
  </r>
  <r>
    <x v="24"/>
    <x v="12"/>
    <n v="22"/>
    <s v="2019-04-01"/>
    <s v="2019-04-30"/>
    <n v="22"/>
    <n v="100"/>
  </r>
  <r>
    <x v="24"/>
    <x v="13"/>
    <n v="11"/>
    <s v="2019-05-01"/>
    <s v="2019-05-31"/>
    <n v="23"/>
    <n v="47.83"/>
  </r>
  <r>
    <x v="25"/>
    <x v="9"/>
    <n v="22"/>
    <s v="2019-01-01"/>
    <s v="2019-01-31"/>
    <n v="23"/>
    <n v="95.65"/>
  </r>
  <r>
    <x v="25"/>
    <x v="10"/>
    <n v="20"/>
    <s v="2019-02-01"/>
    <s v="2019-02-28"/>
    <n v="20"/>
    <n v="100"/>
  </r>
  <r>
    <x v="25"/>
    <x v="11"/>
    <n v="21"/>
    <s v="2019-03-01"/>
    <s v="2019-03-31"/>
    <n v="21"/>
    <n v="100"/>
  </r>
  <r>
    <x v="25"/>
    <x v="12"/>
    <n v="22"/>
    <s v="2019-04-01"/>
    <s v="2019-04-30"/>
    <n v="22"/>
    <n v="100"/>
  </r>
  <r>
    <x v="25"/>
    <x v="13"/>
    <n v="23"/>
    <s v="2019-05-01"/>
    <s v="2019-05-31"/>
    <n v="23"/>
    <n v="100"/>
  </r>
  <r>
    <x v="26"/>
    <x v="6"/>
    <n v="5"/>
    <s v="2018-10-01"/>
    <s v="2018-10-31"/>
    <n v="23"/>
    <n v="21.74"/>
  </r>
  <r>
    <x v="26"/>
    <x v="7"/>
    <n v="22"/>
    <s v="2018-11-01"/>
    <s v="2018-11-30"/>
    <n v="22"/>
    <n v="100"/>
  </r>
  <r>
    <x v="26"/>
    <x v="8"/>
    <n v="21"/>
    <s v="2018-12-01"/>
    <s v="2018-12-31"/>
    <n v="21"/>
    <n v="100"/>
  </r>
  <r>
    <x v="26"/>
    <x v="9"/>
    <n v="23"/>
    <s v="2019-01-01"/>
    <s v="2019-01-31"/>
    <n v="23"/>
    <n v="100"/>
  </r>
  <r>
    <x v="26"/>
    <x v="10"/>
    <n v="20"/>
    <s v="2019-02-01"/>
    <s v="2019-02-28"/>
    <n v="20"/>
    <n v="100"/>
  </r>
  <r>
    <x v="26"/>
    <x v="11"/>
    <n v="20"/>
    <s v="2019-03-01"/>
    <s v="2019-03-31"/>
    <n v="21"/>
    <n v="95.24"/>
  </r>
  <r>
    <x v="26"/>
    <x v="12"/>
    <n v="22"/>
    <s v="2019-04-01"/>
    <s v="2019-04-30"/>
    <n v="22"/>
    <n v="100"/>
  </r>
  <r>
    <x v="26"/>
    <x v="13"/>
    <n v="8"/>
    <s v="2019-05-01"/>
    <s v="2019-05-31"/>
    <n v="23"/>
    <n v="34.78"/>
  </r>
  <r>
    <x v="27"/>
    <x v="3"/>
    <n v="17"/>
    <s v="2018-07-01"/>
    <s v="2018-07-31"/>
    <n v="22"/>
    <n v="77.27"/>
  </r>
  <r>
    <x v="27"/>
    <x v="4"/>
    <n v="23"/>
    <s v="2018-08-01"/>
    <s v="2018-08-31"/>
    <n v="23"/>
    <n v="100"/>
  </r>
  <r>
    <x v="27"/>
    <x v="5"/>
    <n v="20"/>
    <s v="2018-09-01"/>
    <s v="2018-09-30"/>
    <n v="20"/>
    <n v="100"/>
  </r>
  <r>
    <x v="27"/>
    <x v="6"/>
    <n v="23"/>
    <s v="2018-10-01"/>
    <s v="2018-10-31"/>
    <n v="23"/>
    <n v="100"/>
  </r>
  <r>
    <x v="27"/>
    <x v="7"/>
    <n v="22"/>
    <s v="2018-11-01"/>
    <s v="2018-11-30"/>
    <n v="22"/>
    <n v="100"/>
  </r>
  <r>
    <x v="27"/>
    <x v="8"/>
    <n v="21"/>
    <s v="2018-12-01"/>
    <s v="2018-12-31"/>
    <n v="21"/>
    <n v="100"/>
  </r>
  <r>
    <x v="27"/>
    <x v="9"/>
    <n v="23"/>
    <s v="2019-01-01"/>
    <s v="2019-01-31"/>
    <n v="23"/>
    <n v="100"/>
  </r>
  <r>
    <x v="27"/>
    <x v="10"/>
    <n v="12"/>
    <s v="2019-02-01"/>
    <s v="2019-02-28"/>
    <n v="20"/>
    <n v="60"/>
  </r>
  <r>
    <x v="27"/>
    <x v="11"/>
    <n v="14"/>
    <s v="2019-03-01"/>
    <s v="2019-03-31"/>
    <n v="21"/>
    <n v="66.67"/>
  </r>
  <r>
    <x v="27"/>
    <x v="12"/>
    <n v="22"/>
    <s v="2019-04-01"/>
    <s v="2019-04-30"/>
    <n v="22"/>
    <n v="100"/>
  </r>
  <r>
    <x v="27"/>
    <x v="13"/>
    <n v="23"/>
    <s v="2019-05-01"/>
    <s v="2019-05-31"/>
    <n v="23"/>
    <n v="100"/>
  </r>
  <r>
    <x v="27"/>
    <x v="14"/>
    <n v="20"/>
    <s v="2019-06-01"/>
    <s v="2019-06-30"/>
    <n v="20"/>
    <n v="100"/>
  </r>
  <r>
    <x v="27"/>
    <x v="15"/>
    <n v="23"/>
    <s v="2019-07-01"/>
    <s v="2019-07-31"/>
    <n v="23"/>
    <n v="100"/>
  </r>
  <r>
    <x v="27"/>
    <x v="16"/>
    <n v="22"/>
    <s v="2019-08-01"/>
    <s v="2019-08-31"/>
    <n v="22"/>
    <n v="100"/>
  </r>
  <r>
    <x v="27"/>
    <x v="17"/>
    <n v="21"/>
    <s v="2019-09-01"/>
    <s v="2019-09-30"/>
    <n v="21"/>
    <n v="100"/>
  </r>
  <r>
    <x v="27"/>
    <x v="18"/>
    <n v="23"/>
    <s v="2019-10-01"/>
    <s v="2019-10-31"/>
    <n v="23"/>
    <n v="100"/>
  </r>
  <r>
    <x v="27"/>
    <x v="19"/>
    <n v="21"/>
    <s v="2019-11-01"/>
    <s v="2019-11-30"/>
    <n v="21"/>
    <n v="100"/>
  </r>
  <r>
    <x v="27"/>
    <x v="20"/>
    <n v="22"/>
    <s v="2019-12-01"/>
    <s v="2019-12-31"/>
    <n v="22"/>
    <n v="100"/>
  </r>
  <r>
    <x v="27"/>
    <x v="21"/>
    <n v="8"/>
    <s v="2020-01-01"/>
    <s v="2020-01-31"/>
    <n v="23"/>
    <n v="34.78"/>
  </r>
  <r>
    <x v="28"/>
    <x v="2"/>
    <n v="14"/>
    <s v="2018-06-01"/>
    <s v="2018-06-30"/>
    <n v="21"/>
    <n v="66.67"/>
  </r>
  <r>
    <x v="28"/>
    <x v="3"/>
    <n v="22"/>
    <s v="2018-07-01"/>
    <s v="2018-07-31"/>
    <n v="22"/>
    <n v="100"/>
  </r>
  <r>
    <x v="28"/>
    <x v="4"/>
    <n v="23"/>
    <s v="2018-08-01"/>
    <s v="2018-08-31"/>
    <n v="23"/>
    <n v="100"/>
  </r>
  <r>
    <x v="28"/>
    <x v="5"/>
    <n v="20"/>
    <s v="2018-09-01"/>
    <s v="2018-09-30"/>
    <n v="20"/>
    <n v="100"/>
  </r>
  <r>
    <x v="28"/>
    <x v="6"/>
    <n v="23"/>
    <s v="2018-10-01"/>
    <s v="2018-10-31"/>
    <n v="23"/>
    <n v="100"/>
  </r>
  <r>
    <x v="28"/>
    <x v="7"/>
    <n v="22"/>
    <s v="2018-11-01"/>
    <s v="2018-11-30"/>
    <n v="22"/>
    <n v="100"/>
  </r>
  <r>
    <x v="28"/>
    <x v="8"/>
    <n v="21"/>
    <s v="2018-12-01"/>
    <s v="2018-12-31"/>
    <n v="21"/>
    <n v="100"/>
  </r>
  <r>
    <x v="28"/>
    <x v="9"/>
    <n v="22"/>
    <s v="2019-01-01"/>
    <s v="2019-01-31"/>
    <n v="23"/>
    <n v="95.65"/>
  </r>
  <r>
    <x v="28"/>
    <x v="10"/>
    <n v="9"/>
    <s v="2019-02-01"/>
    <s v="2019-02-28"/>
    <n v="20"/>
    <n v="45"/>
  </r>
  <r>
    <x v="28"/>
    <x v="11"/>
    <n v="21"/>
    <s v="2019-03-01"/>
    <s v="2019-03-31"/>
    <n v="21"/>
    <n v="100"/>
  </r>
  <r>
    <x v="28"/>
    <x v="12"/>
    <n v="22"/>
    <s v="2019-04-01"/>
    <s v="2019-04-30"/>
    <n v="22"/>
    <n v="100"/>
  </r>
  <r>
    <x v="28"/>
    <x v="13"/>
    <n v="23"/>
    <s v="2019-05-01"/>
    <s v="2019-05-31"/>
    <n v="23"/>
    <n v="100"/>
  </r>
  <r>
    <x v="29"/>
    <x v="7"/>
    <n v="17"/>
    <s v="2018-11-01"/>
    <s v="2018-11-30"/>
    <n v="22"/>
    <n v="77.27"/>
  </r>
  <r>
    <x v="29"/>
    <x v="8"/>
    <n v="21"/>
    <s v="2018-12-01"/>
    <s v="2018-12-31"/>
    <n v="21"/>
    <n v="100"/>
  </r>
  <r>
    <x v="29"/>
    <x v="9"/>
    <n v="23"/>
    <s v="2019-01-01"/>
    <s v="2019-01-31"/>
    <n v="23"/>
    <n v="100"/>
  </r>
  <r>
    <x v="29"/>
    <x v="10"/>
    <n v="20"/>
    <s v="2019-02-01"/>
    <s v="2019-02-28"/>
    <n v="20"/>
    <n v="100"/>
  </r>
  <r>
    <x v="29"/>
    <x v="11"/>
    <n v="21"/>
    <s v="2019-03-01"/>
    <s v="2019-03-31"/>
    <n v="21"/>
    <n v="100"/>
  </r>
  <r>
    <x v="29"/>
    <x v="12"/>
    <n v="22"/>
    <s v="2019-04-01"/>
    <s v="2019-04-30"/>
    <n v="22"/>
    <n v="100"/>
  </r>
  <r>
    <x v="29"/>
    <x v="13"/>
    <n v="23"/>
    <s v="2019-05-01"/>
    <s v="2019-05-31"/>
    <n v="23"/>
    <n v="100"/>
  </r>
  <r>
    <x v="29"/>
    <x v="14"/>
    <n v="20"/>
    <s v="2019-06-01"/>
    <s v="2019-06-30"/>
    <n v="20"/>
    <n v="100"/>
  </r>
  <r>
    <x v="30"/>
    <x v="0"/>
    <n v="16"/>
    <s v="2018-04-01"/>
    <s v="2018-04-30"/>
    <n v="21"/>
    <n v="76.19"/>
  </r>
  <r>
    <x v="30"/>
    <x v="1"/>
    <n v="23"/>
    <s v="2018-05-01"/>
    <s v="2018-05-31"/>
    <n v="23"/>
    <n v="100"/>
  </r>
  <r>
    <x v="30"/>
    <x v="2"/>
    <n v="21"/>
    <s v="2018-06-01"/>
    <s v="2018-06-30"/>
    <n v="21"/>
    <n v="100"/>
  </r>
  <r>
    <x v="30"/>
    <x v="3"/>
    <n v="22"/>
    <s v="2018-07-01"/>
    <s v="2018-07-31"/>
    <n v="22"/>
    <n v="100"/>
  </r>
  <r>
    <x v="30"/>
    <x v="4"/>
    <n v="23"/>
    <s v="2018-08-01"/>
    <s v="2018-08-31"/>
    <n v="23"/>
    <n v="100"/>
  </r>
  <r>
    <x v="30"/>
    <x v="5"/>
    <n v="20"/>
    <s v="2018-09-01"/>
    <s v="2018-09-30"/>
    <n v="20"/>
    <n v="100"/>
  </r>
  <r>
    <x v="30"/>
    <x v="6"/>
    <n v="23"/>
    <s v="2018-10-01"/>
    <s v="2018-10-31"/>
    <n v="23"/>
    <n v="100"/>
  </r>
  <r>
    <x v="30"/>
    <x v="7"/>
    <n v="22"/>
    <s v="2018-11-01"/>
    <s v="2018-11-30"/>
    <n v="22"/>
    <n v="100"/>
  </r>
  <r>
    <x v="30"/>
    <x v="8"/>
    <n v="21"/>
    <s v="2018-12-01"/>
    <s v="2018-12-31"/>
    <n v="21"/>
    <n v="100"/>
  </r>
  <r>
    <x v="30"/>
    <x v="9"/>
    <n v="23"/>
    <s v="2019-01-01"/>
    <s v="2019-01-31"/>
    <n v="23"/>
    <n v="100"/>
  </r>
  <r>
    <x v="30"/>
    <x v="10"/>
    <n v="16"/>
    <s v="2019-02-01"/>
    <s v="2019-02-28"/>
    <n v="20"/>
    <n v="80"/>
  </r>
  <r>
    <x v="31"/>
    <x v="5"/>
    <n v="17"/>
    <s v="2018-09-01"/>
    <s v="2018-09-30"/>
    <n v="20"/>
    <n v="85"/>
  </r>
  <r>
    <x v="31"/>
    <x v="6"/>
    <n v="23"/>
    <s v="2018-10-01"/>
    <s v="2018-10-31"/>
    <n v="23"/>
    <n v="100"/>
  </r>
  <r>
    <x v="31"/>
    <x v="7"/>
    <n v="22"/>
    <s v="2018-11-01"/>
    <s v="2018-11-30"/>
    <n v="22"/>
    <n v="100"/>
  </r>
  <r>
    <x v="31"/>
    <x v="8"/>
    <n v="21"/>
    <s v="2018-12-01"/>
    <s v="2018-12-31"/>
    <n v="21"/>
    <n v="100"/>
  </r>
  <r>
    <x v="31"/>
    <x v="9"/>
    <n v="23"/>
    <s v="2019-01-01"/>
    <s v="2019-01-31"/>
    <n v="23"/>
    <n v="100"/>
  </r>
  <r>
    <x v="31"/>
    <x v="10"/>
    <n v="20"/>
    <s v="2019-02-01"/>
    <s v="2019-02-28"/>
    <n v="20"/>
    <n v="100"/>
  </r>
  <r>
    <x v="31"/>
    <x v="11"/>
    <n v="21"/>
    <s v="2019-03-01"/>
    <s v="2019-03-31"/>
    <n v="21"/>
    <n v="100"/>
  </r>
  <r>
    <x v="31"/>
    <x v="12"/>
    <n v="22"/>
    <s v="2019-04-01"/>
    <s v="2019-04-30"/>
    <n v="22"/>
    <n v="100"/>
  </r>
  <r>
    <x v="31"/>
    <x v="13"/>
    <n v="23"/>
    <s v="2019-05-01"/>
    <s v="2019-05-31"/>
    <n v="23"/>
    <n v="100"/>
  </r>
  <r>
    <x v="31"/>
    <x v="14"/>
    <n v="20"/>
    <s v="2019-06-01"/>
    <s v="2019-06-30"/>
    <n v="20"/>
    <n v="100"/>
  </r>
  <r>
    <x v="32"/>
    <x v="1"/>
    <n v="4"/>
    <s v="2018-05-01"/>
    <s v="2018-05-31"/>
    <n v="23"/>
    <n v="17.39"/>
  </r>
  <r>
    <x v="32"/>
    <x v="2"/>
    <n v="21"/>
    <s v="2018-06-01"/>
    <s v="2018-06-30"/>
    <n v="21"/>
    <n v="100"/>
  </r>
  <r>
    <x v="32"/>
    <x v="3"/>
    <n v="22"/>
    <s v="2018-07-01"/>
    <s v="2018-07-31"/>
    <n v="22"/>
    <n v="100"/>
  </r>
  <r>
    <x v="32"/>
    <x v="4"/>
    <n v="23"/>
    <s v="2018-08-01"/>
    <s v="2018-08-31"/>
    <n v="23"/>
    <n v="100"/>
  </r>
  <r>
    <x v="32"/>
    <x v="5"/>
    <n v="20"/>
    <s v="2018-09-01"/>
    <s v="2018-09-30"/>
    <n v="20"/>
    <n v="100"/>
  </r>
  <r>
    <x v="32"/>
    <x v="6"/>
    <n v="23"/>
    <s v="2018-10-01"/>
    <s v="2018-10-31"/>
    <n v="23"/>
    <n v="100"/>
  </r>
  <r>
    <x v="32"/>
    <x v="7"/>
    <n v="22"/>
    <s v="2018-11-01"/>
    <s v="2018-11-30"/>
    <n v="22"/>
    <n v="100"/>
  </r>
  <r>
    <x v="32"/>
    <x v="8"/>
    <n v="21"/>
    <s v="2018-12-01"/>
    <s v="2018-12-31"/>
    <n v="21"/>
    <n v="100"/>
  </r>
  <r>
    <x v="32"/>
    <x v="9"/>
    <n v="11"/>
    <s v="2019-01-01"/>
    <s v="2019-01-31"/>
    <n v="23"/>
    <n v="47.83"/>
  </r>
  <r>
    <x v="32"/>
    <x v="10"/>
    <n v="9"/>
    <s v="2019-02-01"/>
    <s v="2019-02-28"/>
    <n v="20"/>
    <n v="45"/>
  </r>
  <r>
    <x v="32"/>
    <x v="11"/>
    <n v="21"/>
    <s v="2019-03-01"/>
    <s v="2019-03-31"/>
    <n v="21"/>
    <n v="100"/>
  </r>
  <r>
    <x v="32"/>
    <x v="12"/>
    <n v="22"/>
    <s v="2019-04-01"/>
    <s v="2019-04-30"/>
    <n v="22"/>
    <n v="100"/>
  </r>
  <r>
    <x v="32"/>
    <x v="13"/>
    <n v="23"/>
    <s v="2019-05-01"/>
    <s v="2019-05-31"/>
    <n v="23"/>
    <n v="100"/>
  </r>
  <r>
    <x v="32"/>
    <x v="14"/>
    <n v="20"/>
    <s v="2019-06-01"/>
    <s v="2019-06-30"/>
    <n v="20"/>
    <n v="100"/>
  </r>
  <r>
    <x v="32"/>
    <x v="15"/>
    <n v="23"/>
    <s v="2019-07-01"/>
    <s v="2019-07-31"/>
    <n v="23"/>
    <n v="100"/>
  </r>
  <r>
    <x v="32"/>
    <x v="16"/>
    <n v="22"/>
    <s v="2019-08-01"/>
    <s v="2019-08-31"/>
    <n v="22"/>
    <n v="100"/>
  </r>
  <r>
    <x v="32"/>
    <x v="17"/>
    <n v="20"/>
    <s v="2019-09-01"/>
    <s v="2019-09-30"/>
    <n v="21"/>
    <n v="95.24"/>
  </r>
  <r>
    <x v="33"/>
    <x v="5"/>
    <n v="2"/>
    <s v="2018-09-01"/>
    <s v="2018-09-30"/>
    <n v="20"/>
    <n v="10"/>
  </r>
  <r>
    <x v="33"/>
    <x v="6"/>
    <n v="23"/>
    <s v="2018-10-01"/>
    <s v="2018-10-31"/>
    <n v="23"/>
    <n v="100"/>
  </r>
  <r>
    <x v="33"/>
    <x v="7"/>
    <n v="22"/>
    <s v="2018-11-01"/>
    <s v="2018-11-30"/>
    <n v="22"/>
    <n v="100"/>
  </r>
  <r>
    <x v="33"/>
    <x v="8"/>
    <n v="21"/>
    <s v="2018-12-01"/>
    <s v="2018-12-31"/>
    <n v="21"/>
    <n v="100"/>
  </r>
  <r>
    <x v="33"/>
    <x v="9"/>
    <n v="23"/>
    <s v="2019-01-01"/>
    <s v="2019-01-31"/>
    <n v="23"/>
    <n v="100"/>
  </r>
  <r>
    <x v="33"/>
    <x v="10"/>
    <n v="20"/>
    <s v="2019-02-01"/>
    <s v="2019-02-28"/>
    <n v="20"/>
    <n v="100"/>
  </r>
  <r>
    <x v="33"/>
    <x v="11"/>
    <n v="21"/>
    <s v="2019-03-01"/>
    <s v="2019-03-31"/>
    <n v="21"/>
    <n v="100"/>
  </r>
  <r>
    <x v="33"/>
    <x v="12"/>
    <n v="22"/>
    <s v="2019-04-01"/>
    <s v="2019-04-30"/>
    <n v="22"/>
    <n v="100"/>
  </r>
  <r>
    <x v="33"/>
    <x v="13"/>
    <n v="23"/>
    <s v="2019-05-01"/>
    <s v="2019-05-31"/>
    <n v="23"/>
    <n v="100"/>
  </r>
  <r>
    <x v="33"/>
    <x v="14"/>
    <n v="20"/>
    <s v="2019-06-01"/>
    <s v="2019-06-30"/>
    <n v="20"/>
    <n v="100"/>
  </r>
  <r>
    <x v="34"/>
    <x v="2"/>
    <n v="20"/>
    <s v="2018-06-01"/>
    <s v="2018-06-30"/>
    <n v="21"/>
    <n v="95.24"/>
  </r>
  <r>
    <x v="34"/>
    <x v="3"/>
    <n v="22"/>
    <s v="2018-07-01"/>
    <s v="2018-07-31"/>
    <n v="22"/>
    <n v="100"/>
  </r>
  <r>
    <x v="34"/>
    <x v="4"/>
    <n v="23"/>
    <s v="2018-08-01"/>
    <s v="2018-08-31"/>
    <n v="23"/>
    <n v="100"/>
  </r>
  <r>
    <x v="34"/>
    <x v="5"/>
    <n v="20"/>
    <s v="2018-09-01"/>
    <s v="2018-09-30"/>
    <n v="20"/>
    <n v="100"/>
  </r>
  <r>
    <x v="34"/>
    <x v="6"/>
    <n v="23"/>
    <s v="2018-10-01"/>
    <s v="2018-10-31"/>
    <n v="23"/>
    <n v="100"/>
  </r>
  <r>
    <x v="34"/>
    <x v="7"/>
    <n v="22"/>
    <s v="2018-11-01"/>
    <s v="2018-11-30"/>
    <n v="22"/>
    <n v="100"/>
  </r>
  <r>
    <x v="34"/>
    <x v="8"/>
    <n v="21"/>
    <s v="2018-12-01"/>
    <s v="2018-12-31"/>
    <n v="21"/>
    <n v="100"/>
  </r>
  <r>
    <x v="34"/>
    <x v="9"/>
    <n v="23"/>
    <s v="2019-01-01"/>
    <s v="2019-01-31"/>
    <n v="23"/>
    <n v="100"/>
  </r>
  <r>
    <x v="34"/>
    <x v="10"/>
    <n v="20"/>
    <s v="2019-02-01"/>
    <s v="2019-02-28"/>
    <n v="20"/>
    <n v="100"/>
  </r>
  <r>
    <x v="34"/>
    <x v="11"/>
    <n v="21"/>
    <s v="2019-03-01"/>
    <s v="2019-03-31"/>
    <n v="21"/>
    <n v="100"/>
  </r>
  <r>
    <x v="34"/>
    <x v="12"/>
    <n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64" applyNumberFormats="0" applyBorderFormats="0" applyFontFormats="0" applyPatternFormats="0" applyAlignmentFormats="0" applyWidthHeightFormats="1" dataCaption="값" updatedVersion="3" minRefreshableVersion="3" showCalcMbrs="0" useAutoFormatting="1" itemPrintTitles="1" createdVersion="3" indent="0" outline="1" outlineData="1" multipleFieldFilters="0" chartFormat="1">
  <location ref="K3:L30" firstHeaderRow="1" firstDataRow="1" firstDataCol="1" rowPageCount="1" colPageCount="1"/>
  <pivotFields count="7">
    <pivotField axis="axisPage" showAll="0">
      <items count="36">
        <item x="0"/>
        <item x="14"/>
        <item x="11"/>
        <item x="12"/>
        <item x="10"/>
        <item x="13"/>
        <item x="15"/>
        <item x="16"/>
        <item x="9"/>
        <item x="1"/>
        <item x="2"/>
        <item x="8"/>
        <item x="31"/>
        <item x="30"/>
        <item x="33"/>
        <item x="34"/>
        <item x="5"/>
        <item x="6"/>
        <item x="7"/>
        <item x="28"/>
        <item x="27"/>
        <item x="23"/>
        <item x="25"/>
        <item x="26"/>
        <item x="24"/>
        <item x="29"/>
        <item x="32"/>
        <item x="4"/>
        <item x="3"/>
        <item x="18"/>
        <item x="17"/>
        <item x="19"/>
        <item x="22"/>
        <item x="20"/>
        <item x="21"/>
        <item t="default"/>
      </items>
    </pivotField>
    <pivotField axis="axisRow" showAll="0">
      <items count="27">
        <item x="23"/>
        <item x="24"/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pageFields count="1">
    <pageField fld="0" hier="-1"/>
  </pageFields>
  <dataFields count="1">
    <dataField name="평균 : 해당월" fld="6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91"/>
  <sheetViews>
    <sheetView workbookViewId="0">
      <selection activeCell="E27" sqref="E27"/>
    </sheetView>
  </sheetViews>
  <sheetFormatPr defaultRowHeight="16.5"/>
  <cols>
    <col min="1" max="1" width="11.125" bestFit="1" customWidth="1"/>
    <col min="2" max="2" width="13.75" bestFit="1" customWidth="1"/>
  </cols>
  <sheetData>
    <row r="1" spans="1:2">
      <c r="A1" s="5" t="s">
        <v>64</v>
      </c>
      <c r="B1" s="6" t="s">
        <v>65</v>
      </c>
    </row>
    <row r="2" spans="1:2">
      <c r="A2" s="5" t="s">
        <v>66</v>
      </c>
      <c r="B2" s="7" t="s">
        <v>67</v>
      </c>
    </row>
    <row r="3" spans="1:2">
      <c r="A3" s="5" t="s">
        <v>68</v>
      </c>
      <c r="B3" s="7" t="s">
        <v>69</v>
      </c>
    </row>
    <row r="4" spans="1:2">
      <c r="A4" s="5" t="s">
        <v>70</v>
      </c>
      <c r="B4" s="7" t="s">
        <v>71</v>
      </c>
    </row>
    <row r="5" spans="1:2">
      <c r="A5" s="5" t="s">
        <v>72</v>
      </c>
      <c r="B5" s="7" t="s">
        <v>69</v>
      </c>
    </row>
    <row r="6" spans="1:2">
      <c r="A6" s="5" t="s">
        <v>73</v>
      </c>
      <c r="B6" s="7" t="s">
        <v>74</v>
      </c>
    </row>
    <row r="7" spans="1:2">
      <c r="A7" s="5" t="s">
        <v>75</v>
      </c>
      <c r="B7" s="7" t="s">
        <v>76</v>
      </c>
    </row>
    <row r="8" spans="1:2">
      <c r="A8" s="5" t="s">
        <v>77</v>
      </c>
      <c r="B8" s="7" t="s">
        <v>78</v>
      </c>
    </row>
    <row r="9" spans="1:2">
      <c r="A9" s="5" t="s">
        <v>79</v>
      </c>
      <c r="B9" s="7" t="s">
        <v>80</v>
      </c>
    </row>
    <row r="10" spans="1:2">
      <c r="A10" s="5" t="s">
        <v>81</v>
      </c>
      <c r="B10" s="7" t="s">
        <v>82</v>
      </c>
    </row>
    <row r="11" spans="1:2">
      <c r="A11" s="5" t="s">
        <v>83</v>
      </c>
      <c r="B11" s="7" t="s">
        <v>84</v>
      </c>
    </row>
    <row r="12" spans="1:2">
      <c r="A12" s="5" t="s">
        <v>85</v>
      </c>
      <c r="B12" s="7" t="s">
        <v>86</v>
      </c>
    </row>
    <row r="13" spans="1:2">
      <c r="A13" s="5" t="s">
        <v>87</v>
      </c>
      <c r="B13" s="7" t="s">
        <v>84</v>
      </c>
    </row>
    <row r="14" spans="1:2">
      <c r="A14" s="5" t="s">
        <v>88</v>
      </c>
      <c r="B14" s="7" t="s">
        <v>89</v>
      </c>
    </row>
    <row r="15" spans="1:2">
      <c r="A15" s="5" t="s">
        <v>90</v>
      </c>
      <c r="B15" s="7" t="s">
        <v>91</v>
      </c>
    </row>
    <row r="16" spans="1:2">
      <c r="A16" s="5" t="s">
        <v>92</v>
      </c>
      <c r="B16" s="7" t="s">
        <v>93</v>
      </c>
    </row>
    <row r="17" spans="1:2">
      <c r="A17" s="5" t="s">
        <v>51</v>
      </c>
      <c r="B17" s="7" t="s">
        <v>67</v>
      </c>
    </row>
    <row r="18" spans="1:2">
      <c r="A18" s="5" t="s">
        <v>52</v>
      </c>
      <c r="B18" s="7" t="s">
        <v>69</v>
      </c>
    </row>
    <row r="19" spans="1:2">
      <c r="A19" s="5" t="s">
        <v>53</v>
      </c>
      <c r="B19" s="7" t="s">
        <v>71</v>
      </c>
    </row>
    <row r="20" spans="1:2">
      <c r="A20" s="5" t="s">
        <v>54</v>
      </c>
      <c r="B20" s="7" t="s">
        <v>69</v>
      </c>
    </row>
    <row r="21" spans="1:2">
      <c r="A21" s="5" t="s">
        <v>55</v>
      </c>
      <c r="B21" s="7" t="s">
        <v>74</v>
      </c>
    </row>
    <row r="22" spans="1:2">
      <c r="A22" s="5" t="s">
        <v>94</v>
      </c>
      <c r="B22" s="7" t="s">
        <v>76</v>
      </c>
    </row>
    <row r="23" spans="1:2">
      <c r="A23" s="5" t="s">
        <v>95</v>
      </c>
      <c r="B23" s="7" t="s">
        <v>78</v>
      </c>
    </row>
    <row r="24" spans="1:2">
      <c r="A24" s="5" t="s">
        <v>50</v>
      </c>
      <c r="B24" s="7" t="s">
        <v>80</v>
      </c>
    </row>
    <row r="25" spans="1:2">
      <c r="A25" s="5" t="s">
        <v>56</v>
      </c>
      <c r="B25" s="7" t="s">
        <v>82</v>
      </c>
    </row>
    <row r="26" spans="1:2">
      <c r="A26" s="5" t="s">
        <v>57</v>
      </c>
      <c r="B26" s="7" t="s">
        <v>84</v>
      </c>
    </row>
    <row r="27" spans="1:2">
      <c r="A27" s="5" t="s">
        <v>58</v>
      </c>
      <c r="B27" s="7" t="s">
        <v>86</v>
      </c>
    </row>
    <row r="28" spans="1:2">
      <c r="A28" s="5" t="s">
        <v>96</v>
      </c>
      <c r="B28" s="7" t="s">
        <v>84</v>
      </c>
    </row>
    <row r="29" spans="1:2">
      <c r="A29" s="5" t="s">
        <v>59</v>
      </c>
      <c r="B29" s="7" t="s">
        <v>89</v>
      </c>
    </row>
    <row r="30" spans="1:2">
      <c r="A30" s="5" t="s">
        <v>60</v>
      </c>
      <c r="B30" s="7" t="s">
        <v>91</v>
      </c>
    </row>
    <row r="31" spans="1:2">
      <c r="A31" s="5" t="s">
        <v>61</v>
      </c>
      <c r="B31" s="7" t="s">
        <v>93</v>
      </c>
    </row>
    <row r="32" spans="1:2">
      <c r="A32" s="5" t="s">
        <v>62</v>
      </c>
      <c r="B32" s="7" t="s">
        <v>67</v>
      </c>
    </row>
    <row r="33" spans="1:2">
      <c r="A33" s="5" t="s">
        <v>63</v>
      </c>
      <c r="B33" s="7" t="s">
        <v>69</v>
      </c>
    </row>
    <row r="34" spans="1:2">
      <c r="A34" s="5" t="s">
        <v>97</v>
      </c>
      <c r="B34" s="7" t="s">
        <v>71</v>
      </c>
    </row>
    <row r="35" spans="1:2">
      <c r="A35" s="5" t="s">
        <v>98</v>
      </c>
      <c r="B35" s="7" t="s">
        <v>69</v>
      </c>
    </row>
    <row r="36" spans="1:2">
      <c r="A36" s="5" t="s">
        <v>99</v>
      </c>
      <c r="B36" s="7" t="s">
        <v>74</v>
      </c>
    </row>
    <row r="37" spans="1:2">
      <c r="A37" s="5" t="s">
        <v>100</v>
      </c>
      <c r="B37" s="7" t="s">
        <v>78</v>
      </c>
    </row>
    <row r="38" spans="1:2">
      <c r="A38" s="8" t="s">
        <v>101</v>
      </c>
      <c r="B38" s="9" t="s">
        <v>76</v>
      </c>
    </row>
    <row r="39" spans="1:2">
      <c r="A39" s="8" t="s">
        <v>102</v>
      </c>
      <c r="B39" s="9" t="s">
        <v>80</v>
      </c>
    </row>
    <row r="40" spans="1:2">
      <c r="A40" s="8" t="s">
        <v>103</v>
      </c>
      <c r="B40" s="9" t="s">
        <v>82</v>
      </c>
    </row>
    <row r="41" spans="1:2">
      <c r="A41" s="8" t="s">
        <v>104</v>
      </c>
      <c r="B41" s="9" t="s">
        <v>84</v>
      </c>
    </row>
    <row r="42" spans="1:2">
      <c r="A42" s="8" t="s">
        <v>105</v>
      </c>
      <c r="B42" s="9" t="s">
        <v>86</v>
      </c>
    </row>
    <row r="43" spans="1:2">
      <c r="A43" s="8" t="s">
        <v>106</v>
      </c>
      <c r="B43" s="9" t="s">
        <v>84</v>
      </c>
    </row>
    <row r="44" spans="1:2">
      <c r="A44" s="8" t="s">
        <v>107</v>
      </c>
      <c r="B44" s="9" t="s">
        <v>89</v>
      </c>
    </row>
    <row r="45" spans="1:2">
      <c r="A45" s="8" t="s">
        <v>108</v>
      </c>
      <c r="B45" s="9" t="s">
        <v>91</v>
      </c>
    </row>
    <row r="46" spans="1:2">
      <c r="A46" s="8" t="s">
        <v>109</v>
      </c>
      <c r="B46" s="9" t="s">
        <v>93</v>
      </c>
    </row>
    <row r="47" spans="1:2">
      <c r="A47" s="8" t="s">
        <v>110</v>
      </c>
      <c r="B47" s="9" t="s">
        <v>67</v>
      </c>
    </row>
    <row r="48" spans="1:2">
      <c r="A48" s="8" t="s">
        <v>111</v>
      </c>
      <c r="B48" s="9" t="s">
        <v>69</v>
      </c>
    </row>
    <row r="49" spans="1:2">
      <c r="A49" s="8" t="s">
        <v>112</v>
      </c>
      <c r="B49" s="9" t="s">
        <v>71</v>
      </c>
    </row>
    <row r="50" spans="1:2">
      <c r="A50" s="8" t="s">
        <v>113</v>
      </c>
      <c r="B50" s="9" t="s">
        <v>69</v>
      </c>
    </row>
    <row r="51" spans="1:2">
      <c r="A51" s="8" t="s">
        <v>114</v>
      </c>
      <c r="B51" s="9" t="s">
        <v>74</v>
      </c>
    </row>
    <row r="52" spans="1:2">
      <c r="A52" s="8" t="s">
        <v>115</v>
      </c>
      <c r="B52" s="9" t="s">
        <v>76</v>
      </c>
    </row>
    <row r="53" spans="1:2">
      <c r="A53" s="8" t="s">
        <v>116</v>
      </c>
      <c r="B53" s="9" t="s">
        <v>78</v>
      </c>
    </row>
    <row r="54" spans="1:2">
      <c r="A54" s="8" t="s">
        <v>117</v>
      </c>
      <c r="B54" s="9" t="s">
        <v>80</v>
      </c>
    </row>
    <row r="55" spans="1:2">
      <c r="A55" s="8" t="s">
        <v>118</v>
      </c>
      <c r="B55" s="9" t="s">
        <v>82</v>
      </c>
    </row>
    <row r="56" spans="1:2">
      <c r="A56" s="8" t="s">
        <v>119</v>
      </c>
      <c r="B56" s="9" t="s">
        <v>84</v>
      </c>
    </row>
    <row r="57" spans="1:2">
      <c r="A57" s="8" t="s">
        <v>120</v>
      </c>
      <c r="B57" s="9" t="s">
        <v>86</v>
      </c>
    </row>
    <row r="58" spans="1:2">
      <c r="A58" s="8" t="s">
        <v>121</v>
      </c>
      <c r="B58" s="9" t="s">
        <v>84</v>
      </c>
    </row>
    <row r="59" spans="1:2">
      <c r="A59" s="8" t="s">
        <v>122</v>
      </c>
      <c r="B59" s="9" t="s">
        <v>89</v>
      </c>
    </row>
    <row r="60" spans="1:2">
      <c r="A60" s="8" t="s">
        <v>123</v>
      </c>
      <c r="B60" s="9" t="s">
        <v>91</v>
      </c>
    </row>
    <row r="61" spans="1:2">
      <c r="A61" s="8" t="s">
        <v>124</v>
      </c>
      <c r="B61" s="9" t="s">
        <v>93</v>
      </c>
    </row>
    <row r="62" spans="1:2">
      <c r="A62" s="8" t="s">
        <v>125</v>
      </c>
      <c r="B62" s="9" t="s">
        <v>67</v>
      </c>
    </row>
    <row r="63" spans="1:2">
      <c r="A63" s="8" t="s">
        <v>126</v>
      </c>
      <c r="B63" s="9" t="s">
        <v>69</v>
      </c>
    </row>
    <row r="64" spans="1:2">
      <c r="A64" s="8" t="s">
        <v>127</v>
      </c>
      <c r="B64" s="9" t="s">
        <v>71</v>
      </c>
    </row>
    <row r="65" spans="1:2">
      <c r="A65" s="8" t="s">
        <v>128</v>
      </c>
      <c r="B65" s="9" t="s">
        <v>69</v>
      </c>
    </row>
    <row r="66" spans="1:2">
      <c r="A66" s="8" t="s">
        <v>129</v>
      </c>
      <c r="B66" s="9" t="s">
        <v>74</v>
      </c>
    </row>
    <row r="67" spans="1:2">
      <c r="A67" s="8" t="s">
        <v>130</v>
      </c>
      <c r="B67" s="9" t="s">
        <v>76</v>
      </c>
    </row>
    <row r="68" spans="1:2">
      <c r="A68" s="8" t="s">
        <v>131</v>
      </c>
      <c r="B68" s="9" t="s">
        <v>78</v>
      </c>
    </row>
    <row r="69" spans="1:2">
      <c r="A69" s="8" t="s">
        <v>132</v>
      </c>
      <c r="B69" s="9" t="s">
        <v>80</v>
      </c>
    </row>
    <row r="70" spans="1:2">
      <c r="A70" s="8" t="s">
        <v>133</v>
      </c>
      <c r="B70" s="9" t="s">
        <v>82</v>
      </c>
    </row>
    <row r="71" spans="1:2">
      <c r="A71" s="8" t="s">
        <v>134</v>
      </c>
      <c r="B71" s="9" t="s">
        <v>84</v>
      </c>
    </row>
    <row r="72" spans="1:2">
      <c r="A72" s="8" t="s">
        <v>135</v>
      </c>
      <c r="B72" s="9" t="s">
        <v>86</v>
      </c>
    </row>
    <row r="73" spans="1:2">
      <c r="A73" s="8" t="s">
        <v>136</v>
      </c>
      <c r="B73" s="9" t="s">
        <v>84</v>
      </c>
    </row>
    <row r="74" spans="1:2">
      <c r="A74" s="8" t="s">
        <v>137</v>
      </c>
      <c r="B74" s="9" t="s">
        <v>89</v>
      </c>
    </row>
    <row r="75" spans="1:2">
      <c r="A75" s="8" t="s">
        <v>138</v>
      </c>
      <c r="B75" s="9" t="s">
        <v>91</v>
      </c>
    </row>
    <row r="76" spans="1:2">
      <c r="A76" s="8" t="s">
        <v>139</v>
      </c>
      <c r="B76" s="9" t="s">
        <v>93</v>
      </c>
    </row>
    <row r="77" spans="1:2">
      <c r="A77" s="8" t="s">
        <v>140</v>
      </c>
      <c r="B77" s="9" t="s">
        <v>67</v>
      </c>
    </row>
    <row r="78" spans="1:2">
      <c r="A78" s="8" t="s">
        <v>141</v>
      </c>
      <c r="B78" s="9" t="s">
        <v>69</v>
      </c>
    </row>
    <row r="79" spans="1:2">
      <c r="A79" s="8" t="s">
        <v>142</v>
      </c>
      <c r="B79" s="9" t="s">
        <v>71</v>
      </c>
    </row>
    <row r="80" spans="1:2">
      <c r="A80" s="8" t="s">
        <v>143</v>
      </c>
      <c r="B80" s="9" t="s">
        <v>69</v>
      </c>
    </row>
    <row r="81" spans="1:2">
      <c r="A81" s="8" t="s">
        <v>144</v>
      </c>
      <c r="B81" s="9" t="s">
        <v>74</v>
      </c>
    </row>
    <row r="82" spans="1:2">
      <c r="A82" s="8" t="s">
        <v>145</v>
      </c>
      <c r="B82" s="9" t="s">
        <v>76</v>
      </c>
    </row>
    <row r="83" spans="1:2">
      <c r="A83" s="8" t="s">
        <v>146</v>
      </c>
      <c r="B83" s="9" t="s">
        <v>78</v>
      </c>
    </row>
    <row r="84" spans="1:2">
      <c r="A84" s="8" t="s">
        <v>147</v>
      </c>
      <c r="B84" s="9" t="s">
        <v>80</v>
      </c>
    </row>
    <row r="85" spans="1:2">
      <c r="A85" s="8" t="s">
        <v>148</v>
      </c>
      <c r="B85" s="9" t="s">
        <v>82</v>
      </c>
    </row>
    <row r="86" spans="1:2">
      <c r="A86" s="8" t="s">
        <v>149</v>
      </c>
      <c r="B86" s="9" t="s">
        <v>84</v>
      </c>
    </row>
    <row r="87" spans="1:2">
      <c r="A87" s="8" t="s">
        <v>150</v>
      </c>
      <c r="B87" s="9" t="s">
        <v>86</v>
      </c>
    </row>
    <row r="88" spans="1:2">
      <c r="A88" s="8" t="s">
        <v>151</v>
      </c>
      <c r="B88" s="9" t="s">
        <v>84</v>
      </c>
    </row>
    <row r="89" spans="1:2">
      <c r="A89" s="8" t="s">
        <v>152</v>
      </c>
      <c r="B89" s="9" t="s">
        <v>89</v>
      </c>
    </row>
    <row r="90" spans="1:2">
      <c r="A90" s="8" t="s">
        <v>153</v>
      </c>
      <c r="B90" s="9" t="s">
        <v>91</v>
      </c>
    </row>
    <row r="91" spans="1:2">
      <c r="A91" s="8" t="s">
        <v>154</v>
      </c>
      <c r="B91" s="9" t="s">
        <v>93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57"/>
  <sheetViews>
    <sheetView tabSelected="1" workbookViewId="0">
      <selection activeCell="I11" sqref="I11"/>
    </sheetView>
  </sheetViews>
  <sheetFormatPr defaultRowHeight="15.75"/>
  <cols>
    <col min="1" max="1" width="5.875" style="18" customWidth="1"/>
    <col min="2" max="2" width="29.875" style="26" customWidth="1"/>
    <col min="3" max="3" width="1.25" style="18" customWidth="1"/>
    <col min="4" max="4" width="58.125" style="18" customWidth="1"/>
    <col min="5" max="5" width="21.125" style="18" customWidth="1"/>
    <col min="6" max="14" width="9" style="18"/>
    <col min="15" max="15" width="0" style="18" hidden="1" customWidth="1"/>
    <col min="16" max="19" width="9" style="18"/>
    <col min="20" max="20" width="0" style="18" hidden="1" customWidth="1"/>
    <col min="21" max="16384" width="9" style="18"/>
  </cols>
  <sheetData>
    <row r="1" spans="1:6" ht="20.25" customHeight="1">
      <c r="A1" s="87" t="s">
        <v>237</v>
      </c>
      <c r="B1" s="87"/>
      <c r="C1" s="87"/>
      <c r="D1" s="87"/>
      <c r="E1" s="54" t="s">
        <v>238</v>
      </c>
    </row>
    <row r="2" spans="1:6" s="19" customFormat="1" ht="33.75" customHeight="1">
      <c r="A2" s="87"/>
      <c r="B2" s="87"/>
      <c r="C2" s="87"/>
      <c r="D2" s="87"/>
      <c r="E2" s="48"/>
    </row>
    <row r="4" spans="1:6" ht="17.25" customHeight="1">
      <c r="B4" s="88" t="s">
        <v>473</v>
      </c>
      <c r="C4" s="88"/>
      <c r="D4" s="88"/>
      <c r="E4" s="88"/>
    </row>
    <row r="5" spans="1:6" ht="31.5" customHeight="1">
      <c r="B5" s="88"/>
      <c r="C5" s="88"/>
      <c r="D5" s="88"/>
      <c r="E5" s="88"/>
    </row>
    <row r="6" spans="1:6" s="19" customFormat="1" ht="12.75">
      <c r="B6" s="20"/>
    </row>
    <row r="7" spans="1:6" s="19" customFormat="1" ht="18.75">
      <c r="B7" s="21" t="s">
        <v>176</v>
      </c>
      <c r="D7" s="22"/>
    </row>
    <row r="8" spans="1:6" s="19" customFormat="1" ht="7.5" customHeight="1">
      <c r="B8" s="20"/>
      <c r="D8" s="34"/>
      <c r="E8" s="34"/>
    </row>
    <row r="9" spans="1:6" s="19" customFormat="1" ht="61.5" customHeight="1">
      <c r="A9" s="23"/>
      <c r="B9" s="55" t="s">
        <v>481</v>
      </c>
      <c r="C9" s="32"/>
      <c r="D9" s="114" t="s">
        <v>493</v>
      </c>
      <c r="E9" s="114"/>
      <c r="F9" s="33"/>
    </row>
    <row r="10" spans="1:6" s="19" customFormat="1" ht="34.5" customHeight="1">
      <c r="A10" s="23"/>
      <c r="B10" s="57" t="s">
        <v>482</v>
      </c>
      <c r="C10" s="32"/>
      <c r="D10" s="114" t="s">
        <v>178</v>
      </c>
      <c r="E10" s="114"/>
      <c r="F10" s="33"/>
    </row>
    <row r="11" spans="1:6" s="19" customFormat="1" ht="39" customHeight="1">
      <c r="A11" s="23"/>
      <c r="B11" s="56" t="s">
        <v>483</v>
      </c>
      <c r="C11" s="32"/>
      <c r="D11" s="114" t="s">
        <v>474</v>
      </c>
      <c r="E11" s="114"/>
      <c r="F11" s="33"/>
    </row>
    <row r="12" spans="1:6" s="19" customFormat="1" ht="34.5" customHeight="1">
      <c r="A12" s="23"/>
      <c r="B12" s="115" t="s">
        <v>478</v>
      </c>
      <c r="C12" s="32"/>
      <c r="D12" s="114" t="s">
        <v>475</v>
      </c>
      <c r="E12" s="114" t="s">
        <v>208</v>
      </c>
      <c r="F12" s="33"/>
    </row>
    <row r="13" spans="1:6" s="19" customFormat="1" ht="34.5" customHeight="1">
      <c r="A13" s="23"/>
      <c r="B13" s="116" t="s">
        <v>479</v>
      </c>
      <c r="C13" s="32"/>
      <c r="D13" s="114" t="s">
        <v>476</v>
      </c>
      <c r="E13" s="114" t="s">
        <v>209</v>
      </c>
      <c r="F13" s="33"/>
    </row>
    <row r="14" spans="1:6" s="19" customFormat="1" ht="34.5" customHeight="1">
      <c r="A14" s="23"/>
      <c r="B14" s="117" t="s">
        <v>480</v>
      </c>
      <c r="C14" s="32"/>
      <c r="D14" s="114" t="s">
        <v>477</v>
      </c>
      <c r="E14" s="114" t="s">
        <v>207</v>
      </c>
      <c r="F14" s="33"/>
    </row>
    <row r="15" spans="1:6">
      <c r="A15" s="24"/>
      <c r="B15" s="58"/>
      <c r="C15" s="24"/>
      <c r="D15" s="35"/>
      <c r="E15" s="35"/>
    </row>
    <row r="16" spans="1:6">
      <c r="A16" s="24"/>
      <c r="B16" s="58"/>
      <c r="C16" s="24"/>
      <c r="D16" s="35"/>
      <c r="E16" s="35"/>
    </row>
    <row r="17" spans="1:5" s="19" customFormat="1" ht="18.75">
      <c r="B17" s="118" t="s">
        <v>488</v>
      </c>
      <c r="D17" s="22"/>
    </row>
    <row r="18" spans="1:5">
      <c r="A18" s="24"/>
      <c r="B18" s="58"/>
      <c r="C18" s="24"/>
      <c r="D18" s="35"/>
      <c r="E18" s="35"/>
    </row>
    <row r="19" spans="1:5">
      <c r="A19" s="24"/>
      <c r="B19" s="58"/>
      <c r="C19" s="24"/>
      <c r="D19" s="35"/>
      <c r="E19" s="35"/>
    </row>
    <row r="20" spans="1:5">
      <c r="A20" s="24"/>
      <c r="B20" s="58"/>
      <c r="C20" s="24"/>
      <c r="D20" s="35"/>
      <c r="E20" s="35"/>
    </row>
    <row r="21" spans="1:5">
      <c r="A21" s="24"/>
      <c r="B21" s="58"/>
      <c r="C21" s="24"/>
      <c r="D21" s="35"/>
      <c r="E21" s="35"/>
    </row>
    <row r="22" spans="1:5">
      <c r="A22" s="24"/>
      <c r="B22" s="58"/>
      <c r="C22" s="24"/>
      <c r="D22" s="35"/>
      <c r="E22" s="35"/>
    </row>
    <row r="23" spans="1:5">
      <c r="A23" s="24"/>
      <c r="B23" s="58"/>
      <c r="C23" s="24"/>
      <c r="D23" s="35"/>
      <c r="E23" s="35"/>
    </row>
    <row r="24" spans="1:5">
      <c r="A24" s="24"/>
      <c r="B24" s="58"/>
      <c r="C24" s="24"/>
      <c r="D24" s="35"/>
      <c r="E24" s="35"/>
    </row>
    <row r="25" spans="1:5">
      <c r="A25" s="24"/>
      <c r="B25" s="58"/>
      <c r="C25" s="24"/>
      <c r="D25" s="35"/>
      <c r="E25" s="35"/>
    </row>
    <row r="26" spans="1:5">
      <c r="A26" s="24"/>
      <c r="B26" s="58"/>
      <c r="C26" s="24"/>
      <c r="D26" s="35"/>
      <c r="E26" s="35"/>
    </row>
    <row r="27" spans="1:5">
      <c r="A27" s="24"/>
      <c r="B27" s="58"/>
      <c r="C27" s="24"/>
      <c r="D27" s="35"/>
      <c r="E27" s="35"/>
    </row>
    <row r="28" spans="1:5">
      <c r="A28" s="24"/>
      <c r="B28" s="58"/>
      <c r="C28" s="24"/>
      <c r="D28" s="35"/>
      <c r="E28" s="35"/>
    </row>
    <row r="29" spans="1:5">
      <c r="A29" s="24"/>
      <c r="B29" s="58"/>
      <c r="C29" s="24"/>
      <c r="D29" s="35"/>
      <c r="E29" s="35"/>
    </row>
    <row r="30" spans="1:5">
      <c r="A30" s="24"/>
      <c r="B30" s="58"/>
      <c r="C30" s="24"/>
      <c r="D30" s="35"/>
      <c r="E30" s="35"/>
    </row>
    <row r="31" spans="1:5">
      <c r="A31" s="24"/>
      <c r="B31" s="58"/>
      <c r="C31" s="24"/>
      <c r="D31" s="35"/>
      <c r="E31" s="35"/>
    </row>
    <row r="32" spans="1:5">
      <c r="A32" s="24"/>
      <c r="B32" s="58"/>
      <c r="C32" s="24"/>
      <c r="D32" s="35"/>
      <c r="E32" s="35"/>
    </row>
    <row r="33" spans="1:5">
      <c r="A33" s="24"/>
      <c r="B33" s="58"/>
      <c r="C33" s="24"/>
      <c r="D33" s="35"/>
      <c r="E33" s="35"/>
    </row>
    <row r="34" spans="1:5">
      <c r="A34" s="24"/>
      <c r="B34" s="58"/>
      <c r="C34" s="24"/>
      <c r="D34" s="35"/>
      <c r="E34" s="35"/>
    </row>
    <row r="35" spans="1:5">
      <c r="A35" s="24"/>
      <c r="B35" s="58"/>
      <c r="C35" s="24"/>
      <c r="D35" s="35"/>
      <c r="E35" s="35"/>
    </row>
    <row r="36" spans="1:5">
      <c r="A36" s="24"/>
      <c r="B36" s="58"/>
      <c r="C36" s="24"/>
      <c r="D36" s="35"/>
      <c r="E36" s="35"/>
    </row>
    <row r="37" spans="1:5">
      <c r="A37" s="24"/>
      <c r="B37" s="58"/>
      <c r="C37" s="24"/>
      <c r="D37" s="35"/>
      <c r="E37" s="35"/>
    </row>
    <row r="38" spans="1:5">
      <c r="A38" s="24"/>
      <c r="B38" s="58"/>
      <c r="C38" s="24"/>
      <c r="D38" s="35"/>
      <c r="E38" s="35"/>
    </row>
    <row r="39" spans="1:5">
      <c r="A39" s="24"/>
      <c r="B39" s="58"/>
      <c r="C39" s="24"/>
      <c r="D39" s="35"/>
      <c r="E39" s="35"/>
    </row>
    <row r="40" spans="1:5">
      <c r="A40" s="24"/>
      <c r="B40" s="58"/>
      <c r="C40" s="24"/>
      <c r="D40" s="35"/>
      <c r="E40" s="35"/>
    </row>
    <row r="41" spans="1:5">
      <c r="A41" s="24"/>
      <c r="B41" s="58"/>
      <c r="C41" s="24"/>
      <c r="D41" s="35"/>
      <c r="E41" s="35"/>
    </row>
    <row r="42" spans="1:5">
      <c r="A42" s="24"/>
      <c r="B42" s="58"/>
      <c r="C42" s="24"/>
      <c r="D42" s="35"/>
      <c r="E42" s="35"/>
    </row>
    <row r="43" spans="1:5">
      <c r="A43" s="24"/>
      <c r="B43" s="58"/>
      <c r="C43" s="24"/>
      <c r="D43" s="35"/>
      <c r="E43" s="35"/>
    </row>
    <row r="44" spans="1:5">
      <c r="A44" s="24"/>
      <c r="B44" s="58"/>
      <c r="C44" s="24"/>
      <c r="D44" s="35"/>
      <c r="E44" s="35"/>
    </row>
    <row r="45" spans="1:5">
      <c r="A45" s="24"/>
      <c r="B45" s="58"/>
      <c r="C45" s="24"/>
      <c r="D45" s="35"/>
      <c r="E45" s="35"/>
    </row>
    <row r="46" spans="1:5">
      <c r="A46" s="24"/>
      <c r="B46" s="58"/>
      <c r="C46" s="24"/>
      <c r="D46" s="35"/>
      <c r="E46" s="35"/>
    </row>
    <row r="47" spans="1:5">
      <c r="A47" s="24"/>
      <c r="B47" s="58"/>
      <c r="C47" s="24"/>
      <c r="D47" s="35"/>
      <c r="E47" s="35"/>
    </row>
    <row r="48" spans="1:5">
      <c r="A48" s="24"/>
      <c r="B48" s="58"/>
      <c r="C48" s="24"/>
      <c r="D48" s="35"/>
      <c r="E48" s="35"/>
    </row>
    <row r="49" spans="1:5">
      <c r="A49" s="24"/>
      <c r="B49" s="58"/>
      <c r="C49" s="24"/>
      <c r="D49" s="35"/>
      <c r="E49" s="35"/>
    </row>
    <row r="50" spans="1:5" s="19" customFormat="1" ht="18.75">
      <c r="B50" s="21" t="s">
        <v>177</v>
      </c>
      <c r="D50" s="22"/>
    </row>
    <row r="51" spans="1:5" s="19" customFormat="1" ht="5.25" customHeight="1">
      <c r="B51" s="25"/>
      <c r="D51" s="22"/>
    </row>
    <row r="52" spans="1:5" s="19" customFormat="1" ht="16.5">
      <c r="B52" s="85" t="s">
        <v>486</v>
      </c>
      <c r="C52" s="86"/>
      <c r="D52" s="86"/>
      <c r="E52" s="86"/>
    </row>
    <row r="61" spans="1:5" ht="16.5">
      <c r="B61" s="85" t="s">
        <v>484</v>
      </c>
      <c r="C61" s="86"/>
      <c r="D61" s="86"/>
      <c r="E61" s="86"/>
    </row>
    <row r="66" spans="2:5" ht="16.5">
      <c r="B66" s="85" t="s">
        <v>485</v>
      </c>
      <c r="C66" s="86"/>
      <c r="D66" s="86"/>
      <c r="E66" s="86"/>
    </row>
    <row r="77" spans="2:5" ht="16.5">
      <c r="B77" s="85" t="s">
        <v>487</v>
      </c>
      <c r="C77" s="86"/>
      <c r="D77" s="86"/>
      <c r="E77" s="86"/>
    </row>
    <row r="82" spans="2:5" ht="16.5">
      <c r="B82" s="85" t="s">
        <v>489</v>
      </c>
      <c r="C82" s="86"/>
      <c r="D82" s="86"/>
      <c r="E82" s="86"/>
    </row>
    <row r="108" spans="2:5" ht="16.5">
      <c r="B108" s="85" t="s">
        <v>490</v>
      </c>
      <c r="C108" s="86"/>
      <c r="D108" s="86"/>
      <c r="E108" s="86"/>
    </row>
    <row r="132" spans="2:5" ht="16.5">
      <c r="B132" s="85" t="s">
        <v>491</v>
      </c>
      <c r="C132" s="86"/>
      <c r="D132" s="86"/>
      <c r="E132" s="86"/>
    </row>
    <row r="146" spans="2:5" ht="16.5">
      <c r="B146" s="85" t="s">
        <v>211</v>
      </c>
      <c r="C146" s="86"/>
      <c r="D146" s="86"/>
      <c r="E146" s="86"/>
    </row>
    <row r="147" spans="2:5" ht="16.5">
      <c r="B147" s="36"/>
      <c r="C147" s="37"/>
      <c r="D147" s="26"/>
    </row>
    <row r="148" spans="2:5" ht="16.5">
      <c r="B148" s="36"/>
      <c r="C148" s="37"/>
      <c r="D148" s="26"/>
    </row>
    <row r="149" spans="2:5" ht="16.5">
      <c r="B149" s="36"/>
      <c r="C149" s="37"/>
      <c r="D149" s="26"/>
    </row>
    <row r="150" spans="2:5" ht="16.5">
      <c r="B150" s="36"/>
      <c r="C150" s="37"/>
      <c r="D150" s="26"/>
    </row>
    <row r="151" spans="2:5" ht="16.5">
      <c r="B151" s="36"/>
      <c r="C151" s="37"/>
      <c r="D151" s="26"/>
    </row>
    <row r="152" spans="2:5" ht="16.5">
      <c r="B152" s="36"/>
      <c r="C152" s="37"/>
      <c r="D152" s="26"/>
    </row>
    <row r="153" spans="2:5" ht="16.5">
      <c r="B153" s="36"/>
      <c r="C153" s="37"/>
      <c r="D153" s="26"/>
    </row>
    <row r="154" spans="2:5" ht="16.5">
      <c r="B154" s="36"/>
      <c r="C154" s="37"/>
      <c r="D154" s="26"/>
    </row>
    <row r="155" spans="2:5" ht="16.5">
      <c r="B155" s="36"/>
      <c r="C155" s="37"/>
      <c r="D155" s="26"/>
    </row>
    <row r="156" spans="2:5" s="19" customFormat="1" ht="18.75" customHeight="1">
      <c r="B156" s="83" t="s">
        <v>492</v>
      </c>
      <c r="C156" s="84"/>
      <c r="D156" s="84"/>
      <c r="E156" s="84"/>
    </row>
    <row r="157" spans="2:5" s="19" customFormat="1" ht="59.25" customHeight="1">
      <c r="B157" s="82" t="s">
        <v>210</v>
      </c>
      <c r="C157" s="82"/>
      <c r="D157" s="82"/>
      <c r="E157" s="82"/>
    </row>
  </sheetData>
  <mergeCells count="18">
    <mergeCell ref="A1:D2"/>
    <mergeCell ref="B4:E5"/>
    <mergeCell ref="B52:E52"/>
    <mergeCell ref="B61:E61"/>
    <mergeCell ref="B77:E77"/>
    <mergeCell ref="D9:E9"/>
    <mergeCell ref="D11:E11"/>
    <mergeCell ref="D10:E10"/>
    <mergeCell ref="D12:E12"/>
    <mergeCell ref="D13:E13"/>
    <mergeCell ref="D14:E14"/>
    <mergeCell ref="B66:E66"/>
    <mergeCell ref="B157:E157"/>
    <mergeCell ref="B156:E156"/>
    <mergeCell ref="B82:E82"/>
    <mergeCell ref="B132:E132"/>
    <mergeCell ref="B146:E146"/>
    <mergeCell ref="B108:E108"/>
  </mergeCells>
  <phoneticPr fontId="1" type="noConversion"/>
  <hyperlinks>
    <hyperlink ref="B10" location="프로젝트입력!A1" display="프로젝트입력"/>
    <hyperlink ref="B12" location="프로젝트별현황!A1" display="프로젝트별현황"/>
    <hyperlink ref="B13" location="인력별현황!A1" display="프로젝트별현황"/>
    <hyperlink ref="B14" location="월별인력현황!A1" display="월별인력현황"/>
    <hyperlink ref="B9" location="실투입입력양식!A1" display="실투입입력양식"/>
    <hyperlink ref="B11" location="실투입취합!A1" display="실투입취합"/>
  </hyperlink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L51"/>
  <sheetViews>
    <sheetView zoomScaleNormal="100" workbookViewId="0">
      <selection activeCell="N31" sqref="N31"/>
    </sheetView>
  </sheetViews>
  <sheetFormatPr defaultRowHeight="13.5"/>
  <cols>
    <col min="1" max="1" width="49.875" style="13" customWidth="1"/>
    <col min="2" max="2" width="6" style="13" bestFit="1" customWidth="1"/>
    <col min="3" max="4" width="11.375" style="13" bestFit="1" customWidth="1"/>
    <col min="5" max="5" width="9.75" style="13" bestFit="1" customWidth="1"/>
    <col min="6" max="7" width="11.375" style="13" bestFit="1" customWidth="1"/>
    <col min="8" max="8" width="7.5" style="13" bestFit="1" customWidth="1"/>
    <col min="9" max="9" width="7.5" style="13" hidden="1" customWidth="1"/>
    <col min="10" max="10" width="9" style="13"/>
    <col min="11" max="11" width="9.75" style="13" bestFit="1" customWidth="1"/>
    <col min="12" max="16384" width="9" style="13"/>
  </cols>
  <sheetData>
    <row r="1" spans="1:12">
      <c r="A1" s="96" t="s">
        <v>155</v>
      </c>
      <c r="B1" s="96" t="s">
        <v>156</v>
      </c>
      <c r="C1" s="51" t="s">
        <v>239</v>
      </c>
      <c r="D1" s="51" t="s">
        <v>240</v>
      </c>
      <c r="E1" s="51" t="s">
        <v>236</v>
      </c>
      <c r="F1" s="49" t="s">
        <v>241</v>
      </c>
      <c r="G1" s="49" t="s">
        <v>242</v>
      </c>
      <c r="H1" s="98" t="s">
        <v>225</v>
      </c>
      <c r="I1" s="99" t="s">
        <v>254</v>
      </c>
      <c r="J1" s="94" t="s">
        <v>243</v>
      </c>
    </row>
    <row r="2" spans="1:12">
      <c r="A2" s="97"/>
      <c r="B2" s="97"/>
      <c r="C2" s="89" t="s">
        <v>164</v>
      </c>
      <c r="D2" s="90"/>
      <c r="E2" s="91"/>
      <c r="F2" s="92" t="s">
        <v>165</v>
      </c>
      <c r="G2" s="93"/>
      <c r="H2" s="95"/>
      <c r="I2" s="97"/>
      <c r="J2" s="95"/>
    </row>
    <row r="3" spans="1:12">
      <c r="A3" s="13" t="s">
        <v>48</v>
      </c>
      <c r="B3" s="13" t="s">
        <v>3</v>
      </c>
      <c r="C3" s="14">
        <v>43507</v>
      </c>
      <c r="D3" s="14">
        <v>43546</v>
      </c>
      <c r="E3" s="50">
        <v>0.6</v>
      </c>
      <c r="F3" s="14">
        <v>43507</v>
      </c>
      <c r="G3" s="14">
        <v>43546</v>
      </c>
      <c r="H3" s="13">
        <v>14.6</v>
      </c>
      <c r="I3" s="13">
        <v>650</v>
      </c>
      <c r="J3" s="53">
        <v>0.81</v>
      </c>
      <c r="K3" s="52"/>
    </row>
    <row r="4" spans="1:12">
      <c r="A4" s="13" t="s">
        <v>48</v>
      </c>
      <c r="B4" s="13" t="s">
        <v>2</v>
      </c>
      <c r="C4" s="14">
        <v>43472</v>
      </c>
      <c r="D4" s="14">
        <v>43539</v>
      </c>
      <c r="E4" s="50">
        <v>1</v>
      </c>
      <c r="F4" s="14">
        <v>43472</v>
      </c>
      <c r="G4" s="14">
        <v>43539</v>
      </c>
      <c r="H4" s="13">
        <v>50</v>
      </c>
      <c r="I4" s="13">
        <v>1340</v>
      </c>
      <c r="J4" s="53">
        <v>1</v>
      </c>
    </row>
    <row r="5" spans="1:12">
      <c r="A5" s="13" t="s">
        <v>4</v>
      </c>
      <c r="B5" s="13" t="s">
        <v>5</v>
      </c>
      <c r="C5" s="14">
        <v>43191</v>
      </c>
      <c r="D5" s="14">
        <v>43434</v>
      </c>
      <c r="E5" s="50">
        <v>1</v>
      </c>
      <c r="F5" s="14">
        <v>43228</v>
      </c>
      <c r="G5" s="14">
        <v>43518</v>
      </c>
      <c r="H5" s="13">
        <v>209</v>
      </c>
      <c r="I5" s="13">
        <v>4833</v>
      </c>
      <c r="J5" s="53">
        <v>1.19</v>
      </c>
    </row>
    <row r="6" spans="1:12">
      <c r="A6" s="13" t="s">
        <v>6</v>
      </c>
      <c r="B6" s="13" t="s">
        <v>7</v>
      </c>
      <c r="C6" s="14">
        <v>43535</v>
      </c>
      <c r="D6" s="14">
        <v>43871</v>
      </c>
      <c r="E6" s="50">
        <v>1</v>
      </c>
      <c r="F6" s="14">
        <v>43536</v>
      </c>
      <c r="G6" s="14">
        <v>43871</v>
      </c>
      <c r="H6" s="13">
        <v>240</v>
      </c>
      <c r="I6" s="13">
        <v>8933</v>
      </c>
      <c r="J6" s="53">
        <v>1</v>
      </c>
    </row>
    <row r="7" spans="1:12">
      <c r="A7" s="13" t="s">
        <v>6</v>
      </c>
      <c r="B7" s="13" t="s">
        <v>5</v>
      </c>
      <c r="C7" s="14">
        <v>43549</v>
      </c>
      <c r="D7" s="14">
        <v>43809</v>
      </c>
      <c r="E7" s="50">
        <v>1</v>
      </c>
      <c r="F7" s="14">
        <v>43536</v>
      </c>
      <c r="G7" s="14">
        <v>43809</v>
      </c>
      <c r="H7" s="13">
        <v>196</v>
      </c>
      <c r="I7" s="13">
        <v>4550</v>
      </c>
      <c r="J7" s="53">
        <v>1.05</v>
      </c>
    </row>
    <row r="8" spans="1:12">
      <c r="A8" s="13" t="s">
        <v>6</v>
      </c>
      <c r="B8" s="13" t="s">
        <v>8</v>
      </c>
      <c r="C8" s="14">
        <v>43549</v>
      </c>
      <c r="D8" s="14">
        <v>43871</v>
      </c>
      <c r="E8" s="50">
        <v>1</v>
      </c>
      <c r="F8" s="14">
        <v>43556</v>
      </c>
      <c r="G8" s="14">
        <v>43871</v>
      </c>
      <c r="H8" s="13">
        <v>226</v>
      </c>
      <c r="I8" s="13">
        <v>7350</v>
      </c>
      <c r="J8" s="53">
        <v>0.98</v>
      </c>
    </row>
    <row r="9" spans="1:12">
      <c r="A9" s="13" t="s">
        <v>6</v>
      </c>
      <c r="B9" s="13" t="s">
        <v>9</v>
      </c>
      <c r="C9" s="14">
        <v>43535</v>
      </c>
      <c r="D9" s="14">
        <v>43840</v>
      </c>
      <c r="E9" s="50">
        <v>1</v>
      </c>
      <c r="F9" s="14">
        <v>43536</v>
      </c>
      <c r="G9" s="14">
        <v>43840</v>
      </c>
      <c r="H9" s="13">
        <v>219</v>
      </c>
      <c r="I9" s="13">
        <v>7093</v>
      </c>
      <c r="J9" s="53">
        <v>1</v>
      </c>
    </row>
    <row r="10" spans="1:12">
      <c r="A10" s="13" t="s">
        <v>6</v>
      </c>
      <c r="B10" s="13" t="s">
        <v>10</v>
      </c>
      <c r="C10" s="14">
        <v>43535</v>
      </c>
      <c r="D10" s="14">
        <v>43595</v>
      </c>
      <c r="E10" s="50">
        <v>1</v>
      </c>
      <c r="F10" s="14">
        <v>43536</v>
      </c>
      <c r="G10" s="14">
        <v>43595</v>
      </c>
      <c r="H10" s="13">
        <v>44</v>
      </c>
      <c r="I10" s="13">
        <v>0</v>
      </c>
      <c r="J10" s="53">
        <v>0.98</v>
      </c>
    </row>
    <row r="11" spans="1:12">
      <c r="A11" s="13" t="s">
        <v>6</v>
      </c>
      <c r="B11" s="13" t="s">
        <v>11</v>
      </c>
      <c r="C11" s="14">
        <v>43535</v>
      </c>
      <c r="D11" s="14">
        <v>43779</v>
      </c>
      <c r="E11" s="50">
        <v>1</v>
      </c>
      <c r="F11" s="14">
        <v>43542</v>
      </c>
      <c r="G11" s="14">
        <v>43777</v>
      </c>
      <c r="H11" s="13">
        <v>170</v>
      </c>
      <c r="I11" s="13">
        <v>3133</v>
      </c>
      <c r="J11" s="53">
        <v>0.97</v>
      </c>
      <c r="L11" s="13" t="s">
        <v>223</v>
      </c>
    </row>
    <row r="12" spans="1:12">
      <c r="A12" s="13" t="s">
        <v>12</v>
      </c>
      <c r="B12" s="13" t="s">
        <v>13</v>
      </c>
      <c r="C12" s="14">
        <v>43199</v>
      </c>
      <c r="D12" s="14">
        <v>43473</v>
      </c>
      <c r="E12" s="50">
        <v>1</v>
      </c>
      <c r="F12" s="14">
        <v>43199</v>
      </c>
      <c r="G12" s="14">
        <v>43518</v>
      </c>
      <c r="H12" s="13">
        <v>230</v>
      </c>
      <c r="I12" s="13">
        <v>7443</v>
      </c>
      <c r="J12" s="53">
        <v>1.17</v>
      </c>
      <c r="L12" s="13" t="s">
        <v>224</v>
      </c>
    </row>
    <row r="13" spans="1:12">
      <c r="A13" s="13" t="s">
        <v>12</v>
      </c>
      <c r="B13" s="13" t="s">
        <v>14</v>
      </c>
      <c r="C13" s="14">
        <v>43229</v>
      </c>
      <c r="D13" s="14">
        <v>43442</v>
      </c>
      <c r="E13" s="50">
        <v>1</v>
      </c>
      <c r="F13" s="14">
        <v>43248</v>
      </c>
      <c r="G13" s="14">
        <v>43480</v>
      </c>
      <c r="H13" s="13">
        <v>167</v>
      </c>
      <c r="I13" s="13">
        <v>3867</v>
      </c>
      <c r="J13" s="53">
        <v>1.0900000000000001</v>
      </c>
      <c r="L13" s="13" t="s">
        <v>212</v>
      </c>
    </row>
    <row r="14" spans="1:12">
      <c r="A14" s="13" t="s">
        <v>15</v>
      </c>
      <c r="B14" s="13" t="s">
        <v>16</v>
      </c>
      <c r="C14" s="14">
        <v>43472</v>
      </c>
      <c r="D14" s="14">
        <v>43714</v>
      </c>
      <c r="E14" s="50">
        <v>1</v>
      </c>
      <c r="F14" s="14">
        <v>43472</v>
      </c>
      <c r="G14" s="14">
        <v>43735</v>
      </c>
      <c r="H14" s="13">
        <v>190</v>
      </c>
      <c r="I14" s="13">
        <v>5260</v>
      </c>
      <c r="J14" s="53">
        <v>1.0900000000000001</v>
      </c>
    </row>
    <row r="15" spans="1:12">
      <c r="A15" s="13" t="s">
        <v>15</v>
      </c>
      <c r="B15" s="13" t="s">
        <v>10</v>
      </c>
      <c r="C15" s="14">
        <v>43472</v>
      </c>
      <c r="D15" s="14">
        <v>43532</v>
      </c>
      <c r="E15" s="50">
        <v>1</v>
      </c>
      <c r="F15" s="14">
        <v>43472</v>
      </c>
      <c r="G15" s="14">
        <v>43532</v>
      </c>
      <c r="H15" s="13">
        <v>45</v>
      </c>
      <c r="I15" s="13">
        <v>1800</v>
      </c>
      <c r="J15" s="53">
        <v>1</v>
      </c>
    </row>
    <row r="16" spans="1:12">
      <c r="A16" s="13" t="s">
        <v>15</v>
      </c>
      <c r="B16" s="13" t="s">
        <v>14</v>
      </c>
      <c r="C16" s="14">
        <v>43514</v>
      </c>
      <c r="D16" s="14">
        <v>43665</v>
      </c>
      <c r="E16" s="50">
        <v>1</v>
      </c>
      <c r="F16" s="14">
        <v>43514</v>
      </c>
      <c r="G16" s="14">
        <v>43735</v>
      </c>
      <c r="H16" s="13">
        <v>160</v>
      </c>
      <c r="I16" s="13">
        <v>3683</v>
      </c>
      <c r="J16" s="53">
        <v>1.45</v>
      </c>
    </row>
    <row r="17" spans="1:12">
      <c r="A17" s="13" t="s">
        <v>15</v>
      </c>
      <c r="B17" s="13" t="s">
        <v>17</v>
      </c>
      <c r="C17" s="14">
        <v>43472</v>
      </c>
      <c r="D17" s="14">
        <v>43622</v>
      </c>
      <c r="E17" s="50">
        <v>1</v>
      </c>
      <c r="F17" s="14">
        <v>43472</v>
      </c>
      <c r="G17" s="14">
        <v>43616</v>
      </c>
      <c r="H17" s="13">
        <v>105</v>
      </c>
      <c r="I17" s="13">
        <v>2400</v>
      </c>
      <c r="J17" s="53">
        <v>0.96</v>
      </c>
    </row>
    <row r="18" spans="1:12">
      <c r="A18" s="13" t="s">
        <v>1</v>
      </c>
      <c r="B18" s="13" t="s">
        <v>18</v>
      </c>
      <c r="C18" s="14">
        <v>43435</v>
      </c>
      <c r="D18" s="14">
        <v>43585</v>
      </c>
      <c r="E18" s="50">
        <v>1</v>
      </c>
      <c r="F18" s="14">
        <v>43440</v>
      </c>
      <c r="G18" s="14">
        <v>43595</v>
      </c>
      <c r="H18" s="13">
        <v>112</v>
      </c>
      <c r="I18" s="13">
        <v>3100</v>
      </c>
      <c r="J18" s="53">
        <v>1.05</v>
      </c>
    </row>
    <row r="19" spans="1:12">
      <c r="A19" s="13" t="s">
        <v>1</v>
      </c>
      <c r="B19" s="13" t="s">
        <v>19</v>
      </c>
      <c r="C19" s="14">
        <v>43409</v>
      </c>
      <c r="D19" s="14">
        <v>43585</v>
      </c>
      <c r="E19" s="50">
        <v>1</v>
      </c>
      <c r="F19" s="14">
        <v>43409</v>
      </c>
      <c r="G19" s="14">
        <v>43588</v>
      </c>
      <c r="H19" s="13">
        <v>130</v>
      </c>
      <c r="I19" s="13">
        <v>2387</v>
      </c>
      <c r="J19" s="53">
        <v>1.02</v>
      </c>
    </row>
    <row r="20" spans="1:12">
      <c r="A20" s="13" t="s">
        <v>1</v>
      </c>
      <c r="B20" s="13" t="s">
        <v>20</v>
      </c>
      <c r="C20" s="14">
        <v>43427</v>
      </c>
      <c r="D20" s="14">
        <v>43585</v>
      </c>
      <c r="E20" s="50">
        <v>1</v>
      </c>
      <c r="F20" s="14">
        <v>43427</v>
      </c>
      <c r="G20" s="14">
        <v>43595</v>
      </c>
      <c r="H20" s="13">
        <v>121</v>
      </c>
      <c r="I20" s="13">
        <v>4480</v>
      </c>
      <c r="J20" s="53">
        <v>1.07</v>
      </c>
      <c r="L20" s="13" t="s">
        <v>235</v>
      </c>
    </row>
    <row r="21" spans="1:12">
      <c r="A21" s="13" t="s">
        <v>1</v>
      </c>
      <c r="B21" s="13" t="s">
        <v>21</v>
      </c>
      <c r="C21" s="14"/>
      <c r="D21" s="14"/>
      <c r="E21" s="50"/>
      <c r="F21" s="14">
        <v>43467</v>
      </c>
      <c r="G21" s="14">
        <v>43616</v>
      </c>
      <c r="H21" s="13">
        <v>108</v>
      </c>
      <c r="I21" s="13">
        <v>1987</v>
      </c>
      <c r="J21" s="53"/>
    </row>
    <row r="22" spans="1:12">
      <c r="A22" s="13" t="s">
        <v>1</v>
      </c>
      <c r="B22" s="13" t="s">
        <v>22</v>
      </c>
      <c r="C22" s="14">
        <v>43409</v>
      </c>
      <c r="D22" s="14">
        <v>43585</v>
      </c>
      <c r="E22" s="50">
        <v>1</v>
      </c>
      <c r="F22" s="14">
        <v>43409</v>
      </c>
      <c r="G22" s="14">
        <v>43616</v>
      </c>
      <c r="H22" s="13">
        <v>150</v>
      </c>
      <c r="I22" s="13">
        <v>4830</v>
      </c>
      <c r="J22" s="53">
        <v>1.18</v>
      </c>
    </row>
    <row r="23" spans="1:12">
      <c r="A23" s="13" t="s">
        <v>1</v>
      </c>
      <c r="B23" s="13" t="s">
        <v>23</v>
      </c>
      <c r="C23" s="14">
        <v>43102</v>
      </c>
      <c r="D23" s="14">
        <v>43585</v>
      </c>
      <c r="E23" s="50">
        <v>1</v>
      </c>
      <c r="F23" s="14">
        <v>43102</v>
      </c>
      <c r="G23" s="14">
        <v>43585</v>
      </c>
      <c r="H23" s="13">
        <v>346</v>
      </c>
      <c r="I23" s="13">
        <v>6440</v>
      </c>
      <c r="J23" s="53">
        <v>1</v>
      </c>
    </row>
    <row r="24" spans="1:12">
      <c r="A24" s="13" t="s">
        <v>24</v>
      </c>
      <c r="B24" s="13" t="s">
        <v>3</v>
      </c>
      <c r="C24" s="14">
        <v>43220</v>
      </c>
      <c r="D24" s="14">
        <v>43480</v>
      </c>
      <c r="E24" s="50">
        <v>1</v>
      </c>
      <c r="F24" s="14">
        <v>43220</v>
      </c>
      <c r="G24" s="14">
        <v>43497</v>
      </c>
      <c r="H24" s="13">
        <v>200</v>
      </c>
      <c r="I24" s="13">
        <v>4617</v>
      </c>
      <c r="J24" s="53">
        <v>1.07</v>
      </c>
    </row>
    <row r="25" spans="1:12">
      <c r="A25" s="13" t="s">
        <v>24</v>
      </c>
      <c r="B25" s="13" t="s">
        <v>7</v>
      </c>
      <c r="C25" s="14">
        <v>43220</v>
      </c>
      <c r="D25" s="14">
        <v>43480</v>
      </c>
      <c r="E25" s="50">
        <v>1</v>
      </c>
      <c r="F25" s="14">
        <v>43220</v>
      </c>
      <c r="G25" s="14">
        <v>43509</v>
      </c>
      <c r="H25" s="13">
        <v>208</v>
      </c>
      <c r="I25" s="13">
        <v>7707</v>
      </c>
      <c r="J25" s="53">
        <v>1.1100000000000001</v>
      </c>
    </row>
    <row r="26" spans="1:12">
      <c r="A26" s="13" t="s">
        <v>24</v>
      </c>
      <c r="B26" s="13" t="s">
        <v>9</v>
      </c>
      <c r="C26" s="14">
        <v>43312</v>
      </c>
      <c r="D26" s="14">
        <v>43480</v>
      </c>
      <c r="E26" s="50">
        <v>1</v>
      </c>
      <c r="F26" s="14">
        <v>43290</v>
      </c>
      <c r="G26" s="14">
        <v>43514</v>
      </c>
      <c r="H26" s="13">
        <v>161</v>
      </c>
      <c r="I26" s="13">
        <v>5227</v>
      </c>
      <c r="J26" s="53">
        <v>1.33</v>
      </c>
    </row>
    <row r="27" spans="1:12">
      <c r="A27" s="13" t="s">
        <v>24</v>
      </c>
      <c r="B27" s="13" t="s">
        <v>11</v>
      </c>
      <c r="C27" s="14">
        <v>43346</v>
      </c>
      <c r="D27" s="14">
        <v>43434</v>
      </c>
      <c r="E27" s="50">
        <v>1</v>
      </c>
      <c r="F27" s="14">
        <v>43348</v>
      </c>
      <c r="G27" s="14">
        <v>43511</v>
      </c>
      <c r="H27" s="13">
        <v>118</v>
      </c>
      <c r="I27" s="13">
        <v>2173</v>
      </c>
      <c r="J27" s="53">
        <v>1.82</v>
      </c>
    </row>
    <row r="28" spans="1:12">
      <c r="A28" s="13" t="s">
        <v>25</v>
      </c>
      <c r="B28" s="13" t="s">
        <v>26</v>
      </c>
      <c r="C28" s="14">
        <v>43263</v>
      </c>
      <c r="D28" s="14">
        <v>43492</v>
      </c>
      <c r="E28" s="50">
        <v>1</v>
      </c>
      <c r="F28" s="14">
        <v>43263</v>
      </c>
      <c r="G28" s="14">
        <v>43495</v>
      </c>
      <c r="H28" s="13">
        <v>167</v>
      </c>
      <c r="I28" s="13">
        <v>3867</v>
      </c>
      <c r="J28" s="53">
        <v>1.02</v>
      </c>
    </row>
    <row r="29" spans="1:12">
      <c r="A29" s="13" t="s">
        <v>27</v>
      </c>
      <c r="B29" s="13" t="s">
        <v>18</v>
      </c>
      <c r="C29" s="14">
        <v>43359</v>
      </c>
      <c r="D29" s="14">
        <v>43539</v>
      </c>
      <c r="E29" s="50">
        <v>1</v>
      </c>
      <c r="F29" s="14">
        <v>43346</v>
      </c>
      <c r="G29" s="14">
        <v>43553</v>
      </c>
      <c r="H29" s="13">
        <v>150</v>
      </c>
      <c r="I29" s="13">
        <v>4140</v>
      </c>
      <c r="J29" s="53">
        <v>1.1499999999999999</v>
      </c>
    </row>
    <row r="30" spans="1:12">
      <c r="A30" s="13" t="s">
        <v>27</v>
      </c>
      <c r="B30" s="13" t="s">
        <v>28</v>
      </c>
      <c r="C30" s="14">
        <v>43328</v>
      </c>
      <c r="D30" s="14">
        <v>43511</v>
      </c>
      <c r="E30" s="50">
        <v>1</v>
      </c>
      <c r="F30" s="14">
        <v>43346</v>
      </c>
      <c r="G30" s="14">
        <v>43644</v>
      </c>
      <c r="H30" s="13">
        <v>215</v>
      </c>
      <c r="I30" s="13">
        <v>3973</v>
      </c>
      <c r="J30" s="53">
        <v>1.63</v>
      </c>
    </row>
    <row r="31" spans="1:12">
      <c r="A31" s="13" t="s">
        <v>27</v>
      </c>
      <c r="B31" s="13" t="s">
        <v>29</v>
      </c>
      <c r="C31" s="14">
        <v>43328</v>
      </c>
      <c r="D31" s="14">
        <v>43571</v>
      </c>
      <c r="E31" s="50">
        <v>1</v>
      </c>
      <c r="F31" s="14">
        <v>43328</v>
      </c>
      <c r="G31" s="14">
        <v>43644</v>
      </c>
      <c r="H31" s="13">
        <v>227</v>
      </c>
      <c r="I31" s="13">
        <v>6320</v>
      </c>
      <c r="J31" s="53">
        <v>1.3</v>
      </c>
    </row>
    <row r="32" spans="1:12">
      <c r="A32" s="13" t="s">
        <v>27</v>
      </c>
      <c r="B32" s="13" t="s">
        <v>30</v>
      </c>
      <c r="C32" s="14"/>
      <c r="D32" s="14"/>
      <c r="E32" s="50"/>
      <c r="F32" s="14">
        <v>43535</v>
      </c>
      <c r="G32" s="14">
        <v>43546</v>
      </c>
      <c r="H32" s="13">
        <v>10</v>
      </c>
      <c r="I32" s="13">
        <v>257</v>
      </c>
      <c r="J32" s="53"/>
    </row>
    <row r="33" spans="1:10">
      <c r="A33" s="13" t="s">
        <v>27</v>
      </c>
      <c r="B33" s="13" t="s">
        <v>31</v>
      </c>
      <c r="C33" s="14"/>
      <c r="D33" s="14"/>
      <c r="E33" s="50"/>
      <c r="F33" s="14">
        <v>43557</v>
      </c>
      <c r="G33" s="14">
        <v>43644</v>
      </c>
      <c r="H33" s="13">
        <v>64</v>
      </c>
      <c r="I33" s="13">
        <v>1160</v>
      </c>
      <c r="J33" s="53"/>
    </row>
    <row r="34" spans="1:10">
      <c r="A34" s="13" t="s">
        <v>27</v>
      </c>
      <c r="B34" s="13" t="s">
        <v>32</v>
      </c>
      <c r="C34" s="14">
        <v>43374</v>
      </c>
      <c r="D34" s="14">
        <v>43571</v>
      </c>
      <c r="E34" s="50">
        <v>1</v>
      </c>
      <c r="F34" s="14">
        <v>43374</v>
      </c>
      <c r="G34" s="14">
        <v>43644</v>
      </c>
      <c r="H34" s="13">
        <v>195</v>
      </c>
      <c r="I34" s="13">
        <v>4500</v>
      </c>
      <c r="J34" s="53">
        <v>1.37</v>
      </c>
    </row>
    <row r="35" spans="1:10">
      <c r="A35" s="13" t="s">
        <v>27</v>
      </c>
      <c r="B35" s="13" t="s">
        <v>8</v>
      </c>
      <c r="C35" s="14"/>
      <c r="D35" s="14"/>
      <c r="E35" s="50"/>
      <c r="F35" s="14">
        <v>43467</v>
      </c>
      <c r="G35" s="14">
        <v>43551</v>
      </c>
      <c r="H35" s="13">
        <v>61</v>
      </c>
      <c r="I35" s="13">
        <v>1960</v>
      </c>
      <c r="J35" s="53"/>
    </row>
    <row r="36" spans="1:10">
      <c r="A36" s="13" t="s">
        <v>27</v>
      </c>
      <c r="B36" s="13" t="s">
        <v>33</v>
      </c>
      <c r="C36" s="14">
        <v>43359</v>
      </c>
      <c r="D36" s="14">
        <v>43571</v>
      </c>
      <c r="E36" s="50">
        <v>1</v>
      </c>
      <c r="F36" s="14">
        <v>43370</v>
      </c>
      <c r="G36" s="14">
        <v>43644</v>
      </c>
      <c r="H36" s="13">
        <v>197</v>
      </c>
      <c r="I36" s="13">
        <v>4567</v>
      </c>
      <c r="J36" s="53">
        <v>1.3</v>
      </c>
    </row>
    <row r="37" spans="1:10">
      <c r="A37" s="13" t="s">
        <v>27</v>
      </c>
      <c r="B37" s="13" t="s">
        <v>34</v>
      </c>
      <c r="C37" s="14">
        <v>43359</v>
      </c>
      <c r="D37" s="14">
        <v>43571</v>
      </c>
      <c r="E37" s="50">
        <v>1</v>
      </c>
      <c r="F37" s="14">
        <v>43360</v>
      </c>
      <c r="G37" s="14">
        <v>43600</v>
      </c>
      <c r="H37" s="13">
        <v>173</v>
      </c>
      <c r="I37" s="13">
        <v>4000</v>
      </c>
      <c r="J37" s="53">
        <v>1.1399999999999999</v>
      </c>
    </row>
    <row r="38" spans="1:10">
      <c r="A38" s="13" t="s">
        <v>27</v>
      </c>
      <c r="B38" s="13" t="s">
        <v>35</v>
      </c>
      <c r="C38" s="14"/>
      <c r="D38" s="14"/>
      <c r="E38" s="50"/>
      <c r="F38" s="14">
        <v>43370</v>
      </c>
      <c r="G38" s="14">
        <v>43585</v>
      </c>
      <c r="H38" s="13">
        <v>154</v>
      </c>
      <c r="I38" s="13">
        <v>2867</v>
      </c>
      <c r="J38" s="53"/>
    </row>
    <row r="39" spans="1:10">
      <c r="A39" s="13" t="s">
        <v>36</v>
      </c>
      <c r="B39" s="13" t="s">
        <v>26</v>
      </c>
      <c r="C39" s="14">
        <v>43514</v>
      </c>
      <c r="D39" s="14">
        <v>43616</v>
      </c>
      <c r="E39" s="50">
        <v>1</v>
      </c>
      <c r="F39" s="14">
        <v>43514</v>
      </c>
      <c r="G39" s="14">
        <v>43616</v>
      </c>
      <c r="H39" s="13">
        <v>75</v>
      </c>
      <c r="I39" s="13">
        <v>1700</v>
      </c>
      <c r="J39" s="53">
        <v>1</v>
      </c>
    </row>
    <row r="40" spans="1:10">
      <c r="A40" s="13" t="s">
        <v>36</v>
      </c>
      <c r="B40" s="13" t="s">
        <v>37</v>
      </c>
      <c r="C40" s="14"/>
      <c r="D40" s="14"/>
      <c r="E40" s="50"/>
      <c r="F40" s="14">
        <v>43557</v>
      </c>
      <c r="G40" s="14">
        <v>43616</v>
      </c>
      <c r="H40" s="13">
        <v>44</v>
      </c>
      <c r="I40" s="13">
        <v>787</v>
      </c>
      <c r="J40" s="53"/>
    </row>
    <row r="41" spans="1:10">
      <c r="A41" s="13" t="s">
        <v>38</v>
      </c>
      <c r="B41" s="13" t="s">
        <v>30</v>
      </c>
      <c r="C41" s="14">
        <v>43408</v>
      </c>
      <c r="D41" s="14">
        <v>43555</v>
      </c>
      <c r="E41" s="50">
        <v>1</v>
      </c>
      <c r="F41" s="14">
        <v>43381</v>
      </c>
      <c r="G41" s="14">
        <v>43531</v>
      </c>
      <c r="H41" s="13">
        <v>109</v>
      </c>
      <c r="I41" s="13">
        <v>3500</v>
      </c>
      <c r="J41" s="53">
        <v>1.04</v>
      </c>
    </row>
    <row r="42" spans="1:10">
      <c r="A42" s="13" t="s">
        <v>38</v>
      </c>
      <c r="B42" s="13" t="s">
        <v>39</v>
      </c>
      <c r="C42" s="14">
        <v>43255</v>
      </c>
      <c r="D42" s="14">
        <v>43555</v>
      </c>
      <c r="E42" s="50">
        <v>1</v>
      </c>
      <c r="F42" s="14">
        <v>43255</v>
      </c>
      <c r="G42" s="14">
        <v>43560</v>
      </c>
      <c r="H42" s="13">
        <v>220</v>
      </c>
      <c r="I42" s="13">
        <v>4067</v>
      </c>
      <c r="J42" s="53">
        <v>1.02</v>
      </c>
    </row>
    <row r="43" spans="1:10">
      <c r="A43" s="13" t="s">
        <v>38</v>
      </c>
      <c r="B43" s="13" t="s">
        <v>40</v>
      </c>
      <c r="C43" s="14">
        <v>43255</v>
      </c>
      <c r="D43" s="14">
        <v>43555</v>
      </c>
      <c r="E43" s="50">
        <v>1</v>
      </c>
      <c r="F43" s="14">
        <v>43255</v>
      </c>
      <c r="G43" s="14">
        <v>43560</v>
      </c>
      <c r="H43" s="13">
        <v>220</v>
      </c>
      <c r="I43" s="13">
        <v>6100</v>
      </c>
      <c r="J43" s="53">
        <v>1.02</v>
      </c>
    </row>
    <row r="44" spans="1:10">
      <c r="A44" s="13" t="s">
        <v>38</v>
      </c>
      <c r="B44" s="13" t="s">
        <v>41</v>
      </c>
      <c r="C44" s="14">
        <v>43316</v>
      </c>
      <c r="D44" s="14">
        <v>43555</v>
      </c>
      <c r="E44" s="50">
        <v>1</v>
      </c>
      <c r="F44" s="14">
        <v>43318</v>
      </c>
      <c r="G44" s="14">
        <v>43560</v>
      </c>
      <c r="H44" s="13">
        <v>175</v>
      </c>
      <c r="I44" s="13">
        <v>6453</v>
      </c>
      <c r="J44" s="53">
        <v>1.03</v>
      </c>
    </row>
    <row r="45" spans="1:10">
      <c r="A45" s="13" t="s">
        <v>42</v>
      </c>
      <c r="B45" s="13" t="s">
        <v>43</v>
      </c>
      <c r="C45" s="14">
        <v>43409</v>
      </c>
      <c r="D45" s="14">
        <v>43646</v>
      </c>
      <c r="E45" s="50">
        <v>1</v>
      </c>
      <c r="F45" s="14">
        <v>43405</v>
      </c>
      <c r="G45" s="14">
        <v>43644</v>
      </c>
      <c r="H45" s="13">
        <v>172</v>
      </c>
      <c r="I45" s="13">
        <v>3983</v>
      </c>
      <c r="J45" s="53">
        <v>1.01</v>
      </c>
    </row>
    <row r="46" spans="1:10">
      <c r="A46" s="13" t="s">
        <v>42</v>
      </c>
      <c r="B46" s="13" t="s">
        <v>44</v>
      </c>
      <c r="C46" s="14">
        <v>43409</v>
      </c>
      <c r="D46" s="14">
        <v>43646</v>
      </c>
      <c r="E46" s="50">
        <v>1</v>
      </c>
      <c r="F46" s="14">
        <v>43349</v>
      </c>
      <c r="G46" s="14">
        <v>43644</v>
      </c>
      <c r="H46" s="13">
        <v>212</v>
      </c>
      <c r="I46" s="13">
        <v>6883</v>
      </c>
      <c r="J46" s="53">
        <v>1.25</v>
      </c>
    </row>
    <row r="47" spans="1:10">
      <c r="A47" s="13" t="s">
        <v>42</v>
      </c>
      <c r="B47" s="13" t="s">
        <v>45</v>
      </c>
      <c r="C47" s="14">
        <v>43409</v>
      </c>
      <c r="D47" s="14">
        <v>43646</v>
      </c>
      <c r="E47" s="50">
        <v>1</v>
      </c>
      <c r="F47" s="14">
        <v>43412</v>
      </c>
      <c r="G47" s="14">
        <v>43644</v>
      </c>
      <c r="H47" s="13">
        <v>167</v>
      </c>
      <c r="I47" s="13">
        <v>3093</v>
      </c>
      <c r="J47" s="53">
        <v>0.98</v>
      </c>
    </row>
    <row r="48" spans="1:10">
      <c r="A48" s="13" t="s">
        <v>46</v>
      </c>
      <c r="B48" s="13" t="s">
        <v>30</v>
      </c>
      <c r="C48" s="14"/>
      <c r="D48" s="14"/>
      <c r="E48" s="50"/>
      <c r="F48" s="14">
        <v>43563</v>
      </c>
      <c r="G48" s="14">
        <v>43585</v>
      </c>
      <c r="H48" s="13">
        <v>17</v>
      </c>
      <c r="I48" s="13">
        <v>513</v>
      </c>
      <c r="J48" s="53"/>
    </row>
    <row r="49" spans="1:10">
      <c r="A49" s="13" t="s">
        <v>46</v>
      </c>
      <c r="B49" s="13" t="s">
        <v>41</v>
      </c>
      <c r="C49" s="14"/>
      <c r="D49" s="14"/>
      <c r="E49" s="50"/>
      <c r="F49" s="14">
        <v>43563</v>
      </c>
      <c r="G49" s="14">
        <v>43577</v>
      </c>
      <c r="H49" s="13">
        <v>11</v>
      </c>
      <c r="I49" s="13">
        <v>373</v>
      </c>
      <c r="J49" s="53"/>
    </row>
    <row r="50" spans="1:10">
      <c r="A50" s="13" t="s">
        <v>46</v>
      </c>
      <c r="B50" s="13" t="s">
        <v>47</v>
      </c>
      <c r="C50" s="14">
        <v>43563</v>
      </c>
      <c r="D50" s="14">
        <v>43799</v>
      </c>
      <c r="E50" s="50">
        <v>1</v>
      </c>
      <c r="F50" s="14">
        <v>43563</v>
      </c>
      <c r="G50" s="14">
        <v>43798</v>
      </c>
      <c r="H50" s="13">
        <v>170</v>
      </c>
      <c r="I50" s="13">
        <v>3133</v>
      </c>
      <c r="J50" s="53">
        <v>1</v>
      </c>
    </row>
    <row r="51" spans="1:10">
      <c r="A51" s="13" t="s">
        <v>49</v>
      </c>
      <c r="B51" s="13" t="s">
        <v>10</v>
      </c>
      <c r="C51" s="14">
        <v>43398</v>
      </c>
      <c r="D51" s="14">
        <v>43455</v>
      </c>
      <c r="E51" s="50">
        <v>1</v>
      </c>
      <c r="F51" s="14">
        <v>43398</v>
      </c>
      <c r="G51" s="14">
        <v>43469</v>
      </c>
      <c r="H51" s="13">
        <v>52</v>
      </c>
      <c r="I51" s="13">
        <v>2130</v>
      </c>
      <c r="J51" s="53">
        <v>1.24</v>
      </c>
    </row>
  </sheetData>
  <mergeCells count="7">
    <mergeCell ref="C2:E2"/>
    <mergeCell ref="F2:G2"/>
    <mergeCell ref="J1:J2"/>
    <mergeCell ref="A1:A2"/>
    <mergeCell ref="B1:B2"/>
    <mergeCell ref="H1:H2"/>
    <mergeCell ref="I1:I2"/>
  </mergeCells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L9902"/>
  <sheetViews>
    <sheetView workbookViewId="0">
      <selection activeCell="J24" sqref="J24"/>
    </sheetView>
  </sheetViews>
  <sheetFormatPr defaultRowHeight="13.5"/>
  <cols>
    <col min="1" max="1" width="44" style="13" customWidth="1"/>
    <col min="2" max="2" width="10.625" style="14" customWidth="1"/>
    <col min="3" max="3" width="6.375" style="13" customWidth="1"/>
    <col min="4" max="4" width="8.375" style="13" customWidth="1"/>
    <col min="5" max="5" width="11" style="13" customWidth="1"/>
    <col min="6" max="6" width="9" style="13"/>
    <col min="7" max="7" width="5.25" style="13" bestFit="1" customWidth="1"/>
    <col min="8" max="8" width="5.5" style="13" bestFit="1" customWidth="1"/>
    <col min="9" max="9" width="7.125" style="13" customWidth="1"/>
    <col min="10" max="10" width="17.125" style="13" customWidth="1"/>
    <col min="11" max="11" width="9" style="13"/>
    <col min="12" max="12" width="58" style="13" customWidth="1"/>
    <col min="13" max="16384" width="9" style="13"/>
  </cols>
  <sheetData>
    <row r="1" spans="1:12">
      <c r="A1" s="61" t="s">
        <v>155</v>
      </c>
      <c r="B1" s="61" t="s">
        <v>244</v>
      </c>
      <c r="C1" s="61" t="s">
        <v>245</v>
      </c>
      <c r="D1" s="61" t="s">
        <v>156</v>
      </c>
      <c r="E1" s="61" t="s">
        <v>246</v>
      </c>
      <c r="G1" s="13" t="s">
        <v>213</v>
      </c>
      <c r="H1" s="13">
        <f>COUNTA(A:A)-1</f>
        <v>9261</v>
      </c>
      <c r="J1" s="62" t="s">
        <v>214</v>
      </c>
      <c r="K1" s="113" t="s">
        <v>215</v>
      </c>
    </row>
    <row r="2" spans="1:12">
      <c r="A2" s="64" t="s">
        <v>48</v>
      </c>
      <c r="B2" s="65">
        <v>43507</v>
      </c>
      <c r="C2" s="66" t="s">
        <v>216</v>
      </c>
      <c r="D2" s="3" t="s">
        <v>3</v>
      </c>
      <c r="E2" s="64">
        <v>0.1</v>
      </c>
      <c r="J2" s="62" t="s">
        <v>247</v>
      </c>
      <c r="K2" s="63" t="s">
        <v>215</v>
      </c>
    </row>
    <row r="3" spans="1:12">
      <c r="A3" s="64" t="s">
        <v>48</v>
      </c>
      <c r="B3" s="65">
        <v>43508</v>
      </c>
      <c r="C3" s="66" t="s">
        <v>217</v>
      </c>
      <c r="D3" s="3" t="s">
        <v>3</v>
      </c>
      <c r="E3" s="64">
        <v>0.5</v>
      </c>
    </row>
    <row r="4" spans="1:12">
      <c r="A4" s="64" t="s">
        <v>48</v>
      </c>
      <c r="B4" s="65">
        <v>43509</v>
      </c>
      <c r="C4" s="66" t="s">
        <v>218</v>
      </c>
      <c r="D4" s="3" t="s">
        <v>3</v>
      </c>
      <c r="E4" s="64">
        <v>0.5</v>
      </c>
    </row>
    <row r="5" spans="1:12">
      <c r="A5" s="64" t="s">
        <v>48</v>
      </c>
      <c r="B5" s="65">
        <v>43510</v>
      </c>
      <c r="C5" s="66" t="s">
        <v>219</v>
      </c>
      <c r="D5" s="3" t="s">
        <v>3</v>
      </c>
      <c r="E5" s="64">
        <v>0.5</v>
      </c>
    </row>
    <row r="6" spans="1:12">
      <c r="A6" s="64" t="s">
        <v>48</v>
      </c>
      <c r="B6" s="65">
        <v>43511</v>
      </c>
      <c r="C6" s="66" t="s">
        <v>220</v>
      </c>
      <c r="D6" s="3" t="s">
        <v>3</v>
      </c>
      <c r="E6" s="64">
        <v>0.5</v>
      </c>
      <c r="J6" s="13" t="s">
        <v>248</v>
      </c>
    </row>
    <row r="7" spans="1:12">
      <c r="A7" s="64" t="s">
        <v>48</v>
      </c>
      <c r="B7" s="65">
        <v>43514</v>
      </c>
      <c r="C7" s="66" t="s">
        <v>216</v>
      </c>
      <c r="D7" s="3" t="s">
        <v>3</v>
      </c>
      <c r="E7" s="64">
        <v>0.5</v>
      </c>
      <c r="J7" s="13" t="s">
        <v>249</v>
      </c>
    </row>
    <row r="8" spans="1:12">
      <c r="A8" s="64" t="s">
        <v>48</v>
      </c>
      <c r="B8" s="65">
        <v>43515</v>
      </c>
      <c r="C8" s="66" t="s">
        <v>217</v>
      </c>
      <c r="D8" s="3" t="s">
        <v>3</v>
      </c>
      <c r="E8" s="64">
        <v>0.5</v>
      </c>
      <c r="J8" s="13" t="s">
        <v>250</v>
      </c>
    </row>
    <row r="9" spans="1:12">
      <c r="A9" s="64" t="s">
        <v>48</v>
      </c>
      <c r="B9" s="65">
        <v>43516</v>
      </c>
      <c r="C9" s="66" t="s">
        <v>218</v>
      </c>
      <c r="D9" s="3" t="s">
        <v>3</v>
      </c>
      <c r="E9" s="64">
        <v>0.5</v>
      </c>
      <c r="J9" s="13" t="s">
        <v>251</v>
      </c>
    </row>
    <row r="10" spans="1:12">
      <c r="A10" s="64" t="s">
        <v>48</v>
      </c>
      <c r="B10" s="65">
        <v>43517</v>
      </c>
      <c r="C10" s="66" t="s">
        <v>219</v>
      </c>
      <c r="D10" s="3" t="s">
        <v>3</v>
      </c>
      <c r="E10" s="64">
        <v>0.5</v>
      </c>
      <c r="J10" s="13" t="s">
        <v>252</v>
      </c>
      <c r="L10" s="67"/>
    </row>
    <row r="11" spans="1:12">
      <c r="A11" s="64" t="s">
        <v>48</v>
      </c>
      <c r="B11" s="65">
        <v>43518</v>
      </c>
      <c r="C11" s="66" t="s">
        <v>220</v>
      </c>
      <c r="D11" s="3" t="s">
        <v>3</v>
      </c>
      <c r="E11" s="64">
        <v>0.5</v>
      </c>
      <c r="L11" s="67"/>
    </row>
    <row r="12" spans="1:12">
      <c r="A12" s="64" t="s">
        <v>48</v>
      </c>
      <c r="B12" s="65">
        <v>43521</v>
      </c>
      <c r="C12" s="66" t="s">
        <v>216</v>
      </c>
      <c r="D12" s="3" t="s">
        <v>3</v>
      </c>
      <c r="E12" s="64">
        <v>0.5</v>
      </c>
    </row>
    <row r="13" spans="1:12">
      <c r="A13" s="64" t="s">
        <v>48</v>
      </c>
      <c r="B13" s="65">
        <v>43522</v>
      </c>
      <c r="C13" s="66" t="s">
        <v>217</v>
      </c>
      <c r="D13" s="3" t="s">
        <v>3</v>
      </c>
      <c r="E13" s="64">
        <v>0.5</v>
      </c>
    </row>
    <row r="14" spans="1:12">
      <c r="A14" s="64" t="s">
        <v>48</v>
      </c>
      <c r="B14" s="65">
        <v>43523</v>
      </c>
      <c r="C14" s="66" t="s">
        <v>218</v>
      </c>
      <c r="D14" s="3" t="s">
        <v>3</v>
      </c>
      <c r="E14" s="64">
        <v>0.5</v>
      </c>
    </row>
    <row r="15" spans="1:12">
      <c r="A15" s="64" t="s">
        <v>48</v>
      </c>
      <c r="B15" s="65">
        <v>43524</v>
      </c>
      <c r="C15" s="66" t="s">
        <v>219</v>
      </c>
      <c r="D15" s="3" t="s">
        <v>3</v>
      </c>
      <c r="E15" s="64">
        <v>0.5</v>
      </c>
    </row>
    <row r="16" spans="1:12">
      <c r="A16" s="64" t="s">
        <v>48</v>
      </c>
      <c r="B16" s="65">
        <v>43525</v>
      </c>
      <c r="C16" s="66" t="s">
        <v>220</v>
      </c>
      <c r="D16" s="3" t="s">
        <v>3</v>
      </c>
      <c r="E16" s="64">
        <v>0.5</v>
      </c>
    </row>
    <row r="17" spans="1:5">
      <c r="A17" s="64" t="s">
        <v>48</v>
      </c>
      <c r="B17" s="65">
        <v>43528</v>
      </c>
      <c r="C17" s="66" t="s">
        <v>216</v>
      </c>
      <c r="D17" s="3" t="s">
        <v>3</v>
      </c>
      <c r="E17" s="64">
        <v>0.5</v>
      </c>
    </row>
    <row r="18" spans="1:5">
      <c r="A18" s="64" t="s">
        <v>48</v>
      </c>
      <c r="B18" s="65">
        <v>43529</v>
      </c>
      <c r="C18" s="66" t="s">
        <v>217</v>
      </c>
      <c r="D18" s="3" t="s">
        <v>3</v>
      </c>
      <c r="E18" s="64">
        <v>0.5</v>
      </c>
    </row>
    <row r="19" spans="1:5">
      <c r="A19" s="64" t="s">
        <v>48</v>
      </c>
      <c r="B19" s="65">
        <v>43530</v>
      </c>
      <c r="C19" s="66" t="s">
        <v>218</v>
      </c>
      <c r="D19" s="3" t="s">
        <v>3</v>
      </c>
      <c r="E19" s="64">
        <v>0.5</v>
      </c>
    </row>
    <row r="20" spans="1:5">
      <c r="A20" s="64" t="s">
        <v>48</v>
      </c>
      <c r="B20" s="65">
        <v>43531</v>
      </c>
      <c r="C20" s="66" t="s">
        <v>219</v>
      </c>
      <c r="D20" s="3" t="s">
        <v>3</v>
      </c>
      <c r="E20" s="64">
        <v>0.5</v>
      </c>
    </row>
    <row r="21" spans="1:5">
      <c r="A21" s="64" t="s">
        <v>48</v>
      </c>
      <c r="B21" s="65">
        <v>43532</v>
      </c>
      <c r="C21" s="66" t="s">
        <v>220</v>
      </c>
      <c r="D21" s="3" t="s">
        <v>3</v>
      </c>
      <c r="E21" s="64">
        <v>0.5</v>
      </c>
    </row>
    <row r="22" spans="1:5">
      <c r="A22" s="64" t="s">
        <v>48</v>
      </c>
      <c r="B22" s="65">
        <v>43535</v>
      </c>
      <c r="C22" s="66" t="s">
        <v>216</v>
      </c>
      <c r="D22" s="3" t="s">
        <v>3</v>
      </c>
      <c r="E22" s="64">
        <v>0.5</v>
      </c>
    </row>
    <row r="23" spans="1:5">
      <c r="A23" s="64" t="s">
        <v>48</v>
      </c>
      <c r="B23" s="65">
        <v>43536</v>
      </c>
      <c r="C23" s="66" t="s">
        <v>217</v>
      </c>
      <c r="D23" s="3" t="s">
        <v>3</v>
      </c>
      <c r="E23" s="64">
        <v>0.5</v>
      </c>
    </row>
    <row r="24" spans="1:5">
      <c r="A24" s="64" t="s">
        <v>48</v>
      </c>
      <c r="B24" s="65">
        <v>43537</v>
      </c>
      <c r="C24" s="66" t="s">
        <v>218</v>
      </c>
      <c r="D24" s="3" t="s">
        <v>3</v>
      </c>
      <c r="E24" s="64">
        <v>0.5</v>
      </c>
    </row>
    <row r="25" spans="1:5">
      <c r="A25" s="64" t="s">
        <v>48</v>
      </c>
      <c r="B25" s="65">
        <v>43538</v>
      </c>
      <c r="C25" s="66" t="s">
        <v>219</v>
      </c>
      <c r="D25" s="3" t="s">
        <v>3</v>
      </c>
      <c r="E25" s="64">
        <v>0.5</v>
      </c>
    </row>
    <row r="26" spans="1:5">
      <c r="A26" s="64" t="s">
        <v>48</v>
      </c>
      <c r="B26" s="65">
        <v>43539</v>
      </c>
      <c r="C26" s="66" t="s">
        <v>220</v>
      </c>
      <c r="D26" s="3" t="s">
        <v>3</v>
      </c>
      <c r="E26" s="64">
        <v>0.5</v>
      </c>
    </row>
    <row r="27" spans="1:5">
      <c r="A27" s="64" t="s">
        <v>48</v>
      </c>
      <c r="B27" s="65">
        <v>43542</v>
      </c>
      <c r="C27" s="66" t="s">
        <v>216</v>
      </c>
      <c r="D27" s="3" t="s">
        <v>3</v>
      </c>
      <c r="E27" s="64">
        <v>0.5</v>
      </c>
    </row>
    <row r="28" spans="1:5">
      <c r="A28" s="64" t="s">
        <v>48</v>
      </c>
      <c r="B28" s="65">
        <v>43543</v>
      </c>
      <c r="C28" s="66" t="s">
        <v>217</v>
      </c>
      <c r="D28" s="3" t="s">
        <v>3</v>
      </c>
      <c r="E28" s="64">
        <v>0.5</v>
      </c>
    </row>
    <row r="29" spans="1:5">
      <c r="A29" s="64" t="s">
        <v>48</v>
      </c>
      <c r="B29" s="65">
        <v>43544</v>
      </c>
      <c r="C29" s="66" t="s">
        <v>218</v>
      </c>
      <c r="D29" s="3" t="s">
        <v>3</v>
      </c>
      <c r="E29" s="64">
        <v>0.5</v>
      </c>
    </row>
    <row r="30" spans="1:5">
      <c r="A30" s="64" t="s">
        <v>48</v>
      </c>
      <c r="B30" s="65">
        <v>43545</v>
      </c>
      <c r="C30" s="66" t="s">
        <v>219</v>
      </c>
      <c r="D30" s="3" t="s">
        <v>3</v>
      </c>
      <c r="E30" s="64">
        <v>0.5</v>
      </c>
    </row>
    <row r="31" spans="1:5">
      <c r="A31" s="64" t="s">
        <v>48</v>
      </c>
      <c r="B31" s="65">
        <v>43546</v>
      </c>
      <c r="C31" s="66" t="s">
        <v>220</v>
      </c>
      <c r="D31" s="3" t="s">
        <v>3</v>
      </c>
      <c r="E31" s="64">
        <v>0.5</v>
      </c>
    </row>
    <row r="32" spans="1:5">
      <c r="A32" s="64" t="s">
        <v>48</v>
      </c>
      <c r="B32" s="65">
        <v>43472</v>
      </c>
      <c r="C32" s="66" t="s">
        <v>216</v>
      </c>
      <c r="D32" s="3" t="s">
        <v>2</v>
      </c>
      <c r="E32" s="64">
        <v>1</v>
      </c>
    </row>
    <row r="33" spans="1:5">
      <c r="A33" s="64" t="s">
        <v>48</v>
      </c>
      <c r="B33" s="65">
        <v>43473</v>
      </c>
      <c r="C33" s="66" t="s">
        <v>217</v>
      </c>
      <c r="D33" s="3" t="s">
        <v>2</v>
      </c>
      <c r="E33" s="64">
        <v>1</v>
      </c>
    </row>
    <row r="34" spans="1:5">
      <c r="A34" s="64" t="s">
        <v>48</v>
      </c>
      <c r="B34" s="65">
        <v>43474</v>
      </c>
      <c r="C34" s="66" t="s">
        <v>218</v>
      </c>
      <c r="D34" s="3" t="s">
        <v>2</v>
      </c>
      <c r="E34" s="64">
        <v>1</v>
      </c>
    </row>
    <row r="35" spans="1:5">
      <c r="A35" s="64" t="s">
        <v>48</v>
      </c>
      <c r="B35" s="65">
        <v>43475</v>
      </c>
      <c r="C35" s="66" t="s">
        <v>219</v>
      </c>
      <c r="D35" s="3" t="s">
        <v>2</v>
      </c>
      <c r="E35" s="64">
        <v>1</v>
      </c>
    </row>
    <row r="36" spans="1:5">
      <c r="A36" s="64" t="s">
        <v>48</v>
      </c>
      <c r="B36" s="65">
        <v>43476</v>
      </c>
      <c r="C36" s="66" t="s">
        <v>220</v>
      </c>
      <c r="D36" s="3" t="s">
        <v>2</v>
      </c>
      <c r="E36" s="64">
        <v>1</v>
      </c>
    </row>
    <row r="37" spans="1:5">
      <c r="A37" s="64" t="s">
        <v>48</v>
      </c>
      <c r="B37" s="65">
        <v>43477</v>
      </c>
      <c r="C37" s="66" t="s">
        <v>221</v>
      </c>
      <c r="D37" s="3" t="s">
        <v>2</v>
      </c>
      <c r="E37" s="64">
        <v>1</v>
      </c>
    </row>
    <row r="38" spans="1:5">
      <c r="A38" s="64" t="s">
        <v>48</v>
      </c>
      <c r="B38" s="65">
        <v>43478</v>
      </c>
      <c r="C38" s="66" t="s">
        <v>222</v>
      </c>
      <c r="D38" s="3" t="s">
        <v>2</v>
      </c>
      <c r="E38" s="64">
        <v>1</v>
      </c>
    </row>
    <row r="39" spans="1:5">
      <c r="A39" s="64" t="s">
        <v>48</v>
      </c>
      <c r="B39" s="65">
        <v>43479</v>
      </c>
      <c r="C39" s="66" t="s">
        <v>216</v>
      </c>
      <c r="D39" s="3" t="s">
        <v>2</v>
      </c>
      <c r="E39" s="64">
        <v>1</v>
      </c>
    </row>
    <row r="40" spans="1:5">
      <c r="A40" s="64" t="s">
        <v>48</v>
      </c>
      <c r="B40" s="65">
        <v>43480</v>
      </c>
      <c r="C40" s="66" t="s">
        <v>217</v>
      </c>
      <c r="D40" s="3" t="s">
        <v>2</v>
      </c>
      <c r="E40" s="64">
        <v>1</v>
      </c>
    </row>
    <row r="41" spans="1:5">
      <c r="A41" s="64" t="s">
        <v>48</v>
      </c>
      <c r="B41" s="65">
        <v>43481</v>
      </c>
      <c r="C41" s="66" t="s">
        <v>218</v>
      </c>
      <c r="D41" s="3" t="s">
        <v>2</v>
      </c>
      <c r="E41" s="64">
        <v>1</v>
      </c>
    </row>
    <row r="42" spans="1:5">
      <c r="A42" s="64" t="s">
        <v>48</v>
      </c>
      <c r="B42" s="65">
        <v>43482</v>
      </c>
      <c r="C42" s="66" t="s">
        <v>219</v>
      </c>
      <c r="D42" s="3" t="s">
        <v>2</v>
      </c>
      <c r="E42" s="64">
        <v>1</v>
      </c>
    </row>
    <row r="43" spans="1:5">
      <c r="A43" s="64" t="s">
        <v>48</v>
      </c>
      <c r="B43" s="65">
        <v>43483</v>
      </c>
      <c r="C43" s="66" t="s">
        <v>220</v>
      </c>
      <c r="D43" s="3" t="s">
        <v>2</v>
      </c>
      <c r="E43" s="64">
        <v>1</v>
      </c>
    </row>
    <row r="44" spans="1:5">
      <c r="A44" s="64" t="s">
        <v>48</v>
      </c>
      <c r="B44" s="65">
        <v>43484</v>
      </c>
      <c r="C44" s="66" t="s">
        <v>221</v>
      </c>
      <c r="D44" s="3" t="s">
        <v>2</v>
      </c>
      <c r="E44" s="64">
        <v>1</v>
      </c>
    </row>
    <row r="45" spans="1:5">
      <c r="A45" s="64" t="s">
        <v>48</v>
      </c>
      <c r="B45" s="65">
        <v>43485</v>
      </c>
      <c r="C45" s="66" t="s">
        <v>222</v>
      </c>
      <c r="D45" s="3" t="s">
        <v>2</v>
      </c>
      <c r="E45" s="64">
        <v>1</v>
      </c>
    </row>
    <row r="46" spans="1:5">
      <c r="A46" s="64" t="s">
        <v>48</v>
      </c>
      <c r="B46" s="65">
        <v>43486</v>
      </c>
      <c r="C46" s="66" t="s">
        <v>216</v>
      </c>
      <c r="D46" s="3" t="s">
        <v>2</v>
      </c>
      <c r="E46" s="64">
        <v>1</v>
      </c>
    </row>
    <row r="47" spans="1:5">
      <c r="A47" s="64" t="s">
        <v>48</v>
      </c>
      <c r="B47" s="65">
        <v>43487</v>
      </c>
      <c r="C47" s="66" t="s">
        <v>217</v>
      </c>
      <c r="D47" s="3" t="s">
        <v>2</v>
      </c>
      <c r="E47" s="64">
        <v>1</v>
      </c>
    </row>
    <row r="48" spans="1:5">
      <c r="A48" s="64" t="s">
        <v>48</v>
      </c>
      <c r="B48" s="65">
        <v>43488</v>
      </c>
      <c r="C48" s="66" t="s">
        <v>218</v>
      </c>
      <c r="D48" s="3" t="s">
        <v>2</v>
      </c>
      <c r="E48" s="64">
        <v>1</v>
      </c>
    </row>
    <row r="49" spans="1:5">
      <c r="A49" s="64" t="s">
        <v>48</v>
      </c>
      <c r="B49" s="65">
        <v>43489</v>
      </c>
      <c r="C49" s="66" t="s">
        <v>219</v>
      </c>
      <c r="D49" s="3" t="s">
        <v>2</v>
      </c>
      <c r="E49" s="64">
        <v>1</v>
      </c>
    </row>
    <row r="50" spans="1:5">
      <c r="A50" s="64" t="s">
        <v>48</v>
      </c>
      <c r="B50" s="65">
        <v>43490</v>
      </c>
      <c r="C50" s="66" t="s">
        <v>220</v>
      </c>
      <c r="D50" s="3" t="s">
        <v>2</v>
      </c>
      <c r="E50" s="64">
        <v>1</v>
      </c>
    </row>
    <row r="51" spans="1:5">
      <c r="A51" s="64" t="s">
        <v>48</v>
      </c>
      <c r="B51" s="65">
        <v>43491</v>
      </c>
      <c r="C51" s="66" t="s">
        <v>221</v>
      </c>
      <c r="D51" s="3" t="s">
        <v>2</v>
      </c>
      <c r="E51" s="64">
        <v>1</v>
      </c>
    </row>
    <row r="52" spans="1:5">
      <c r="A52" s="64" t="s">
        <v>48</v>
      </c>
      <c r="B52" s="65">
        <v>43492</v>
      </c>
      <c r="C52" s="66" t="s">
        <v>222</v>
      </c>
      <c r="D52" s="3" t="s">
        <v>2</v>
      </c>
      <c r="E52" s="64">
        <v>1</v>
      </c>
    </row>
    <row r="53" spans="1:5">
      <c r="A53" s="64" t="s">
        <v>48</v>
      </c>
      <c r="B53" s="65">
        <v>43493</v>
      </c>
      <c r="C53" s="66" t="s">
        <v>216</v>
      </c>
      <c r="D53" s="3" t="s">
        <v>2</v>
      </c>
      <c r="E53" s="64">
        <v>1</v>
      </c>
    </row>
    <row r="54" spans="1:5">
      <c r="A54" s="64" t="s">
        <v>48</v>
      </c>
      <c r="B54" s="65">
        <v>43494</v>
      </c>
      <c r="C54" s="66" t="s">
        <v>217</v>
      </c>
      <c r="D54" s="3" t="s">
        <v>2</v>
      </c>
      <c r="E54" s="64">
        <v>1</v>
      </c>
    </row>
    <row r="55" spans="1:5">
      <c r="A55" s="64" t="s">
        <v>48</v>
      </c>
      <c r="B55" s="65">
        <v>43495</v>
      </c>
      <c r="C55" s="66" t="s">
        <v>218</v>
      </c>
      <c r="D55" s="3" t="s">
        <v>2</v>
      </c>
      <c r="E55" s="64">
        <v>1</v>
      </c>
    </row>
    <row r="56" spans="1:5">
      <c r="A56" s="64" t="s">
        <v>48</v>
      </c>
      <c r="B56" s="65">
        <v>43496</v>
      </c>
      <c r="C56" s="66" t="s">
        <v>219</v>
      </c>
      <c r="D56" s="3" t="s">
        <v>2</v>
      </c>
      <c r="E56" s="64">
        <v>1</v>
      </c>
    </row>
    <row r="57" spans="1:5">
      <c r="A57" s="64" t="s">
        <v>48</v>
      </c>
      <c r="B57" s="65">
        <v>43497</v>
      </c>
      <c r="C57" s="66" t="s">
        <v>220</v>
      </c>
      <c r="D57" s="3" t="s">
        <v>2</v>
      </c>
      <c r="E57" s="64">
        <v>1</v>
      </c>
    </row>
    <row r="58" spans="1:5">
      <c r="A58" s="64" t="s">
        <v>48</v>
      </c>
      <c r="B58" s="65">
        <v>43498</v>
      </c>
      <c r="C58" s="66" t="s">
        <v>221</v>
      </c>
      <c r="D58" s="3" t="s">
        <v>2</v>
      </c>
      <c r="E58" s="64">
        <v>1</v>
      </c>
    </row>
    <row r="59" spans="1:5">
      <c r="A59" s="64" t="s">
        <v>48</v>
      </c>
      <c r="B59" s="65">
        <v>43499</v>
      </c>
      <c r="C59" s="66" t="s">
        <v>222</v>
      </c>
      <c r="D59" s="3" t="s">
        <v>2</v>
      </c>
      <c r="E59" s="64">
        <v>1</v>
      </c>
    </row>
    <row r="60" spans="1:5">
      <c r="A60" s="64" t="s">
        <v>48</v>
      </c>
      <c r="B60" s="65">
        <v>43500</v>
      </c>
      <c r="C60" s="66" t="s">
        <v>216</v>
      </c>
      <c r="D60" s="3" t="s">
        <v>2</v>
      </c>
      <c r="E60" s="64">
        <v>1</v>
      </c>
    </row>
    <row r="61" spans="1:5">
      <c r="A61" s="64" t="s">
        <v>48</v>
      </c>
      <c r="B61" s="65">
        <v>43501</v>
      </c>
      <c r="C61" s="66" t="s">
        <v>217</v>
      </c>
      <c r="D61" s="3" t="s">
        <v>2</v>
      </c>
      <c r="E61" s="64">
        <v>1</v>
      </c>
    </row>
    <row r="62" spans="1:5">
      <c r="A62" s="64" t="s">
        <v>48</v>
      </c>
      <c r="B62" s="65">
        <v>43502</v>
      </c>
      <c r="C62" s="66" t="s">
        <v>218</v>
      </c>
      <c r="D62" s="3" t="s">
        <v>2</v>
      </c>
      <c r="E62" s="64">
        <v>1</v>
      </c>
    </row>
    <row r="63" spans="1:5">
      <c r="A63" s="64" t="s">
        <v>48</v>
      </c>
      <c r="B63" s="65">
        <v>43503</v>
      </c>
      <c r="C63" s="66" t="s">
        <v>219</v>
      </c>
      <c r="D63" s="3" t="s">
        <v>2</v>
      </c>
      <c r="E63" s="64">
        <v>1</v>
      </c>
    </row>
    <row r="64" spans="1:5">
      <c r="A64" s="64" t="s">
        <v>48</v>
      </c>
      <c r="B64" s="65">
        <v>43504</v>
      </c>
      <c r="C64" s="66" t="s">
        <v>220</v>
      </c>
      <c r="D64" s="3" t="s">
        <v>2</v>
      </c>
      <c r="E64" s="64">
        <v>1</v>
      </c>
    </row>
    <row r="65" spans="1:5">
      <c r="A65" s="64" t="s">
        <v>48</v>
      </c>
      <c r="B65" s="65">
        <v>43505</v>
      </c>
      <c r="C65" s="66" t="s">
        <v>221</v>
      </c>
      <c r="D65" s="3" t="s">
        <v>2</v>
      </c>
      <c r="E65" s="64">
        <v>1</v>
      </c>
    </row>
    <row r="66" spans="1:5">
      <c r="A66" s="64" t="s">
        <v>48</v>
      </c>
      <c r="B66" s="65">
        <v>43506</v>
      </c>
      <c r="C66" s="66" t="s">
        <v>222</v>
      </c>
      <c r="D66" s="3" t="s">
        <v>2</v>
      </c>
      <c r="E66" s="64">
        <v>1</v>
      </c>
    </row>
    <row r="67" spans="1:5">
      <c r="A67" s="64" t="s">
        <v>48</v>
      </c>
      <c r="B67" s="65">
        <v>43507</v>
      </c>
      <c r="C67" s="66" t="s">
        <v>216</v>
      </c>
      <c r="D67" s="3" t="s">
        <v>2</v>
      </c>
      <c r="E67" s="64">
        <v>1</v>
      </c>
    </row>
    <row r="68" spans="1:5">
      <c r="A68" s="64" t="s">
        <v>48</v>
      </c>
      <c r="B68" s="65">
        <v>43508</v>
      </c>
      <c r="C68" s="66" t="s">
        <v>217</v>
      </c>
      <c r="D68" s="3" t="s">
        <v>2</v>
      </c>
      <c r="E68" s="64">
        <v>1</v>
      </c>
    </row>
    <row r="69" spans="1:5">
      <c r="A69" s="64" t="s">
        <v>48</v>
      </c>
      <c r="B69" s="65">
        <v>43509</v>
      </c>
      <c r="C69" s="66" t="s">
        <v>218</v>
      </c>
      <c r="D69" s="3" t="s">
        <v>2</v>
      </c>
      <c r="E69" s="64">
        <v>1</v>
      </c>
    </row>
    <row r="70" spans="1:5">
      <c r="A70" s="64" t="s">
        <v>48</v>
      </c>
      <c r="B70" s="65">
        <v>43510</v>
      </c>
      <c r="C70" s="66" t="s">
        <v>219</v>
      </c>
      <c r="D70" s="3" t="s">
        <v>2</v>
      </c>
      <c r="E70" s="64">
        <v>1</v>
      </c>
    </row>
    <row r="71" spans="1:5">
      <c r="A71" s="64" t="s">
        <v>48</v>
      </c>
      <c r="B71" s="65">
        <v>43511</v>
      </c>
      <c r="C71" s="66" t="s">
        <v>220</v>
      </c>
      <c r="D71" s="3" t="s">
        <v>2</v>
      </c>
      <c r="E71" s="64">
        <v>1</v>
      </c>
    </row>
    <row r="72" spans="1:5">
      <c r="A72" s="64" t="s">
        <v>48</v>
      </c>
      <c r="B72" s="65">
        <v>43512</v>
      </c>
      <c r="C72" s="66" t="s">
        <v>221</v>
      </c>
      <c r="D72" s="3" t="s">
        <v>2</v>
      </c>
      <c r="E72" s="64">
        <v>1</v>
      </c>
    </row>
    <row r="73" spans="1:5">
      <c r="A73" s="64" t="s">
        <v>48</v>
      </c>
      <c r="B73" s="65">
        <v>43513</v>
      </c>
      <c r="C73" s="66" t="s">
        <v>222</v>
      </c>
      <c r="D73" s="3" t="s">
        <v>2</v>
      </c>
      <c r="E73" s="64">
        <v>1</v>
      </c>
    </row>
    <row r="74" spans="1:5">
      <c r="A74" s="64" t="s">
        <v>48</v>
      </c>
      <c r="B74" s="65">
        <v>43514</v>
      </c>
      <c r="C74" s="66" t="s">
        <v>216</v>
      </c>
      <c r="D74" s="3" t="s">
        <v>2</v>
      </c>
      <c r="E74" s="64">
        <v>1</v>
      </c>
    </row>
    <row r="75" spans="1:5">
      <c r="A75" s="64" t="s">
        <v>48</v>
      </c>
      <c r="B75" s="65">
        <v>43515</v>
      </c>
      <c r="C75" s="66" t="s">
        <v>217</v>
      </c>
      <c r="D75" s="3" t="s">
        <v>2</v>
      </c>
      <c r="E75" s="64">
        <v>1</v>
      </c>
    </row>
    <row r="76" spans="1:5">
      <c r="A76" s="64" t="s">
        <v>48</v>
      </c>
      <c r="B76" s="65">
        <v>43516</v>
      </c>
      <c r="C76" s="66" t="s">
        <v>218</v>
      </c>
      <c r="D76" s="3" t="s">
        <v>2</v>
      </c>
      <c r="E76" s="64">
        <v>1</v>
      </c>
    </row>
    <row r="77" spans="1:5">
      <c r="A77" s="64" t="s">
        <v>48</v>
      </c>
      <c r="B77" s="65">
        <v>43517</v>
      </c>
      <c r="C77" s="66" t="s">
        <v>219</v>
      </c>
      <c r="D77" s="3" t="s">
        <v>2</v>
      </c>
      <c r="E77" s="64">
        <v>1</v>
      </c>
    </row>
    <row r="78" spans="1:5">
      <c r="A78" s="64" t="s">
        <v>48</v>
      </c>
      <c r="B78" s="65">
        <v>43518</v>
      </c>
      <c r="C78" s="66" t="s">
        <v>220</v>
      </c>
      <c r="D78" s="3" t="s">
        <v>2</v>
      </c>
      <c r="E78" s="64">
        <v>1</v>
      </c>
    </row>
    <row r="79" spans="1:5">
      <c r="A79" s="64" t="s">
        <v>48</v>
      </c>
      <c r="B79" s="65">
        <v>43519</v>
      </c>
      <c r="C79" s="66" t="s">
        <v>221</v>
      </c>
      <c r="D79" s="3" t="s">
        <v>2</v>
      </c>
      <c r="E79" s="64">
        <v>1</v>
      </c>
    </row>
    <row r="80" spans="1:5">
      <c r="A80" s="64" t="s">
        <v>48</v>
      </c>
      <c r="B80" s="65">
        <v>43520</v>
      </c>
      <c r="C80" s="66" t="s">
        <v>222</v>
      </c>
      <c r="D80" s="3" t="s">
        <v>2</v>
      </c>
      <c r="E80" s="64">
        <v>1</v>
      </c>
    </row>
    <row r="81" spans="1:5">
      <c r="A81" s="64" t="s">
        <v>48</v>
      </c>
      <c r="B81" s="65">
        <v>43521</v>
      </c>
      <c r="C81" s="66" t="s">
        <v>216</v>
      </c>
      <c r="D81" s="3" t="s">
        <v>2</v>
      </c>
      <c r="E81" s="64">
        <v>1</v>
      </c>
    </row>
    <row r="82" spans="1:5">
      <c r="A82" s="64" t="s">
        <v>48</v>
      </c>
      <c r="B82" s="65">
        <v>43522</v>
      </c>
      <c r="C82" s="66" t="s">
        <v>217</v>
      </c>
      <c r="D82" s="3" t="s">
        <v>2</v>
      </c>
      <c r="E82" s="64">
        <v>1</v>
      </c>
    </row>
    <row r="83" spans="1:5">
      <c r="A83" s="64" t="s">
        <v>48</v>
      </c>
      <c r="B83" s="65">
        <v>43523</v>
      </c>
      <c r="C83" s="66" t="s">
        <v>218</v>
      </c>
      <c r="D83" s="3" t="s">
        <v>2</v>
      </c>
      <c r="E83" s="64">
        <v>1</v>
      </c>
    </row>
    <row r="84" spans="1:5">
      <c r="A84" s="64" t="s">
        <v>48</v>
      </c>
      <c r="B84" s="65">
        <v>43524</v>
      </c>
      <c r="C84" s="66" t="s">
        <v>219</v>
      </c>
      <c r="D84" s="3" t="s">
        <v>2</v>
      </c>
      <c r="E84" s="64">
        <v>1</v>
      </c>
    </row>
    <row r="85" spans="1:5">
      <c r="A85" s="64" t="s">
        <v>48</v>
      </c>
      <c r="B85" s="65">
        <v>43525</v>
      </c>
      <c r="C85" s="66" t="s">
        <v>220</v>
      </c>
      <c r="D85" s="3" t="s">
        <v>2</v>
      </c>
      <c r="E85" s="64">
        <v>1</v>
      </c>
    </row>
    <row r="86" spans="1:5">
      <c r="A86" s="64" t="s">
        <v>48</v>
      </c>
      <c r="B86" s="65">
        <v>43526</v>
      </c>
      <c r="C86" s="66" t="s">
        <v>221</v>
      </c>
      <c r="D86" s="3" t="s">
        <v>2</v>
      </c>
      <c r="E86" s="64">
        <v>1</v>
      </c>
    </row>
    <row r="87" spans="1:5">
      <c r="A87" s="64" t="s">
        <v>48</v>
      </c>
      <c r="B87" s="65">
        <v>43527</v>
      </c>
      <c r="C87" s="66" t="s">
        <v>222</v>
      </c>
      <c r="D87" s="3" t="s">
        <v>2</v>
      </c>
      <c r="E87" s="64">
        <v>1</v>
      </c>
    </row>
    <row r="88" spans="1:5">
      <c r="A88" s="64" t="s">
        <v>48</v>
      </c>
      <c r="B88" s="65">
        <v>43528</v>
      </c>
      <c r="C88" s="66" t="s">
        <v>216</v>
      </c>
      <c r="D88" s="3" t="s">
        <v>2</v>
      </c>
      <c r="E88" s="64">
        <v>1</v>
      </c>
    </row>
    <row r="89" spans="1:5">
      <c r="A89" s="64" t="s">
        <v>48</v>
      </c>
      <c r="B89" s="65">
        <v>43529</v>
      </c>
      <c r="C89" s="66" t="s">
        <v>217</v>
      </c>
      <c r="D89" s="3" t="s">
        <v>2</v>
      </c>
      <c r="E89" s="64">
        <v>1</v>
      </c>
    </row>
    <row r="90" spans="1:5">
      <c r="A90" s="64" t="s">
        <v>48</v>
      </c>
      <c r="B90" s="65">
        <v>43530</v>
      </c>
      <c r="C90" s="66" t="s">
        <v>218</v>
      </c>
      <c r="D90" s="3" t="s">
        <v>2</v>
      </c>
      <c r="E90" s="64">
        <v>1</v>
      </c>
    </row>
    <row r="91" spans="1:5">
      <c r="A91" s="64" t="s">
        <v>48</v>
      </c>
      <c r="B91" s="65">
        <v>43531</v>
      </c>
      <c r="C91" s="66" t="s">
        <v>219</v>
      </c>
      <c r="D91" s="3" t="s">
        <v>2</v>
      </c>
      <c r="E91" s="64">
        <v>1</v>
      </c>
    </row>
    <row r="92" spans="1:5">
      <c r="A92" s="64" t="s">
        <v>48</v>
      </c>
      <c r="B92" s="65">
        <v>43532</v>
      </c>
      <c r="C92" s="66" t="s">
        <v>220</v>
      </c>
      <c r="D92" s="3" t="s">
        <v>2</v>
      </c>
      <c r="E92" s="64">
        <v>1</v>
      </c>
    </row>
    <row r="93" spans="1:5">
      <c r="A93" s="64" t="s">
        <v>48</v>
      </c>
      <c r="B93" s="65">
        <v>43533</v>
      </c>
      <c r="C93" s="66" t="s">
        <v>221</v>
      </c>
      <c r="D93" s="3" t="s">
        <v>2</v>
      </c>
      <c r="E93" s="64">
        <v>1</v>
      </c>
    </row>
    <row r="94" spans="1:5">
      <c r="A94" s="64" t="s">
        <v>48</v>
      </c>
      <c r="B94" s="65">
        <v>43534</v>
      </c>
      <c r="C94" s="66" t="s">
        <v>222</v>
      </c>
      <c r="D94" s="3" t="s">
        <v>2</v>
      </c>
      <c r="E94" s="64">
        <v>1</v>
      </c>
    </row>
    <row r="95" spans="1:5">
      <c r="A95" s="64" t="s">
        <v>48</v>
      </c>
      <c r="B95" s="65">
        <v>43535</v>
      </c>
      <c r="C95" s="66" t="s">
        <v>216</v>
      </c>
      <c r="D95" s="3" t="s">
        <v>2</v>
      </c>
      <c r="E95" s="64">
        <v>1</v>
      </c>
    </row>
    <row r="96" spans="1:5">
      <c r="A96" s="64" t="s">
        <v>48</v>
      </c>
      <c r="B96" s="65">
        <v>43536</v>
      </c>
      <c r="C96" s="66" t="s">
        <v>217</v>
      </c>
      <c r="D96" s="3" t="s">
        <v>2</v>
      </c>
      <c r="E96" s="64">
        <v>1</v>
      </c>
    </row>
    <row r="97" spans="1:5">
      <c r="A97" s="64" t="s">
        <v>48</v>
      </c>
      <c r="B97" s="65">
        <v>43537</v>
      </c>
      <c r="C97" s="66" t="s">
        <v>218</v>
      </c>
      <c r="D97" s="3" t="s">
        <v>2</v>
      </c>
      <c r="E97" s="64">
        <v>1</v>
      </c>
    </row>
    <row r="98" spans="1:5">
      <c r="A98" s="64" t="s">
        <v>48</v>
      </c>
      <c r="B98" s="65">
        <v>43538</v>
      </c>
      <c r="C98" s="66" t="s">
        <v>219</v>
      </c>
      <c r="D98" s="3" t="s">
        <v>2</v>
      </c>
      <c r="E98" s="64">
        <v>1</v>
      </c>
    </row>
    <row r="99" spans="1:5">
      <c r="A99" s="64" t="s">
        <v>48</v>
      </c>
      <c r="B99" s="65">
        <v>43539</v>
      </c>
      <c r="C99" s="66" t="s">
        <v>220</v>
      </c>
      <c r="D99" s="3" t="s">
        <v>2</v>
      </c>
      <c r="E99" s="64">
        <v>1</v>
      </c>
    </row>
    <row r="100" spans="1:5">
      <c r="A100" s="64" t="s">
        <v>4</v>
      </c>
      <c r="B100" s="65">
        <v>43228</v>
      </c>
      <c r="C100" s="66" t="s">
        <v>217</v>
      </c>
      <c r="D100" s="3" t="s">
        <v>5</v>
      </c>
      <c r="E100" s="64">
        <v>1</v>
      </c>
    </row>
    <row r="101" spans="1:5">
      <c r="A101" s="64" t="s">
        <v>4</v>
      </c>
      <c r="B101" s="65">
        <v>43229</v>
      </c>
      <c r="C101" s="66" t="s">
        <v>218</v>
      </c>
      <c r="D101" s="3" t="s">
        <v>5</v>
      </c>
      <c r="E101" s="64">
        <v>1</v>
      </c>
    </row>
    <row r="102" spans="1:5">
      <c r="A102" s="64" t="s">
        <v>4</v>
      </c>
      <c r="B102" s="65">
        <v>43230</v>
      </c>
      <c r="C102" s="66" t="s">
        <v>219</v>
      </c>
      <c r="D102" s="3" t="s">
        <v>5</v>
      </c>
      <c r="E102" s="64">
        <v>1</v>
      </c>
    </row>
    <row r="103" spans="1:5">
      <c r="A103" s="64" t="s">
        <v>4</v>
      </c>
      <c r="B103" s="65">
        <v>43231</v>
      </c>
      <c r="C103" s="66" t="s">
        <v>220</v>
      </c>
      <c r="D103" s="3" t="s">
        <v>5</v>
      </c>
      <c r="E103" s="64">
        <v>1</v>
      </c>
    </row>
    <row r="104" spans="1:5">
      <c r="A104" s="64" t="s">
        <v>4</v>
      </c>
      <c r="B104" s="65">
        <v>43234</v>
      </c>
      <c r="C104" s="66" t="s">
        <v>216</v>
      </c>
      <c r="D104" s="3" t="s">
        <v>5</v>
      </c>
      <c r="E104" s="64">
        <v>1</v>
      </c>
    </row>
    <row r="105" spans="1:5">
      <c r="A105" s="64" t="s">
        <v>4</v>
      </c>
      <c r="B105" s="65">
        <v>43235</v>
      </c>
      <c r="C105" s="66" t="s">
        <v>217</v>
      </c>
      <c r="D105" s="3" t="s">
        <v>5</v>
      </c>
      <c r="E105" s="64">
        <v>1</v>
      </c>
    </row>
    <row r="106" spans="1:5">
      <c r="A106" s="64" t="s">
        <v>4</v>
      </c>
      <c r="B106" s="65">
        <v>43236</v>
      </c>
      <c r="C106" s="66" t="s">
        <v>218</v>
      </c>
      <c r="D106" s="3" t="s">
        <v>5</v>
      </c>
      <c r="E106" s="64">
        <v>1</v>
      </c>
    </row>
    <row r="107" spans="1:5">
      <c r="A107" s="64" t="s">
        <v>4</v>
      </c>
      <c r="B107" s="65">
        <v>43237</v>
      </c>
      <c r="C107" s="66" t="s">
        <v>219</v>
      </c>
      <c r="D107" s="3" t="s">
        <v>5</v>
      </c>
      <c r="E107" s="64">
        <v>1</v>
      </c>
    </row>
    <row r="108" spans="1:5">
      <c r="A108" s="64" t="s">
        <v>4</v>
      </c>
      <c r="B108" s="65">
        <v>43238</v>
      </c>
      <c r="C108" s="66" t="s">
        <v>220</v>
      </c>
      <c r="D108" s="3" t="s">
        <v>5</v>
      </c>
      <c r="E108" s="64">
        <v>1</v>
      </c>
    </row>
    <row r="109" spans="1:5">
      <c r="A109" s="64" t="s">
        <v>4</v>
      </c>
      <c r="B109" s="65">
        <v>43241</v>
      </c>
      <c r="C109" s="66" t="s">
        <v>216</v>
      </c>
      <c r="D109" s="3" t="s">
        <v>5</v>
      </c>
      <c r="E109" s="64">
        <v>1</v>
      </c>
    </row>
    <row r="110" spans="1:5">
      <c r="A110" s="64" t="s">
        <v>4</v>
      </c>
      <c r="B110" s="65">
        <v>43242</v>
      </c>
      <c r="C110" s="66" t="s">
        <v>217</v>
      </c>
      <c r="D110" s="3" t="s">
        <v>5</v>
      </c>
      <c r="E110" s="64">
        <v>1</v>
      </c>
    </row>
    <row r="111" spans="1:5">
      <c r="A111" s="64" t="s">
        <v>4</v>
      </c>
      <c r="B111" s="65">
        <v>43243</v>
      </c>
      <c r="C111" s="66" t="s">
        <v>218</v>
      </c>
      <c r="D111" s="3" t="s">
        <v>5</v>
      </c>
      <c r="E111" s="64">
        <v>1</v>
      </c>
    </row>
    <row r="112" spans="1:5">
      <c r="A112" s="64" t="s">
        <v>4</v>
      </c>
      <c r="B112" s="65">
        <v>43244</v>
      </c>
      <c r="C112" s="66" t="s">
        <v>219</v>
      </c>
      <c r="D112" s="3" t="s">
        <v>5</v>
      </c>
      <c r="E112" s="64">
        <v>1</v>
      </c>
    </row>
    <row r="113" spans="1:5">
      <c r="A113" s="64" t="s">
        <v>4</v>
      </c>
      <c r="B113" s="65">
        <v>43245</v>
      </c>
      <c r="C113" s="66" t="s">
        <v>220</v>
      </c>
      <c r="D113" s="3" t="s">
        <v>5</v>
      </c>
      <c r="E113" s="64">
        <v>1</v>
      </c>
    </row>
    <row r="114" spans="1:5">
      <c r="A114" s="64" t="s">
        <v>4</v>
      </c>
      <c r="B114" s="65">
        <v>43248</v>
      </c>
      <c r="C114" s="66" t="s">
        <v>216</v>
      </c>
      <c r="D114" s="3" t="s">
        <v>5</v>
      </c>
      <c r="E114" s="64">
        <v>1</v>
      </c>
    </row>
    <row r="115" spans="1:5">
      <c r="A115" s="64" t="s">
        <v>4</v>
      </c>
      <c r="B115" s="65">
        <v>43249</v>
      </c>
      <c r="C115" s="66" t="s">
        <v>217</v>
      </c>
      <c r="D115" s="3" t="s">
        <v>5</v>
      </c>
      <c r="E115" s="64">
        <v>1</v>
      </c>
    </row>
    <row r="116" spans="1:5">
      <c r="A116" s="64" t="s">
        <v>4</v>
      </c>
      <c r="B116" s="65">
        <v>43250</v>
      </c>
      <c r="C116" s="66" t="s">
        <v>218</v>
      </c>
      <c r="D116" s="3" t="s">
        <v>5</v>
      </c>
      <c r="E116" s="64">
        <v>1</v>
      </c>
    </row>
    <row r="117" spans="1:5">
      <c r="A117" s="64" t="s">
        <v>4</v>
      </c>
      <c r="B117" s="65">
        <v>43251</v>
      </c>
      <c r="C117" s="66" t="s">
        <v>219</v>
      </c>
      <c r="D117" s="3" t="s">
        <v>5</v>
      </c>
      <c r="E117" s="64">
        <v>1</v>
      </c>
    </row>
    <row r="118" spans="1:5">
      <c r="A118" s="64" t="s">
        <v>4</v>
      </c>
      <c r="B118" s="65">
        <v>43252</v>
      </c>
      <c r="C118" s="66" t="s">
        <v>220</v>
      </c>
      <c r="D118" s="3" t="s">
        <v>5</v>
      </c>
      <c r="E118" s="64">
        <v>1</v>
      </c>
    </row>
    <row r="119" spans="1:5">
      <c r="A119" s="64" t="s">
        <v>4</v>
      </c>
      <c r="B119" s="65">
        <v>43255</v>
      </c>
      <c r="C119" s="66" t="s">
        <v>216</v>
      </c>
      <c r="D119" s="3" t="s">
        <v>5</v>
      </c>
      <c r="E119" s="64">
        <v>1</v>
      </c>
    </row>
    <row r="120" spans="1:5">
      <c r="A120" s="64" t="s">
        <v>4</v>
      </c>
      <c r="B120" s="65">
        <v>43256</v>
      </c>
      <c r="C120" s="66" t="s">
        <v>217</v>
      </c>
      <c r="D120" s="3" t="s">
        <v>5</v>
      </c>
      <c r="E120" s="64">
        <v>1</v>
      </c>
    </row>
    <row r="121" spans="1:5">
      <c r="A121" s="64" t="s">
        <v>4</v>
      </c>
      <c r="B121" s="65">
        <v>43257</v>
      </c>
      <c r="C121" s="66" t="s">
        <v>218</v>
      </c>
      <c r="D121" s="3" t="s">
        <v>5</v>
      </c>
      <c r="E121" s="64">
        <v>1</v>
      </c>
    </row>
    <row r="122" spans="1:5">
      <c r="A122" s="64" t="s">
        <v>4</v>
      </c>
      <c r="B122" s="65">
        <v>43258</v>
      </c>
      <c r="C122" s="66" t="s">
        <v>219</v>
      </c>
      <c r="D122" s="3" t="s">
        <v>5</v>
      </c>
      <c r="E122" s="64">
        <v>1</v>
      </c>
    </row>
    <row r="123" spans="1:5">
      <c r="A123" s="64" t="s">
        <v>4</v>
      </c>
      <c r="B123" s="65">
        <v>43259</v>
      </c>
      <c r="C123" s="66" t="s">
        <v>220</v>
      </c>
      <c r="D123" s="3" t="s">
        <v>5</v>
      </c>
      <c r="E123" s="64">
        <v>1</v>
      </c>
    </row>
    <row r="124" spans="1:5">
      <c r="A124" s="64" t="s">
        <v>4</v>
      </c>
      <c r="B124" s="65">
        <v>43262</v>
      </c>
      <c r="C124" s="66" t="s">
        <v>216</v>
      </c>
      <c r="D124" s="3" t="s">
        <v>5</v>
      </c>
      <c r="E124" s="64">
        <v>1</v>
      </c>
    </row>
    <row r="125" spans="1:5">
      <c r="A125" s="64" t="s">
        <v>4</v>
      </c>
      <c r="B125" s="65">
        <v>43263</v>
      </c>
      <c r="C125" s="66" t="s">
        <v>217</v>
      </c>
      <c r="D125" s="3" t="s">
        <v>5</v>
      </c>
      <c r="E125" s="64">
        <v>1</v>
      </c>
    </row>
    <row r="126" spans="1:5">
      <c r="A126" s="64" t="s">
        <v>4</v>
      </c>
      <c r="B126" s="65">
        <v>43264</v>
      </c>
      <c r="C126" s="66" t="s">
        <v>218</v>
      </c>
      <c r="D126" s="3" t="s">
        <v>5</v>
      </c>
      <c r="E126" s="64">
        <v>1</v>
      </c>
    </row>
    <row r="127" spans="1:5">
      <c r="A127" s="64" t="s">
        <v>4</v>
      </c>
      <c r="B127" s="65">
        <v>43265</v>
      </c>
      <c r="C127" s="66" t="s">
        <v>219</v>
      </c>
      <c r="D127" s="3" t="s">
        <v>5</v>
      </c>
      <c r="E127" s="64">
        <v>1</v>
      </c>
    </row>
    <row r="128" spans="1:5">
      <c r="A128" s="64" t="s">
        <v>4</v>
      </c>
      <c r="B128" s="65">
        <v>43266</v>
      </c>
      <c r="C128" s="66" t="s">
        <v>220</v>
      </c>
      <c r="D128" s="3" t="s">
        <v>5</v>
      </c>
      <c r="E128" s="64">
        <v>1</v>
      </c>
    </row>
    <row r="129" spans="1:5">
      <c r="A129" s="64" t="s">
        <v>4</v>
      </c>
      <c r="B129" s="65">
        <v>43269</v>
      </c>
      <c r="C129" s="66" t="s">
        <v>216</v>
      </c>
      <c r="D129" s="3" t="s">
        <v>5</v>
      </c>
      <c r="E129" s="64">
        <v>1</v>
      </c>
    </row>
    <row r="130" spans="1:5">
      <c r="A130" s="64" t="s">
        <v>4</v>
      </c>
      <c r="B130" s="65">
        <v>43270</v>
      </c>
      <c r="C130" s="66" t="s">
        <v>217</v>
      </c>
      <c r="D130" s="3" t="s">
        <v>5</v>
      </c>
      <c r="E130" s="64">
        <v>1</v>
      </c>
    </row>
    <row r="131" spans="1:5">
      <c r="A131" s="64" t="s">
        <v>4</v>
      </c>
      <c r="B131" s="65">
        <v>43271</v>
      </c>
      <c r="C131" s="66" t="s">
        <v>218</v>
      </c>
      <c r="D131" s="3" t="s">
        <v>5</v>
      </c>
      <c r="E131" s="64">
        <v>1</v>
      </c>
    </row>
    <row r="132" spans="1:5">
      <c r="A132" s="64" t="s">
        <v>4</v>
      </c>
      <c r="B132" s="65">
        <v>43272</v>
      </c>
      <c r="C132" s="66" t="s">
        <v>219</v>
      </c>
      <c r="D132" s="3" t="s">
        <v>5</v>
      </c>
      <c r="E132" s="64">
        <v>1</v>
      </c>
    </row>
    <row r="133" spans="1:5">
      <c r="A133" s="64" t="s">
        <v>4</v>
      </c>
      <c r="B133" s="65">
        <v>43273</v>
      </c>
      <c r="C133" s="66" t="s">
        <v>220</v>
      </c>
      <c r="D133" s="3" t="s">
        <v>5</v>
      </c>
      <c r="E133" s="64">
        <v>1</v>
      </c>
    </row>
    <row r="134" spans="1:5">
      <c r="A134" s="64" t="s">
        <v>4</v>
      </c>
      <c r="B134" s="65">
        <v>43276</v>
      </c>
      <c r="C134" s="66" t="s">
        <v>216</v>
      </c>
      <c r="D134" s="3" t="s">
        <v>5</v>
      </c>
      <c r="E134" s="64">
        <v>1</v>
      </c>
    </row>
    <row r="135" spans="1:5">
      <c r="A135" s="64" t="s">
        <v>4</v>
      </c>
      <c r="B135" s="65">
        <v>43277</v>
      </c>
      <c r="C135" s="66" t="s">
        <v>217</v>
      </c>
      <c r="D135" s="3" t="s">
        <v>5</v>
      </c>
      <c r="E135" s="64">
        <v>1</v>
      </c>
    </row>
    <row r="136" spans="1:5">
      <c r="A136" s="64" t="s">
        <v>4</v>
      </c>
      <c r="B136" s="65">
        <v>43278</v>
      </c>
      <c r="C136" s="66" t="s">
        <v>218</v>
      </c>
      <c r="D136" s="3" t="s">
        <v>5</v>
      </c>
      <c r="E136" s="64">
        <v>1</v>
      </c>
    </row>
    <row r="137" spans="1:5">
      <c r="A137" s="64" t="s">
        <v>4</v>
      </c>
      <c r="B137" s="65">
        <v>43279</v>
      </c>
      <c r="C137" s="66" t="s">
        <v>219</v>
      </c>
      <c r="D137" s="3" t="s">
        <v>5</v>
      </c>
      <c r="E137" s="64">
        <v>1</v>
      </c>
    </row>
    <row r="138" spans="1:5">
      <c r="A138" s="64" t="s">
        <v>4</v>
      </c>
      <c r="B138" s="65">
        <v>43280</v>
      </c>
      <c r="C138" s="66" t="s">
        <v>220</v>
      </c>
      <c r="D138" s="3" t="s">
        <v>5</v>
      </c>
      <c r="E138" s="64">
        <v>1</v>
      </c>
    </row>
    <row r="139" spans="1:5">
      <c r="A139" s="64" t="s">
        <v>4</v>
      </c>
      <c r="B139" s="65">
        <v>43283</v>
      </c>
      <c r="C139" s="66" t="s">
        <v>216</v>
      </c>
      <c r="D139" s="3" t="s">
        <v>5</v>
      </c>
      <c r="E139" s="64">
        <v>1</v>
      </c>
    </row>
    <row r="140" spans="1:5">
      <c r="A140" s="64" t="s">
        <v>4</v>
      </c>
      <c r="B140" s="65">
        <v>43284</v>
      </c>
      <c r="C140" s="66" t="s">
        <v>217</v>
      </c>
      <c r="D140" s="3" t="s">
        <v>5</v>
      </c>
      <c r="E140" s="64">
        <v>1</v>
      </c>
    </row>
    <row r="141" spans="1:5">
      <c r="A141" s="64" t="s">
        <v>4</v>
      </c>
      <c r="B141" s="65">
        <v>43285</v>
      </c>
      <c r="C141" s="66" t="s">
        <v>218</v>
      </c>
      <c r="D141" s="3" t="s">
        <v>5</v>
      </c>
      <c r="E141" s="64">
        <v>1</v>
      </c>
    </row>
    <row r="142" spans="1:5">
      <c r="A142" s="64" t="s">
        <v>4</v>
      </c>
      <c r="B142" s="65">
        <v>43286</v>
      </c>
      <c r="C142" s="66" t="s">
        <v>219</v>
      </c>
      <c r="D142" s="3" t="s">
        <v>5</v>
      </c>
      <c r="E142" s="64">
        <v>1</v>
      </c>
    </row>
    <row r="143" spans="1:5">
      <c r="A143" s="64" t="s">
        <v>4</v>
      </c>
      <c r="B143" s="65">
        <v>43287</v>
      </c>
      <c r="C143" s="66" t="s">
        <v>220</v>
      </c>
      <c r="D143" s="3" t="s">
        <v>5</v>
      </c>
      <c r="E143" s="64">
        <v>1</v>
      </c>
    </row>
    <row r="144" spans="1:5">
      <c r="A144" s="64" t="s">
        <v>4</v>
      </c>
      <c r="B144" s="65">
        <v>43290</v>
      </c>
      <c r="C144" s="66" t="s">
        <v>216</v>
      </c>
      <c r="D144" s="3" t="s">
        <v>5</v>
      </c>
      <c r="E144" s="64">
        <v>1</v>
      </c>
    </row>
    <row r="145" spans="1:5">
      <c r="A145" s="64" t="s">
        <v>4</v>
      </c>
      <c r="B145" s="65">
        <v>43291</v>
      </c>
      <c r="C145" s="66" t="s">
        <v>217</v>
      </c>
      <c r="D145" s="3" t="s">
        <v>5</v>
      </c>
      <c r="E145" s="64">
        <v>1</v>
      </c>
    </row>
    <row r="146" spans="1:5">
      <c r="A146" s="64" t="s">
        <v>4</v>
      </c>
      <c r="B146" s="65">
        <v>43292</v>
      </c>
      <c r="C146" s="66" t="s">
        <v>218</v>
      </c>
      <c r="D146" s="3" t="s">
        <v>5</v>
      </c>
      <c r="E146" s="64">
        <v>1</v>
      </c>
    </row>
    <row r="147" spans="1:5">
      <c r="A147" s="64" t="s">
        <v>4</v>
      </c>
      <c r="B147" s="65">
        <v>43293</v>
      </c>
      <c r="C147" s="66" t="s">
        <v>219</v>
      </c>
      <c r="D147" s="3" t="s">
        <v>5</v>
      </c>
      <c r="E147" s="64">
        <v>1</v>
      </c>
    </row>
    <row r="148" spans="1:5">
      <c r="A148" s="64" t="s">
        <v>4</v>
      </c>
      <c r="B148" s="65">
        <v>43294</v>
      </c>
      <c r="C148" s="66" t="s">
        <v>220</v>
      </c>
      <c r="D148" s="3" t="s">
        <v>5</v>
      </c>
      <c r="E148" s="64">
        <v>1</v>
      </c>
    </row>
    <row r="149" spans="1:5">
      <c r="A149" s="64" t="s">
        <v>4</v>
      </c>
      <c r="B149" s="65">
        <v>43297</v>
      </c>
      <c r="C149" s="66" t="s">
        <v>216</v>
      </c>
      <c r="D149" s="3" t="s">
        <v>5</v>
      </c>
      <c r="E149" s="64">
        <v>1</v>
      </c>
    </row>
    <row r="150" spans="1:5">
      <c r="A150" s="64" t="s">
        <v>4</v>
      </c>
      <c r="B150" s="65">
        <v>43298</v>
      </c>
      <c r="C150" s="66" t="s">
        <v>217</v>
      </c>
      <c r="D150" s="3" t="s">
        <v>5</v>
      </c>
      <c r="E150" s="64">
        <v>1</v>
      </c>
    </row>
    <row r="151" spans="1:5">
      <c r="A151" s="64" t="s">
        <v>4</v>
      </c>
      <c r="B151" s="65">
        <v>43299</v>
      </c>
      <c r="C151" s="66" t="s">
        <v>218</v>
      </c>
      <c r="D151" s="3" t="s">
        <v>5</v>
      </c>
      <c r="E151" s="64">
        <v>1</v>
      </c>
    </row>
    <row r="152" spans="1:5">
      <c r="A152" s="64" t="s">
        <v>4</v>
      </c>
      <c r="B152" s="65">
        <v>43300</v>
      </c>
      <c r="C152" s="66" t="s">
        <v>219</v>
      </c>
      <c r="D152" s="3" t="s">
        <v>5</v>
      </c>
      <c r="E152" s="64">
        <v>1</v>
      </c>
    </row>
    <row r="153" spans="1:5">
      <c r="A153" s="64" t="s">
        <v>4</v>
      </c>
      <c r="B153" s="65">
        <v>43301</v>
      </c>
      <c r="C153" s="66" t="s">
        <v>220</v>
      </c>
      <c r="D153" s="3" t="s">
        <v>5</v>
      </c>
      <c r="E153" s="64">
        <v>1</v>
      </c>
    </row>
    <row r="154" spans="1:5">
      <c r="A154" s="64" t="s">
        <v>4</v>
      </c>
      <c r="B154" s="65">
        <v>43304</v>
      </c>
      <c r="C154" s="66" t="s">
        <v>216</v>
      </c>
      <c r="D154" s="3" t="s">
        <v>5</v>
      </c>
      <c r="E154" s="64">
        <v>1</v>
      </c>
    </row>
    <row r="155" spans="1:5">
      <c r="A155" s="64" t="s">
        <v>4</v>
      </c>
      <c r="B155" s="65">
        <v>43305</v>
      </c>
      <c r="C155" s="66" t="s">
        <v>217</v>
      </c>
      <c r="D155" s="3" t="s">
        <v>5</v>
      </c>
      <c r="E155" s="64">
        <v>1</v>
      </c>
    </row>
    <row r="156" spans="1:5">
      <c r="A156" s="64" t="s">
        <v>4</v>
      </c>
      <c r="B156" s="65">
        <v>43306</v>
      </c>
      <c r="C156" s="66" t="s">
        <v>218</v>
      </c>
      <c r="D156" s="3" t="s">
        <v>5</v>
      </c>
      <c r="E156" s="64">
        <v>1</v>
      </c>
    </row>
    <row r="157" spans="1:5">
      <c r="A157" s="64" t="s">
        <v>4</v>
      </c>
      <c r="B157" s="65">
        <v>43307</v>
      </c>
      <c r="C157" s="66" t="s">
        <v>219</v>
      </c>
      <c r="D157" s="3" t="s">
        <v>5</v>
      </c>
      <c r="E157" s="64">
        <v>1</v>
      </c>
    </row>
    <row r="158" spans="1:5">
      <c r="A158" s="64" t="s">
        <v>4</v>
      </c>
      <c r="B158" s="65">
        <v>43308</v>
      </c>
      <c r="C158" s="66" t="s">
        <v>220</v>
      </c>
      <c r="D158" s="3" t="s">
        <v>5</v>
      </c>
      <c r="E158" s="64">
        <v>1</v>
      </c>
    </row>
    <row r="159" spans="1:5">
      <c r="A159" s="64" t="s">
        <v>4</v>
      </c>
      <c r="B159" s="65">
        <v>43311</v>
      </c>
      <c r="C159" s="66" t="s">
        <v>216</v>
      </c>
      <c r="D159" s="3" t="s">
        <v>5</v>
      </c>
      <c r="E159" s="64">
        <v>1</v>
      </c>
    </row>
    <row r="160" spans="1:5">
      <c r="A160" s="64" t="s">
        <v>4</v>
      </c>
      <c r="B160" s="65">
        <v>43312</v>
      </c>
      <c r="C160" s="66" t="s">
        <v>217</v>
      </c>
      <c r="D160" s="3" t="s">
        <v>5</v>
      </c>
      <c r="E160" s="64">
        <v>1</v>
      </c>
    </row>
    <row r="161" spans="1:5">
      <c r="A161" s="64" t="s">
        <v>4</v>
      </c>
      <c r="B161" s="65">
        <v>43313</v>
      </c>
      <c r="C161" s="66" t="s">
        <v>218</v>
      </c>
      <c r="D161" s="3" t="s">
        <v>5</v>
      </c>
      <c r="E161" s="64">
        <v>1</v>
      </c>
    </row>
    <row r="162" spans="1:5">
      <c r="A162" s="64" t="s">
        <v>4</v>
      </c>
      <c r="B162" s="65">
        <v>43314</v>
      </c>
      <c r="C162" s="66" t="s">
        <v>219</v>
      </c>
      <c r="D162" s="3" t="s">
        <v>5</v>
      </c>
      <c r="E162" s="64">
        <v>1</v>
      </c>
    </row>
    <row r="163" spans="1:5">
      <c r="A163" s="64" t="s">
        <v>4</v>
      </c>
      <c r="B163" s="65">
        <v>43315</v>
      </c>
      <c r="C163" s="66" t="s">
        <v>220</v>
      </c>
      <c r="D163" s="3" t="s">
        <v>5</v>
      </c>
      <c r="E163" s="64">
        <v>1</v>
      </c>
    </row>
    <row r="164" spans="1:5">
      <c r="A164" s="64" t="s">
        <v>4</v>
      </c>
      <c r="B164" s="65">
        <v>43318</v>
      </c>
      <c r="C164" s="66" t="s">
        <v>216</v>
      </c>
      <c r="D164" s="3" t="s">
        <v>5</v>
      </c>
      <c r="E164" s="64">
        <v>1</v>
      </c>
    </row>
    <row r="165" spans="1:5">
      <c r="A165" s="64" t="s">
        <v>4</v>
      </c>
      <c r="B165" s="65">
        <v>43319</v>
      </c>
      <c r="C165" s="66" t="s">
        <v>217</v>
      </c>
      <c r="D165" s="3" t="s">
        <v>5</v>
      </c>
      <c r="E165" s="64">
        <v>1</v>
      </c>
    </row>
    <row r="166" spans="1:5">
      <c r="A166" s="64" t="s">
        <v>4</v>
      </c>
      <c r="B166" s="65">
        <v>43320</v>
      </c>
      <c r="C166" s="66" t="s">
        <v>218</v>
      </c>
      <c r="D166" s="3" t="s">
        <v>5</v>
      </c>
      <c r="E166" s="64">
        <v>1</v>
      </c>
    </row>
    <row r="167" spans="1:5">
      <c r="A167" s="64" t="s">
        <v>4</v>
      </c>
      <c r="B167" s="65">
        <v>43321</v>
      </c>
      <c r="C167" s="66" t="s">
        <v>219</v>
      </c>
      <c r="D167" s="3" t="s">
        <v>5</v>
      </c>
      <c r="E167" s="64">
        <v>1</v>
      </c>
    </row>
    <row r="168" spans="1:5">
      <c r="A168" s="64" t="s">
        <v>4</v>
      </c>
      <c r="B168" s="65">
        <v>43322</v>
      </c>
      <c r="C168" s="66" t="s">
        <v>220</v>
      </c>
      <c r="D168" s="3" t="s">
        <v>5</v>
      </c>
      <c r="E168" s="64">
        <v>1</v>
      </c>
    </row>
    <row r="169" spans="1:5">
      <c r="A169" s="64" t="s">
        <v>4</v>
      </c>
      <c r="B169" s="65">
        <v>43325</v>
      </c>
      <c r="C169" s="66" t="s">
        <v>216</v>
      </c>
      <c r="D169" s="3" t="s">
        <v>5</v>
      </c>
      <c r="E169" s="64">
        <v>1</v>
      </c>
    </row>
    <row r="170" spans="1:5">
      <c r="A170" s="64" t="s">
        <v>4</v>
      </c>
      <c r="B170" s="65">
        <v>43326</v>
      </c>
      <c r="C170" s="66" t="s">
        <v>217</v>
      </c>
      <c r="D170" s="3" t="s">
        <v>5</v>
      </c>
      <c r="E170" s="64">
        <v>1</v>
      </c>
    </row>
    <row r="171" spans="1:5">
      <c r="A171" s="64" t="s">
        <v>4</v>
      </c>
      <c r="B171" s="65">
        <v>43327</v>
      </c>
      <c r="C171" s="66" t="s">
        <v>218</v>
      </c>
      <c r="D171" s="3" t="s">
        <v>5</v>
      </c>
      <c r="E171" s="64">
        <v>1</v>
      </c>
    </row>
    <row r="172" spans="1:5">
      <c r="A172" s="64" t="s">
        <v>4</v>
      </c>
      <c r="B172" s="65">
        <v>43328</v>
      </c>
      <c r="C172" s="66" t="s">
        <v>219</v>
      </c>
      <c r="D172" s="3" t="s">
        <v>5</v>
      </c>
      <c r="E172" s="64">
        <v>1</v>
      </c>
    </row>
    <row r="173" spans="1:5">
      <c r="A173" s="64" t="s">
        <v>4</v>
      </c>
      <c r="B173" s="65">
        <v>43329</v>
      </c>
      <c r="C173" s="66" t="s">
        <v>220</v>
      </c>
      <c r="D173" s="3" t="s">
        <v>5</v>
      </c>
      <c r="E173" s="64">
        <v>1</v>
      </c>
    </row>
    <row r="174" spans="1:5">
      <c r="A174" s="64" t="s">
        <v>4</v>
      </c>
      <c r="B174" s="65">
        <v>43332</v>
      </c>
      <c r="C174" s="66" t="s">
        <v>216</v>
      </c>
      <c r="D174" s="3" t="s">
        <v>5</v>
      </c>
      <c r="E174" s="64">
        <v>1</v>
      </c>
    </row>
    <row r="175" spans="1:5">
      <c r="A175" s="64" t="s">
        <v>4</v>
      </c>
      <c r="B175" s="65">
        <v>43333</v>
      </c>
      <c r="C175" s="66" t="s">
        <v>217</v>
      </c>
      <c r="D175" s="3" t="s">
        <v>5</v>
      </c>
      <c r="E175" s="64">
        <v>1</v>
      </c>
    </row>
    <row r="176" spans="1:5">
      <c r="A176" s="64" t="s">
        <v>4</v>
      </c>
      <c r="B176" s="65">
        <v>43334</v>
      </c>
      <c r="C176" s="66" t="s">
        <v>218</v>
      </c>
      <c r="D176" s="3" t="s">
        <v>5</v>
      </c>
      <c r="E176" s="64">
        <v>1</v>
      </c>
    </row>
    <row r="177" spans="1:5">
      <c r="A177" s="64" t="s">
        <v>4</v>
      </c>
      <c r="B177" s="65">
        <v>43335</v>
      </c>
      <c r="C177" s="66" t="s">
        <v>219</v>
      </c>
      <c r="D177" s="3" t="s">
        <v>5</v>
      </c>
      <c r="E177" s="64">
        <v>1</v>
      </c>
    </row>
    <row r="178" spans="1:5">
      <c r="A178" s="64" t="s">
        <v>4</v>
      </c>
      <c r="B178" s="65">
        <v>43336</v>
      </c>
      <c r="C178" s="66" t="s">
        <v>220</v>
      </c>
      <c r="D178" s="3" t="s">
        <v>5</v>
      </c>
      <c r="E178" s="64">
        <v>1</v>
      </c>
    </row>
    <row r="179" spans="1:5">
      <c r="A179" s="64" t="s">
        <v>4</v>
      </c>
      <c r="B179" s="65">
        <v>43339</v>
      </c>
      <c r="C179" s="66" t="s">
        <v>216</v>
      </c>
      <c r="D179" s="3" t="s">
        <v>5</v>
      </c>
      <c r="E179" s="64">
        <v>1</v>
      </c>
    </row>
    <row r="180" spans="1:5">
      <c r="A180" s="64" t="s">
        <v>4</v>
      </c>
      <c r="B180" s="65">
        <v>43340</v>
      </c>
      <c r="C180" s="66" t="s">
        <v>217</v>
      </c>
      <c r="D180" s="3" t="s">
        <v>5</v>
      </c>
      <c r="E180" s="64">
        <v>1</v>
      </c>
    </row>
    <row r="181" spans="1:5">
      <c r="A181" s="64" t="s">
        <v>4</v>
      </c>
      <c r="B181" s="65">
        <v>43341</v>
      </c>
      <c r="C181" s="66" t="s">
        <v>218</v>
      </c>
      <c r="D181" s="3" t="s">
        <v>5</v>
      </c>
      <c r="E181" s="64">
        <v>1</v>
      </c>
    </row>
    <row r="182" spans="1:5">
      <c r="A182" s="64" t="s">
        <v>4</v>
      </c>
      <c r="B182" s="65">
        <v>43342</v>
      </c>
      <c r="C182" s="66" t="s">
        <v>219</v>
      </c>
      <c r="D182" s="3" t="s">
        <v>5</v>
      </c>
      <c r="E182" s="64">
        <v>1</v>
      </c>
    </row>
    <row r="183" spans="1:5">
      <c r="A183" s="64" t="s">
        <v>4</v>
      </c>
      <c r="B183" s="65">
        <v>43343</v>
      </c>
      <c r="C183" s="66" t="s">
        <v>220</v>
      </c>
      <c r="D183" s="3" t="s">
        <v>5</v>
      </c>
      <c r="E183" s="64">
        <v>1</v>
      </c>
    </row>
    <row r="184" spans="1:5">
      <c r="A184" s="64" t="s">
        <v>4</v>
      </c>
      <c r="B184" s="65">
        <v>43346</v>
      </c>
      <c r="C184" s="66" t="s">
        <v>216</v>
      </c>
      <c r="D184" s="3" t="s">
        <v>5</v>
      </c>
      <c r="E184" s="64">
        <v>1</v>
      </c>
    </row>
    <row r="185" spans="1:5">
      <c r="A185" s="64" t="s">
        <v>4</v>
      </c>
      <c r="B185" s="65">
        <v>43347</v>
      </c>
      <c r="C185" s="66" t="s">
        <v>217</v>
      </c>
      <c r="D185" s="3" t="s">
        <v>5</v>
      </c>
      <c r="E185" s="64">
        <v>1</v>
      </c>
    </row>
    <row r="186" spans="1:5">
      <c r="A186" s="64" t="s">
        <v>4</v>
      </c>
      <c r="B186" s="65">
        <v>43348</v>
      </c>
      <c r="C186" s="66" t="s">
        <v>218</v>
      </c>
      <c r="D186" s="3" t="s">
        <v>5</v>
      </c>
      <c r="E186" s="64">
        <v>1</v>
      </c>
    </row>
    <row r="187" spans="1:5">
      <c r="A187" s="64" t="s">
        <v>4</v>
      </c>
      <c r="B187" s="65">
        <v>43349</v>
      </c>
      <c r="C187" s="66" t="s">
        <v>219</v>
      </c>
      <c r="D187" s="3" t="s">
        <v>5</v>
      </c>
      <c r="E187" s="64">
        <v>1</v>
      </c>
    </row>
    <row r="188" spans="1:5">
      <c r="A188" s="64" t="s">
        <v>4</v>
      </c>
      <c r="B188" s="65">
        <v>43350</v>
      </c>
      <c r="C188" s="66" t="s">
        <v>220</v>
      </c>
      <c r="D188" s="3" t="s">
        <v>5</v>
      </c>
      <c r="E188" s="64">
        <v>1</v>
      </c>
    </row>
    <row r="189" spans="1:5">
      <c r="A189" s="64" t="s">
        <v>4</v>
      </c>
      <c r="B189" s="65">
        <v>43353</v>
      </c>
      <c r="C189" s="66" t="s">
        <v>216</v>
      </c>
      <c r="D189" s="3" t="s">
        <v>5</v>
      </c>
      <c r="E189" s="64">
        <v>1</v>
      </c>
    </row>
    <row r="190" spans="1:5">
      <c r="A190" s="64" t="s">
        <v>4</v>
      </c>
      <c r="B190" s="65">
        <v>43354</v>
      </c>
      <c r="C190" s="66" t="s">
        <v>217</v>
      </c>
      <c r="D190" s="3" t="s">
        <v>5</v>
      </c>
      <c r="E190" s="64">
        <v>1</v>
      </c>
    </row>
    <row r="191" spans="1:5">
      <c r="A191" s="64" t="s">
        <v>4</v>
      </c>
      <c r="B191" s="65">
        <v>43355</v>
      </c>
      <c r="C191" s="66" t="s">
        <v>218</v>
      </c>
      <c r="D191" s="3" t="s">
        <v>5</v>
      </c>
      <c r="E191" s="64">
        <v>1</v>
      </c>
    </row>
    <row r="192" spans="1:5">
      <c r="A192" s="64" t="s">
        <v>4</v>
      </c>
      <c r="B192" s="65">
        <v>43356</v>
      </c>
      <c r="C192" s="66" t="s">
        <v>219</v>
      </c>
      <c r="D192" s="3" t="s">
        <v>5</v>
      </c>
      <c r="E192" s="64">
        <v>1</v>
      </c>
    </row>
    <row r="193" spans="1:5">
      <c r="A193" s="64" t="s">
        <v>4</v>
      </c>
      <c r="B193" s="65">
        <v>43357</v>
      </c>
      <c r="C193" s="66" t="s">
        <v>220</v>
      </c>
      <c r="D193" s="3" t="s">
        <v>5</v>
      </c>
      <c r="E193" s="64">
        <v>1</v>
      </c>
    </row>
    <row r="194" spans="1:5">
      <c r="A194" s="64" t="s">
        <v>4</v>
      </c>
      <c r="B194" s="65">
        <v>43360</v>
      </c>
      <c r="C194" s="66" t="s">
        <v>216</v>
      </c>
      <c r="D194" s="3" t="s">
        <v>5</v>
      </c>
      <c r="E194" s="64">
        <v>1</v>
      </c>
    </row>
    <row r="195" spans="1:5">
      <c r="A195" s="64" t="s">
        <v>4</v>
      </c>
      <c r="B195" s="65">
        <v>43361</v>
      </c>
      <c r="C195" s="66" t="s">
        <v>217</v>
      </c>
      <c r="D195" s="3" t="s">
        <v>5</v>
      </c>
      <c r="E195" s="64">
        <v>1</v>
      </c>
    </row>
    <row r="196" spans="1:5">
      <c r="A196" s="64" t="s">
        <v>4</v>
      </c>
      <c r="B196" s="65">
        <v>43362</v>
      </c>
      <c r="C196" s="66" t="s">
        <v>218</v>
      </c>
      <c r="D196" s="3" t="s">
        <v>5</v>
      </c>
      <c r="E196" s="64">
        <v>1</v>
      </c>
    </row>
    <row r="197" spans="1:5">
      <c r="A197" s="64" t="s">
        <v>4</v>
      </c>
      <c r="B197" s="65">
        <v>43363</v>
      </c>
      <c r="C197" s="66" t="s">
        <v>219</v>
      </c>
      <c r="D197" s="3" t="s">
        <v>5</v>
      </c>
      <c r="E197" s="64">
        <v>1</v>
      </c>
    </row>
    <row r="198" spans="1:5">
      <c r="A198" s="64" t="s">
        <v>4</v>
      </c>
      <c r="B198" s="65">
        <v>43364</v>
      </c>
      <c r="C198" s="66" t="s">
        <v>220</v>
      </c>
      <c r="D198" s="3" t="s">
        <v>5</v>
      </c>
      <c r="E198" s="64">
        <v>1</v>
      </c>
    </row>
    <row r="199" spans="1:5">
      <c r="A199" s="64" t="s">
        <v>4</v>
      </c>
      <c r="B199" s="65">
        <v>43367</v>
      </c>
      <c r="C199" s="66" t="s">
        <v>216</v>
      </c>
      <c r="D199" s="3" t="s">
        <v>5</v>
      </c>
      <c r="E199" s="64">
        <v>1</v>
      </c>
    </row>
    <row r="200" spans="1:5">
      <c r="A200" s="64" t="s">
        <v>4</v>
      </c>
      <c r="B200" s="65">
        <v>43368</v>
      </c>
      <c r="C200" s="66" t="s">
        <v>217</v>
      </c>
      <c r="D200" s="3" t="s">
        <v>5</v>
      </c>
      <c r="E200" s="64">
        <v>1</v>
      </c>
    </row>
    <row r="201" spans="1:5">
      <c r="A201" s="64" t="s">
        <v>4</v>
      </c>
      <c r="B201" s="65">
        <v>43369</v>
      </c>
      <c r="C201" s="66" t="s">
        <v>218</v>
      </c>
      <c r="D201" s="3" t="s">
        <v>5</v>
      </c>
      <c r="E201" s="64">
        <v>1</v>
      </c>
    </row>
    <row r="202" spans="1:5">
      <c r="A202" s="64" t="s">
        <v>4</v>
      </c>
      <c r="B202" s="65">
        <v>43370</v>
      </c>
      <c r="C202" s="66" t="s">
        <v>219</v>
      </c>
      <c r="D202" s="3" t="s">
        <v>5</v>
      </c>
      <c r="E202" s="64">
        <v>1</v>
      </c>
    </row>
    <row r="203" spans="1:5">
      <c r="A203" s="64" t="s">
        <v>4</v>
      </c>
      <c r="B203" s="65">
        <v>43371</v>
      </c>
      <c r="C203" s="66" t="s">
        <v>220</v>
      </c>
      <c r="D203" s="3" t="s">
        <v>5</v>
      </c>
      <c r="E203" s="64">
        <v>1</v>
      </c>
    </row>
    <row r="204" spans="1:5">
      <c r="A204" s="64" t="s">
        <v>4</v>
      </c>
      <c r="B204" s="65">
        <v>43374</v>
      </c>
      <c r="C204" s="66" t="s">
        <v>216</v>
      </c>
      <c r="D204" s="3" t="s">
        <v>5</v>
      </c>
      <c r="E204" s="64">
        <v>1</v>
      </c>
    </row>
    <row r="205" spans="1:5">
      <c r="A205" s="64" t="s">
        <v>4</v>
      </c>
      <c r="B205" s="65">
        <v>43375</v>
      </c>
      <c r="C205" s="66" t="s">
        <v>217</v>
      </c>
      <c r="D205" s="3" t="s">
        <v>5</v>
      </c>
      <c r="E205" s="64">
        <v>1</v>
      </c>
    </row>
    <row r="206" spans="1:5">
      <c r="A206" s="64" t="s">
        <v>4</v>
      </c>
      <c r="B206" s="65">
        <v>43376</v>
      </c>
      <c r="C206" s="66" t="s">
        <v>218</v>
      </c>
      <c r="D206" s="3" t="s">
        <v>5</v>
      </c>
      <c r="E206" s="64">
        <v>1</v>
      </c>
    </row>
    <row r="207" spans="1:5">
      <c r="A207" s="64" t="s">
        <v>4</v>
      </c>
      <c r="B207" s="65">
        <v>43377</v>
      </c>
      <c r="C207" s="66" t="s">
        <v>219</v>
      </c>
      <c r="D207" s="3" t="s">
        <v>5</v>
      </c>
      <c r="E207" s="64">
        <v>1</v>
      </c>
    </row>
    <row r="208" spans="1:5">
      <c r="A208" s="64" t="s">
        <v>4</v>
      </c>
      <c r="B208" s="65">
        <v>43378</v>
      </c>
      <c r="C208" s="66" t="s">
        <v>220</v>
      </c>
      <c r="D208" s="3" t="s">
        <v>5</v>
      </c>
      <c r="E208" s="64">
        <v>1</v>
      </c>
    </row>
    <row r="209" spans="1:5">
      <c r="A209" s="64" t="s">
        <v>4</v>
      </c>
      <c r="B209" s="65">
        <v>43381</v>
      </c>
      <c r="C209" s="66" t="s">
        <v>216</v>
      </c>
      <c r="D209" s="3" t="s">
        <v>5</v>
      </c>
      <c r="E209" s="64">
        <v>1</v>
      </c>
    </row>
    <row r="210" spans="1:5">
      <c r="A210" s="64" t="s">
        <v>4</v>
      </c>
      <c r="B210" s="65">
        <v>43382</v>
      </c>
      <c r="C210" s="66" t="s">
        <v>217</v>
      </c>
      <c r="D210" s="3" t="s">
        <v>5</v>
      </c>
      <c r="E210" s="64">
        <v>1</v>
      </c>
    </row>
    <row r="211" spans="1:5">
      <c r="A211" s="64" t="s">
        <v>4</v>
      </c>
      <c r="B211" s="65">
        <v>43383</v>
      </c>
      <c r="C211" s="66" t="s">
        <v>218</v>
      </c>
      <c r="D211" s="3" t="s">
        <v>5</v>
      </c>
      <c r="E211" s="64">
        <v>1</v>
      </c>
    </row>
    <row r="212" spans="1:5">
      <c r="A212" s="64" t="s">
        <v>4</v>
      </c>
      <c r="B212" s="65">
        <v>43384</v>
      </c>
      <c r="C212" s="66" t="s">
        <v>219</v>
      </c>
      <c r="D212" s="3" t="s">
        <v>5</v>
      </c>
      <c r="E212" s="64">
        <v>1</v>
      </c>
    </row>
    <row r="213" spans="1:5">
      <c r="A213" s="64" t="s">
        <v>4</v>
      </c>
      <c r="B213" s="65">
        <v>43385</v>
      </c>
      <c r="C213" s="66" t="s">
        <v>220</v>
      </c>
      <c r="D213" s="3" t="s">
        <v>5</v>
      </c>
      <c r="E213" s="64">
        <v>1</v>
      </c>
    </row>
    <row r="214" spans="1:5">
      <c r="A214" s="64" t="s">
        <v>4</v>
      </c>
      <c r="B214" s="65">
        <v>43388</v>
      </c>
      <c r="C214" s="66" t="s">
        <v>216</v>
      </c>
      <c r="D214" s="3" t="s">
        <v>5</v>
      </c>
      <c r="E214" s="64">
        <v>1</v>
      </c>
    </row>
    <row r="215" spans="1:5">
      <c r="A215" s="64" t="s">
        <v>4</v>
      </c>
      <c r="B215" s="65">
        <v>43389</v>
      </c>
      <c r="C215" s="66" t="s">
        <v>217</v>
      </c>
      <c r="D215" s="3" t="s">
        <v>5</v>
      </c>
      <c r="E215" s="64">
        <v>1</v>
      </c>
    </row>
    <row r="216" spans="1:5">
      <c r="A216" s="64" t="s">
        <v>4</v>
      </c>
      <c r="B216" s="65">
        <v>43390</v>
      </c>
      <c r="C216" s="66" t="s">
        <v>218</v>
      </c>
      <c r="D216" s="3" t="s">
        <v>5</v>
      </c>
      <c r="E216" s="64">
        <v>1</v>
      </c>
    </row>
    <row r="217" spans="1:5">
      <c r="A217" s="64" t="s">
        <v>4</v>
      </c>
      <c r="B217" s="65">
        <v>43391</v>
      </c>
      <c r="C217" s="66" t="s">
        <v>219</v>
      </c>
      <c r="D217" s="3" t="s">
        <v>5</v>
      </c>
      <c r="E217" s="64">
        <v>1</v>
      </c>
    </row>
    <row r="218" spans="1:5">
      <c r="A218" s="64" t="s">
        <v>4</v>
      </c>
      <c r="B218" s="65">
        <v>43392</v>
      </c>
      <c r="C218" s="66" t="s">
        <v>220</v>
      </c>
      <c r="D218" s="3" t="s">
        <v>5</v>
      </c>
      <c r="E218" s="64">
        <v>1</v>
      </c>
    </row>
    <row r="219" spans="1:5">
      <c r="A219" s="64" t="s">
        <v>4</v>
      </c>
      <c r="B219" s="65">
        <v>43395</v>
      </c>
      <c r="C219" s="66" t="s">
        <v>216</v>
      </c>
      <c r="D219" s="3" t="s">
        <v>5</v>
      </c>
      <c r="E219" s="64">
        <v>1</v>
      </c>
    </row>
    <row r="220" spans="1:5">
      <c r="A220" s="64" t="s">
        <v>4</v>
      </c>
      <c r="B220" s="65">
        <v>43396</v>
      </c>
      <c r="C220" s="66" t="s">
        <v>217</v>
      </c>
      <c r="D220" s="3" t="s">
        <v>5</v>
      </c>
      <c r="E220" s="64">
        <v>1</v>
      </c>
    </row>
    <row r="221" spans="1:5">
      <c r="A221" s="64" t="s">
        <v>4</v>
      </c>
      <c r="B221" s="65">
        <v>43397</v>
      </c>
      <c r="C221" s="66" t="s">
        <v>218</v>
      </c>
      <c r="D221" s="3" t="s">
        <v>5</v>
      </c>
      <c r="E221" s="64">
        <v>1</v>
      </c>
    </row>
    <row r="222" spans="1:5">
      <c r="A222" s="64" t="s">
        <v>4</v>
      </c>
      <c r="B222" s="65">
        <v>43398</v>
      </c>
      <c r="C222" s="66" t="s">
        <v>219</v>
      </c>
      <c r="D222" s="3" t="s">
        <v>5</v>
      </c>
      <c r="E222" s="64">
        <v>1</v>
      </c>
    </row>
    <row r="223" spans="1:5">
      <c r="A223" s="64" t="s">
        <v>4</v>
      </c>
      <c r="B223" s="65">
        <v>43399</v>
      </c>
      <c r="C223" s="66" t="s">
        <v>220</v>
      </c>
      <c r="D223" s="3" t="s">
        <v>5</v>
      </c>
      <c r="E223" s="64">
        <v>1</v>
      </c>
    </row>
    <row r="224" spans="1:5">
      <c r="A224" s="64" t="s">
        <v>4</v>
      </c>
      <c r="B224" s="65">
        <v>43402</v>
      </c>
      <c r="C224" s="66" t="s">
        <v>216</v>
      </c>
      <c r="D224" s="3" t="s">
        <v>5</v>
      </c>
      <c r="E224" s="64">
        <v>1</v>
      </c>
    </row>
    <row r="225" spans="1:5">
      <c r="A225" s="64" t="s">
        <v>4</v>
      </c>
      <c r="B225" s="65">
        <v>43403</v>
      </c>
      <c r="C225" s="66" t="s">
        <v>217</v>
      </c>
      <c r="D225" s="3" t="s">
        <v>5</v>
      </c>
      <c r="E225" s="64">
        <v>1</v>
      </c>
    </row>
    <row r="226" spans="1:5">
      <c r="A226" s="64" t="s">
        <v>4</v>
      </c>
      <c r="B226" s="65">
        <v>43404</v>
      </c>
      <c r="C226" s="66" t="s">
        <v>218</v>
      </c>
      <c r="D226" s="3" t="s">
        <v>5</v>
      </c>
      <c r="E226" s="68">
        <v>1</v>
      </c>
    </row>
    <row r="227" spans="1:5">
      <c r="A227" s="64" t="s">
        <v>4</v>
      </c>
      <c r="B227" s="65">
        <v>43405</v>
      </c>
      <c r="C227" s="66" t="s">
        <v>219</v>
      </c>
      <c r="D227" s="3" t="s">
        <v>5</v>
      </c>
      <c r="E227" s="68">
        <v>1</v>
      </c>
    </row>
    <row r="228" spans="1:5">
      <c r="A228" s="64" t="s">
        <v>4</v>
      </c>
      <c r="B228" s="65">
        <v>43406</v>
      </c>
      <c r="C228" s="66" t="s">
        <v>220</v>
      </c>
      <c r="D228" s="3" t="s">
        <v>5</v>
      </c>
      <c r="E228" s="68">
        <v>1</v>
      </c>
    </row>
    <row r="229" spans="1:5">
      <c r="A229" s="64" t="s">
        <v>4</v>
      </c>
      <c r="B229" s="65">
        <v>43409</v>
      </c>
      <c r="C229" s="66" t="s">
        <v>216</v>
      </c>
      <c r="D229" s="3" t="s">
        <v>5</v>
      </c>
      <c r="E229" s="68">
        <v>1</v>
      </c>
    </row>
    <row r="230" spans="1:5">
      <c r="A230" s="64" t="s">
        <v>4</v>
      </c>
      <c r="B230" s="65">
        <v>43410</v>
      </c>
      <c r="C230" s="66" t="s">
        <v>217</v>
      </c>
      <c r="D230" s="3" t="s">
        <v>5</v>
      </c>
      <c r="E230" s="68">
        <v>1</v>
      </c>
    </row>
    <row r="231" spans="1:5">
      <c r="A231" s="64" t="s">
        <v>4</v>
      </c>
      <c r="B231" s="65">
        <v>43411</v>
      </c>
      <c r="C231" s="66" t="s">
        <v>218</v>
      </c>
      <c r="D231" s="3" t="s">
        <v>5</v>
      </c>
      <c r="E231" s="68">
        <v>1</v>
      </c>
    </row>
    <row r="232" spans="1:5">
      <c r="A232" s="64" t="s">
        <v>4</v>
      </c>
      <c r="B232" s="65">
        <v>43412</v>
      </c>
      <c r="C232" s="66" t="s">
        <v>219</v>
      </c>
      <c r="D232" s="3" t="s">
        <v>5</v>
      </c>
      <c r="E232" s="68">
        <v>1</v>
      </c>
    </row>
    <row r="233" spans="1:5">
      <c r="A233" s="64" t="s">
        <v>4</v>
      </c>
      <c r="B233" s="65">
        <v>43413</v>
      </c>
      <c r="C233" s="66" t="s">
        <v>220</v>
      </c>
      <c r="D233" s="3" t="s">
        <v>5</v>
      </c>
      <c r="E233" s="68">
        <v>1</v>
      </c>
    </row>
    <row r="234" spans="1:5">
      <c r="A234" s="64" t="s">
        <v>4</v>
      </c>
      <c r="B234" s="65">
        <v>43416</v>
      </c>
      <c r="C234" s="66" t="s">
        <v>216</v>
      </c>
      <c r="D234" s="3" t="s">
        <v>5</v>
      </c>
      <c r="E234" s="68">
        <v>1</v>
      </c>
    </row>
    <row r="235" spans="1:5">
      <c r="A235" s="64" t="s">
        <v>4</v>
      </c>
      <c r="B235" s="65">
        <v>43417</v>
      </c>
      <c r="C235" s="66" t="s">
        <v>217</v>
      </c>
      <c r="D235" s="3" t="s">
        <v>5</v>
      </c>
      <c r="E235" s="68">
        <v>1</v>
      </c>
    </row>
    <row r="236" spans="1:5">
      <c r="A236" s="64" t="s">
        <v>4</v>
      </c>
      <c r="B236" s="65">
        <v>43418</v>
      </c>
      <c r="C236" s="66" t="s">
        <v>218</v>
      </c>
      <c r="D236" s="3" t="s">
        <v>5</v>
      </c>
      <c r="E236" s="68">
        <v>1</v>
      </c>
    </row>
    <row r="237" spans="1:5">
      <c r="A237" s="64" t="s">
        <v>4</v>
      </c>
      <c r="B237" s="65">
        <v>43419</v>
      </c>
      <c r="C237" s="66" t="s">
        <v>219</v>
      </c>
      <c r="D237" s="3" t="s">
        <v>5</v>
      </c>
      <c r="E237" s="68">
        <v>1</v>
      </c>
    </row>
    <row r="238" spans="1:5">
      <c r="A238" s="64" t="s">
        <v>4</v>
      </c>
      <c r="B238" s="65">
        <v>43420</v>
      </c>
      <c r="C238" s="66" t="s">
        <v>220</v>
      </c>
      <c r="D238" s="3" t="s">
        <v>5</v>
      </c>
      <c r="E238" s="68">
        <v>1</v>
      </c>
    </row>
    <row r="239" spans="1:5">
      <c r="A239" s="64" t="s">
        <v>4</v>
      </c>
      <c r="B239" s="65">
        <v>43423</v>
      </c>
      <c r="C239" s="66" t="s">
        <v>216</v>
      </c>
      <c r="D239" s="3" t="s">
        <v>5</v>
      </c>
      <c r="E239" s="68">
        <v>1</v>
      </c>
    </row>
    <row r="240" spans="1:5">
      <c r="A240" s="64" t="s">
        <v>4</v>
      </c>
      <c r="B240" s="65">
        <v>43424</v>
      </c>
      <c r="C240" s="66" t="s">
        <v>217</v>
      </c>
      <c r="D240" s="3" t="s">
        <v>5</v>
      </c>
      <c r="E240" s="68">
        <v>1</v>
      </c>
    </row>
    <row r="241" spans="1:5">
      <c r="A241" s="64" t="s">
        <v>4</v>
      </c>
      <c r="B241" s="65">
        <v>43425</v>
      </c>
      <c r="C241" s="66" t="s">
        <v>218</v>
      </c>
      <c r="D241" s="3" t="s">
        <v>5</v>
      </c>
      <c r="E241" s="68">
        <v>1</v>
      </c>
    </row>
    <row r="242" spans="1:5">
      <c r="A242" s="64" t="s">
        <v>4</v>
      </c>
      <c r="B242" s="65">
        <v>43426</v>
      </c>
      <c r="C242" s="66" t="s">
        <v>219</v>
      </c>
      <c r="D242" s="3" t="s">
        <v>5</v>
      </c>
      <c r="E242" s="68">
        <v>1</v>
      </c>
    </row>
    <row r="243" spans="1:5">
      <c r="A243" s="64" t="s">
        <v>4</v>
      </c>
      <c r="B243" s="65">
        <v>43427</v>
      </c>
      <c r="C243" s="66" t="s">
        <v>220</v>
      </c>
      <c r="D243" s="3" t="s">
        <v>5</v>
      </c>
      <c r="E243" s="68">
        <v>1</v>
      </c>
    </row>
    <row r="244" spans="1:5">
      <c r="A244" s="64" t="s">
        <v>4</v>
      </c>
      <c r="B244" s="65">
        <v>43430</v>
      </c>
      <c r="C244" s="66" t="s">
        <v>216</v>
      </c>
      <c r="D244" s="3" t="s">
        <v>5</v>
      </c>
      <c r="E244" s="68">
        <v>1</v>
      </c>
    </row>
    <row r="245" spans="1:5">
      <c r="A245" s="64" t="s">
        <v>4</v>
      </c>
      <c r="B245" s="65">
        <v>43431</v>
      </c>
      <c r="C245" s="66" t="s">
        <v>217</v>
      </c>
      <c r="D245" s="3" t="s">
        <v>5</v>
      </c>
      <c r="E245" s="68">
        <v>1</v>
      </c>
    </row>
    <row r="246" spans="1:5">
      <c r="A246" s="64" t="s">
        <v>4</v>
      </c>
      <c r="B246" s="65">
        <v>43432</v>
      </c>
      <c r="C246" s="66" t="s">
        <v>218</v>
      </c>
      <c r="D246" s="3" t="s">
        <v>5</v>
      </c>
      <c r="E246" s="68">
        <v>1</v>
      </c>
    </row>
    <row r="247" spans="1:5">
      <c r="A247" s="64" t="s">
        <v>4</v>
      </c>
      <c r="B247" s="65">
        <v>43433</v>
      </c>
      <c r="C247" s="66" t="s">
        <v>219</v>
      </c>
      <c r="D247" s="3" t="s">
        <v>5</v>
      </c>
      <c r="E247" s="68">
        <v>1</v>
      </c>
    </row>
    <row r="248" spans="1:5">
      <c r="A248" s="64" t="s">
        <v>4</v>
      </c>
      <c r="B248" s="65">
        <v>43434</v>
      </c>
      <c r="C248" s="66" t="s">
        <v>220</v>
      </c>
      <c r="D248" s="3" t="s">
        <v>5</v>
      </c>
      <c r="E248" s="68">
        <v>1</v>
      </c>
    </row>
    <row r="249" spans="1:5">
      <c r="A249" s="64" t="s">
        <v>4</v>
      </c>
      <c r="B249" s="65">
        <v>43437</v>
      </c>
      <c r="C249" s="66" t="s">
        <v>216</v>
      </c>
      <c r="D249" s="3" t="s">
        <v>5</v>
      </c>
      <c r="E249" s="68">
        <v>1</v>
      </c>
    </row>
    <row r="250" spans="1:5">
      <c r="A250" s="64" t="s">
        <v>4</v>
      </c>
      <c r="B250" s="65">
        <v>43438</v>
      </c>
      <c r="C250" s="66" t="s">
        <v>217</v>
      </c>
      <c r="D250" s="3" t="s">
        <v>5</v>
      </c>
      <c r="E250" s="68">
        <v>1</v>
      </c>
    </row>
    <row r="251" spans="1:5">
      <c r="A251" s="64" t="s">
        <v>4</v>
      </c>
      <c r="B251" s="65">
        <v>43439</v>
      </c>
      <c r="C251" s="66" t="s">
        <v>218</v>
      </c>
      <c r="D251" s="3" t="s">
        <v>5</v>
      </c>
      <c r="E251" s="68">
        <v>1</v>
      </c>
    </row>
    <row r="252" spans="1:5">
      <c r="A252" s="64" t="s">
        <v>4</v>
      </c>
      <c r="B252" s="65">
        <v>43440</v>
      </c>
      <c r="C252" s="66" t="s">
        <v>219</v>
      </c>
      <c r="D252" s="3" t="s">
        <v>5</v>
      </c>
      <c r="E252" s="68">
        <v>1</v>
      </c>
    </row>
    <row r="253" spans="1:5">
      <c r="A253" s="64" t="s">
        <v>4</v>
      </c>
      <c r="B253" s="65">
        <v>43441</v>
      </c>
      <c r="C253" s="66" t="s">
        <v>220</v>
      </c>
      <c r="D253" s="3" t="s">
        <v>5</v>
      </c>
      <c r="E253" s="68">
        <v>1</v>
      </c>
    </row>
    <row r="254" spans="1:5">
      <c r="A254" s="64" t="s">
        <v>4</v>
      </c>
      <c r="B254" s="65">
        <v>43444</v>
      </c>
      <c r="C254" s="66" t="s">
        <v>216</v>
      </c>
      <c r="D254" s="3" t="s">
        <v>5</v>
      </c>
      <c r="E254" s="68">
        <v>1</v>
      </c>
    </row>
    <row r="255" spans="1:5">
      <c r="A255" s="64" t="s">
        <v>4</v>
      </c>
      <c r="B255" s="65">
        <v>43445</v>
      </c>
      <c r="C255" s="66" t="s">
        <v>217</v>
      </c>
      <c r="D255" s="3" t="s">
        <v>5</v>
      </c>
      <c r="E255" s="68">
        <v>1</v>
      </c>
    </row>
    <row r="256" spans="1:5">
      <c r="A256" s="64" t="s">
        <v>4</v>
      </c>
      <c r="B256" s="65">
        <v>43446</v>
      </c>
      <c r="C256" s="66" t="s">
        <v>218</v>
      </c>
      <c r="D256" s="3" t="s">
        <v>5</v>
      </c>
      <c r="E256" s="68">
        <v>1</v>
      </c>
    </row>
    <row r="257" spans="1:5">
      <c r="A257" s="64" t="s">
        <v>4</v>
      </c>
      <c r="B257" s="65">
        <v>43447</v>
      </c>
      <c r="C257" s="66" t="s">
        <v>219</v>
      </c>
      <c r="D257" s="3" t="s">
        <v>5</v>
      </c>
      <c r="E257" s="68">
        <v>1</v>
      </c>
    </row>
    <row r="258" spans="1:5">
      <c r="A258" s="64" t="s">
        <v>4</v>
      </c>
      <c r="B258" s="65">
        <v>43448</v>
      </c>
      <c r="C258" s="66" t="s">
        <v>220</v>
      </c>
      <c r="D258" s="3" t="s">
        <v>5</v>
      </c>
      <c r="E258" s="68">
        <v>1</v>
      </c>
    </row>
    <row r="259" spans="1:5">
      <c r="A259" s="64" t="s">
        <v>4</v>
      </c>
      <c r="B259" s="65">
        <v>43451</v>
      </c>
      <c r="C259" s="66" t="s">
        <v>216</v>
      </c>
      <c r="D259" s="3" t="s">
        <v>5</v>
      </c>
      <c r="E259" s="68">
        <v>1</v>
      </c>
    </row>
    <row r="260" spans="1:5">
      <c r="A260" s="64" t="s">
        <v>4</v>
      </c>
      <c r="B260" s="65">
        <v>43452</v>
      </c>
      <c r="C260" s="66" t="s">
        <v>217</v>
      </c>
      <c r="D260" s="3" t="s">
        <v>5</v>
      </c>
      <c r="E260" s="68">
        <v>1</v>
      </c>
    </row>
    <row r="261" spans="1:5">
      <c r="A261" s="64" t="s">
        <v>4</v>
      </c>
      <c r="B261" s="65">
        <v>43453</v>
      </c>
      <c r="C261" s="66" t="s">
        <v>218</v>
      </c>
      <c r="D261" s="3" t="s">
        <v>5</v>
      </c>
      <c r="E261" s="68">
        <v>1</v>
      </c>
    </row>
    <row r="262" spans="1:5">
      <c r="A262" s="64" t="s">
        <v>4</v>
      </c>
      <c r="B262" s="65">
        <v>43454</v>
      </c>
      <c r="C262" s="66" t="s">
        <v>219</v>
      </c>
      <c r="D262" s="3" t="s">
        <v>5</v>
      </c>
      <c r="E262" s="68">
        <v>1</v>
      </c>
    </row>
    <row r="263" spans="1:5">
      <c r="A263" s="64" t="s">
        <v>4</v>
      </c>
      <c r="B263" s="65">
        <v>43455</v>
      </c>
      <c r="C263" s="66" t="s">
        <v>220</v>
      </c>
      <c r="D263" s="3" t="s">
        <v>5</v>
      </c>
      <c r="E263" s="68">
        <v>1</v>
      </c>
    </row>
    <row r="264" spans="1:5">
      <c r="A264" s="64" t="s">
        <v>4</v>
      </c>
      <c r="B264" s="65">
        <v>43458</v>
      </c>
      <c r="C264" s="66" t="s">
        <v>216</v>
      </c>
      <c r="D264" s="3" t="s">
        <v>5</v>
      </c>
      <c r="E264" s="68">
        <v>1</v>
      </c>
    </row>
    <row r="265" spans="1:5">
      <c r="A265" s="64" t="s">
        <v>4</v>
      </c>
      <c r="B265" s="65">
        <v>43459</v>
      </c>
      <c r="C265" s="66" t="s">
        <v>217</v>
      </c>
      <c r="D265" s="3" t="s">
        <v>5</v>
      </c>
      <c r="E265" s="68">
        <v>1</v>
      </c>
    </row>
    <row r="266" spans="1:5">
      <c r="A266" s="64" t="s">
        <v>4</v>
      </c>
      <c r="B266" s="65">
        <v>43460</v>
      </c>
      <c r="C266" s="66" t="s">
        <v>218</v>
      </c>
      <c r="D266" s="3" t="s">
        <v>5</v>
      </c>
      <c r="E266" s="68">
        <v>1</v>
      </c>
    </row>
    <row r="267" spans="1:5">
      <c r="A267" s="64" t="s">
        <v>4</v>
      </c>
      <c r="B267" s="65">
        <v>43461</v>
      </c>
      <c r="C267" s="66" t="s">
        <v>219</v>
      </c>
      <c r="D267" s="3" t="s">
        <v>5</v>
      </c>
      <c r="E267" s="68">
        <v>1</v>
      </c>
    </row>
    <row r="268" spans="1:5">
      <c r="A268" s="64" t="s">
        <v>4</v>
      </c>
      <c r="B268" s="65">
        <v>43462</v>
      </c>
      <c r="C268" s="66" t="s">
        <v>220</v>
      </c>
      <c r="D268" s="3" t="s">
        <v>5</v>
      </c>
      <c r="E268" s="68">
        <v>1</v>
      </c>
    </row>
    <row r="269" spans="1:5">
      <c r="A269" s="64" t="s">
        <v>4</v>
      </c>
      <c r="B269" s="65">
        <v>43465</v>
      </c>
      <c r="C269" s="66" t="s">
        <v>216</v>
      </c>
      <c r="D269" s="3" t="s">
        <v>5</v>
      </c>
      <c r="E269" s="68">
        <v>1</v>
      </c>
    </row>
    <row r="270" spans="1:5">
      <c r="A270" s="64" t="s">
        <v>4</v>
      </c>
      <c r="B270" s="65">
        <v>43466</v>
      </c>
      <c r="C270" s="66" t="s">
        <v>217</v>
      </c>
      <c r="D270" s="3" t="s">
        <v>5</v>
      </c>
      <c r="E270" s="68">
        <v>1</v>
      </c>
    </row>
    <row r="271" spans="1:5">
      <c r="A271" s="64" t="s">
        <v>4</v>
      </c>
      <c r="B271" s="65">
        <v>43467</v>
      </c>
      <c r="C271" s="66" t="s">
        <v>218</v>
      </c>
      <c r="D271" s="3" t="s">
        <v>5</v>
      </c>
      <c r="E271" s="68">
        <v>1</v>
      </c>
    </row>
    <row r="272" spans="1:5">
      <c r="A272" s="64" t="s">
        <v>4</v>
      </c>
      <c r="B272" s="65">
        <v>43468</v>
      </c>
      <c r="C272" s="66" t="s">
        <v>219</v>
      </c>
      <c r="D272" s="3" t="s">
        <v>5</v>
      </c>
      <c r="E272" s="68">
        <v>1</v>
      </c>
    </row>
    <row r="273" spans="1:5">
      <c r="A273" s="64" t="s">
        <v>4</v>
      </c>
      <c r="B273" s="65">
        <v>43469</v>
      </c>
      <c r="C273" s="66" t="s">
        <v>220</v>
      </c>
      <c r="D273" s="3" t="s">
        <v>5</v>
      </c>
      <c r="E273" s="68">
        <v>1</v>
      </c>
    </row>
    <row r="274" spans="1:5">
      <c r="A274" s="64" t="s">
        <v>4</v>
      </c>
      <c r="B274" s="65">
        <v>43472</v>
      </c>
      <c r="C274" s="66" t="s">
        <v>216</v>
      </c>
      <c r="D274" s="3" t="s">
        <v>5</v>
      </c>
      <c r="E274" s="68">
        <v>1</v>
      </c>
    </row>
    <row r="275" spans="1:5">
      <c r="A275" s="64" t="s">
        <v>4</v>
      </c>
      <c r="B275" s="65">
        <v>43473</v>
      </c>
      <c r="C275" s="66" t="s">
        <v>217</v>
      </c>
      <c r="D275" s="3" t="s">
        <v>5</v>
      </c>
      <c r="E275" s="68">
        <v>1</v>
      </c>
    </row>
    <row r="276" spans="1:5">
      <c r="A276" s="64" t="s">
        <v>4</v>
      </c>
      <c r="B276" s="65">
        <v>43474</v>
      </c>
      <c r="C276" s="66" t="s">
        <v>218</v>
      </c>
      <c r="D276" s="3" t="s">
        <v>5</v>
      </c>
      <c r="E276" s="68">
        <v>1</v>
      </c>
    </row>
    <row r="277" spans="1:5">
      <c r="A277" s="64" t="s">
        <v>4</v>
      </c>
      <c r="B277" s="65">
        <v>43475</v>
      </c>
      <c r="C277" s="66" t="s">
        <v>219</v>
      </c>
      <c r="D277" s="3" t="s">
        <v>5</v>
      </c>
      <c r="E277" s="68">
        <v>1</v>
      </c>
    </row>
    <row r="278" spans="1:5">
      <c r="A278" s="64" t="s">
        <v>4</v>
      </c>
      <c r="B278" s="65">
        <v>43476</v>
      </c>
      <c r="C278" s="66" t="s">
        <v>220</v>
      </c>
      <c r="D278" s="3" t="s">
        <v>5</v>
      </c>
      <c r="E278" s="68">
        <v>1</v>
      </c>
    </row>
    <row r="279" spans="1:5">
      <c r="A279" s="64" t="s">
        <v>4</v>
      </c>
      <c r="B279" s="65">
        <v>43479</v>
      </c>
      <c r="C279" s="66" t="s">
        <v>216</v>
      </c>
      <c r="D279" s="3" t="s">
        <v>5</v>
      </c>
      <c r="E279" s="68">
        <v>1</v>
      </c>
    </row>
    <row r="280" spans="1:5">
      <c r="A280" s="64" t="s">
        <v>4</v>
      </c>
      <c r="B280" s="65">
        <v>43480</v>
      </c>
      <c r="C280" s="66" t="s">
        <v>217</v>
      </c>
      <c r="D280" s="3" t="s">
        <v>5</v>
      </c>
      <c r="E280" s="68">
        <v>1</v>
      </c>
    </row>
    <row r="281" spans="1:5">
      <c r="A281" s="64" t="s">
        <v>4</v>
      </c>
      <c r="B281" s="65">
        <v>43481</v>
      </c>
      <c r="C281" s="66" t="s">
        <v>218</v>
      </c>
      <c r="D281" s="3" t="s">
        <v>5</v>
      </c>
      <c r="E281" s="68">
        <v>1</v>
      </c>
    </row>
    <row r="282" spans="1:5">
      <c r="A282" s="64" t="s">
        <v>4</v>
      </c>
      <c r="B282" s="65">
        <v>43482</v>
      </c>
      <c r="C282" s="66" t="s">
        <v>219</v>
      </c>
      <c r="D282" s="3" t="s">
        <v>5</v>
      </c>
      <c r="E282" s="68">
        <v>1</v>
      </c>
    </row>
    <row r="283" spans="1:5">
      <c r="A283" s="64" t="s">
        <v>4</v>
      </c>
      <c r="B283" s="65">
        <v>43483</v>
      </c>
      <c r="C283" s="66" t="s">
        <v>220</v>
      </c>
      <c r="D283" s="3" t="s">
        <v>5</v>
      </c>
      <c r="E283" s="68">
        <v>1</v>
      </c>
    </row>
    <row r="284" spans="1:5">
      <c r="A284" s="64" t="s">
        <v>4</v>
      </c>
      <c r="B284" s="65">
        <v>43486</v>
      </c>
      <c r="C284" s="66" t="s">
        <v>216</v>
      </c>
      <c r="D284" s="3" t="s">
        <v>5</v>
      </c>
      <c r="E284" s="68">
        <v>1</v>
      </c>
    </row>
    <row r="285" spans="1:5">
      <c r="A285" s="64" t="s">
        <v>4</v>
      </c>
      <c r="B285" s="65">
        <v>43487</v>
      </c>
      <c r="C285" s="66" t="s">
        <v>217</v>
      </c>
      <c r="D285" s="3" t="s">
        <v>5</v>
      </c>
      <c r="E285" s="68">
        <v>1</v>
      </c>
    </row>
    <row r="286" spans="1:5">
      <c r="A286" s="64" t="s">
        <v>4</v>
      </c>
      <c r="B286" s="65">
        <v>43488</v>
      </c>
      <c r="C286" s="66" t="s">
        <v>218</v>
      </c>
      <c r="D286" s="3" t="s">
        <v>5</v>
      </c>
      <c r="E286" s="68">
        <v>1</v>
      </c>
    </row>
    <row r="287" spans="1:5">
      <c r="A287" s="64" t="s">
        <v>4</v>
      </c>
      <c r="B287" s="65">
        <v>43489</v>
      </c>
      <c r="C287" s="66" t="s">
        <v>219</v>
      </c>
      <c r="D287" s="3" t="s">
        <v>5</v>
      </c>
      <c r="E287" s="68">
        <v>1</v>
      </c>
    </row>
    <row r="288" spans="1:5">
      <c r="A288" s="64" t="s">
        <v>4</v>
      </c>
      <c r="B288" s="65">
        <v>43490</v>
      </c>
      <c r="C288" s="66" t="s">
        <v>220</v>
      </c>
      <c r="D288" s="3" t="s">
        <v>5</v>
      </c>
      <c r="E288" s="68">
        <v>1</v>
      </c>
    </row>
    <row r="289" spans="1:5">
      <c r="A289" s="64" t="s">
        <v>4</v>
      </c>
      <c r="B289" s="65">
        <v>43493</v>
      </c>
      <c r="C289" s="66" t="s">
        <v>216</v>
      </c>
      <c r="D289" s="3" t="s">
        <v>5</v>
      </c>
      <c r="E289" s="68">
        <v>1</v>
      </c>
    </row>
    <row r="290" spans="1:5">
      <c r="A290" s="64" t="s">
        <v>4</v>
      </c>
      <c r="B290" s="65">
        <v>43494</v>
      </c>
      <c r="C290" s="66" t="s">
        <v>217</v>
      </c>
      <c r="D290" s="3" t="s">
        <v>5</v>
      </c>
      <c r="E290" s="68">
        <v>1</v>
      </c>
    </row>
    <row r="291" spans="1:5">
      <c r="A291" s="64" t="s">
        <v>4</v>
      </c>
      <c r="B291" s="65">
        <v>43495</v>
      </c>
      <c r="C291" s="66" t="s">
        <v>218</v>
      </c>
      <c r="D291" s="3" t="s">
        <v>5</v>
      </c>
      <c r="E291" s="68">
        <v>1</v>
      </c>
    </row>
    <row r="292" spans="1:5">
      <c r="A292" s="64" t="s">
        <v>4</v>
      </c>
      <c r="B292" s="65">
        <v>43496</v>
      </c>
      <c r="C292" s="66" t="s">
        <v>219</v>
      </c>
      <c r="D292" s="3" t="s">
        <v>5</v>
      </c>
      <c r="E292" s="68">
        <v>1</v>
      </c>
    </row>
    <row r="293" spans="1:5">
      <c r="A293" s="64" t="s">
        <v>4</v>
      </c>
      <c r="B293" s="65">
        <v>43497</v>
      </c>
      <c r="C293" s="66" t="s">
        <v>220</v>
      </c>
      <c r="D293" s="3" t="s">
        <v>5</v>
      </c>
      <c r="E293" s="68">
        <v>1</v>
      </c>
    </row>
    <row r="294" spans="1:5">
      <c r="A294" s="64" t="s">
        <v>4</v>
      </c>
      <c r="B294" s="65">
        <v>43500</v>
      </c>
      <c r="C294" s="66" t="s">
        <v>216</v>
      </c>
      <c r="D294" s="3" t="s">
        <v>5</v>
      </c>
      <c r="E294" s="68">
        <v>1</v>
      </c>
    </row>
    <row r="295" spans="1:5">
      <c r="A295" s="64" t="s">
        <v>4</v>
      </c>
      <c r="B295" s="65">
        <v>43501</v>
      </c>
      <c r="C295" s="66" t="s">
        <v>217</v>
      </c>
      <c r="D295" s="3" t="s">
        <v>5</v>
      </c>
      <c r="E295" s="68">
        <v>1</v>
      </c>
    </row>
    <row r="296" spans="1:5">
      <c r="A296" s="64" t="s">
        <v>4</v>
      </c>
      <c r="B296" s="65">
        <v>43502</v>
      </c>
      <c r="C296" s="66" t="s">
        <v>218</v>
      </c>
      <c r="D296" s="3" t="s">
        <v>5</v>
      </c>
      <c r="E296" s="68">
        <v>1</v>
      </c>
    </row>
    <row r="297" spans="1:5">
      <c r="A297" s="64" t="s">
        <v>4</v>
      </c>
      <c r="B297" s="65">
        <v>43503</v>
      </c>
      <c r="C297" s="66" t="s">
        <v>219</v>
      </c>
      <c r="D297" s="3" t="s">
        <v>5</v>
      </c>
      <c r="E297" s="68">
        <v>1</v>
      </c>
    </row>
    <row r="298" spans="1:5">
      <c r="A298" s="64" t="s">
        <v>4</v>
      </c>
      <c r="B298" s="65">
        <v>43504</v>
      </c>
      <c r="C298" s="66" t="s">
        <v>220</v>
      </c>
      <c r="D298" s="3" t="s">
        <v>5</v>
      </c>
      <c r="E298" s="68">
        <v>1</v>
      </c>
    </row>
    <row r="299" spans="1:5">
      <c r="A299" s="64" t="s">
        <v>4</v>
      </c>
      <c r="B299" s="65">
        <v>43507</v>
      </c>
      <c r="C299" s="66" t="s">
        <v>216</v>
      </c>
      <c r="D299" s="3" t="s">
        <v>5</v>
      </c>
      <c r="E299" s="68">
        <v>1</v>
      </c>
    </row>
    <row r="300" spans="1:5">
      <c r="A300" s="64" t="s">
        <v>4</v>
      </c>
      <c r="B300" s="65">
        <v>43508</v>
      </c>
      <c r="C300" s="66" t="s">
        <v>217</v>
      </c>
      <c r="D300" s="3" t="s">
        <v>5</v>
      </c>
      <c r="E300" s="68">
        <v>1</v>
      </c>
    </row>
    <row r="301" spans="1:5">
      <c r="A301" s="64" t="s">
        <v>4</v>
      </c>
      <c r="B301" s="65">
        <v>43509</v>
      </c>
      <c r="C301" s="66" t="s">
        <v>218</v>
      </c>
      <c r="D301" s="3" t="s">
        <v>5</v>
      </c>
      <c r="E301" s="68">
        <v>1</v>
      </c>
    </row>
    <row r="302" spans="1:5">
      <c r="A302" s="64" t="s">
        <v>4</v>
      </c>
      <c r="B302" s="65">
        <v>43510</v>
      </c>
      <c r="C302" s="66" t="s">
        <v>219</v>
      </c>
      <c r="D302" s="3" t="s">
        <v>5</v>
      </c>
      <c r="E302" s="68">
        <v>1</v>
      </c>
    </row>
    <row r="303" spans="1:5">
      <c r="A303" s="64" t="s">
        <v>4</v>
      </c>
      <c r="B303" s="65">
        <v>43511</v>
      </c>
      <c r="C303" s="66" t="s">
        <v>220</v>
      </c>
      <c r="D303" s="3" t="s">
        <v>5</v>
      </c>
      <c r="E303" s="68">
        <v>1</v>
      </c>
    </row>
    <row r="304" spans="1:5">
      <c r="A304" s="64" t="s">
        <v>4</v>
      </c>
      <c r="B304" s="65">
        <v>43514</v>
      </c>
      <c r="C304" s="66" t="s">
        <v>216</v>
      </c>
      <c r="D304" s="3" t="s">
        <v>5</v>
      </c>
      <c r="E304" s="68">
        <v>1</v>
      </c>
    </row>
    <row r="305" spans="1:5">
      <c r="A305" s="64" t="s">
        <v>4</v>
      </c>
      <c r="B305" s="65">
        <v>43515</v>
      </c>
      <c r="C305" s="66" t="s">
        <v>217</v>
      </c>
      <c r="D305" s="3" t="s">
        <v>5</v>
      </c>
      <c r="E305" s="68">
        <v>1</v>
      </c>
    </row>
    <row r="306" spans="1:5">
      <c r="A306" s="64" t="s">
        <v>4</v>
      </c>
      <c r="B306" s="65">
        <v>43516</v>
      </c>
      <c r="C306" s="66" t="s">
        <v>218</v>
      </c>
      <c r="D306" s="3" t="s">
        <v>5</v>
      </c>
      <c r="E306" s="68">
        <v>1</v>
      </c>
    </row>
    <row r="307" spans="1:5">
      <c r="A307" s="64" t="s">
        <v>4</v>
      </c>
      <c r="B307" s="65">
        <v>43517</v>
      </c>
      <c r="C307" s="66" t="s">
        <v>219</v>
      </c>
      <c r="D307" s="3" t="s">
        <v>5</v>
      </c>
      <c r="E307" s="68">
        <v>1</v>
      </c>
    </row>
    <row r="308" spans="1:5">
      <c r="A308" s="64" t="s">
        <v>4</v>
      </c>
      <c r="B308" s="65">
        <v>43518</v>
      </c>
      <c r="C308" s="66" t="s">
        <v>220</v>
      </c>
      <c r="D308" s="3" t="s">
        <v>5</v>
      </c>
      <c r="E308" s="68">
        <v>1</v>
      </c>
    </row>
    <row r="309" spans="1:5">
      <c r="A309" s="64" t="s">
        <v>6</v>
      </c>
      <c r="B309" s="65">
        <v>43536</v>
      </c>
      <c r="C309" s="66" t="s">
        <v>217</v>
      </c>
      <c r="D309" s="3" t="s">
        <v>7</v>
      </c>
      <c r="E309" s="68">
        <v>1</v>
      </c>
    </row>
    <row r="310" spans="1:5">
      <c r="A310" s="64" t="s">
        <v>6</v>
      </c>
      <c r="B310" s="65">
        <v>43537</v>
      </c>
      <c r="C310" s="66" t="s">
        <v>218</v>
      </c>
      <c r="D310" s="3" t="s">
        <v>7</v>
      </c>
      <c r="E310" s="68">
        <v>1</v>
      </c>
    </row>
    <row r="311" spans="1:5">
      <c r="A311" s="64" t="s">
        <v>6</v>
      </c>
      <c r="B311" s="65">
        <v>43538</v>
      </c>
      <c r="C311" s="66" t="s">
        <v>219</v>
      </c>
      <c r="D311" s="3" t="s">
        <v>7</v>
      </c>
      <c r="E311" s="68">
        <v>1</v>
      </c>
    </row>
    <row r="312" spans="1:5">
      <c r="A312" s="64" t="s">
        <v>6</v>
      </c>
      <c r="B312" s="65">
        <v>43539</v>
      </c>
      <c r="C312" s="66" t="s">
        <v>220</v>
      </c>
      <c r="D312" s="3" t="s">
        <v>7</v>
      </c>
      <c r="E312" s="68">
        <v>1</v>
      </c>
    </row>
    <row r="313" spans="1:5">
      <c r="A313" s="64" t="s">
        <v>6</v>
      </c>
      <c r="B313" s="65">
        <v>43542</v>
      </c>
      <c r="C313" s="66" t="s">
        <v>216</v>
      </c>
      <c r="D313" s="3" t="s">
        <v>7</v>
      </c>
      <c r="E313" s="68">
        <v>1</v>
      </c>
    </row>
    <row r="314" spans="1:5">
      <c r="A314" s="64" t="s">
        <v>6</v>
      </c>
      <c r="B314" s="65">
        <v>43543</v>
      </c>
      <c r="C314" s="66" t="s">
        <v>217</v>
      </c>
      <c r="D314" s="3" t="s">
        <v>7</v>
      </c>
      <c r="E314" s="68">
        <v>1</v>
      </c>
    </row>
    <row r="315" spans="1:5">
      <c r="A315" s="64" t="s">
        <v>6</v>
      </c>
      <c r="B315" s="65">
        <v>43544</v>
      </c>
      <c r="C315" s="66" t="s">
        <v>218</v>
      </c>
      <c r="D315" s="3" t="s">
        <v>7</v>
      </c>
      <c r="E315" s="68">
        <v>1</v>
      </c>
    </row>
    <row r="316" spans="1:5">
      <c r="A316" s="64" t="s">
        <v>6</v>
      </c>
      <c r="B316" s="65">
        <v>43545</v>
      </c>
      <c r="C316" s="66" t="s">
        <v>219</v>
      </c>
      <c r="D316" s="3" t="s">
        <v>7</v>
      </c>
      <c r="E316" s="68">
        <v>1</v>
      </c>
    </row>
    <row r="317" spans="1:5">
      <c r="A317" s="64" t="s">
        <v>6</v>
      </c>
      <c r="B317" s="65">
        <v>43546</v>
      </c>
      <c r="C317" s="66" t="s">
        <v>220</v>
      </c>
      <c r="D317" s="3" t="s">
        <v>7</v>
      </c>
      <c r="E317" s="68">
        <v>1</v>
      </c>
    </row>
    <row r="318" spans="1:5">
      <c r="A318" s="64" t="s">
        <v>6</v>
      </c>
      <c r="B318" s="65">
        <v>43549</v>
      </c>
      <c r="C318" s="66" t="s">
        <v>216</v>
      </c>
      <c r="D318" s="3" t="s">
        <v>7</v>
      </c>
      <c r="E318" s="68">
        <v>1</v>
      </c>
    </row>
    <row r="319" spans="1:5">
      <c r="A319" s="64" t="s">
        <v>6</v>
      </c>
      <c r="B319" s="65">
        <v>43550</v>
      </c>
      <c r="C319" s="66" t="s">
        <v>217</v>
      </c>
      <c r="D319" s="3" t="s">
        <v>7</v>
      </c>
      <c r="E319" s="68">
        <v>1</v>
      </c>
    </row>
    <row r="320" spans="1:5">
      <c r="A320" s="64" t="s">
        <v>6</v>
      </c>
      <c r="B320" s="65">
        <v>43551</v>
      </c>
      <c r="C320" s="66" t="s">
        <v>218</v>
      </c>
      <c r="D320" s="3" t="s">
        <v>7</v>
      </c>
      <c r="E320" s="68">
        <v>1</v>
      </c>
    </row>
    <row r="321" spans="1:5">
      <c r="A321" s="64" t="s">
        <v>6</v>
      </c>
      <c r="B321" s="65">
        <v>43552</v>
      </c>
      <c r="C321" s="66" t="s">
        <v>219</v>
      </c>
      <c r="D321" s="3" t="s">
        <v>7</v>
      </c>
      <c r="E321" s="68">
        <v>1</v>
      </c>
    </row>
    <row r="322" spans="1:5">
      <c r="A322" s="64" t="s">
        <v>6</v>
      </c>
      <c r="B322" s="65">
        <v>43553</v>
      </c>
      <c r="C322" s="66" t="s">
        <v>220</v>
      </c>
      <c r="D322" s="3" t="s">
        <v>7</v>
      </c>
      <c r="E322" s="68">
        <v>1</v>
      </c>
    </row>
    <row r="323" spans="1:5">
      <c r="A323" s="64" t="s">
        <v>6</v>
      </c>
      <c r="B323" s="65">
        <v>43556</v>
      </c>
      <c r="C323" s="66" t="s">
        <v>216</v>
      </c>
      <c r="D323" s="3" t="s">
        <v>7</v>
      </c>
      <c r="E323" s="68">
        <v>1</v>
      </c>
    </row>
    <row r="324" spans="1:5">
      <c r="A324" s="64" t="s">
        <v>6</v>
      </c>
      <c r="B324" s="65">
        <v>43557</v>
      </c>
      <c r="C324" s="66" t="s">
        <v>217</v>
      </c>
      <c r="D324" s="3" t="s">
        <v>7</v>
      </c>
      <c r="E324" s="68">
        <v>1</v>
      </c>
    </row>
    <row r="325" spans="1:5">
      <c r="A325" s="64" t="s">
        <v>6</v>
      </c>
      <c r="B325" s="65">
        <v>43558</v>
      </c>
      <c r="C325" s="66" t="s">
        <v>218</v>
      </c>
      <c r="D325" s="3" t="s">
        <v>7</v>
      </c>
      <c r="E325" s="68">
        <v>1</v>
      </c>
    </row>
    <row r="326" spans="1:5">
      <c r="A326" s="64" t="s">
        <v>6</v>
      </c>
      <c r="B326" s="65">
        <v>43559</v>
      </c>
      <c r="C326" s="66" t="s">
        <v>219</v>
      </c>
      <c r="D326" s="3" t="s">
        <v>7</v>
      </c>
      <c r="E326" s="68">
        <v>1</v>
      </c>
    </row>
    <row r="327" spans="1:5">
      <c r="A327" s="64" t="s">
        <v>6</v>
      </c>
      <c r="B327" s="65">
        <v>43560</v>
      </c>
      <c r="C327" s="66" t="s">
        <v>220</v>
      </c>
      <c r="D327" s="3" t="s">
        <v>7</v>
      </c>
      <c r="E327" s="68">
        <v>1</v>
      </c>
    </row>
    <row r="328" spans="1:5">
      <c r="A328" s="64" t="s">
        <v>6</v>
      </c>
      <c r="B328" s="65">
        <v>43563</v>
      </c>
      <c r="C328" s="66" t="s">
        <v>216</v>
      </c>
      <c r="D328" s="3" t="s">
        <v>7</v>
      </c>
      <c r="E328" s="68">
        <v>1</v>
      </c>
    </row>
    <row r="329" spans="1:5">
      <c r="A329" s="64" t="s">
        <v>6</v>
      </c>
      <c r="B329" s="65">
        <v>43564</v>
      </c>
      <c r="C329" s="66" t="s">
        <v>217</v>
      </c>
      <c r="D329" s="3" t="s">
        <v>7</v>
      </c>
      <c r="E329" s="68">
        <v>1</v>
      </c>
    </row>
    <row r="330" spans="1:5">
      <c r="A330" s="64" t="s">
        <v>6</v>
      </c>
      <c r="B330" s="65">
        <v>43565</v>
      </c>
      <c r="C330" s="66" t="s">
        <v>218</v>
      </c>
      <c r="D330" s="3" t="s">
        <v>7</v>
      </c>
      <c r="E330" s="68">
        <v>1</v>
      </c>
    </row>
    <row r="331" spans="1:5">
      <c r="A331" s="64" t="s">
        <v>6</v>
      </c>
      <c r="B331" s="65">
        <v>43566</v>
      </c>
      <c r="C331" s="66" t="s">
        <v>219</v>
      </c>
      <c r="D331" s="3" t="s">
        <v>7</v>
      </c>
      <c r="E331" s="68">
        <v>1</v>
      </c>
    </row>
    <row r="332" spans="1:5">
      <c r="A332" s="64" t="s">
        <v>6</v>
      </c>
      <c r="B332" s="65">
        <v>43567</v>
      </c>
      <c r="C332" s="66" t="s">
        <v>220</v>
      </c>
      <c r="D332" s="3" t="s">
        <v>7</v>
      </c>
      <c r="E332" s="68">
        <v>1</v>
      </c>
    </row>
    <row r="333" spans="1:5">
      <c r="A333" s="64" t="s">
        <v>6</v>
      </c>
      <c r="B333" s="65">
        <v>43570</v>
      </c>
      <c r="C333" s="66" t="s">
        <v>216</v>
      </c>
      <c r="D333" s="3" t="s">
        <v>7</v>
      </c>
      <c r="E333" s="68">
        <v>1</v>
      </c>
    </row>
    <row r="334" spans="1:5">
      <c r="A334" s="64" t="s">
        <v>6</v>
      </c>
      <c r="B334" s="65">
        <v>43571</v>
      </c>
      <c r="C334" s="66" t="s">
        <v>217</v>
      </c>
      <c r="D334" s="3" t="s">
        <v>7</v>
      </c>
      <c r="E334" s="68">
        <v>1</v>
      </c>
    </row>
    <row r="335" spans="1:5">
      <c r="A335" s="64" t="s">
        <v>6</v>
      </c>
      <c r="B335" s="65">
        <v>43572</v>
      </c>
      <c r="C335" s="66" t="s">
        <v>218</v>
      </c>
      <c r="D335" s="3" t="s">
        <v>7</v>
      </c>
      <c r="E335" s="68">
        <v>1</v>
      </c>
    </row>
    <row r="336" spans="1:5">
      <c r="A336" s="64" t="s">
        <v>6</v>
      </c>
      <c r="B336" s="65">
        <v>43573</v>
      </c>
      <c r="C336" s="66" t="s">
        <v>219</v>
      </c>
      <c r="D336" s="3" t="s">
        <v>7</v>
      </c>
      <c r="E336" s="68">
        <v>1</v>
      </c>
    </row>
    <row r="337" spans="1:5">
      <c r="A337" s="64" t="s">
        <v>6</v>
      </c>
      <c r="B337" s="65">
        <v>43574</v>
      </c>
      <c r="C337" s="66" t="s">
        <v>220</v>
      </c>
      <c r="D337" s="3" t="s">
        <v>7</v>
      </c>
      <c r="E337" s="68">
        <v>1</v>
      </c>
    </row>
    <row r="338" spans="1:5">
      <c r="A338" s="64" t="s">
        <v>6</v>
      </c>
      <c r="B338" s="65">
        <v>43577</v>
      </c>
      <c r="C338" s="66" t="s">
        <v>216</v>
      </c>
      <c r="D338" s="3" t="s">
        <v>7</v>
      </c>
      <c r="E338" s="68">
        <v>1</v>
      </c>
    </row>
    <row r="339" spans="1:5">
      <c r="A339" s="64" t="s">
        <v>6</v>
      </c>
      <c r="B339" s="65">
        <v>43578</v>
      </c>
      <c r="C339" s="66" t="s">
        <v>217</v>
      </c>
      <c r="D339" s="3" t="s">
        <v>7</v>
      </c>
      <c r="E339" s="68">
        <v>1</v>
      </c>
    </row>
    <row r="340" spans="1:5">
      <c r="A340" s="64" t="s">
        <v>6</v>
      </c>
      <c r="B340" s="65">
        <v>43579</v>
      </c>
      <c r="C340" s="66" t="s">
        <v>218</v>
      </c>
      <c r="D340" s="3" t="s">
        <v>7</v>
      </c>
      <c r="E340" s="68">
        <v>1</v>
      </c>
    </row>
    <row r="341" spans="1:5">
      <c r="A341" s="64" t="s">
        <v>6</v>
      </c>
      <c r="B341" s="65">
        <v>43580</v>
      </c>
      <c r="C341" s="66" t="s">
        <v>219</v>
      </c>
      <c r="D341" s="3" t="s">
        <v>7</v>
      </c>
      <c r="E341" s="68">
        <v>1</v>
      </c>
    </row>
    <row r="342" spans="1:5">
      <c r="A342" s="64" t="s">
        <v>6</v>
      </c>
      <c r="B342" s="65">
        <v>43581</v>
      </c>
      <c r="C342" s="66" t="s">
        <v>220</v>
      </c>
      <c r="D342" s="3" t="s">
        <v>7</v>
      </c>
      <c r="E342" s="68">
        <v>1</v>
      </c>
    </row>
    <row r="343" spans="1:5">
      <c r="A343" s="64" t="s">
        <v>6</v>
      </c>
      <c r="B343" s="65">
        <v>43584</v>
      </c>
      <c r="C343" s="66" t="s">
        <v>216</v>
      </c>
      <c r="D343" s="3" t="s">
        <v>7</v>
      </c>
      <c r="E343" s="68">
        <v>1</v>
      </c>
    </row>
    <row r="344" spans="1:5">
      <c r="A344" s="64" t="s">
        <v>6</v>
      </c>
      <c r="B344" s="65">
        <v>43585</v>
      </c>
      <c r="C344" s="66" t="s">
        <v>217</v>
      </c>
      <c r="D344" s="3" t="s">
        <v>7</v>
      </c>
      <c r="E344" s="68">
        <v>1</v>
      </c>
    </row>
    <row r="345" spans="1:5">
      <c r="A345" s="64" t="s">
        <v>6</v>
      </c>
      <c r="B345" s="65">
        <v>43586</v>
      </c>
      <c r="C345" s="66" t="s">
        <v>218</v>
      </c>
      <c r="D345" s="3" t="s">
        <v>7</v>
      </c>
      <c r="E345" s="68">
        <v>1</v>
      </c>
    </row>
    <row r="346" spans="1:5">
      <c r="A346" s="64" t="s">
        <v>6</v>
      </c>
      <c r="B346" s="65">
        <v>43587</v>
      </c>
      <c r="C346" s="66" t="s">
        <v>219</v>
      </c>
      <c r="D346" s="3" t="s">
        <v>7</v>
      </c>
      <c r="E346" s="68">
        <v>1</v>
      </c>
    </row>
    <row r="347" spans="1:5">
      <c r="A347" s="64" t="s">
        <v>6</v>
      </c>
      <c r="B347" s="65">
        <v>43588</v>
      </c>
      <c r="C347" s="66" t="s">
        <v>220</v>
      </c>
      <c r="D347" s="3" t="s">
        <v>7</v>
      </c>
      <c r="E347" s="68">
        <v>1</v>
      </c>
    </row>
    <row r="348" spans="1:5">
      <c r="A348" s="64" t="s">
        <v>6</v>
      </c>
      <c r="B348" s="65">
        <v>43591</v>
      </c>
      <c r="C348" s="66" t="s">
        <v>216</v>
      </c>
      <c r="D348" s="3" t="s">
        <v>7</v>
      </c>
      <c r="E348" s="68">
        <v>1</v>
      </c>
    </row>
    <row r="349" spans="1:5">
      <c r="A349" s="64" t="s">
        <v>6</v>
      </c>
      <c r="B349" s="65">
        <v>43592</v>
      </c>
      <c r="C349" s="66" t="s">
        <v>217</v>
      </c>
      <c r="D349" s="3" t="s">
        <v>7</v>
      </c>
      <c r="E349" s="68">
        <v>1</v>
      </c>
    </row>
    <row r="350" spans="1:5">
      <c r="A350" s="64" t="s">
        <v>6</v>
      </c>
      <c r="B350" s="65">
        <v>43593</v>
      </c>
      <c r="C350" s="66" t="s">
        <v>218</v>
      </c>
      <c r="D350" s="3" t="s">
        <v>7</v>
      </c>
      <c r="E350" s="68">
        <v>1</v>
      </c>
    </row>
    <row r="351" spans="1:5">
      <c r="A351" s="64" t="s">
        <v>6</v>
      </c>
      <c r="B351" s="65">
        <v>43594</v>
      </c>
      <c r="C351" s="66" t="s">
        <v>219</v>
      </c>
      <c r="D351" s="3" t="s">
        <v>7</v>
      </c>
      <c r="E351" s="68">
        <v>1</v>
      </c>
    </row>
    <row r="352" spans="1:5">
      <c r="A352" s="64" t="s">
        <v>6</v>
      </c>
      <c r="B352" s="65">
        <v>43595</v>
      </c>
      <c r="C352" s="66" t="s">
        <v>220</v>
      </c>
      <c r="D352" s="3" t="s">
        <v>7</v>
      </c>
      <c r="E352" s="68">
        <v>1</v>
      </c>
    </row>
    <row r="353" spans="1:5">
      <c r="A353" s="64" t="s">
        <v>6</v>
      </c>
      <c r="B353" s="65">
        <v>43598</v>
      </c>
      <c r="C353" s="66" t="s">
        <v>216</v>
      </c>
      <c r="D353" s="3" t="s">
        <v>7</v>
      </c>
      <c r="E353" s="68">
        <v>1</v>
      </c>
    </row>
    <row r="354" spans="1:5">
      <c r="A354" s="64" t="s">
        <v>6</v>
      </c>
      <c r="B354" s="65">
        <v>43599</v>
      </c>
      <c r="C354" s="66" t="s">
        <v>217</v>
      </c>
      <c r="D354" s="3" t="s">
        <v>7</v>
      </c>
      <c r="E354" s="68">
        <v>1</v>
      </c>
    </row>
    <row r="355" spans="1:5">
      <c r="A355" s="64" t="s">
        <v>6</v>
      </c>
      <c r="B355" s="65">
        <v>43600</v>
      </c>
      <c r="C355" s="66" t="s">
        <v>218</v>
      </c>
      <c r="D355" s="3" t="s">
        <v>7</v>
      </c>
      <c r="E355" s="68">
        <v>1</v>
      </c>
    </row>
    <row r="356" spans="1:5">
      <c r="A356" s="64" t="s">
        <v>6</v>
      </c>
      <c r="B356" s="65">
        <v>43601</v>
      </c>
      <c r="C356" s="66" t="s">
        <v>219</v>
      </c>
      <c r="D356" s="3" t="s">
        <v>7</v>
      </c>
      <c r="E356" s="68">
        <v>1</v>
      </c>
    </row>
    <row r="357" spans="1:5">
      <c r="A357" s="64" t="s">
        <v>6</v>
      </c>
      <c r="B357" s="65">
        <v>43602</v>
      </c>
      <c r="C357" s="66" t="s">
        <v>220</v>
      </c>
      <c r="D357" s="3" t="s">
        <v>7</v>
      </c>
      <c r="E357" s="68">
        <v>1</v>
      </c>
    </row>
    <row r="358" spans="1:5">
      <c r="A358" s="64" t="s">
        <v>6</v>
      </c>
      <c r="B358" s="65">
        <v>43605</v>
      </c>
      <c r="C358" s="66" t="s">
        <v>216</v>
      </c>
      <c r="D358" s="3" t="s">
        <v>7</v>
      </c>
      <c r="E358" s="68">
        <v>1</v>
      </c>
    </row>
    <row r="359" spans="1:5">
      <c r="A359" s="64" t="s">
        <v>6</v>
      </c>
      <c r="B359" s="65">
        <v>43606</v>
      </c>
      <c r="C359" s="66" t="s">
        <v>217</v>
      </c>
      <c r="D359" s="3" t="s">
        <v>7</v>
      </c>
      <c r="E359" s="68">
        <v>1</v>
      </c>
    </row>
    <row r="360" spans="1:5">
      <c r="A360" s="64" t="s">
        <v>6</v>
      </c>
      <c r="B360" s="65">
        <v>43607</v>
      </c>
      <c r="C360" s="66" t="s">
        <v>218</v>
      </c>
      <c r="D360" s="3" t="s">
        <v>7</v>
      </c>
      <c r="E360" s="68">
        <v>1</v>
      </c>
    </row>
    <row r="361" spans="1:5">
      <c r="A361" s="64" t="s">
        <v>6</v>
      </c>
      <c r="B361" s="65">
        <v>43608</v>
      </c>
      <c r="C361" s="66" t="s">
        <v>219</v>
      </c>
      <c r="D361" s="3" t="s">
        <v>7</v>
      </c>
      <c r="E361" s="68">
        <v>1</v>
      </c>
    </row>
    <row r="362" spans="1:5">
      <c r="A362" s="64" t="s">
        <v>6</v>
      </c>
      <c r="B362" s="65">
        <v>43609</v>
      </c>
      <c r="C362" s="66" t="s">
        <v>220</v>
      </c>
      <c r="D362" s="3" t="s">
        <v>7</v>
      </c>
      <c r="E362" s="68">
        <v>1</v>
      </c>
    </row>
    <row r="363" spans="1:5">
      <c r="A363" s="64" t="s">
        <v>6</v>
      </c>
      <c r="B363" s="65">
        <v>43612</v>
      </c>
      <c r="C363" s="66" t="s">
        <v>216</v>
      </c>
      <c r="D363" s="3" t="s">
        <v>7</v>
      </c>
      <c r="E363" s="68">
        <v>1</v>
      </c>
    </row>
    <row r="364" spans="1:5">
      <c r="A364" s="64" t="s">
        <v>6</v>
      </c>
      <c r="B364" s="65">
        <v>43613</v>
      </c>
      <c r="C364" s="66" t="s">
        <v>217</v>
      </c>
      <c r="D364" s="3" t="s">
        <v>7</v>
      </c>
      <c r="E364" s="68">
        <v>1</v>
      </c>
    </row>
    <row r="365" spans="1:5">
      <c r="A365" s="64" t="s">
        <v>6</v>
      </c>
      <c r="B365" s="65">
        <v>43614</v>
      </c>
      <c r="C365" s="66" t="s">
        <v>218</v>
      </c>
      <c r="D365" s="3" t="s">
        <v>7</v>
      </c>
      <c r="E365" s="68">
        <v>1</v>
      </c>
    </row>
    <row r="366" spans="1:5">
      <c r="A366" s="64" t="s">
        <v>6</v>
      </c>
      <c r="B366" s="65">
        <v>43615</v>
      </c>
      <c r="C366" s="66" t="s">
        <v>219</v>
      </c>
      <c r="D366" s="3" t="s">
        <v>7</v>
      </c>
      <c r="E366" s="68">
        <v>1</v>
      </c>
    </row>
    <row r="367" spans="1:5">
      <c r="A367" s="64" t="s">
        <v>6</v>
      </c>
      <c r="B367" s="65">
        <v>43616</v>
      </c>
      <c r="C367" s="66" t="s">
        <v>220</v>
      </c>
      <c r="D367" s="3" t="s">
        <v>7</v>
      </c>
      <c r="E367" s="68">
        <v>1</v>
      </c>
    </row>
    <row r="368" spans="1:5">
      <c r="A368" s="64" t="s">
        <v>6</v>
      </c>
      <c r="B368" s="65">
        <v>43619</v>
      </c>
      <c r="C368" s="66" t="s">
        <v>216</v>
      </c>
      <c r="D368" s="3" t="s">
        <v>7</v>
      </c>
      <c r="E368" s="68">
        <v>1</v>
      </c>
    </row>
    <row r="369" spans="1:5">
      <c r="A369" s="64" t="s">
        <v>6</v>
      </c>
      <c r="B369" s="65">
        <v>43620</v>
      </c>
      <c r="C369" s="66" t="s">
        <v>217</v>
      </c>
      <c r="D369" s="3" t="s">
        <v>7</v>
      </c>
      <c r="E369" s="68">
        <v>1</v>
      </c>
    </row>
    <row r="370" spans="1:5">
      <c r="A370" s="64" t="s">
        <v>6</v>
      </c>
      <c r="B370" s="65">
        <v>43621</v>
      </c>
      <c r="C370" s="66" t="s">
        <v>218</v>
      </c>
      <c r="D370" s="3" t="s">
        <v>7</v>
      </c>
      <c r="E370" s="68">
        <v>1</v>
      </c>
    </row>
    <row r="371" spans="1:5">
      <c r="A371" s="64" t="s">
        <v>6</v>
      </c>
      <c r="B371" s="65">
        <v>43622</v>
      </c>
      <c r="C371" s="66" t="s">
        <v>219</v>
      </c>
      <c r="D371" s="3" t="s">
        <v>7</v>
      </c>
      <c r="E371" s="68">
        <v>1</v>
      </c>
    </row>
    <row r="372" spans="1:5">
      <c r="A372" s="64" t="s">
        <v>6</v>
      </c>
      <c r="B372" s="65">
        <v>43623</v>
      </c>
      <c r="C372" s="66" t="s">
        <v>220</v>
      </c>
      <c r="D372" s="3" t="s">
        <v>7</v>
      </c>
      <c r="E372" s="68">
        <v>1</v>
      </c>
    </row>
    <row r="373" spans="1:5">
      <c r="A373" s="64" t="s">
        <v>6</v>
      </c>
      <c r="B373" s="65">
        <v>43626</v>
      </c>
      <c r="C373" s="66" t="s">
        <v>216</v>
      </c>
      <c r="D373" s="3" t="s">
        <v>7</v>
      </c>
      <c r="E373" s="68">
        <v>1</v>
      </c>
    </row>
    <row r="374" spans="1:5">
      <c r="A374" s="64" t="s">
        <v>6</v>
      </c>
      <c r="B374" s="65">
        <v>43627</v>
      </c>
      <c r="C374" s="66" t="s">
        <v>217</v>
      </c>
      <c r="D374" s="3" t="s">
        <v>7</v>
      </c>
      <c r="E374" s="68">
        <v>1</v>
      </c>
    </row>
    <row r="375" spans="1:5">
      <c r="A375" s="64" t="s">
        <v>6</v>
      </c>
      <c r="B375" s="65">
        <v>43628</v>
      </c>
      <c r="C375" s="66" t="s">
        <v>218</v>
      </c>
      <c r="D375" s="3" t="s">
        <v>7</v>
      </c>
      <c r="E375" s="68">
        <v>1</v>
      </c>
    </row>
    <row r="376" spans="1:5">
      <c r="A376" s="64" t="s">
        <v>6</v>
      </c>
      <c r="B376" s="65">
        <v>43629</v>
      </c>
      <c r="C376" s="66" t="s">
        <v>219</v>
      </c>
      <c r="D376" s="3" t="s">
        <v>7</v>
      </c>
      <c r="E376" s="68">
        <v>1</v>
      </c>
    </row>
    <row r="377" spans="1:5">
      <c r="A377" s="64" t="s">
        <v>6</v>
      </c>
      <c r="B377" s="65">
        <v>43630</v>
      </c>
      <c r="C377" s="66" t="s">
        <v>220</v>
      </c>
      <c r="D377" s="3" t="s">
        <v>7</v>
      </c>
      <c r="E377" s="68">
        <v>1</v>
      </c>
    </row>
    <row r="378" spans="1:5">
      <c r="A378" s="64" t="s">
        <v>6</v>
      </c>
      <c r="B378" s="65">
        <v>43633</v>
      </c>
      <c r="C378" s="66" t="s">
        <v>216</v>
      </c>
      <c r="D378" s="3" t="s">
        <v>7</v>
      </c>
      <c r="E378" s="68">
        <v>1</v>
      </c>
    </row>
    <row r="379" spans="1:5">
      <c r="A379" s="64" t="s">
        <v>6</v>
      </c>
      <c r="B379" s="65">
        <v>43634</v>
      </c>
      <c r="C379" s="66" t="s">
        <v>217</v>
      </c>
      <c r="D379" s="3" t="s">
        <v>7</v>
      </c>
      <c r="E379" s="68">
        <v>1</v>
      </c>
    </row>
    <row r="380" spans="1:5">
      <c r="A380" s="64" t="s">
        <v>6</v>
      </c>
      <c r="B380" s="65">
        <v>43635</v>
      </c>
      <c r="C380" s="66" t="s">
        <v>218</v>
      </c>
      <c r="D380" s="3" t="s">
        <v>7</v>
      </c>
      <c r="E380" s="68">
        <v>1</v>
      </c>
    </row>
    <row r="381" spans="1:5">
      <c r="A381" s="64" t="s">
        <v>6</v>
      </c>
      <c r="B381" s="65">
        <v>43636</v>
      </c>
      <c r="C381" s="66" t="s">
        <v>219</v>
      </c>
      <c r="D381" s="3" t="s">
        <v>7</v>
      </c>
      <c r="E381" s="68">
        <v>1</v>
      </c>
    </row>
    <row r="382" spans="1:5">
      <c r="A382" s="64" t="s">
        <v>6</v>
      </c>
      <c r="B382" s="65">
        <v>43637</v>
      </c>
      <c r="C382" s="66" t="s">
        <v>220</v>
      </c>
      <c r="D382" s="3" t="s">
        <v>7</v>
      </c>
      <c r="E382" s="68">
        <v>1</v>
      </c>
    </row>
    <row r="383" spans="1:5">
      <c r="A383" s="64" t="s">
        <v>6</v>
      </c>
      <c r="B383" s="65">
        <v>43640</v>
      </c>
      <c r="C383" s="66" t="s">
        <v>216</v>
      </c>
      <c r="D383" s="3" t="s">
        <v>7</v>
      </c>
      <c r="E383" s="68">
        <v>1</v>
      </c>
    </row>
    <row r="384" spans="1:5">
      <c r="A384" s="64" t="s">
        <v>6</v>
      </c>
      <c r="B384" s="65">
        <v>43641</v>
      </c>
      <c r="C384" s="66" t="s">
        <v>217</v>
      </c>
      <c r="D384" s="3" t="s">
        <v>7</v>
      </c>
      <c r="E384" s="68">
        <v>1</v>
      </c>
    </row>
    <row r="385" spans="1:5">
      <c r="A385" s="64" t="s">
        <v>6</v>
      </c>
      <c r="B385" s="65">
        <v>43642</v>
      </c>
      <c r="C385" s="66" t="s">
        <v>218</v>
      </c>
      <c r="D385" s="3" t="s">
        <v>7</v>
      </c>
      <c r="E385" s="68">
        <v>1</v>
      </c>
    </row>
    <row r="386" spans="1:5">
      <c r="A386" s="64" t="s">
        <v>6</v>
      </c>
      <c r="B386" s="65">
        <v>43643</v>
      </c>
      <c r="C386" s="66" t="s">
        <v>219</v>
      </c>
      <c r="D386" s="3" t="s">
        <v>7</v>
      </c>
      <c r="E386" s="68">
        <v>1</v>
      </c>
    </row>
    <row r="387" spans="1:5">
      <c r="A387" s="64" t="s">
        <v>6</v>
      </c>
      <c r="B387" s="65">
        <v>43644</v>
      </c>
      <c r="C387" s="66" t="s">
        <v>220</v>
      </c>
      <c r="D387" s="3" t="s">
        <v>7</v>
      </c>
      <c r="E387" s="68">
        <v>1</v>
      </c>
    </row>
    <row r="388" spans="1:5">
      <c r="A388" s="64" t="s">
        <v>6</v>
      </c>
      <c r="B388" s="65">
        <v>43647</v>
      </c>
      <c r="C388" s="66" t="s">
        <v>216</v>
      </c>
      <c r="D388" s="3" t="s">
        <v>7</v>
      </c>
      <c r="E388" s="68">
        <v>1</v>
      </c>
    </row>
    <row r="389" spans="1:5">
      <c r="A389" s="64" t="s">
        <v>6</v>
      </c>
      <c r="B389" s="65">
        <v>43648</v>
      </c>
      <c r="C389" s="66" t="s">
        <v>217</v>
      </c>
      <c r="D389" s="3" t="s">
        <v>7</v>
      </c>
      <c r="E389" s="68">
        <v>1</v>
      </c>
    </row>
    <row r="390" spans="1:5">
      <c r="A390" s="64" t="s">
        <v>6</v>
      </c>
      <c r="B390" s="65">
        <v>43649</v>
      </c>
      <c r="C390" s="66" t="s">
        <v>218</v>
      </c>
      <c r="D390" s="3" t="s">
        <v>7</v>
      </c>
      <c r="E390" s="68">
        <v>1</v>
      </c>
    </row>
    <row r="391" spans="1:5">
      <c r="A391" s="64" t="s">
        <v>6</v>
      </c>
      <c r="B391" s="65">
        <v>43650</v>
      </c>
      <c r="C391" s="66" t="s">
        <v>219</v>
      </c>
      <c r="D391" s="3" t="s">
        <v>7</v>
      </c>
      <c r="E391" s="68">
        <v>1</v>
      </c>
    </row>
    <row r="392" spans="1:5">
      <c r="A392" s="64" t="s">
        <v>6</v>
      </c>
      <c r="B392" s="65">
        <v>43651</v>
      </c>
      <c r="C392" s="66" t="s">
        <v>220</v>
      </c>
      <c r="D392" s="3" t="s">
        <v>7</v>
      </c>
      <c r="E392" s="68">
        <v>1</v>
      </c>
    </row>
    <row r="393" spans="1:5">
      <c r="A393" s="64" t="s">
        <v>6</v>
      </c>
      <c r="B393" s="65">
        <v>43654</v>
      </c>
      <c r="C393" s="66" t="s">
        <v>216</v>
      </c>
      <c r="D393" s="3" t="s">
        <v>7</v>
      </c>
      <c r="E393" s="68">
        <v>1</v>
      </c>
    </row>
    <row r="394" spans="1:5">
      <c r="A394" s="64" t="s">
        <v>6</v>
      </c>
      <c r="B394" s="65">
        <v>43655</v>
      </c>
      <c r="C394" s="66" t="s">
        <v>217</v>
      </c>
      <c r="D394" s="3" t="s">
        <v>7</v>
      </c>
      <c r="E394" s="68">
        <v>1</v>
      </c>
    </row>
    <row r="395" spans="1:5">
      <c r="A395" s="64" t="s">
        <v>6</v>
      </c>
      <c r="B395" s="65">
        <v>43656</v>
      </c>
      <c r="C395" s="66" t="s">
        <v>218</v>
      </c>
      <c r="D395" s="3" t="s">
        <v>7</v>
      </c>
      <c r="E395" s="68">
        <v>1</v>
      </c>
    </row>
    <row r="396" spans="1:5">
      <c r="A396" s="64" t="s">
        <v>6</v>
      </c>
      <c r="B396" s="65">
        <v>43657</v>
      </c>
      <c r="C396" s="66" t="s">
        <v>219</v>
      </c>
      <c r="D396" s="3" t="s">
        <v>7</v>
      </c>
      <c r="E396" s="68">
        <v>1</v>
      </c>
    </row>
    <row r="397" spans="1:5">
      <c r="A397" s="64" t="s">
        <v>6</v>
      </c>
      <c r="B397" s="65">
        <v>43658</v>
      </c>
      <c r="C397" s="66" t="s">
        <v>220</v>
      </c>
      <c r="D397" s="3" t="s">
        <v>7</v>
      </c>
      <c r="E397" s="68">
        <v>1</v>
      </c>
    </row>
    <row r="398" spans="1:5">
      <c r="A398" s="64" t="s">
        <v>6</v>
      </c>
      <c r="B398" s="65">
        <v>43661</v>
      </c>
      <c r="C398" s="66" t="s">
        <v>216</v>
      </c>
      <c r="D398" s="3" t="s">
        <v>7</v>
      </c>
      <c r="E398" s="68">
        <v>1</v>
      </c>
    </row>
    <row r="399" spans="1:5">
      <c r="A399" s="64" t="s">
        <v>6</v>
      </c>
      <c r="B399" s="65">
        <v>43662</v>
      </c>
      <c r="C399" s="66" t="s">
        <v>217</v>
      </c>
      <c r="D399" s="3" t="s">
        <v>7</v>
      </c>
      <c r="E399" s="68">
        <v>1</v>
      </c>
    </row>
    <row r="400" spans="1:5">
      <c r="A400" s="64" t="s">
        <v>6</v>
      </c>
      <c r="B400" s="65">
        <v>43663</v>
      </c>
      <c r="C400" s="66" t="s">
        <v>218</v>
      </c>
      <c r="D400" s="3" t="s">
        <v>7</v>
      </c>
      <c r="E400" s="68">
        <v>1</v>
      </c>
    </row>
    <row r="401" spans="1:5">
      <c r="A401" s="64" t="s">
        <v>6</v>
      </c>
      <c r="B401" s="65">
        <v>43664</v>
      </c>
      <c r="C401" s="66" t="s">
        <v>219</v>
      </c>
      <c r="D401" s="3" t="s">
        <v>7</v>
      </c>
      <c r="E401" s="68">
        <v>1</v>
      </c>
    </row>
    <row r="402" spans="1:5">
      <c r="A402" s="64" t="s">
        <v>6</v>
      </c>
      <c r="B402" s="65">
        <v>43665</v>
      </c>
      <c r="C402" s="66" t="s">
        <v>220</v>
      </c>
      <c r="D402" s="3" t="s">
        <v>7</v>
      </c>
      <c r="E402" s="68">
        <v>1</v>
      </c>
    </row>
    <row r="403" spans="1:5">
      <c r="A403" s="64" t="s">
        <v>6</v>
      </c>
      <c r="B403" s="65">
        <v>43668</v>
      </c>
      <c r="C403" s="66" t="s">
        <v>216</v>
      </c>
      <c r="D403" s="3" t="s">
        <v>7</v>
      </c>
      <c r="E403" s="68">
        <v>1</v>
      </c>
    </row>
    <row r="404" spans="1:5">
      <c r="A404" s="64" t="s">
        <v>6</v>
      </c>
      <c r="B404" s="65">
        <v>43669</v>
      </c>
      <c r="C404" s="66" t="s">
        <v>217</v>
      </c>
      <c r="D404" s="3" t="s">
        <v>7</v>
      </c>
      <c r="E404" s="68">
        <v>1</v>
      </c>
    </row>
    <row r="405" spans="1:5">
      <c r="A405" s="64" t="s">
        <v>6</v>
      </c>
      <c r="B405" s="65">
        <v>43670</v>
      </c>
      <c r="C405" s="66" t="s">
        <v>218</v>
      </c>
      <c r="D405" s="3" t="s">
        <v>7</v>
      </c>
      <c r="E405" s="68">
        <v>1</v>
      </c>
    </row>
    <row r="406" spans="1:5">
      <c r="A406" s="64" t="s">
        <v>6</v>
      </c>
      <c r="B406" s="65">
        <v>43671</v>
      </c>
      <c r="C406" s="66" t="s">
        <v>219</v>
      </c>
      <c r="D406" s="3" t="s">
        <v>7</v>
      </c>
      <c r="E406" s="68">
        <v>1</v>
      </c>
    </row>
    <row r="407" spans="1:5">
      <c r="A407" s="64" t="s">
        <v>6</v>
      </c>
      <c r="B407" s="65">
        <v>43672</v>
      </c>
      <c r="C407" s="66" t="s">
        <v>220</v>
      </c>
      <c r="D407" s="3" t="s">
        <v>7</v>
      </c>
      <c r="E407" s="68">
        <v>1</v>
      </c>
    </row>
    <row r="408" spans="1:5">
      <c r="A408" s="64" t="s">
        <v>6</v>
      </c>
      <c r="B408" s="65">
        <v>43675</v>
      </c>
      <c r="C408" s="66" t="s">
        <v>216</v>
      </c>
      <c r="D408" s="3" t="s">
        <v>7</v>
      </c>
      <c r="E408" s="68">
        <v>1</v>
      </c>
    </row>
    <row r="409" spans="1:5">
      <c r="A409" s="64" t="s">
        <v>6</v>
      </c>
      <c r="B409" s="65">
        <v>43676</v>
      </c>
      <c r="C409" s="66" t="s">
        <v>217</v>
      </c>
      <c r="D409" s="3" t="s">
        <v>7</v>
      </c>
      <c r="E409" s="68">
        <v>1</v>
      </c>
    </row>
    <row r="410" spans="1:5">
      <c r="A410" s="64" t="s">
        <v>6</v>
      </c>
      <c r="B410" s="65">
        <v>43677</v>
      </c>
      <c r="C410" s="66" t="s">
        <v>218</v>
      </c>
      <c r="D410" s="3" t="s">
        <v>7</v>
      </c>
      <c r="E410" s="68">
        <v>1</v>
      </c>
    </row>
    <row r="411" spans="1:5">
      <c r="A411" s="64" t="s">
        <v>6</v>
      </c>
      <c r="B411" s="65">
        <v>43678</v>
      </c>
      <c r="C411" s="66" t="s">
        <v>219</v>
      </c>
      <c r="D411" s="3" t="s">
        <v>7</v>
      </c>
      <c r="E411" s="68">
        <v>1</v>
      </c>
    </row>
    <row r="412" spans="1:5">
      <c r="A412" s="64" t="s">
        <v>6</v>
      </c>
      <c r="B412" s="65">
        <v>43679</v>
      </c>
      <c r="C412" s="66" t="s">
        <v>220</v>
      </c>
      <c r="D412" s="3" t="s">
        <v>7</v>
      </c>
      <c r="E412" s="68">
        <v>1</v>
      </c>
    </row>
    <row r="413" spans="1:5">
      <c r="A413" s="64" t="s">
        <v>6</v>
      </c>
      <c r="B413" s="65">
        <v>43682</v>
      </c>
      <c r="C413" s="66" t="s">
        <v>216</v>
      </c>
      <c r="D413" s="3" t="s">
        <v>7</v>
      </c>
      <c r="E413" s="68">
        <v>1</v>
      </c>
    </row>
    <row r="414" spans="1:5">
      <c r="A414" s="64" t="s">
        <v>6</v>
      </c>
      <c r="B414" s="65">
        <v>43683</v>
      </c>
      <c r="C414" s="66" t="s">
        <v>217</v>
      </c>
      <c r="D414" s="3" t="s">
        <v>7</v>
      </c>
      <c r="E414" s="68">
        <v>1</v>
      </c>
    </row>
    <row r="415" spans="1:5">
      <c r="A415" s="64" t="s">
        <v>6</v>
      </c>
      <c r="B415" s="65">
        <v>43684</v>
      </c>
      <c r="C415" s="66" t="s">
        <v>218</v>
      </c>
      <c r="D415" s="3" t="s">
        <v>7</v>
      </c>
      <c r="E415" s="68">
        <v>1</v>
      </c>
    </row>
    <row r="416" spans="1:5">
      <c r="A416" s="64" t="s">
        <v>6</v>
      </c>
      <c r="B416" s="65">
        <v>43685</v>
      </c>
      <c r="C416" s="66" t="s">
        <v>219</v>
      </c>
      <c r="D416" s="3" t="s">
        <v>7</v>
      </c>
      <c r="E416" s="68">
        <v>1</v>
      </c>
    </row>
    <row r="417" spans="1:5">
      <c r="A417" s="64" t="s">
        <v>6</v>
      </c>
      <c r="B417" s="65">
        <v>43686</v>
      </c>
      <c r="C417" s="66" t="s">
        <v>220</v>
      </c>
      <c r="D417" s="3" t="s">
        <v>7</v>
      </c>
      <c r="E417" s="68">
        <v>1</v>
      </c>
    </row>
    <row r="418" spans="1:5">
      <c r="A418" s="64" t="s">
        <v>6</v>
      </c>
      <c r="B418" s="65">
        <v>43689</v>
      </c>
      <c r="C418" s="66" t="s">
        <v>216</v>
      </c>
      <c r="D418" s="3" t="s">
        <v>7</v>
      </c>
      <c r="E418" s="68">
        <v>1</v>
      </c>
    </row>
    <row r="419" spans="1:5">
      <c r="A419" s="64" t="s">
        <v>6</v>
      </c>
      <c r="B419" s="65">
        <v>43690</v>
      </c>
      <c r="C419" s="66" t="s">
        <v>217</v>
      </c>
      <c r="D419" s="3" t="s">
        <v>7</v>
      </c>
      <c r="E419" s="68">
        <v>1</v>
      </c>
    </row>
    <row r="420" spans="1:5">
      <c r="A420" s="64" t="s">
        <v>6</v>
      </c>
      <c r="B420" s="65">
        <v>43691</v>
      </c>
      <c r="C420" s="66" t="s">
        <v>218</v>
      </c>
      <c r="D420" s="3" t="s">
        <v>7</v>
      </c>
      <c r="E420" s="68">
        <v>1</v>
      </c>
    </row>
    <row r="421" spans="1:5">
      <c r="A421" s="64" t="s">
        <v>6</v>
      </c>
      <c r="B421" s="65">
        <v>43692</v>
      </c>
      <c r="C421" s="66" t="s">
        <v>219</v>
      </c>
      <c r="D421" s="3" t="s">
        <v>7</v>
      </c>
      <c r="E421" s="68">
        <v>1</v>
      </c>
    </row>
    <row r="422" spans="1:5">
      <c r="A422" s="64" t="s">
        <v>6</v>
      </c>
      <c r="B422" s="65">
        <v>43693</v>
      </c>
      <c r="C422" s="66" t="s">
        <v>220</v>
      </c>
      <c r="D422" s="3" t="s">
        <v>7</v>
      </c>
      <c r="E422" s="68">
        <v>1</v>
      </c>
    </row>
    <row r="423" spans="1:5">
      <c r="A423" s="64" t="s">
        <v>6</v>
      </c>
      <c r="B423" s="65">
        <v>43696</v>
      </c>
      <c r="C423" s="66" t="s">
        <v>216</v>
      </c>
      <c r="D423" s="3" t="s">
        <v>7</v>
      </c>
      <c r="E423" s="68">
        <v>1</v>
      </c>
    </row>
    <row r="424" spans="1:5">
      <c r="A424" s="64" t="s">
        <v>6</v>
      </c>
      <c r="B424" s="65">
        <v>43697</v>
      </c>
      <c r="C424" s="66" t="s">
        <v>217</v>
      </c>
      <c r="D424" s="3" t="s">
        <v>7</v>
      </c>
      <c r="E424" s="68">
        <v>1</v>
      </c>
    </row>
    <row r="425" spans="1:5">
      <c r="A425" s="64" t="s">
        <v>6</v>
      </c>
      <c r="B425" s="65">
        <v>43698</v>
      </c>
      <c r="C425" s="66" t="s">
        <v>218</v>
      </c>
      <c r="D425" s="3" t="s">
        <v>7</v>
      </c>
      <c r="E425" s="68">
        <v>1</v>
      </c>
    </row>
    <row r="426" spans="1:5">
      <c r="A426" s="64" t="s">
        <v>6</v>
      </c>
      <c r="B426" s="65">
        <v>43699</v>
      </c>
      <c r="C426" s="66" t="s">
        <v>219</v>
      </c>
      <c r="D426" s="3" t="s">
        <v>7</v>
      </c>
      <c r="E426" s="68">
        <v>1</v>
      </c>
    </row>
    <row r="427" spans="1:5">
      <c r="A427" s="64" t="s">
        <v>6</v>
      </c>
      <c r="B427" s="65">
        <v>43700</v>
      </c>
      <c r="C427" s="66" t="s">
        <v>220</v>
      </c>
      <c r="D427" s="3" t="s">
        <v>7</v>
      </c>
      <c r="E427" s="68">
        <v>1</v>
      </c>
    </row>
    <row r="428" spans="1:5">
      <c r="A428" s="64" t="s">
        <v>6</v>
      </c>
      <c r="B428" s="65">
        <v>43703</v>
      </c>
      <c r="C428" s="66" t="s">
        <v>216</v>
      </c>
      <c r="D428" s="3" t="s">
        <v>7</v>
      </c>
      <c r="E428" s="68">
        <v>1</v>
      </c>
    </row>
    <row r="429" spans="1:5">
      <c r="A429" s="64" t="s">
        <v>6</v>
      </c>
      <c r="B429" s="65">
        <v>43704</v>
      </c>
      <c r="C429" s="66" t="s">
        <v>217</v>
      </c>
      <c r="D429" s="3" t="s">
        <v>7</v>
      </c>
      <c r="E429" s="68">
        <v>1</v>
      </c>
    </row>
    <row r="430" spans="1:5">
      <c r="A430" s="64" t="s">
        <v>6</v>
      </c>
      <c r="B430" s="65">
        <v>43705</v>
      </c>
      <c r="C430" s="66" t="s">
        <v>218</v>
      </c>
      <c r="D430" s="3" t="s">
        <v>7</v>
      </c>
      <c r="E430" s="68">
        <v>1</v>
      </c>
    </row>
    <row r="431" spans="1:5">
      <c r="A431" s="64" t="s">
        <v>6</v>
      </c>
      <c r="B431" s="65">
        <v>43706</v>
      </c>
      <c r="C431" s="66" t="s">
        <v>219</v>
      </c>
      <c r="D431" s="3" t="s">
        <v>7</v>
      </c>
      <c r="E431" s="68">
        <v>1</v>
      </c>
    </row>
    <row r="432" spans="1:5">
      <c r="A432" s="64" t="s">
        <v>6</v>
      </c>
      <c r="B432" s="65">
        <v>43707</v>
      </c>
      <c r="C432" s="66" t="s">
        <v>220</v>
      </c>
      <c r="D432" s="3" t="s">
        <v>7</v>
      </c>
      <c r="E432" s="68">
        <v>1</v>
      </c>
    </row>
    <row r="433" spans="1:5">
      <c r="A433" s="64" t="s">
        <v>6</v>
      </c>
      <c r="B433" s="65">
        <v>43710</v>
      </c>
      <c r="C433" s="66" t="s">
        <v>216</v>
      </c>
      <c r="D433" s="3" t="s">
        <v>7</v>
      </c>
      <c r="E433" s="68">
        <v>1</v>
      </c>
    </row>
    <row r="434" spans="1:5">
      <c r="A434" s="64" t="s">
        <v>6</v>
      </c>
      <c r="B434" s="65">
        <v>43711</v>
      </c>
      <c r="C434" s="66" t="s">
        <v>217</v>
      </c>
      <c r="D434" s="3" t="s">
        <v>7</v>
      </c>
      <c r="E434" s="68">
        <v>1</v>
      </c>
    </row>
    <row r="435" spans="1:5">
      <c r="A435" s="64" t="s">
        <v>6</v>
      </c>
      <c r="B435" s="65">
        <v>43712</v>
      </c>
      <c r="C435" s="66" t="s">
        <v>218</v>
      </c>
      <c r="D435" s="3" t="s">
        <v>7</v>
      </c>
      <c r="E435" s="68">
        <v>1</v>
      </c>
    </row>
    <row r="436" spans="1:5">
      <c r="A436" s="64" t="s">
        <v>6</v>
      </c>
      <c r="B436" s="65">
        <v>43713</v>
      </c>
      <c r="C436" s="66" t="s">
        <v>219</v>
      </c>
      <c r="D436" s="3" t="s">
        <v>7</v>
      </c>
      <c r="E436" s="68">
        <v>1</v>
      </c>
    </row>
    <row r="437" spans="1:5">
      <c r="A437" s="64" t="s">
        <v>6</v>
      </c>
      <c r="B437" s="65">
        <v>43714</v>
      </c>
      <c r="C437" s="66" t="s">
        <v>220</v>
      </c>
      <c r="D437" s="3" t="s">
        <v>7</v>
      </c>
      <c r="E437" s="68">
        <v>1</v>
      </c>
    </row>
    <row r="438" spans="1:5">
      <c r="A438" s="64" t="s">
        <v>6</v>
      </c>
      <c r="B438" s="65">
        <v>43717</v>
      </c>
      <c r="C438" s="66" t="s">
        <v>216</v>
      </c>
      <c r="D438" s="3" t="s">
        <v>7</v>
      </c>
      <c r="E438" s="68">
        <v>1</v>
      </c>
    </row>
    <row r="439" spans="1:5">
      <c r="A439" s="64" t="s">
        <v>6</v>
      </c>
      <c r="B439" s="65">
        <v>43718</v>
      </c>
      <c r="C439" s="66" t="s">
        <v>217</v>
      </c>
      <c r="D439" s="3" t="s">
        <v>7</v>
      </c>
      <c r="E439" s="68">
        <v>1</v>
      </c>
    </row>
    <row r="440" spans="1:5">
      <c r="A440" s="64" t="s">
        <v>6</v>
      </c>
      <c r="B440" s="65">
        <v>43719</v>
      </c>
      <c r="C440" s="66" t="s">
        <v>218</v>
      </c>
      <c r="D440" s="3" t="s">
        <v>7</v>
      </c>
      <c r="E440" s="68">
        <v>1</v>
      </c>
    </row>
    <row r="441" spans="1:5">
      <c r="A441" s="64" t="s">
        <v>6</v>
      </c>
      <c r="B441" s="65">
        <v>43720</v>
      </c>
      <c r="C441" s="66" t="s">
        <v>219</v>
      </c>
      <c r="D441" s="3" t="s">
        <v>7</v>
      </c>
      <c r="E441" s="68">
        <v>1</v>
      </c>
    </row>
    <row r="442" spans="1:5">
      <c r="A442" s="64" t="s">
        <v>6</v>
      </c>
      <c r="B442" s="65">
        <v>43721</v>
      </c>
      <c r="C442" s="66" t="s">
        <v>220</v>
      </c>
      <c r="D442" s="3" t="s">
        <v>7</v>
      </c>
      <c r="E442" s="68">
        <v>1</v>
      </c>
    </row>
    <row r="443" spans="1:5">
      <c r="A443" s="64" t="s">
        <v>6</v>
      </c>
      <c r="B443" s="65">
        <v>43724</v>
      </c>
      <c r="C443" s="66" t="s">
        <v>216</v>
      </c>
      <c r="D443" s="3" t="s">
        <v>7</v>
      </c>
      <c r="E443" s="68">
        <v>1</v>
      </c>
    </row>
    <row r="444" spans="1:5">
      <c r="A444" s="64" t="s">
        <v>6</v>
      </c>
      <c r="B444" s="65">
        <v>43725</v>
      </c>
      <c r="C444" s="66" t="s">
        <v>217</v>
      </c>
      <c r="D444" s="3" t="s">
        <v>7</v>
      </c>
      <c r="E444" s="68">
        <v>1</v>
      </c>
    </row>
    <row r="445" spans="1:5">
      <c r="A445" s="64" t="s">
        <v>6</v>
      </c>
      <c r="B445" s="65">
        <v>43726</v>
      </c>
      <c r="C445" s="66" t="s">
        <v>218</v>
      </c>
      <c r="D445" s="3" t="s">
        <v>7</v>
      </c>
      <c r="E445" s="68">
        <v>1</v>
      </c>
    </row>
    <row r="446" spans="1:5">
      <c r="A446" s="64" t="s">
        <v>6</v>
      </c>
      <c r="B446" s="65">
        <v>43727</v>
      </c>
      <c r="C446" s="66" t="s">
        <v>219</v>
      </c>
      <c r="D446" s="3" t="s">
        <v>7</v>
      </c>
      <c r="E446" s="68">
        <v>1</v>
      </c>
    </row>
    <row r="447" spans="1:5">
      <c r="A447" s="64" t="s">
        <v>6</v>
      </c>
      <c r="B447" s="65">
        <v>43728</v>
      </c>
      <c r="C447" s="66" t="s">
        <v>220</v>
      </c>
      <c r="D447" s="3" t="s">
        <v>7</v>
      </c>
      <c r="E447" s="68">
        <v>1</v>
      </c>
    </row>
    <row r="448" spans="1:5">
      <c r="A448" s="64" t="s">
        <v>6</v>
      </c>
      <c r="B448" s="65">
        <v>43731</v>
      </c>
      <c r="C448" s="66" t="s">
        <v>216</v>
      </c>
      <c r="D448" s="3" t="s">
        <v>7</v>
      </c>
      <c r="E448" s="68">
        <v>1</v>
      </c>
    </row>
    <row r="449" spans="1:5">
      <c r="A449" s="64" t="s">
        <v>6</v>
      </c>
      <c r="B449" s="65">
        <v>43732</v>
      </c>
      <c r="C449" s="66" t="s">
        <v>217</v>
      </c>
      <c r="D449" s="3" t="s">
        <v>7</v>
      </c>
      <c r="E449" s="68">
        <v>1</v>
      </c>
    </row>
    <row r="450" spans="1:5">
      <c r="A450" s="64" t="s">
        <v>6</v>
      </c>
      <c r="B450" s="65">
        <v>43733</v>
      </c>
      <c r="C450" s="66" t="s">
        <v>218</v>
      </c>
      <c r="D450" s="3" t="s">
        <v>7</v>
      </c>
      <c r="E450" s="68">
        <v>1</v>
      </c>
    </row>
    <row r="451" spans="1:5">
      <c r="A451" s="64" t="s">
        <v>6</v>
      </c>
      <c r="B451" s="65">
        <v>43734</v>
      </c>
      <c r="C451" s="66" t="s">
        <v>219</v>
      </c>
      <c r="D451" s="3" t="s">
        <v>7</v>
      </c>
      <c r="E451" s="68">
        <v>1</v>
      </c>
    </row>
    <row r="452" spans="1:5">
      <c r="A452" s="64" t="s">
        <v>6</v>
      </c>
      <c r="B452" s="65">
        <v>43735</v>
      </c>
      <c r="C452" s="66" t="s">
        <v>220</v>
      </c>
      <c r="D452" s="3" t="s">
        <v>7</v>
      </c>
      <c r="E452" s="68">
        <v>1</v>
      </c>
    </row>
    <row r="453" spans="1:5">
      <c r="A453" s="64" t="s">
        <v>6</v>
      </c>
      <c r="B453" s="65">
        <v>43738</v>
      </c>
      <c r="C453" s="66" t="s">
        <v>216</v>
      </c>
      <c r="D453" s="3" t="s">
        <v>7</v>
      </c>
      <c r="E453" s="68">
        <v>1</v>
      </c>
    </row>
    <row r="454" spans="1:5">
      <c r="A454" s="64" t="s">
        <v>6</v>
      </c>
      <c r="B454" s="65">
        <v>43739</v>
      </c>
      <c r="C454" s="66" t="s">
        <v>217</v>
      </c>
      <c r="D454" s="3" t="s">
        <v>7</v>
      </c>
      <c r="E454" s="68">
        <v>1</v>
      </c>
    </row>
    <row r="455" spans="1:5">
      <c r="A455" s="64" t="s">
        <v>6</v>
      </c>
      <c r="B455" s="65">
        <v>43740</v>
      </c>
      <c r="C455" s="66" t="s">
        <v>218</v>
      </c>
      <c r="D455" s="3" t="s">
        <v>7</v>
      </c>
      <c r="E455" s="68">
        <v>1</v>
      </c>
    </row>
    <row r="456" spans="1:5">
      <c r="A456" s="64" t="s">
        <v>6</v>
      </c>
      <c r="B456" s="65">
        <v>43741</v>
      </c>
      <c r="C456" s="66" t="s">
        <v>219</v>
      </c>
      <c r="D456" s="3" t="s">
        <v>7</v>
      </c>
      <c r="E456" s="68">
        <v>1</v>
      </c>
    </row>
    <row r="457" spans="1:5">
      <c r="A457" s="64" t="s">
        <v>6</v>
      </c>
      <c r="B457" s="65">
        <v>43742</v>
      </c>
      <c r="C457" s="66" t="s">
        <v>220</v>
      </c>
      <c r="D457" s="3" t="s">
        <v>7</v>
      </c>
      <c r="E457" s="68">
        <v>1</v>
      </c>
    </row>
    <row r="458" spans="1:5">
      <c r="A458" s="64" t="s">
        <v>6</v>
      </c>
      <c r="B458" s="65">
        <v>43745</v>
      </c>
      <c r="C458" s="66" t="s">
        <v>216</v>
      </c>
      <c r="D458" s="3" t="s">
        <v>7</v>
      </c>
      <c r="E458" s="68">
        <v>1</v>
      </c>
    </row>
    <row r="459" spans="1:5">
      <c r="A459" s="64" t="s">
        <v>6</v>
      </c>
      <c r="B459" s="65">
        <v>43746</v>
      </c>
      <c r="C459" s="66" t="s">
        <v>217</v>
      </c>
      <c r="D459" s="3" t="s">
        <v>7</v>
      </c>
      <c r="E459" s="68">
        <v>1</v>
      </c>
    </row>
    <row r="460" spans="1:5">
      <c r="A460" s="64" t="s">
        <v>6</v>
      </c>
      <c r="B460" s="65">
        <v>43747</v>
      </c>
      <c r="C460" s="66" t="s">
        <v>218</v>
      </c>
      <c r="D460" s="3" t="s">
        <v>7</v>
      </c>
      <c r="E460" s="68">
        <v>1</v>
      </c>
    </row>
    <row r="461" spans="1:5">
      <c r="A461" s="64" t="s">
        <v>6</v>
      </c>
      <c r="B461" s="65">
        <v>43748</v>
      </c>
      <c r="C461" s="66" t="s">
        <v>219</v>
      </c>
      <c r="D461" s="3" t="s">
        <v>7</v>
      </c>
      <c r="E461" s="68">
        <v>1</v>
      </c>
    </row>
    <row r="462" spans="1:5">
      <c r="A462" s="64" t="s">
        <v>6</v>
      </c>
      <c r="B462" s="65">
        <v>43749</v>
      </c>
      <c r="C462" s="66" t="s">
        <v>220</v>
      </c>
      <c r="D462" s="3" t="s">
        <v>7</v>
      </c>
      <c r="E462" s="68">
        <v>1</v>
      </c>
    </row>
    <row r="463" spans="1:5">
      <c r="A463" s="64" t="s">
        <v>6</v>
      </c>
      <c r="B463" s="65">
        <v>43752</v>
      </c>
      <c r="C463" s="66" t="s">
        <v>216</v>
      </c>
      <c r="D463" s="3" t="s">
        <v>7</v>
      </c>
      <c r="E463" s="68">
        <v>1</v>
      </c>
    </row>
    <row r="464" spans="1:5">
      <c r="A464" s="64" t="s">
        <v>6</v>
      </c>
      <c r="B464" s="65">
        <v>43753</v>
      </c>
      <c r="C464" s="66" t="s">
        <v>217</v>
      </c>
      <c r="D464" s="3" t="s">
        <v>7</v>
      </c>
      <c r="E464" s="68">
        <v>1</v>
      </c>
    </row>
    <row r="465" spans="1:5">
      <c r="A465" s="64" t="s">
        <v>6</v>
      </c>
      <c r="B465" s="65">
        <v>43754</v>
      </c>
      <c r="C465" s="66" t="s">
        <v>218</v>
      </c>
      <c r="D465" s="3" t="s">
        <v>7</v>
      </c>
      <c r="E465" s="68">
        <v>1</v>
      </c>
    </row>
    <row r="466" spans="1:5">
      <c r="A466" s="64" t="s">
        <v>6</v>
      </c>
      <c r="B466" s="65">
        <v>43755</v>
      </c>
      <c r="C466" s="66" t="s">
        <v>219</v>
      </c>
      <c r="D466" s="3" t="s">
        <v>7</v>
      </c>
      <c r="E466" s="68">
        <v>1</v>
      </c>
    </row>
    <row r="467" spans="1:5">
      <c r="A467" s="64" t="s">
        <v>6</v>
      </c>
      <c r="B467" s="65">
        <v>43756</v>
      </c>
      <c r="C467" s="66" t="s">
        <v>220</v>
      </c>
      <c r="D467" s="3" t="s">
        <v>7</v>
      </c>
      <c r="E467" s="68">
        <v>1</v>
      </c>
    </row>
    <row r="468" spans="1:5">
      <c r="A468" s="64" t="s">
        <v>6</v>
      </c>
      <c r="B468" s="65">
        <v>43759</v>
      </c>
      <c r="C468" s="66" t="s">
        <v>216</v>
      </c>
      <c r="D468" s="3" t="s">
        <v>7</v>
      </c>
      <c r="E468" s="68">
        <v>1</v>
      </c>
    </row>
    <row r="469" spans="1:5">
      <c r="A469" s="64" t="s">
        <v>6</v>
      </c>
      <c r="B469" s="65">
        <v>43760</v>
      </c>
      <c r="C469" s="66" t="s">
        <v>217</v>
      </c>
      <c r="D469" s="3" t="s">
        <v>7</v>
      </c>
      <c r="E469" s="68">
        <v>1</v>
      </c>
    </row>
    <row r="470" spans="1:5">
      <c r="A470" s="64" t="s">
        <v>6</v>
      </c>
      <c r="B470" s="65">
        <v>43761</v>
      </c>
      <c r="C470" s="66" t="s">
        <v>218</v>
      </c>
      <c r="D470" s="3" t="s">
        <v>7</v>
      </c>
      <c r="E470" s="68">
        <v>1</v>
      </c>
    </row>
    <row r="471" spans="1:5">
      <c r="A471" s="64" t="s">
        <v>6</v>
      </c>
      <c r="B471" s="65">
        <v>43762</v>
      </c>
      <c r="C471" s="66" t="s">
        <v>219</v>
      </c>
      <c r="D471" s="3" t="s">
        <v>7</v>
      </c>
      <c r="E471" s="68">
        <v>1</v>
      </c>
    </row>
    <row r="472" spans="1:5">
      <c r="A472" s="64" t="s">
        <v>6</v>
      </c>
      <c r="B472" s="65">
        <v>43763</v>
      </c>
      <c r="C472" s="66" t="s">
        <v>220</v>
      </c>
      <c r="D472" s="3" t="s">
        <v>7</v>
      </c>
      <c r="E472" s="68">
        <v>1</v>
      </c>
    </row>
    <row r="473" spans="1:5">
      <c r="A473" s="64" t="s">
        <v>6</v>
      </c>
      <c r="B473" s="65">
        <v>43766</v>
      </c>
      <c r="C473" s="66" t="s">
        <v>216</v>
      </c>
      <c r="D473" s="3" t="s">
        <v>7</v>
      </c>
      <c r="E473" s="68">
        <v>1</v>
      </c>
    </row>
    <row r="474" spans="1:5">
      <c r="A474" s="64" t="s">
        <v>6</v>
      </c>
      <c r="B474" s="65">
        <v>43767</v>
      </c>
      <c r="C474" s="66" t="s">
        <v>217</v>
      </c>
      <c r="D474" s="3" t="s">
        <v>7</v>
      </c>
      <c r="E474" s="68">
        <v>1</v>
      </c>
    </row>
    <row r="475" spans="1:5">
      <c r="A475" s="64" t="s">
        <v>6</v>
      </c>
      <c r="B475" s="65">
        <v>43768</v>
      </c>
      <c r="C475" s="66" t="s">
        <v>218</v>
      </c>
      <c r="D475" s="3" t="s">
        <v>7</v>
      </c>
      <c r="E475" s="68">
        <v>1</v>
      </c>
    </row>
    <row r="476" spans="1:5">
      <c r="A476" s="64" t="s">
        <v>6</v>
      </c>
      <c r="B476" s="65">
        <v>43769</v>
      </c>
      <c r="C476" s="66" t="s">
        <v>219</v>
      </c>
      <c r="D476" s="3" t="s">
        <v>7</v>
      </c>
      <c r="E476" s="68">
        <v>1</v>
      </c>
    </row>
    <row r="477" spans="1:5">
      <c r="A477" s="64" t="s">
        <v>6</v>
      </c>
      <c r="B477" s="65">
        <v>43770</v>
      </c>
      <c r="C477" s="66" t="s">
        <v>220</v>
      </c>
      <c r="D477" s="3" t="s">
        <v>7</v>
      </c>
      <c r="E477" s="68">
        <v>1</v>
      </c>
    </row>
    <row r="478" spans="1:5">
      <c r="A478" s="64" t="s">
        <v>6</v>
      </c>
      <c r="B478" s="65">
        <v>43773</v>
      </c>
      <c r="C478" s="66" t="s">
        <v>216</v>
      </c>
      <c r="D478" s="3" t="s">
        <v>7</v>
      </c>
      <c r="E478" s="68">
        <v>1</v>
      </c>
    </row>
    <row r="479" spans="1:5">
      <c r="A479" s="64" t="s">
        <v>6</v>
      </c>
      <c r="B479" s="65">
        <v>43774</v>
      </c>
      <c r="C479" s="66" t="s">
        <v>217</v>
      </c>
      <c r="D479" s="3" t="s">
        <v>7</v>
      </c>
      <c r="E479" s="68">
        <v>1</v>
      </c>
    </row>
    <row r="480" spans="1:5">
      <c r="A480" s="64" t="s">
        <v>6</v>
      </c>
      <c r="B480" s="65">
        <v>43775</v>
      </c>
      <c r="C480" s="66" t="s">
        <v>218</v>
      </c>
      <c r="D480" s="3" t="s">
        <v>7</v>
      </c>
      <c r="E480" s="68">
        <v>1</v>
      </c>
    </row>
    <row r="481" spans="1:5">
      <c r="A481" s="64" t="s">
        <v>6</v>
      </c>
      <c r="B481" s="65">
        <v>43776</v>
      </c>
      <c r="C481" s="66" t="s">
        <v>219</v>
      </c>
      <c r="D481" s="3" t="s">
        <v>7</v>
      </c>
      <c r="E481" s="68">
        <v>1</v>
      </c>
    </row>
    <row r="482" spans="1:5">
      <c r="A482" s="64" t="s">
        <v>6</v>
      </c>
      <c r="B482" s="65">
        <v>43777</v>
      </c>
      <c r="C482" s="66" t="s">
        <v>220</v>
      </c>
      <c r="D482" s="3" t="s">
        <v>7</v>
      </c>
      <c r="E482" s="68">
        <v>1</v>
      </c>
    </row>
    <row r="483" spans="1:5">
      <c r="A483" s="64" t="s">
        <v>6</v>
      </c>
      <c r="B483" s="65">
        <v>43780</v>
      </c>
      <c r="C483" s="66" t="s">
        <v>216</v>
      </c>
      <c r="D483" s="3" t="s">
        <v>7</v>
      </c>
      <c r="E483" s="68">
        <v>1</v>
      </c>
    </row>
    <row r="484" spans="1:5">
      <c r="A484" s="64" t="s">
        <v>6</v>
      </c>
      <c r="B484" s="65">
        <v>43781</v>
      </c>
      <c r="C484" s="66" t="s">
        <v>217</v>
      </c>
      <c r="D484" s="3" t="s">
        <v>7</v>
      </c>
      <c r="E484" s="68">
        <v>1</v>
      </c>
    </row>
    <row r="485" spans="1:5">
      <c r="A485" s="64" t="s">
        <v>6</v>
      </c>
      <c r="B485" s="65">
        <v>43782</v>
      </c>
      <c r="C485" s="66" t="s">
        <v>218</v>
      </c>
      <c r="D485" s="3" t="s">
        <v>7</v>
      </c>
      <c r="E485" s="68">
        <v>1</v>
      </c>
    </row>
    <row r="486" spans="1:5">
      <c r="A486" s="64" t="s">
        <v>6</v>
      </c>
      <c r="B486" s="65">
        <v>43783</v>
      </c>
      <c r="C486" s="66" t="s">
        <v>219</v>
      </c>
      <c r="D486" s="3" t="s">
        <v>7</v>
      </c>
      <c r="E486" s="68">
        <v>1</v>
      </c>
    </row>
    <row r="487" spans="1:5">
      <c r="A487" s="64" t="s">
        <v>6</v>
      </c>
      <c r="B487" s="65">
        <v>43784</v>
      </c>
      <c r="C487" s="66" t="s">
        <v>220</v>
      </c>
      <c r="D487" s="3" t="s">
        <v>7</v>
      </c>
      <c r="E487" s="68">
        <v>1</v>
      </c>
    </row>
    <row r="488" spans="1:5">
      <c r="A488" s="64" t="s">
        <v>6</v>
      </c>
      <c r="B488" s="65">
        <v>43787</v>
      </c>
      <c r="C488" s="66" t="s">
        <v>216</v>
      </c>
      <c r="D488" s="3" t="s">
        <v>7</v>
      </c>
      <c r="E488" s="68">
        <v>1</v>
      </c>
    </row>
    <row r="489" spans="1:5">
      <c r="A489" s="64" t="s">
        <v>6</v>
      </c>
      <c r="B489" s="65">
        <v>43788</v>
      </c>
      <c r="C489" s="66" t="s">
        <v>217</v>
      </c>
      <c r="D489" s="3" t="s">
        <v>7</v>
      </c>
      <c r="E489" s="68">
        <v>1</v>
      </c>
    </row>
    <row r="490" spans="1:5">
      <c r="A490" s="64" t="s">
        <v>6</v>
      </c>
      <c r="B490" s="65">
        <v>43789</v>
      </c>
      <c r="C490" s="66" t="s">
        <v>218</v>
      </c>
      <c r="D490" s="3" t="s">
        <v>7</v>
      </c>
      <c r="E490" s="68">
        <v>1</v>
      </c>
    </row>
    <row r="491" spans="1:5">
      <c r="A491" s="64" t="s">
        <v>6</v>
      </c>
      <c r="B491" s="65">
        <v>43790</v>
      </c>
      <c r="C491" s="66" t="s">
        <v>219</v>
      </c>
      <c r="D491" s="3" t="s">
        <v>7</v>
      </c>
      <c r="E491" s="68">
        <v>1</v>
      </c>
    </row>
    <row r="492" spans="1:5">
      <c r="A492" s="64" t="s">
        <v>6</v>
      </c>
      <c r="B492" s="65">
        <v>43791</v>
      </c>
      <c r="C492" s="66" t="s">
        <v>220</v>
      </c>
      <c r="D492" s="3" t="s">
        <v>7</v>
      </c>
      <c r="E492" s="68">
        <v>1</v>
      </c>
    </row>
    <row r="493" spans="1:5">
      <c r="A493" s="64" t="s">
        <v>6</v>
      </c>
      <c r="B493" s="65">
        <v>43794</v>
      </c>
      <c r="C493" s="66" t="s">
        <v>216</v>
      </c>
      <c r="D493" s="3" t="s">
        <v>7</v>
      </c>
      <c r="E493" s="68">
        <v>1</v>
      </c>
    </row>
    <row r="494" spans="1:5">
      <c r="A494" s="64" t="s">
        <v>6</v>
      </c>
      <c r="B494" s="65">
        <v>43795</v>
      </c>
      <c r="C494" s="66" t="s">
        <v>217</v>
      </c>
      <c r="D494" s="3" t="s">
        <v>7</v>
      </c>
      <c r="E494" s="68">
        <v>1</v>
      </c>
    </row>
    <row r="495" spans="1:5">
      <c r="A495" s="64" t="s">
        <v>6</v>
      </c>
      <c r="B495" s="65">
        <v>43796</v>
      </c>
      <c r="C495" s="66" t="s">
        <v>218</v>
      </c>
      <c r="D495" s="3" t="s">
        <v>7</v>
      </c>
      <c r="E495" s="68">
        <v>1</v>
      </c>
    </row>
    <row r="496" spans="1:5">
      <c r="A496" s="64" t="s">
        <v>6</v>
      </c>
      <c r="B496" s="65">
        <v>43797</v>
      </c>
      <c r="C496" s="66" t="s">
        <v>219</v>
      </c>
      <c r="D496" s="3" t="s">
        <v>7</v>
      </c>
      <c r="E496" s="68">
        <v>1</v>
      </c>
    </row>
    <row r="497" spans="1:5">
      <c r="A497" s="64" t="s">
        <v>6</v>
      </c>
      <c r="B497" s="65">
        <v>43798</v>
      </c>
      <c r="C497" s="66" t="s">
        <v>220</v>
      </c>
      <c r="D497" s="3" t="s">
        <v>7</v>
      </c>
      <c r="E497" s="68">
        <v>1</v>
      </c>
    </row>
    <row r="498" spans="1:5">
      <c r="A498" s="64" t="s">
        <v>6</v>
      </c>
      <c r="B498" s="65">
        <v>43801</v>
      </c>
      <c r="C498" s="66" t="s">
        <v>216</v>
      </c>
      <c r="D498" s="3" t="s">
        <v>7</v>
      </c>
      <c r="E498" s="68">
        <v>1</v>
      </c>
    </row>
    <row r="499" spans="1:5">
      <c r="A499" s="64" t="s">
        <v>6</v>
      </c>
      <c r="B499" s="65">
        <v>43802</v>
      </c>
      <c r="C499" s="66" t="s">
        <v>217</v>
      </c>
      <c r="D499" s="3" t="s">
        <v>7</v>
      </c>
      <c r="E499" s="68">
        <v>1</v>
      </c>
    </row>
    <row r="500" spans="1:5">
      <c r="A500" s="64" t="s">
        <v>6</v>
      </c>
      <c r="B500" s="65">
        <v>43803</v>
      </c>
      <c r="C500" s="66" t="s">
        <v>218</v>
      </c>
      <c r="D500" s="3" t="s">
        <v>7</v>
      </c>
      <c r="E500" s="68">
        <v>1</v>
      </c>
    </row>
    <row r="501" spans="1:5">
      <c r="A501" s="64" t="s">
        <v>6</v>
      </c>
      <c r="B501" s="65">
        <v>43804</v>
      </c>
      <c r="C501" s="66" t="s">
        <v>219</v>
      </c>
      <c r="D501" s="3" t="s">
        <v>7</v>
      </c>
      <c r="E501" s="68">
        <v>1</v>
      </c>
    </row>
    <row r="502" spans="1:5">
      <c r="A502" s="64" t="s">
        <v>6</v>
      </c>
      <c r="B502" s="65">
        <v>43805</v>
      </c>
      <c r="C502" s="66" t="s">
        <v>220</v>
      </c>
      <c r="D502" s="3" t="s">
        <v>7</v>
      </c>
      <c r="E502" s="68">
        <v>1</v>
      </c>
    </row>
    <row r="503" spans="1:5">
      <c r="A503" s="64" t="s">
        <v>6</v>
      </c>
      <c r="B503" s="65">
        <v>43808</v>
      </c>
      <c r="C503" s="66" t="s">
        <v>216</v>
      </c>
      <c r="D503" s="3" t="s">
        <v>7</v>
      </c>
      <c r="E503" s="68">
        <v>1</v>
      </c>
    </row>
    <row r="504" spans="1:5">
      <c r="A504" s="64" t="s">
        <v>6</v>
      </c>
      <c r="B504" s="65">
        <v>43809</v>
      </c>
      <c r="C504" s="66" t="s">
        <v>217</v>
      </c>
      <c r="D504" s="3" t="s">
        <v>7</v>
      </c>
      <c r="E504" s="68">
        <v>1</v>
      </c>
    </row>
    <row r="505" spans="1:5">
      <c r="A505" s="64" t="s">
        <v>6</v>
      </c>
      <c r="B505" s="65">
        <v>43810</v>
      </c>
      <c r="C505" s="66" t="s">
        <v>218</v>
      </c>
      <c r="D505" s="3" t="s">
        <v>7</v>
      </c>
      <c r="E505" s="68">
        <v>1</v>
      </c>
    </row>
    <row r="506" spans="1:5">
      <c r="A506" s="64" t="s">
        <v>6</v>
      </c>
      <c r="B506" s="65">
        <v>43811</v>
      </c>
      <c r="C506" s="66" t="s">
        <v>219</v>
      </c>
      <c r="D506" s="3" t="s">
        <v>7</v>
      </c>
      <c r="E506" s="68">
        <v>1</v>
      </c>
    </row>
    <row r="507" spans="1:5">
      <c r="A507" s="64" t="s">
        <v>6</v>
      </c>
      <c r="B507" s="65">
        <v>43812</v>
      </c>
      <c r="C507" s="66" t="s">
        <v>220</v>
      </c>
      <c r="D507" s="3" t="s">
        <v>7</v>
      </c>
      <c r="E507" s="68">
        <v>1</v>
      </c>
    </row>
    <row r="508" spans="1:5">
      <c r="A508" s="64" t="s">
        <v>6</v>
      </c>
      <c r="B508" s="65">
        <v>43815</v>
      </c>
      <c r="C508" s="66" t="s">
        <v>216</v>
      </c>
      <c r="D508" s="3" t="s">
        <v>7</v>
      </c>
      <c r="E508" s="68">
        <v>1</v>
      </c>
    </row>
    <row r="509" spans="1:5">
      <c r="A509" s="64" t="s">
        <v>6</v>
      </c>
      <c r="B509" s="65">
        <v>43816</v>
      </c>
      <c r="C509" s="66" t="s">
        <v>217</v>
      </c>
      <c r="D509" s="3" t="s">
        <v>7</v>
      </c>
      <c r="E509" s="68">
        <v>1</v>
      </c>
    </row>
    <row r="510" spans="1:5">
      <c r="A510" s="64" t="s">
        <v>6</v>
      </c>
      <c r="B510" s="65">
        <v>43817</v>
      </c>
      <c r="C510" s="66" t="s">
        <v>218</v>
      </c>
      <c r="D510" s="3" t="s">
        <v>7</v>
      </c>
      <c r="E510" s="68">
        <v>1</v>
      </c>
    </row>
    <row r="511" spans="1:5">
      <c r="A511" s="64" t="s">
        <v>6</v>
      </c>
      <c r="B511" s="65">
        <v>43818</v>
      </c>
      <c r="C511" s="66" t="s">
        <v>219</v>
      </c>
      <c r="D511" s="3" t="s">
        <v>7</v>
      </c>
      <c r="E511" s="68">
        <v>1</v>
      </c>
    </row>
    <row r="512" spans="1:5">
      <c r="A512" s="64" t="s">
        <v>6</v>
      </c>
      <c r="B512" s="65">
        <v>43819</v>
      </c>
      <c r="C512" s="66" t="s">
        <v>220</v>
      </c>
      <c r="D512" s="3" t="s">
        <v>7</v>
      </c>
      <c r="E512" s="68">
        <v>1</v>
      </c>
    </row>
    <row r="513" spans="1:5">
      <c r="A513" s="64" t="s">
        <v>6</v>
      </c>
      <c r="B513" s="65">
        <v>43822</v>
      </c>
      <c r="C513" s="66" t="s">
        <v>216</v>
      </c>
      <c r="D513" s="3" t="s">
        <v>7</v>
      </c>
      <c r="E513" s="68">
        <v>1</v>
      </c>
    </row>
    <row r="514" spans="1:5">
      <c r="A514" s="64" t="s">
        <v>6</v>
      </c>
      <c r="B514" s="65">
        <v>43823</v>
      </c>
      <c r="C514" s="66" t="s">
        <v>217</v>
      </c>
      <c r="D514" s="3" t="s">
        <v>7</v>
      </c>
      <c r="E514" s="68">
        <v>1</v>
      </c>
    </row>
    <row r="515" spans="1:5">
      <c r="A515" s="64" t="s">
        <v>6</v>
      </c>
      <c r="B515" s="65">
        <v>43824</v>
      </c>
      <c r="C515" s="66" t="s">
        <v>218</v>
      </c>
      <c r="D515" s="3" t="s">
        <v>7</v>
      </c>
      <c r="E515" s="68">
        <v>1</v>
      </c>
    </row>
    <row r="516" spans="1:5">
      <c r="A516" s="64" t="s">
        <v>6</v>
      </c>
      <c r="B516" s="65">
        <v>43825</v>
      </c>
      <c r="C516" s="66" t="s">
        <v>219</v>
      </c>
      <c r="D516" s="3" t="s">
        <v>7</v>
      </c>
      <c r="E516" s="68">
        <v>1</v>
      </c>
    </row>
    <row r="517" spans="1:5">
      <c r="A517" s="64" t="s">
        <v>6</v>
      </c>
      <c r="B517" s="65">
        <v>43826</v>
      </c>
      <c r="C517" s="66" t="s">
        <v>220</v>
      </c>
      <c r="D517" s="3" t="s">
        <v>7</v>
      </c>
      <c r="E517" s="68">
        <v>1</v>
      </c>
    </row>
    <row r="518" spans="1:5">
      <c r="A518" s="64" t="s">
        <v>6</v>
      </c>
      <c r="B518" s="65">
        <v>43829</v>
      </c>
      <c r="C518" s="66" t="s">
        <v>216</v>
      </c>
      <c r="D518" s="3" t="s">
        <v>7</v>
      </c>
      <c r="E518" s="68">
        <v>1</v>
      </c>
    </row>
    <row r="519" spans="1:5">
      <c r="A519" s="64" t="s">
        <v>6</v>
      </c>
      <c r="B519" s="65">
        <v>43830</v>
      </c>
      <c r="C519" s="66" t="s">
        <v>217</v>
      </c>
      <c r="D519" s="3" t="s">
        <v>7</v>
      </c>
      <c r="E519" s="68">
        <v>1</v>
      </c>
    </row>
    <row r="520" spans="1:5">
      <c r="A520" s="64" t="s">
        <v>6</v>
      </c>
      <c r="B520" s="65">
        <v>43831</v>
      </c>
      <c r="C520" s="66" t="s">
        <v>218</v>
      </c>
      <c r="D520" s="3" t="s">
        <v>7</v>
      </c>
      <c r="E520" s="68">
        <v>1</v>
      </c>
    </row>
    <row r="521" spans="1:5">
      <c r="A521" s="64" t="s">
        <v>6</v>
      </c>
      <c r="B521" s="65">
        <v>43832</v>
      </c>
      <c r="C521" s="66" t="s">
        <v>219</v>
      </c>
      <c r="D521" s="3" t="s">
        <v>7</v>
      </c>
      <c r="E521" s="68">
        <v>1</v>
      </c>
    </row>
    <row r="522" spans="1:5">
      <c r="A522" s="64" t="s">
        <v>6</v>
      </c>
      <c r="B522" s="65">
        <v>43833</v>
      </c>
      <c r="C522" s="66" t="s">
        <v>220</v>
      </c>
      <c r="D522" s="3" t="s">
        <v>7</v>
      </c>
      <c r="E522" s="68">
        <v>1</v>
      </c>
    </row>
    <row r="523" spans="1:5">
      <c r="A523" s="64" t="s">
        <v>6</v>
      </c>
      <c r="B523" s="65">
        <v>43836</v>
      </c>
      <c r="C523" s="66" t="s">
        <v>216</v>
      </c>
      <c r="D523" s="3" t="s">
        <v>7</v>
      </c>
      <c r="E523" s="68">
        <v>1</v>
      </c>
    </row>
    <row r="524" spans="1:5">
      <c r="A524" s="64" t="s">
        <v>6</v>
      </c>
      <c r="B524" s="65">
        <v>43837</v>
      </c>
      <c r="C524" s="66" t="s">
        <v>217</v>
      </c>
      <c r="D524" s="3" t="s">
        <v>7</v>
      </c>
      <c r="E524" s="68">
        <v>1</v>
      </c>
    </row>
    <row r="525" spans="1:5">
      <c r="A525" s="64" t="s">
        <v>6</v>
      </c>
      <c r="B525" s="65">
        <v>43838</v>
      </c>
      <c r="C525" s="66" t="s">
        <v>218</v>
      </c>
      <c r="D525" s="3" t="s">
        <v>7</v>
      </c>
      <c r="E525" s="68">
        <v>1</v>
      </c>
    </row>
    <row r="526" spans="1:5">
      <c r="A526" s="64" t="s">
        <v>6</v>
      </c>
      <c r="B526" s="65">
        <v>43839</v>
      </c>
      <c r="C526" s="66" t="s">
        <v>219</v>
      </c>
      <c r="D526" s="3" t="s">
        <v>7</v>
      </c>
      <c r="E526" s="68">
        <v>1</v>
      </c>
    </row>
    <row r="527" spans="1:5">
      <c r="A527" s="64" t="s">
        <v>6</v>
      </c>
      <c r="B527" s="65">
        <v>43840</v>
      </c>
      <c r="C527" s="66" t="s">
        <v>220</v>
      </c>
      <c r="D527" s="3" t="s">
        <v>7</v>
      </c>
      <c r="E527" s="68">
        <v>1</v>
      </c>
    </row>
    <row r="528" spans="1:5">
      <c r="A528" s="64" t="s">
        <v>6</v>
      </c>
      <c r="B528" s="65">
        <v>43843</v>
      </c>
      <c r="C528" s="66" t="s">
        <v>216</v>
      </c>
      <c r="D528" s="3" t="s">
        <v>7</v>
      </c>
      <c r="E528" s="68">
        <v>1</v>
      </c>
    </row>
    <row r="529" spans="1:5">
      <c r="A529" s="64" t="s">
        <v>6</v>
      </c>
      <c r="B529" s="65">
        <v>43844</v>
      </c>
      <c r="C529" s="66" t="s">
        <v>217</v>
      </c>
      <c r="D529" s="3" t="s">
        <v>7</v>
      </c>
      <c r="E529" s="68">
        <v>1</v>
      </c>
    </row>
    <row r="530" spans="1:5">
      <c r="A530" s="64" t="s">
        <v>6</v>
      </c>
      <c r="B530" s="65">
        <v>43845</v>
      </c>
      <c r="C530" s="66" t="s">
        <v>218</v>
      </c>
      <c r="D530" s="3" t="s">
        <v>7</v>
      </c>
      <c r="E530" s="68">
        <v>1</v>
      </c>
    </row>
    <row r="531" spans="1:5">
      <c r="A531" s="64" t="s">
        <v>6</v>
      </c>
      <c r="B531" s="65">
        <v>43846</v>
      </c>
      <c r="C531" s="66" t="s">
        <v>219</v>
      </c>
      <c r="D531" s="3" t="s">
        <v>7</v>
      </c>
      <c r="E531" s="68">
        <v>1</v>
      </c>
    </row>
    <row r="532" spans="1:5">
      <c r="A532" s="64" t="s">
        <v>6</v>
      </c>
      <c r="B532" s="65">
        <v>43847</v>
      </c>
      <c r="C532" s="66" t="s">
        <v>220</v>
      </c>
      <c r="D532" s="3" t="s">
        <v>7</v>
      </c>
      <c r="E532" s="68">
        <v>1</v>
      </c>
    </row>
    <row r="533" spans="1:5">
      <c r="A533" s="64" t="s">
        <v>6</v>
      </c>
      <c r="B533" s="65">
        <v>43850</v>
      </c>
      <c r="C533" s="66" t="s">
        <v>216</v>
      </c>
      <c r="D533" s="3" t="s">
        <v>7</v>
      </c>
      <c r="E533" s="68">
        <v>1</v>
      </c>
    </row>
    <row r="534" spans="1:5">
      <c r="A534" s="64" t="s">
        <v>6</v>
      </c>
      <c r="B534" s="65">
        <v>43851</v>
      </c>
      <c r="C534" s="66" t="s">
        <v>217</v>
      </c>
      <c r="D534" s="3" t="s">
        <v>7</v>
      </c>
      <c r="E534" s="68">
        <v>1</v>
      </c>
    </row>
    <row r="535" spans="1:5">
      <c r="A535" s="64" t="s">
        <v>6</v>
      </c>
      <c r="B535" s="65">
        <v>43852</v>
      </c>
      <c r="C535" s="66" t="s">
        <v>218</v>
      </c>
      <c r="D535" s="3" t="s">
        <v>7</v>
      </c>
      <c r="E535" s="68">
        <v>1</v>
      </c>
    </row>
    <row r="536" spans="1:5">
      <c r="A536" s="64" t="s">
        <v>6</v>
      </c>
      <c r="B536" s="65">
        <v>43853</v>
      </c>
      <c r="C536" s="66" t="s">
        <v>219</v>
      </c>
      <c r="D536" s="3" t="s">
        <v>7</v>
      </c>
      <c r="E536" s="68">
        <v>1</v>
      </c>
    </row>
    <row r="537" spans="1:5">
      <c r="A537" s="64" t="s">
        <v>6</v>
      </c>
      <c r="B537" s="65">
        <v>43854</v>
      </c>
      <c r="C537" s="66" t="s">
        <v>220</v>
      </c>
      <c r="D537" s="3" t="s">
        <v>7</v>
      </c>
      <c r="E537" s="68">
        <v>1</v>
      </c>
    </row>
    <row r="538" spans="1:5">
      <c r="A538" s="64" t="s">
        <v>6</v>
      </c>
      <c r="B538" s="65">
        <v>43857</v>
      </c>
      <c r="C538" s="66" t="s">
        <v>216</v>
      </c>
      <c r="D538" s="3" t="s">
        <v>7</v>
      </c>
      <c r="E538" s="68">
        <v>1</v>
      </c>
    </row>
    <row r="539" spans="1:5">
      <c r="A539" s="64" t="s">
        <v>6</v>
      </c>
      <c r="B539" s="65">
        <v>43858</v>
      </c>
      <c r="C539" s="66" t="s">
        <v>217</v>
      </c>
      <c r="D539" s="3" t="s">
        <v>7</v>
      </c>
      <c r="E539" s="68">
        <v>1</v>
      </c>
    </row>
    <row r="540" spans="1:5">
      <c r="A540" s="64" t="s">
        <v>6</v>
      </c>
      <c r="B540" s="65">
        <v>43859</v>
      </c>
      <c r="C540" s="66" t="s">
        <v>218</v>
      </c>
      <c r="D540" s="3" t="s">
        <v>7</v>
      </c>
      <c r="E540" s="68">
        <v>1</v>
      </c>
    </row>
    <row r="541" spans="1:5">
      <c r="A541" s="64" t="s">
        <v>6</v>
      </c>
      <c r="B541" s="65">
        <v>43860</v>
      </c>
      <c r="C541" s="66" t="s">
        <v>219</v>
      </c>
      <c r="D541" s="3" t="s">
        <v>7</v>
      </c>
      <c r="E541" s="68">
        <v>1</v>
      </c>
    </row>
    <row r="542" spans="1:5">
      <c r="A542" s="64" t="s">
        <v>6</v>
      </c>
      <c r="B542" s="65">
        <v>43861</v>
      </c>
      <c r="C542" s="66" t="s">
        <v>220</v>
      </c>
      <c r="D542" s="3" t="s">
        <v>7</v>
      </c>
      <c r="E542" s="68">
        <v>1</v>
      </c>
    </row>
    <row r="543" spans="1:5">
      <c r="A543" s="64" t="s">
        <v>6</v>
      </c>
      <c r="B543" s="65">
        <v>43864</v>
      </c>
      <c r="C543" s="66" t="s">
        <v>216</v>
      </c>
      <c r="D543" s="3" t="s">
        <v>7</v>
      </c>
      <c r="E543" s="68">
        <v>1</v>
      </c>
    </row>
    <row r="544" spans="1:5">
      <c r="A544" s="64" t="s">
        <v>6</v>
      </c>
      <c r="B544" s="65">
        <v>43865</v>
      </c>
      <c r="C544" s="66" t="s">
        <v>217</v>
      </c>
      <c r="D544" s="3" t="s">
        <v>7</v>
      </c>
      <c r="E544" s="68">
        <v>1</v>
      </c>
    </row>
    <row r="545" spans="1:5">
      <c r="A545" s="64" t="s">
        <v>6</v>
      </c>
      <c r="B545" s="65">
        <v>43866</v>
      </c>
      <c r="C545" s="66" t="s">
        <v>218</v>
      </c>
      <c r="D545" s="3" t="s">
        <v>7</v>
      </c>
      <c r="E545" s="68">
        <v>1</v>
      </c>
    </row>
    <row r="546" spans="1:5">
      <c r="A546" s="64" t="s">
        <v>6</v>
      </c>
      <c r="B546" s="65">
        <v>43867</v>
      </c>
      <c r="C546" s="66" t="s">
        <v>219</v>
      </c>
      <c r="D546" s="3" t="s">
        <v>7</v>
      </c>
      <c r="E546" s="68">
        <v>1</v>
      </c>
    </row>
    <row r="547" spans="1:5">
      <c r="A547" s="64" t="s">
        <v>6</v>
      </c>
      <c r="B547" s="65">
        <v>43868</v>
      </c>
      <c r="C547" s="66" t="s">
        <v>220</v>
      </c>
      <c r="D547" s="3" t="s">
        <v>7</v>
      </c>
      <c r="E547" s="68">
        <v>1</v>
      </c>
    </row>
    <row r="548" spans="1:5">
      <c r="A548" s="64" t="s">
        <v>6</v>
      </c>
      <c r="B548" s="65">
        <v>43871</v>
      </c>
      <c r="C548" s="66" t="s">
        <v>216</v>
      </c>
      <c r="D548" s="3" t="s">
        <v>7</v>
      </c>
      <c r="E548" s="68">
        <v>1</v>
      </c>
    </row>
    <row r="549" spans="1:5">
      <c r="A549" s="64" t="s">
        <v>6</v>
      </c>
      <c r="B549" s="65">
        <v>43536</v>
      </c>
      <c r="C549" s="66" t="s">
        <v>217</v>
      </c>
      <c r="D549" s="3" t="s">
        <v>5</v>
      </c>
      <c r="E549" s="68">
        <v>1</v>
      </c>
    </row>
    <row r="550" spans="1:5">
      <c r="A550" s="64" t="s">
        <v>6</v>
      </c>
      <c r="B550" s="65">
        <v>43537</v>
      </c>
      <c r="C550" s="66" t="s">
        <v>218</v>
      </c>
      <c r="D550" s="3" t="s">
        <v>5</v>
      </c>
      <c r="E550" s="68">
        <v>1</v>
      </c>
    </row>
    <row r="551" spans="1:5">
      <c r="A551" s="64" t="s">
        <v>6</v>
      </c>
      <c r="B551" s="65">
        <v>43538</v>
      </c>
      <c r="C551" s="66" t="s">
        <v>219</v>
      </c>
      <c r="D551" s="3" t="s">
        <v>5</v>
      </c>
      <c r="E551" s="68">
        <v>1</v>
      </c>
    </row>
    <row r="552" spans="1:5">
      <c r="A552" s="64" t="s">
        <v>6</v>
      </c>
      <c r="B552" s="65">
        <v>43539</v>
      </c>
      <c r="C552" s="66" t="s">
        <v>220</v>
      </c>
      <c r="D552" s="3" t="s">
        <v>5</v>
      </c>
      <c r="E552" s="68">
        <v>1</v>
      </c>
    </row>
    <row r="553" spans="1:5">
      <c r="A553" s="64" t="s">
        <v>6</v>
      </c>
      <c r="B553" s="65">
        <v>43540</v>
      </c>
      <c r="C553" s="66" t="s">
        <v>221</v>
      </c>
      <c r="D553" s="3" t="s">
        <v>5</v>
      </c>
      <c r="E553" s="68">
        <v>1</v>
      </c>
    </row>
    <row r="554" spans="1:5">
      <c r="A554" s="64" t="s">
        <v>6</v>
      </c>
      <c r="B554" s="65">
        <v>43541</v>
      </c>
      <c r="C554" s="66" t="s">
        <v>222</v>
      </c>
      <c r="D554" s="3" t="s">
        <v>5</v>
      </c>
      <c r="E554" s="68">
        <v>1</v>
      </c>
    </row>
    <row r="555" spans="1:5">
      <c r="A555" s="64" t="s">
        <v>6</v>
      </c>
      <c r="B555" s="65">
        <v>43542</v>
      </c>
      <c r="C555" s="66" t="s">
        <v>216</v>
      </c>
      <c r="D555" s="3" t="s">
        <v>5</v>
      </c>
      <c r="E555" s="68">
        <v>1</v>
      </c>
    </row>
    <row r="556" spans="1:5">
      <c r="A556" s="64" t="s">
        <v>6</v>
      </c>
      <c r="B556" s="65">
        <v>43543</v>
      </c>
      <c r="C556" s="66" t="s">
        <v>217</v>
      </c>
      <c r="D556" s="3" t="s">
        <v>5</v>
      </c>
      <c r="E556" s="68">
        <v>1</v>
      </c>
    </row>
    <row r="557" spans="1:5">
      <c r="A557" s="64" t="s">
        <v>6</v>
      </c>
      <c r="B557" s="65">
        <v>43544</v>
      </c>
      <c r="C557" s="66" t="s">
        <v>218</v>
      </c>
      <c r="D557" s="3" t="s">
        <v>5</v>
      </c>
      <c r="E557" s="68">
        <v>1</v>
      </c>
    </row>
    <row r="558" spans="1:5">
      <c r="A558" s="64" t="s">
        <v>6</v>
      </c>
      <c r="B558" s="65">
        <v>43545</v>
      </c>
      <c r="C558" s="66" t="s">
        <v>219</v>
      </c>
      <c r="D558" s="3" t="s">
        <v>5</v>
      </c>
      <c r="E558" s="68">
        <v>1</v>
      </c>
    </row>
    <row r="559" spans="1:5">
      <c r="A559" s="64" t="s">
        <v>6</v>
      </c>
      <c r="B559" s="65">
        <v>43546</v>
      </c>
      <c r="C559" s="66" t="s">
        <v>220</v>
      </c>
      <c r="D559" s="3" t="s">
        <v>5</v>
      </c>
      <c r="E559" s="68">
        <v>1</v>
      </c>
    </row>
    <row r="560" spans="1:5">
      <c r="A560" s="64" t="s">
        <v>6</v>
      </c>
      <c r="B560" s="65">
        <v>43547</v>
      </c>
      <c r="C560" s="66" t="s">
        <v>221</v>
      </c>
      <c r="D560" s="3" t="s">
        <v>5</v>
      </c>
      <c r="E560" s="68">
        <v>1</v>
      </c>
    </row>
    <row r="561" spans="1:5">
      <c r="A561" s="64" t="s">
        <v>6</v>
      </c>
      <c r="B561" s="65">
        <v>43548</v>
      </c>
      <c r="C561" s="66" t="s">
        <v>222</v>
      </c>
      <c r="D561" s="3" t="s">
        <v>5</v>
      </c>
      <c r="E561" s="68">
        <v>1</v>
      </c>
    </row>
    <row r="562" spans="1:5">
      <c r="A562" s="64" t="s">
        <v>6</v>
      </c>
      <c r="B562" s="65">
        <v>43549</v>
      </c>
      <c r="C562" s="66" t="s">
        <v>216</v>
      </c>
      <c r="D562" s="3" t="s">
        <v>5</v>
      </c>
      <c r="E562" s="68">
        <v>1</v>
      </c>
    </row>
    <row r="563" spans="1:5">
      <c r="A563" s="64" t="s">
        <v>6</v>
      </c>
      <c r="B563" s="65">
        <v>43550</v>
      </c>
      <c r="C563" s="66" t="s">
        <v>217</v>
      </c>
      <c r="D563" s="3" t="s">
        <v>5</v>
      </c>
      <c r="E563" s="68">
        <v>1</v>
      </c>
    </row>
    <row r="564" spans="1:5">
      <c r="A564" s="64" t="s">
        <v>6</v>
      </c>
      <c r="B564" s="65">
        <v>43551</v>
      </c>
      <c r="C564" s="66" t="s">
        <v>218</v>
      </c>
      <c r="D564" s="3" t="s">
        <v>5</v>
      </c>
      <c r="E564" s="68">
        <v>1</v>
      </c>
    </row>
    <row r="565" spans="1:5">
      <c r="A565" s="64" t="s">
        <v>6</v>
      </c>
      <c r="B565" s="65">
        <v>43552</v>
      </c>
      <c r="C565" s="66" t="s">
        <v>219</v>
      </c>
      <c r="D565" s="3" t="s">
        <v>5</v>
      </c>
      <c r="E565" s="68">
        <v>1</v>
      </c>
    </row>
    <row r="566" spans="1:5">
      <c r="A566" s="64" t="s">
        <v>6</v>
      </c>
      <c r="B566" s="65">
        <v>43553</v>
      </c>
      <c r="C566" s="66" t="s">
        <v>220</v>
      </c>
      <c r="D566" s="3" t="s">
        <v>5</v>
      </c>
      <c r="E566" s="68">
        <v>1</v>
      </c>
    </row>
    <row r="567" spans="1:5">
      <c r="A567" s="64" t="s">
        <v>6</v>
      </c>
      <c r="B567" s="65">
        <v>43554</v>
      </c>
      <c r="C567" s="66" t="s">
        <v>221</v>
      </c>
      <c r="D567" s="3" t="s">
        <v>5</v>
      </c>
      <c r="E567" s="68">
        <v>1</v>
      </c>
    </row>
    <row r="568" spans="1:5">
      <c r="A568" s="64" t="s">
        <v>6</v>
      </c>
      <c r="B568" s="65">
        <v>43555</v>
      </c>
      <c r="C568" s="66" t="s">
        <v>222</v>
      </c>
      <c r="D568" s="3" t="s">
        <v>5</v>
      </c>
      <c r="E568" s="68">
        <v>1</v>
      </c>
    </row>
    <row r="569" spans="1:5">
      <c r="A569" s="64" t="s">
        <v>6</v>
      </c>
      <c r="B569" s="65">
        <v>43556</v>
      </c>
      <c r="C569" s="66" t="s">
        <v>216</v>
      </c>
      <c r="D569" s="3" t="s">
        <v>5</v>
      </c>
      <c r="E569" s="68">
        <v>1</v>
      </c>
    </row>
    <row r="570" spans="1:5">
      <c r="A570" s="64" t="s">
        <v>6</v>
      </c>
      <c r="B570" s="65">
        <v>43557</v>
      </c>
      <c r="C570" s="66" t="s">
        <v>217</v>
      </c>
      <c r="D570" s="3" t="s">
        <v>5</v>
      </c>
      <c r="E570" s="68">
        <v>1</v>
      </c>
    </row>
    <row r="571" spans="1:5">
      <c r="A571" s="64" t="s">
        <v>6</v>
      </c>
      <c r="B571" s="65">
        <v>43558</v>
      </c>
      <c r="C571" s="66" t="s">
        <v>218</v>
      </c>
      <c r="D571" s="3" t="s">
        <v>5</v>
      </c>
      <c r="E571" s="68">
        <v>1</v>
      </c>
    </row>
    <row r="572" spans="1:5">
      <c r="A572" s="64" t="s">
        <v>6</v>
      </c>
      <c r="B572" s="65">
        <v>43559</v>
      </c>
      <c r="C572" s="66" t="s">
        <v>219</v>
      </c>
      <c r="D572" s="3" t="s">
        <v>5</v>
      </c>
      <c r="E572" s="68">
        <v>1</v>
      </c>
    </row>
    <row r="573" spans="1:5">
      <c r="A573" s="64" t="s">
        <v>6</v>
      </c>
      <c r="B573" s="65">
        <v>43560</v>
      </c>
      <c r="C573" s="66" t="s">
        <v>220</v>
      </c>
      <c r="D573" s="3" t="s">
        <v>5</v>
      </c>
      <c r="E573" s="68">
        <v>1</v>
      </c>
    </row>
    <row r="574" spans="1:5">
      <c r="A574" s="64" t="s">
        <v>6</v>
      </c>
      <c r="B574" s="65">
        <v>43561</v>
      </c>
      <c r="C574" s="66" t="s">
        <v>221</v>
      </c>
      <c r="D574" s="3" t="s">
        <v>5</v>
      </c>
      <c r="E574" s="68">
        <v>1</v>
      </c>
    </row>
    <row r="575" spans="1:5">
      <c r="A575" s="64" t="s">
        <v>6</v>
      </c>
      <c r="B575" s="65">
        <v>43562</v>
      </c>
      <c r="C575" s="66" t="s">
        <v>222</v>
      </c>
      <c r="D575" s="3" t="s">
        <v>5</v>
      </c>
      <c r="E575" s="68">
        <v>1</v>
      </c>
    </row>
    <row r="576" spans="1:5">
      <c r="A576" s="64" t="s">
        <v>6</v>
      </c>
      <c r="B576" s="65">
        <v>43563</v>
      </c>
      <c r="C576" s="66" t="s">
        <v>216</v>
      </c>
      <c r="D576" s="3" t="s">
        <v>5</v>
      </c>
      <c r="E576" s="68">
        <v>1</v>
      </c>
    </row>
    <row r="577" spans="1:5">
      <c r="A577" s="64" t="s">
        <v>6</v>
      </c>
      <c r="B577" s="65">
        <v>43564</v>
      </c>
      <c r="C577" s="66" t="s">
        <v>217</v>
      </c>
      <c r="D577" s="3" t="s">
        <v>5</v>
      </c>
      <c r="E577" s="68">
        <v>1</v>
      </c>
    </row>
    <row r="578" spans="1:5">
      <c r="A578" s="64" t="s">
        <v>6</v>
      </c>
      <c r="B578" s="65">
        <v>43565</v>
      </c>
      <c r="C578" s="66" t="s">
        <v>218</v>
      </c>
      <c r="D578" s="3" t="s">
        <v>5</v>
      </c>
      <c r="E578" s="68">
        <v>1</v>
      </c>
    </row>
    <row r="579" spans="1:5">
      <c r="A579" s="64" t="s">
        <v>6</v>
      </c>
      <c r="B579" s="65">
        <v>43566</v>
      </c>
      <c r="C579" s="66" t="s">
        <v>219</v>
      </c>
      <c r="D579" s="3" t="s">
        <v>5</v>
      </c>
      <c r="E579" s="68">
        <v>1</v>
      </c>
    </row>
    <row r="580" spans="1:5">
      <c r="A580" s="64" t="s">
        <v>6</v>
      </c>
      <c r="B580" s="65">
        <v>43567</v>
      </c>
      <c r="C580" s="66" t="s">
        <v>220</v>
      </c>
      <c r="D580" s="3" t="s">
        <v>5</v>
      </c>
      <c r="E580" s="68">
        <v>1</v>
      </c>
    </row>
    <row r="581" spans="1:5">
      <c r="A581" s="64" t="s">
        <v>6</v>
      </c>
      <c r="B581" s="65">
        <v>43568</v>
      </c>
      <c r="C581" s="66" t="s">
        <v>221</v>
      </c>
      <c r="D581" s="3" t="s">
        <v>5</v>
      </c>
      <c r="E581" s="68">
        <v>1</v>
      </c>
    </row>
    <row r="582" spans="1:5">
      <c r="A582" s="64" t="s">
        <v>6</v>
      </c>
      <c r="B582" s="65">
        <v>43569</v>
      </c>
      <c r="C582" s="66" t="s">
        <v>222</v>
      </c>
      <c r="D582" s="3" t="s">
        <v>5</v>
      </c>
      <c r="E582" s="68">
        <v>1</v>
      </c>
    </row>
    <row r="583" spans="1:5">
      <c r="A583" s="64" t="s">
        <v>6</v>
      </c>
      <c r="B583" s="65">
        <v>43570</v>
      </c>
      <c r="C583" s="66" t="s">
        <v>216</v>
      </c>
      <c r="D583" s="3" t="s">
        <v>5</v>
      </c>
      <c r="E583" s="68">
        <v>1</v>
      </c>
    </row>
    <row r="584" spans="1:5">
      <c r="A584" s="64" t="s">
        <v>6</v>
      </c>
      <c r="B584" s="65">
        <v>43571</v>
      </c>
      <c r="C584" s="66" t="s">
        <v>217</v>
      </c>
      <c r="D584" s="3" t="s">
        <v>5</v>
      </c>
      <c r="E584" s="68">
        <v>1</v>
      </c>
    </row>
    <row r="585" spans="1:5">
      <c r="A585" s="64" t="s">
        <v>6</v>
      </c>
      <c r="B585" s="65">
        <v>43572</v>
      </c>
      <c r="C585" s="66" t="s">
        <v>218</v>
      </c>
      <c r="D585" s="3" t="s">
        <v>5</v>
      </c>
      <c r="E585" s="68">
        <v>1</v>
      </c>
    </row>
    <row r="586" spans="1:5">
      <c r="A586" s="64" t="s">
        <v>6</v>
      </c>
      <c r="B586" s="65">
        <v>43573</v>
      </c>
      <c r="C586" s="66" t="s">
        <v>219</v>
      </c>
      <c r="D586" s="3" t="s">
        <v>5</v>
      </c>
      <c r="E586" s="68">
        <v>1</v>
      </c>
    </row>
    <row r="587" spans="1:5">
      <c r="A587" s="64" t="s">
        <v>6</v>
      </c>
      <c r="B587" s="65">
        <v>43574</v>
      </c>
      <c r="C587" s="66" t="s">
        <v>220</v>
      </c>
      <c r="D587" s="3" t="s">
        <v>5</v>
      </c>
      <c r="E587" s="68">
        <v>1</v>
      </c>
    </row>
    <row r="588" spans="1:5">
      <c r="A588" s="64" t="s">
        <v>6</v>
      </c>
      <c r="B588" s="65">
        <v>43575</v>
      </c>
      <c r="C588" s="66" t="s">
        <v>221</v>
      </c>
      <c r="D588" s="3" t="s">
        <v>5</v>
      </c>
      <c r="E588" s="68">
        <v>1</v>
      </c>
    </row>
    <row r="589" spans="1:5">
      <c r="A589" s="64" t="s">
        <v>6</v>
      </c>
      <c r="B589" s="65">
        <v>43576</v>
      </c>
      <c r="C589" s="66" t="s">
        <v>222</v>
      </c>
      <c r="D589" s="3" t="s">
        <v>5</v>
      </c>
      <c r="E589" s="68">
        <v>1</v>
      </c>
    </row>
    <row r="590" spans="1:5">
      <c r="A590" s="64" t="s">
        <v>6</v>
      </c>
      <c r="B590" s="65">
        <v>43577</v>
      </c>
      <c r="C590" s="66" t="s">
        <v>216</v>
      </c>
      <c r="D590" s="3" t="s">
        <v>5</v>
      </c>
      <c r="E590" s="68">
        <v>1</v>
      </c>
    </row>
    <row r="591" spans="1:5">
      <c r="A591" s="64" t="s">
        <v>6</v>
      </c>
      <c r="B591" s="65">
        <v>43578</v>
      </c>
      <c r="C591" s="66" t="s">
        <v>217</v>
      </c>
      <c r="D591" s="3" t="s">
        <v>5</v>
      </c>
      <c r="E591" s="68">
        <v>1</v>
      </c>
    </row>
    <row r="592" spans="1:5">
      <c r="A592" s="64" t="s">
        <v>6</v>
      </c>
      <c r="B592" s="65">
        <v>43579</v>
      </c>
      <c r="C592" s="66" t="s">
        <v>218</v>
      </c>
      <c r="D592" s="3" t="s">
        <v>5</v>
      </c>
      <c r="E592" s="68">
        <v>1</v>
      </c>
    </row>
    <row r="593" spans="1:5">
      <c r="A593" s="64" t="s">
        <v>6</v>
      </c>
      <c r="B593" s="65">
        <v>43580</v>
      </c>
      <c r="C593" s="66" t="s">
        <v>219</v>
      </c>
      <c r="D593" s="3" t="s">
        <v>5</v>
      </c>
      <c r="E593" s="68">
        <v>1</v>
      </c>
    </row>
    <row r="594" spans="1:5">
      <c r="A594" s="64" t="s">
        <v>6</v>
      </c>
      <c r="B594" s="65">
        <v>43581</v>
      </c>
      <c r="C594" s="66" t="s">
        <v>220</v>
      </c>
      <c r="D594" s="3" t="s">
        <v>5</v>
      </c>
      <c r="E594" s="68">
        <v>1</v>
      </c>
    </row>
    <row r="595" spans="1:5">
      <c r="A595" s="64" t="s">
        <v>6</v>
      </c>
      <c r="B595" s="65">
        <v>43582</v>
      </c>
      <c r="C595" s="66" t="s">
        <v>221</v>
      </c>
      <c r="D595" s="3" t="s">
        <v>5</v>
      </c>
      <c r="E595" s="68">
        <v>1</v>
      </c>
    </row>
    <row r="596" spans="1:5">
      <c r="A596" s="64" t="s">
        <v>6</v>
      </c>
      <c r="B596" s="65">
        <v>43583</v>
      </c>
      <c r="C596" s="66" t="s">
        <v>222</v>
      </c>
      <c r="D596" s="3" t="s">
        <v>5</v>
      </c>
      <c r="E596" s="68">
        <v>1</v>
      </c>
    </row>
    <row r="597" spans="1:5">
      <c r="A597" s="64" t="s">
        <v>6</v>
      </c>
      <c r="B597" s="65">
        <v>43584</v>
      </c>
      <c r="C597" s="66" t="s">
        <v>216</v>
      </c>
      <c r="D597" s="3" t="s">
        <v>5</v>
      </c>
      <c r="E597" s="68">
        <v>1</v>
      </c>
    </row>
    <row r="598" spans="1:5">
      <c r="A598" s="64" t="s">
        <v>6</v>
      </c>
      <c r="B598" s="65">
        <v>43585</v>
      </c>
      <c r="C598" s="66" t="s">
        <v>217</v>
      </c>
      <c r="D598" s="3" t="s">
        <v>5</v>
      </c>
      <c r="E598" s="68">
        <v>1</v>
      </c>
    </row>
    <row r="599" spans="1:5">
      <c r="A599" s="64" t="s">
        <v>6</v>
      </c>
      <c r="B599" s="65">
        <v>43586</v>
      </c>
      <c r="C599" s="66" t="s">
        <v>218</v>
      </c>
      <c r="D599" s="3" t="s">
        <v>5</v>
      </c>
      <c r="E599" s="68">
        <v>1</v>
      </c>
    </row>
    <row r="600" spans="1:5">
      <c r="A600" s="64" t="s">
        <v>6</v>
      </c>
      <c r="B600" s="65">
        <v>43587</v>
      </c>
      <c r="C600" s="66" t="s">
        <v>219</v>
      </c>
      <c r="D600" s="3" t="s">
        <v>5</v>
      </c>
      <c r="E600" s="68">
        <v>1</v>
      </c>
    </row>
    <row r="601" spans="1:5">
      <c r="A601" s="64" t="s">
        <v>6</v>
      </c>
      <c r="B601" s="65">
        <v>43588</v>
      </c>
      <c r="C601" s="66" t="s">
        <v>220</v>
      </c>
      <c r="D601" s="3" t="s">
        <v>5</v>
      </c>
      <c r="E601" s="68">
        <v>1</v>
      </c>
    </row>
    <row r="602" spans="1:5">
      <c r="A602" s="64" t="s">
        <v>6</v>
      </c>
      <c r="B602" s="65">
        <v>43589</v>
      </c>
      <c r="C602" s="66" t="s">
        <v>221</v>
      </c>
      <c r="D602" s="3" t="s">
        <v>5</v>
      </c>
      <c r="E602" s="68">
        <v>1</v>
      </c>
    </row>
    <row r="603" spans="1:5">
      <c r="A603" s="64" t="s">
        <v>6</v>
      </c>
      <c r="B603" s="65">
        <v>43590</v>
      </c>
      <c r="C603" s="66" t="s">
        <v>222</v>
      </c>
      <c r="D603" s="3" t="s">
        <v>5</v>
      </c>
      <c r="E603" s="68">
        <v>1</v>
      </c>
    </row>
    <row r="604" spans="1:5">
      <c r="A604" s="64" t="s">
        <v>6</v>
      </c>
      <c r="B604" s="65">
        <v>43591</v>
      </c>
      <c r="C604" s="66" t="s">
        <v>216</v>
      </c>
      <c r="D604" s="3" t="s">
        <v>5</v>
      </c>
      <c r="E604" s="68">
        <v>1</v>
      </c>
    </row>
    <row r="605" spans="1:5">
      <c r="A605" s="64" t="s">
        <v>6</v>
      </c>
      <c r="B605" s="65">
        <v>43592</v>
      </c>
      <c r="C605" s="66" t="s">
        <v>217</v>
      </c>
      <c r="D605" s="3" t="s">
        <v>5</v>
      </c>
      <c r="E605" s="68">
        <v>1</v>
      </c>
    </row>
    <row r="606" spans="1:5">
      <c r="A606" s="64" t="s">
        <v>6</v>
      </c>
      <c r="B606" s="65">
        <v>43593</v>
      </c>
      <c r="C606" s="66" t="s">
        <v>218</v>
      </c>
      <c r="D606" s="3" t="s">
        <v>5</v>
      </c>
      <c r="E606" s="68">
        <v>1</v>
      </c>
    </row>
    <row r="607" spans="1:5">
      <c r="A607" s="64" t="s">
        <v>6</v>
      </c>
      <c r="B607" s="65">
        <v>43594</v>
      </c>
      <c r="C607" s="66" t="s">
        <v>219</v>
      </c>
      <c r="D607" s="3" t="s">
        <v>5</v>
      </c>
      <c r="E607" s="68">
        <v>1</v>
      </c>
    </row>
    <row r="608" spans="1:5">
      <c r="A608" s="64" t="s">
        <v>6</v>
      </c>
      <c r="B608" s="65">
        <v>43595</v>
      </c>
      <c r="C608" s="66" t="s">
        <v>220</v>
      </c>
      <c r="D608" s="3" t="s">
        <v>5</v>
      </c>
      <c r="E608" s="68">
        <v>1</v>
      </c>
    </row>
    <row r="609" spans="1:5">
      <c r="A609" s="64" t="s">
        <v>6</v>
      </c>
      <c r="B609" s="65">
        <v>43596</v>
      </c>
      <c r="C609" s="66" t="s">
        <v>221</v>
      </c>
      <c r="D609" s="3" t="s">
        <v>5</v>
      </c>
      <c r="E609" s="68">
        <v>1</v>
      </c>
    </row>
    <row r="610" spans="1:5">
      <c r="A610" s="64" t="s">
        <v>6</v>
      </c>
      <c r="B610" s="65">
        <v>43597</v>
      </c>
      <c r="C610" s="66" t="s">
        <v>222</v>
      </c>
      <c r="D610" s="3" t="s">
        <v>5</v>
      </c>
      <c r="E610" s="68">
        <v>1</v>
      </c>
    </row>
    <row r="611" spans="1:5">
      <c r="A611" s="64" t="s">
        <v>6</v>
      </c>
      <c r="B611" s="65">
        <v>43598</v>
      </c>
      <c r="C611" s="66" t="s">
        <v>216</v>
      </c>
      <c r="D611" s="3" t="s">
        <v>5</v>
      </c>
      <c r="E611" s="68">
        <v>1</v>
      </c>
    </row>
    <row r="612" spans="1:5">
      <c r="A612" s="64" t="s">
        <v>6</v>
      </c>
      <c r="B612" s="65">
        <v>43599</v>
      </c>
      <c r="C612" s="66" t="s">
        <v>217</v>
      </c>
      <c r="D612" s="3" t="s">
        <v>5</v>
      </c>
      <c r="E612" s="68">
        <v>1</v>
      </c>
    </row>
    <row r="613" spans="1:5">
      <c r="A613" s="64" t="s">
        <v>6</v>
      </c>
      <c r="B613" s="65">
        <v>43600</v>
      </c>
      <c r="C613" s="66" t="s">
        <v>218</v>
      </c>
      <c r="D613" s="3" t="s">
        <v>5</v>
      </c>
      <c r="E613" s="68">
        <v>1</v>
      </c>
    </row>
    <row r="614" spans="1:5">
      <c r="A614" s="64" t="s">
        <v>6</v>
      </c>
      <c r="B614" s="65">
        <v>43601</v>
      </c>
      <c r="C614" s="66" t="s">
        <v>219</v>
      </c>
      <c r="D614" s="3" t="s">
        <v>5</v>
      </c>
      <c r="E614" s="68">
        <v>1</v>
      </c>
    </row>
    <row r="615" spans="1:5">
      <c r="A615" s="64" t="s">
        <v>6</v>
      </c>
      <c r="B615" s="65">
        <v>43602</v>
      </c>
      <c r="C615" s="66" t="s">
        <v>220</v>
      </c>
      <c r="D615" s="3" t="s">
        <v>5</v>
      </c>
      <c r="E615" s="68">
        <v>1</v>
      </c>
    </row>
    <row r="616" spans="1:5">
      <c r="A616" s="64" t="s">
        <v>6</v>
      </c>
      <c r="B616" s="65">
        <v>43603</v>
      </c>
      <c r="C616" s="66" t="s">
        <v>221</v>
      </c>
      <c r="D616" s="3" t="s">
        <v>5</v>
      </c>
      <c r="E616" s="68">
        <v>1</v>
      </c>
    </row>
    <row r="617" spans="1:5">
      <c r="A617" s="64" t="s">
        <v>6</v>
      </c>
      <c r="B617" s="65">
        <v>43604</v>
      </c>
      <c r="C617" s="66" t="s">
        <v>222</v>
      </c>
      <c r="D617" s="3" t="s">
        <v>5</v>
      </c>
      <c r="E617" s="68">
        <v>1</v>
      </c>
    </row>
    <row r="618" spans="1:5">
      <c r="A618" s="64" t="s">
        <v>6</v>
      </c>
      <c r="B618" s="65">
        <v>43605</v>
      </c>
      <c r="C618" s="66" t="s">
        <v>216</v>
      </c>
      <c r="D618" s="3" t="s">
        <v>5</v>
      </c>
      <c r="E618" s="68">
        <v>1</v>
      </c>
    </row>
    <row r="619" spans="1:5">
      <c r="A619" s="64" t="s">
        <v>6</v>
      </c>
      <c r="B619" s="65">
        <v>43606</v>
      </c>
      <c r="C619" s="66" t="s">
        <v>217</v>
      </c>
      <c r="D619" s="3" t="s">
        <v>5</v>
      </c>
      <c r="E619" s="68">
        <v>1</v>
      </c>
    </row>
    <row r="620" spans="1:5">
      <c r="A620" s="64" t="s">
        <v>6</v>
      </c>
      <c r="B620" s="65">
        <v>43607</v>
      </c>
      <c r="C620" s="66" t="s">
        <v>218</v>
      </c>
      <c r="D620" s="3" t="s">
        <v>5</v>
      </c>
      <c r="E620" s="68">
        <v>1</v>
      </c>
    </row>
    <row r="621" spans="1:5">
      <c r="A621" s="64" t="s">
        <v>6</v>
      </c>
      <c r="B621" s="65">
        <v>43608</v>
      </c>
      <c r="C621" s="66" t="s">
        <v>219</v>
      </c>
      <c r="D621" s="3" t="s">
        <v>5</v>
      </c>
      <c r="E621" s="68">
        <v>1</v>
      </c>
    </row>
    <row r="622" spans="1:5">
      <c r="A622" s="64" t="s">
        <v>6</v>
      </c>
      <c r="B622" s="65">
        <v>43609</v>
      </c>
      <c r="C622" s="66" t="s">
        <v>220</v>
      </c>
      <c r="D622" s="3" t="s">
        <v>5</v>
      </c>
      <c r="E622" s="68">
        <v>1</v>
      </c>
    </row>
    <row r="623" spans="1:5">
      <c r="A623" s="64" t="s">
        <v>6</v>
      </c>
      <c r="B623" s="65">
        <v>43610</v>
      </c>
      <c r="C623" s="66" t="s">
        <v>221</v>
      </c>
      <c r="D623" s="3" t="s">
        <v>5</v>
      </c>
      <c r="E623" s="68">
        <v>1</v>
      </c>
    </row>
    <row r="624" spans="1:5">
      <c r="A624" s="64" t="s">
        <v>6</v>
      </c>
      <c r="B624" s="65">
        <v>43611</v>
      </c>
      <c r="C624" s="66" t="s">
        <v>222</v>
      </c>
      <c r="D624" s="3" t="s">
        <v>5</v>
      </c>
      <c r="E624" s="68">
        <v>1</v>
      </c>
    </row>
    <row r="625" spans="1:5">
      <c r="A625" s="64" t="s">
        <v>6</v>
      </c>
      <c r="B625" s="65">
        <v>43612</v>
      </c>
      <c r="C625" s="66" t="s">
        <v>216</v>
      </c>
      <c r="D625" s="3" t="s">
        <v>5</v>
      </c>
      <c r="E625" s="68">
        <v>1</v>
      </c>
    </row>
    <row r="626" spans="1:5">
      <c r="A626" s="64" t="s">
        <v>6</v>
      </c>
      <c r="B626" s="65">
        <v>43613</v>
      </c>
      <c r="C626" s="66" t="s">
        <v>217</v>
      </c>
      <c r="D626" s="3" t="s">
        <v>5</v>
      </c>
      <c r="E626" s="68">
        <v>1</v>
      </c>
    </row>
    <row r="627" spans="1:5">
      <c r="A627" s="64" t="s">
        <v>6</v>
      </c>
      <c r="B627" s="65">
        <v>43614</v>
      </c>
      <c r="C627" s="66" t="s">
        <v>218</v>
      </c>
      <c r="D627" s="3" t="s">
        <v>5</v>
      </c>
      <c r="E627" s="68">
        <v>1</v>
      </c>
    </row>
    <row r="628" spans="1:5">
      <c r="A628" s="64" t="s">
        <v>6</v>
      </c>
      <c r="B628" s="65">
        <v>43615</v>
      </c>
      <c r="C628" s="66" t="s">
        <v>219</v>
      </c>
      <c r="D628" s="3" t="s">
        <v>5</v>
      </c>
      <c r="E628" s="68">
        <v>1</v>
      </c>
    </row>
    <row r="629" spans="1:5">
      <c r="A629" s="64" t="s">
        <v>6</v>
      </c>
      <c r="B629" s="65">
        <v>43616</v>
      </c>
      <c r="C629" s="66" t="s">
        <v>220</v>
      </c>
      <c r="D629" s="3" t="s">
        <v>5</v>
      </c>
      <c r="E629" s="68">
        <v>1</v>
      </c>
    </row>
    <row r="630" spans="1:5">
      <c r="A630" s="64" t="s">
        <v>6</v>
      </c>
      <c r="B630" s="65">
        <v>43617</v>
      </c>
      <c r="C630" s="66" t="s">
        <v>221</v>
      </c>
      <c r="D630" s="3" t="s">
        <v>5</v>
      </c>
      <c r="E630" s="68">
        <v>1</v>
      </c>
    </row>
    <row r="631" spans="1:5">
      <c r="A631" s="64" t="s">
        <v>6</v>
      </c>
      <c r="B631" s="65">
        <v>43618</v>
      </c>
      <c r="C631" s="66" t="s">
        <v>222</v>
      </c>
      <c r="D631" s="3" t="s">
        <v>5</v>
      </c>
      <c r="E631" s="68">
        <v>1</v>
      </c>
    </row>
    <row r="632" spans="1:5">
      <c r="A632" s="64" t="s">
        <v>6</v>
      </c>
      <c r="B632" s="65">
        <v>43619</v>
      </c>
      <c r="C632" s="66" t="s">
        <v>216</v>
      </c>
      <c r="D632" s="3" t="s">
        <v>5</v>
      </c>
      <c r="E632" s="68">
        <v>1</v>
      </c>
    </row>
    <row r="633" spans="1:5">
      <c r="A633" s="64" t="s">
        <v>6</v>
      </c>
      <c r="B633" s="65">
        <v>43620</v>
      </c>
      <c r="C633" s="66" t="s">
        <v>217</v>
      </c>
      <c r="D633" s="3" t="s">
        <v>5</v>
      </c>
      <c r="E633" s="68">
        <v>1</v>
      </c>
    </row>
    <row r="634" spans="1:5">
      <c r="A634" s="64" t="s">
        <v>6</v>
      </c>
      <c r="B634" s="65">
        <v>43621</v>
      </c>
      <c r="C634" s="66" t="s">
        <v>218</v>
      </c>
      <c r="D634" s="3" t="s">
        <v>5</v>
      </c>
      <c r="E634" s="68">
        <v>1</v>
      </c>
    </row>
    <row r="635" spans="1:5">
      <c r="A635" s="64" t="s">
        <v>6</v>
      </c>
      <c r="B635" s="65">
        <v>43622</v>
      </c>
      <c r="C635" s="66" t="s">
        <v>219</v>
      </c>
      <c r="D635" s="3" t="s">
        <v>5</v>
      </c>
      <c r="E635" s="68">
        <v>1</v>
      </c>
    </row>
    <row r="636" spans="1:5">
      <c r="A636" s="64" t="s">
        <v>6</v>
      </c>
      <c r="B636" s="65">
        <v>43623</v>
      </c>
      <c r="C636" s="66" t="s">
        <v>220</v>
      </c>
      <c r="D636" s="3" t="s">
        <v>5</v>
      </c>
      <c r="E636" s="68">
        <v>1</v>
      </c>
    </row>
    <row r="637" spans="1:5">
      <c r="A637" s="64" t="s">
        <v>6</v>
      </c>
      <c r="B637" s="65">
        <v>43624</v>
      </c>
      <c r="C637" s="66" t="s">
        <v>221</v>
      </c>
      <c r="D637" s="3" t="s">
        <v>5</v>
      </c>
      <c r="E637" s="68">
        <v>1</v>
      </c>
    </row>
    <row r="638" spans="1:5">
      <c r="A638" s="64" t="s">
        <v>6</v>
      </c>
      <c r="B638" s="65">
        <v>43625</v>
      </c>
      <c r="C638" s="66" t="s">
        <v>222</v>
      </c>
      <c r="D638" s="3" t="s">
        <v>5</v>
      </c>
      <c r="E638" s="68">
        <v>1</v>
      </c>
    </row>
    <row r="639" spans="1:5">
      <c r="A639" s="64" t="s">
        <v>6</v>
      </c>
      <c r="B639" s="65">
        <v>43626</v>
      </c>
      <c r="C639" s="66" t="s">
        <v>216</v>
      </c>
      <c r="D639" s="3" t="s">
        <v>5</v>
      </c>
      <c r="E639" s="68">
        <v>1</v>
      </c>
    </row>
    <row r="640" spans="1:5">
      <c r="A640" s="64" t="s">
        <v>6</v>
      </c>
      <c r="B640" s="65">
        <v>43627</v>
      </c>
      <c r="C640" s="66" t="s">
        <v>217</v>
      </c>
      <c r="D640" s="3" t="s">
        <v>5</v>
      </c>
      <c r="E640" s="68">
        <v>1</v>
      </c>
    </row>
    <row r="641" spans="1:5">
      <c r="A641" s="64" t="s">
        <v>6</v>
      </c>
      <c r="B641" s="65">
        <v>43628</v>
      </c>
      <c r="C641" s="66" t="s">
        <v>218</v>
      </c>
      <c r="D641" s="3" t="s">
        <v>5</v>
      </c>
      <c r="E641" s="68">
        <v>1</v>
      </c>
    </row>
    <row r="642" spans="1:5">
      <c r="A642" s="64" t="s">
        <v>6</v>
      </c>
      <c r="B642" s="65">
        <v>43629</v>
      </c>
      <c r="C642" s="66" t="s">
        <v>219</v>
      </c>
      <c r="D642" s="3" t="s">
        <v>5</v>
      </c>
      <c r="E642" s="68">
        <v>1</v>
      </c>
    </row>
    <row r="643" spans="1:5">
      <c r="A643" s="64" t="s">
        <v>6</v>
      </c>
      <c r="B643" s="65">
        <v>43630</v>
      </c>
      <c r="C643" s="66" t="s">
        <v>220</v>
      </c>
      <c r="D643" s="3" t="s">
        <v>5</v>
      </c>
      <c r="E643" s="68">
        <v>1</v>
      </c>
    </row>
    <row r="644" spans="1:5">
      <c r="A644" s="64" t="s">
        <v>6</v>
      </c>
      <c r="B644" s="65">
        <v>43631</v>
      </c>
      <c r="C644" s="66" t="s">
        <v>221</v>
      </c>
      <c r="D644" s="3" t="s">
        <v>5</v>
      </c>
      <c r="E644" s="68">
        <v>1</v>
      </c>
    </row>
    <row r="645" spans="1:5">
      <c r="A645" s="64" t="s">
        <v>6</v>
      </c>
      <c r="B645" s="65">
        <v>43632</v>
      </c>
      <c r="C645" s="66" t="s">
        <v>222</v>
      </c>
      <c r="D645" s="3" t="s">
        <v>5</v>
      </c>
      <c r="E645" s="68">
        <v>1</v>
      </c>
    </row>
    <row r="646" spans="1:5">
      <c r="A646" s="64" t="s">
        <v>6</v>
      </c>
      <c r="B646" s="65">
        <v>43633</v>
      </c>
      <c r="C646" s="66" t="s">
        <v>216</v>
      </c>
      <c r="D646" s="3" t="s">
        <v>5</v>
      </c>
      <c r="E646" s="68">
        <v>1</v>
      </c>
    </row>
    <row r="647" spans="1:5">
      <c r="A647" s="64" t="s">
        <v>6</v>
      </c>
      <c r="B647" s="65">
        <v>43634</v>
      </c>
      <c r="C647" s="66" t="s">
        <v>217</v>
      </c>
      <c r="D647" s="3" t="s">
        <v>5</v>
      </c>
      <c r="E647" s="68">
        <v>1</v>
      </c>
    </row>
    <row r="648" spans="1:5">
      <c r="A648" s="64" t="s">
        <v>6</v>
      </c>
      <c r="B648" s="65">
        <v>43635</v>
      </c>
      <c r="C648" s="66" t="s">
        <v>218</v>
      </c>
      <c r="D648" s="3" t="s">
        <v>5</v>
      </c>
      <c r="E648" s="68">
        <v>1</v>
      </c>
    </row>
    <row r="649" spans="1:5">
      <c r="A649" s="64" t="s">
        <v>6</v>
      </c>
      <c r="B649" s="65">
        <v>43636</v>
      </c>
      <c r="C649" s="66" t="s">
        <v>219</v>
      </c>
      <c r="D649" s="3" t="s">
        <v>5</v>
      </c>
      <c r="E649" s="68">
        <v>1</v>
      </c>
    </row>
    <row r="650" spans="1:5">
      <c r="A650" s="64" t="s">
        <v>6</v>
      </c>
      <c r="B650" s="65">
        <v>43637</v>
      </c>
      <c r="C650" s="66" t="s">
        <v>220</v>
      </c>
      <c r="D650" s="3" t="s">
        <v>5</v>
      </c>
      <c r="E650" s="68">
        <v>1</v>
      </c>
    </row>
    <row r="651" spans="1:5">
      <c r="A651" s="64" t="s">
        <v>6</v>
      </c>
      <c r="B651" s="65">
        <v>43638</v>
      </c>
      <c r="C651" s="66" t="s">
        <v>221</v>
      </c>
      <c r="D651" s="3" t="s">
        <v>5</v>
      </c>
      <c r="E651" s="68">
        <v>1</v>
      </c>
    </row>
    <row r="652" spans="1:5">
      <c r="A652" s="64" t="s">
        <v>6</v>
      </c>
      <c r="B652" s="65">
        <v>43639</v>
      </c>
      <c r="C652" s="66" t="s">
        <v>222</v>
      </c>
      <c r="D652" s="3" t="s">
        <v>5</v>
      </c>
      <c r="E652" s="68">
        <v>1</v>
      </c>
    </row>
    <row r="653" spans="1:5">
      <c r="A653" s="64" t="s">
        <v>6</v>
      </c>
      <c r="B653" s="65">
        <v>43640</v>
      </c>
      <c r="C653" s="66" t="s">
        <v>216</v>
      </c>
      <c r="D653" s="3" t="s">
        <v>5</v>
      </c>
      <c r="E653" s="68">
        <v>1</v>
      </c>
    </row>
    <row r="654" spans="1:5">
      <c r="A654" s="64" t="s">
        <v>6</v>
      </c>
      <c r="B654" s="65">
        <v>43641</v>
      </c>
      <c r="C654" s="66" t="s">
        <v>217</v>
      </c>
      <c r="D654" s="3" t="s">
        <v>5</v>
      </c>
      <c r="E654" s="68">
        <v>1</v>
      </c>
    </row>
    <row r="655" spans="1:5">
      <c r="A655" s="64" t="s">
        <v>6</v>
      </c>
      <c r="B655" s="65">
        <v>43642</v>
      </c>
      <c r="C655" s="66" t="s">
        <v>218</v>
      </c>
      <c r="D655" s="3" t="s">
        <v>5</v>
      </c>
      <c r="E655" s="68">
        <v>1</v>
      </c>
    </row>
    <row r="656" spans="1:5">
      <c r="A656" s="64" t="s">
        <v>6</v>
      </c>
      <c r="B656" s="65">
        <v>43643</v>
      </c>
      <c r="C656" s="66" t="s">
        <v>219</v>
      </c>
      <c r="D656" s="3" t="s">
        <v>5</v>
      </c>
      <c r="E656" s="68">
        <v>1</v>
      </c>
    </row>
    <row r="657" spans="1:5">
      <c r="A657" s="64" t="s">
        <v>6</v>
      </c>
      <c r="B657" s="65">
        <v>43644</v>
      </c>
      <c r="C657" s="66" t="s">
        <v>220</v>
      </c>
      <c r="D657" s="3" t="s">
        <v>5</v>
      </c>
      <c r="E657" s="68">
        <v>1</v>
      </c>
    </row>
    <row r="658" spans="1:5">
      <c r="A658" s="64" t="s">
        <v>6</v>
      </c>
      <c r="B658" s="65">
        <v>43645</v>
      </c>
      <c r="C658" s="66" t="s">
        <v>221</v>
      </c>
      <c r="D658" s="3" t="s">
        <v>5</v>
      </c>
      <c r="E658" s="68">
        <v>1</v>
      </c>
    </row>
    <row r="659" spans="1:5">
      <c r="A659" s="64" t="s">
        <v>6</v>
      </c>
      <c r="B659" s="65">
        <v>43646</v>
      </c>
      <c r="C659" s="66" t="s">
        <v>222</v>
      </c>
      <c r="D659" s="3" t="s">
        <v>5</v>
      </c>
      <c r="E659" s="68">
        <v>1</v>
      </c>
    </row>
    <row r="660" spans="1:5">
      <c r="A660" s="64" t="s">
        <v>6</v>
      </c>
      <c r="B660" s="65">
        <v>43647</v>
      </c>
      <c r="C660" s="66" t="s">
        <v>216</v>
      </c>
      <c r="D660" s="3" t="s">
        <v>5</v>
      </c>
      <c r="E660" s="68">
        <v>1</v>
      </c>
    </row>
    <row r="661" spans="1:5">
      <c r="A661" s="64" t="s">
        <v>6</v>
      </c>
      <c r="B661" s="65">
        <v>43648</v>
      </c>
      <c r="C661" s="66" t="s">
        <v>217</v>
      </c>
      <c r="D661" s="3" t="s">
        <v>5</v>
      </c>
      <c r="E661" s="68">
        <v>1</v>
      </c>
    </row>
    <row r="662" spans="1:5">
      <c r="A662" s="64" t="s">
        <v>6</v>
      </c>
      <c r="B662" s="65">
        <v>43649</v>
      </c>
      <c r="C662" s="66" t="s">
        <v>218</v>
      </c>
      <c r="D662" s="3" t="s">
        <v>5</v>
      </c>
      <c r="E662" s="68">
        <v>1</v>
      </c>
    </row>
    <row r="663" spans="1:5">
      <c r="A663" s="64" t="s">
        <v>6</v>
      </c>
      <c r="B663" s="65">
        <v>43650</v>
      </c>
      <c r="C663" s="66" t="s">
        <v>219</v>
      </c>
      <c r="D663" s="3" t="s">
        <v>5</v>
      </c>
      <c r="E663" s="68">
        <v>1</v>
      </c>
    </row>
    <row r="664" spans="1:5">
      <c r="A664" s="64" t="s">
        <v>6</v>
      </c>
      <c r="B664" s="65">
        <v>43651</v>
      </c>
      <c r="C664" s="66" t="s">
        <v>220</v>
      </c>
      <c r="D664" s="3" t="s">
        <v>5</v>
      </c>
      <c r="E664" s="68">
        <v>1</v>
      </c>
    </row>
    <row r="665" spans="1:5">
      <c r="A665" s="64" t="s">
        <v>6</v>
      </c>
      <c r="B665" s="65">
        <v>43652</v>
      </c>
      <c r="C665" s="66" t="s">
        <v>221</v>
      </c>
      <c r="D665" s="3" t="s">
        <v>5</v>
      </c>
      <c r="E665" s="68">
        <v>1</v>
      </c>
    </row>
    <row r="666" spans="1:5">
      <c r="A666" s="64" t="s">
        <v>6</v>
      </c>
      <c r="B666" s="65">
        <v>43653</v>
      </c>
      <c r="C666" s="66" t="s">
        <v>222</v>
      </c>
      <c r="D666" s="3" t="s">
        <v>5</v>
      </c>
      <c r="E666" s="68">
        <v>1</v>
      </c>
    </row>
    <row r="667" spans="1:5">
      <c r="A667" s="64" t="s">
        <v>6</v>
      </c>
      <c r="B667" s="65">
        <v>43654</v>
      </c>
      <c r="C667" s="66" t="s">
        <v>216</v>
      </c>
      <c r="D667" s="3" t="s">
        <v>5</v>
      </c>
      <c r="E667" s="68">
        <v>1</v>
      </c>
    </row>
    <row r="668" spans="1:5">
      <c r="A668" s="64" t="s">
        <v>6</v>
      </c>
      <c r="B668" s="65">
        <v>43655</v>
      </c>
      <c r="C668" s="66" t="s">
        <v>217</v>
      </c>
      <c r="D668" s="3" t="s">
        <v>5</v>
      </c>
      <c r="E668" s="68">
        <v>1</v>
      </c>
    </row>
    <row r="669" spans="1:5">
      <c r="A669" s="64" t="s">
        <v>6</v>
      </c>
      <c r="B669" s="65">
        <v>43656</v>
      </c>
      <c r="C669" s="66" t="s">
        <v>218</v>
      </c>
      <c r="D669" s="3" t="s">
        <v>5</v>
      </c>
      <c r="E669" s="68">
        <v>1</v>
      </c>
    </row>
    <row r="670" spans="1:5">
      <c r="A670" s="64" t="s">
        <v>6</v>
      </c>
      <c r="B670" s="65">
        <v>43657</v>
      </c>
      <c r="C670" s="66" t="s">
        <v>219</v>
      </c>
      <c r="D670" s="3" t="s">
        <v>5</v>
      </c>
      <c r="E670" s="68">
        <v>1</v>
      </c>
    </row>
    <row r="671" spans="1:5">
      <c r="A671" s="64" t="s">
        <v>6</v>
      </c>
      <c r="B671" s="65">
        <v>43658</v>
      </c>
      <c r="C671" s="66" t="s">
        <v>220</v>
      </c>
      <c r="D671" s="3" t="s">
        <v>5</v>
      </c>
      <c r="E671" s="68">
        <v>1</v>
      </c>
    </row>
    <row r="672" spans="1:5">
      <c r="A672" s="64" t="s">
        <v>6</v>
      </c>
      <c r="B672" s="65">
        <v>43659</v>
      </c>
      <c r="C672" s="66" t="s">
        <v>221</v>
      </c>
      <c r="D672" s="3" t="s">
        <v>5</v>
      </c>
      <c r="E672" s="68">
        <v>1</v>
      </c>
    </row>
    <row r="673" spans="1:5">
      <c r="A673" s="64" t="s">
        <v>6</v>
      </c>
      <c r="B673" s="65">
        <v>43660</v>
      </c>
      <c r="C673" s="66" t="s">
        <v>222</v>
      </c>
      <c r="D673" s="3" t="s">
        <v>5</v>
      </c>
      <c r="E673" s="68">
        <v>1</v>
      </c>
    </row>
    <row r="674" spans="1:5">
      <c r="A674" s="64" t="s">
        <v>6</v>
      </c>
      <c r="B674" s="65">
        <v>43661</v>
      </c>
      <c r="C674" s="66" t="s">
        <v>216</v>
      </c>
      <c r="D674" s="3" t="s">
        <v>5</v>
      </c>
      <c r="E674" s="68">
        <v>1</v>
      </c>
    </row>
    <row r="675" spans="1:5">
      <c r="A675" s="64" t="s">
        <v>6</v>
      </c>
      <c r="B675" s="65">
        <v>43662</v>
      </c>
      <c r="C675" s="66" t="s">
        <v>217</v>
      </c>
      <c r="D675" s="3" t="s">
        <v>5</v>
      </c>
      <c r="E675" s="68">
        <v>1</v>
      </c>
    </row>
    <row r="676" spans="1:5">
      <c r="A676" s="64" t="s">
        <v>6</v>
      </c>
      <c r="B676" s="65">
        <v>43663</v>
      </c>
      <c r="C676" s="66" t="s">
        <v>218</v>
      </c>
      <c r="D676" s="3" t="s">
        <v>5</v>
      </c>
      <c r="E676" s="68">
        <v>1</v>
      </c>
    </row>
    <row r="677" spans="1:5">
      <c r="A677" s="64" t="s">
        <v>6</v>
      </c>
      <c r="B677" s="65">
        <v>43664</v>
      </c>
      <c r="C677" s="66" t="s">
        <v>219</v>
      </c>
      <c r="D677" s="3" t="s">
        <v>5</v>
      </c>
      <c r="E677" s="68">
        <v>1</v>
      </c>
    </row>
    <row r="678" spans="1:5">
      <c r="A678" s="64" t="s">
        <v>6</v>
      </c>
      <c r="B678" s="65">
        <v>43665</v>
      </c>
      <c r="C678" s="66" t="s">
        <v>220</v>
      </c>
      <c r="D678" s="3" t="s">
        <v>5</v>
      </c>
      <c r="E678" s="68">
        <v>1</v>
      </c>
    </row>
    <row r="679" spans="1:5">
      <c r="A679" s="64" t="s">
        <v>6</v>
      </c>
      <c r="B679" s="65">
        <v>43666</v>
      </c>
      <c r="C679" s="66" t="s">
        <v>221</v>
      </c>
      <c r="D679" s="3" t="s">
        <v>5</v>
      </c>
      <c r="E679" s="68">
        <v>1</v>
      </c>
    </row>
    <row r="680" spans="1:5">
      <c r="A680" s="64" t="s">
        <v>6</v>
      </c>
      <c r="B680" s="65">
        <v>43667</v>
      </c>
      <c r="C680" s="66" t="s">
        <v>222</v>
      </c>
      <c r="D680" s="3" t="s">
        <v>5</v>
      </c>
      <c r="E680" s="68">
        <v>1</v>
      </c>
    </row>
    <row r="681" spans="1:5">
      <c r="A681" s="64" t="s">
        <v>6</v>
      </c>
      <c r="B681" s="65">
        <v>43668</v>
      </c>
      <c r="C681" s="66" t="s">
        <v>216</v>
      </c>
      <c r="D681" s="3" t="s">
        <v>5</v>
      </c>
      <c r="E681" s="68">
        <v>1</v>
      </c>
    </row>
    <row r="682" spans="1:5">
      <c r="A682" s="64" t="s">
        <v>6</v>
      </c>
      <c r="B682" s="65">
        <v>43669</v>
      </c>
      <c r="C682" s="66" t="s">
        <v>217</v>
      </c>
      <c r="D682" s="3" t="s">
        <v>5</v>
      </c>
      <c r="E682" s="68">
        <v>1</v>
      </c>
    </row>
    <row r="683" spans="1:5">
      <c r="A683" s="64" t="s">
        <v>6</v>
      </c>
      <c r="B683" s="65">
        <v>43670</v>
      </c>
      <c r="C683" s="66" t="s">
        <v>218</v>
      </c>
      <c r="D683" s="3" t="s">
        <v>5</v>
      </c>
      <c r="E683" s="68">
        <v>1</v>
      </c>
    </row>
    <row r="684" spans="1:5">
      <c r="A684" s="64" t="s">
        <v>6</v>
      </c>
      <c r="B684" s="65">
        <v>43671</v>
      </c>
      <c r="C684" s="66" t="s">
        <v>219</v>
      </c>
      <c r="D684" s="3" t="s">
        <v>5</v>
      </c>
      <c r="E684" s="68">
        <v>1</v>
      </c>
    </row>
    <row r="685" spans="1:5">
      <c r="A685" s="64" t="s">
        <v>6</v>
      </c>
      <c r="B685" s="65">
        <v>43672</v>
      </c>
      <c r="C685" s="66" t="s">
        <v>220</v>
      </c>
      <c r="D685" s="3" t="s">
        <v>5</v>
      </c>
      <c r="E685" s="68">
        <v>1</v>
      </c>
    </row>
    <row r="686" spans="1:5">
      <c r="A686" s="64" t="s">
        <v>6</v>
      </c>
      <c r="B686" s="65">
        <v>43673</v>
      </c>
      <c r="C686" s="66" t="s">
        <v>221</v>
      </c>
      <c r="D686" s="3" t="s">
        <v>5</v>
      </c>
      <c r="E686" s="68">
        <v>1</v>
      </c>
    </row>
    <row r="687" spans="1:5">
      <c r="A687" s="64" t="s">
        <v>6</v>
      </c>
      <c r="B687" s="65">
        <v>43674</v>
      </c>
      <c r="C687" s="66" t="s">
        <v>222</v>
      </c>
      <c r="D687" s="3" t="s">
        <v>5</v>
      </c>
      <c r="E687" s="68">
        <v>1</v>
      </c>
    </row>
    <row r="688" spans="1:5">
      <c r="A688" s="64" t="s">
        <v>6</v>
      </c>
      <c r="B688" s="65">
        <v>43675</v>
      </c>
      <c r="C688" s="66" t="s">
        <v>216</v>
      </c>
      <c r="D688" s="3" t="s">
        <v>5</v>
      </c>
      <c r="E688" s="68">
        <v>1</v>
      </c>
    </row>
    <row r="689" spans="1:5">
      <c r="A689" s="64" t="s">
        <v>6</v>
      </c>
      <c r="B689" s="65">
        <v>43676</v>
      </c>
      <c r="C689" s="66" t="s">
        <v>217</v>
      </c>
      <c r="D689" s="3" t="s">
        <v>5</v>
      </c>
      <c r="E689" s="68">
        <v>1</v>
      </c>
    </row>
    <row r="690" spans="1:5">
      <c r="A690" s="64" t="s">
        <v>6</v>
      </c>
      <c r="B690" s="65">
        <v>43677</v>
      </c>
      <c r="C690" s="66" t="s">
        <v>218</v>
      </c>
      <c r="D690" s="3" t="s">
        <v>5</v>
      </c>
      <c r="E690" s="68">
        <v>1</v>
      </c>
    </row>
    <row r="691" spans="1:5">
      <c r="A691" s="64" t="s">
        <v>6</v>
      </c>
      <c r="B691" s="65">
        <v>43678</v>
      </c>
      <c r="C691" s="66" t="s">
        <v>219</v>
      </c>
      <c r="D691" s="3" t="s">
        <v>5</v>
      </c>
      <c r="E691" s="68">
        <v>1</v>
      </c>
    </row>
    <row r="692" spans="1:5">
      <c r="A692" s="64" t="s">
        <v>6</v>
      </c>
      <c r="B692" s="65">
        <v>43679</v>
      </c>
      <c r="C692" s="66" t="s">
        <v>220</v>
      </c>
      <c r="D692" s="3" t="s">
        <v>5</v>
      </c>
      <c r="E692" s="68">
        <v>1</v>
      </c>
    </row>
    <row r="693" spans="1:5">
      <c r="A693" s="64" t="s">
        <v>6</v>
      </c>
      <c r="B693" s="65">
        <v>43680</v>
      </c>
      <c r="C693" s="66" t="s">
        <v>221</v>
      </c>
      <c r="D693" s="3" t="s">
        <v>5</v>
      </c>
      <c r="E693" s="68">
        <v>1</v>
      </c>
    </row>
    <row r="694" spans="1:5">
      <c r="A694" s="64" t="s">
        <v>6</v>
      </c>
      <c r="B694" s="65">
        <v>43681</v>
      </c>
      <c r="C694" s="66" t="s">
        <v>222</v>
      </c>
      <c r="D694" s="3" t="s">
        <v>5</v>
      </c>
      <c r="E694" s="64">
        <v>1</v>
      </c>
    </row>
    <row r="695" spans="1:5">
      <c r="A695" s="64" t="s">
        <v>6</v>
      </c>
      <c r="B695" s="65">
        <v>43682</v>
      </c>
      <c r="C695" s="66" t="s">
        <v>216</v>
      </c>
      <c r="D695" s="3" t="s">
        <v>5</v>
      </c>
      <c r="E695" s="64">
        <v>1</v>
      </c>
    </row>
    <row r="696" spans="1:5">
      <c r="A696" s="64" t="s">
        <v>6</v>
      </c>
      <c r="B696" s="65">
        <v>43683</v>
      </c>
      <c r="C696" s="66" t="s">
        <v>217</v>
      </c>
      <c r="D696" s="3" t="s">
        <v>5</v>
      </c>
      <c r="E696" s="64">
        <v>1</v>
      </c>
    </row>
    <row r="697" spans="1:5">
      <c r="A697" s="64" t="s">
        <v>6</v>
      </c>
      <c r="B697" s="65">
        <v>43684</v>
      </c>
      <c r="C697" s="66" t="s">
        <v>218</v>
      </c>
      <c r="D697" s="3" t="s">
        <v>5</v>
      </c>
      <c r="E697" s="64">
        <v>1</v>
      </c>
    </row>
    <row r="698" spans="1:5">
      <c r="A698" s="64" t="s">
        <v>6</v>
      </c>
      <c r="B698" s="65">
        <v>43685</v>
      </c>
      <c r="C698" s="66" t="s">
        <v>219</v>
      </c>
      <c r="D698" s="3" t="s">
        <v>5</v>
      </c>
      <c r="E698" s="64">
        <v>1</v>
      </c>
    </row>
    <row r="699" spans="1:5">
      <c r="A699" s="64" t="s">
        <v>6</v>
      </c>
      <c r="B699" s="65">
        <v>43686</v>
      </c>
      <c r="C699" s="66" t="s">
        <v>220</v>
      </c>
      <c r="D699" s="3" t="s">
        <v>5</v>
      </c>
      <c r="E699" s="64">
        <v>1</v>
      </c>
    </row>
    <row r="700" spans="1:5">
      <c r="A700" s="64" t="s">
        <v>6</v>
      </c>
      <c r="B700" s="65">
        <v>43687</v>
      </c>
      <c r="C700" s="66" t="s">
        <v>221</v>
      </c>
      <c r="D700" s="3" t="s">
        <v>5</v>
      </c>
      <c r="E700" s="64">
        <v>1</v>
      </c>
    </row>
    <row r="701" spans="1:5">
      <c r="A701" s="64" t="s">
        <v>6</v>
      </c>
      <c r="B701" s="65">
        <v>43688</v>
      </c>
      <c r="C701" s="66" t="s">
        <v>222</v>
      </c>
      <c r="D701" s="3" t="s">
        <v>5</v>
      </c>
      <c r="E701" s="64">
        <v>1</v>
      </c>
    </row>
    <row r="702" spans="1:5">
      <c r="A702" s="64" t="s">
        <v>6</v>
      </c>
      <c r="B702" s="65">
        <v>43689</v>
      </c>
      <c r="C702" s="66" t="s">
        <v>216</v>
      </c>
      <c r="D702" s="3" t="s">
        <v>5</v>
      </c>
      <c r="E702" s="64">
        <v>1</v>
      </c>
    </row>
    <row r="703" spans="1:5">
      <c r="A703" s="64" t="s">
        <v>6</v>
      </c>
      <c r="B703" s="65">
        <v>43690</v>
      </c>
      <c r="C703" s="66" t="s">
        <v>217</v>
      </c>
      <c r="D703" s="3" t="s">
        <v>5</v>
      </c>
      <c r="E703" s="64">
        <v>1</v>
      </c>
    </row>
    <row r="704" spans="1:5">
      <c r="A704" s="64" t="s">
        <v>6</v>
      </c>
      <c r="B704" s="65">
        <v>43691</v>
      </c>
      <c r="C704" s="66" t="s">
        <v>218</v>
      </c>
      <c r="D704" s="3" t="s">
        <v>5</v>
      </c>
      <c r="E704" s="64">
        <v>1</v>
      </c>
    </row>
    <row r="705" spans="1:5">
      <c r="A705" s="64" t="s">
        <v>6</v>
      </c>
      <c r="B705" s="65">
        <v>43692</v>
      </c>
      <c r="C705" s="66" t="s">
        <v>219</v>
      </c>
      <c r="D705" s="3" t="s">
        <v>5</v>
      </c>
      <c r="E705" s="64">
        <v>1</v>
      </c>
    </row>
    <row r="706" spans="1:5">
      <c r="A706" s="64" t="s">
        <v>6</v>
      </c>
      <c r="B706" s="65">
        <v>43693</v>
      </c>
      <c r="C706" s="66" t="s">
        <v>220</v>
      </c>
      <c r="D706" s="3" t="s">
        <v>5</v>
      </c>
      <c r="E706" s="64">
        <v>1</v>
      </c>
    </row>
    <row r="707" spans="1:5">
      <c r="A707" s="64" t="s">
        <v>6</v>
      </c>
      <c r="B707" s="65">
        <v>43694</v>
      </c>
      <c r="C707" s="66" t="s">
        <v>221</v>
      </c>
      <c r="D707" s="3" t="s">
        <v>5</v>
      </c>
      <c r="E707" s="64">
        <v>1</v>
      </c>
    </row>
    <row r="708" spans="1:5">
      <c r="A708" s="64" t="s">
        <v>6</v>
      </c>
      <c r="B708" s="65">
        <v>43695</v>
      </c>
      <c r="C708" s="66" t="s">
        <v>222</v>
      </c>
      <c r="D708" s="3" t="s">
        <v>5</v>
      </c>
      <c r="E708" s="64">
        <v>1</v>
      </c>
    </row>
    <row r="709" spans="1:5">
      <c r="A709" s="64" t="s">
        <v>6</v>
      </c>
      <c r="B709" s="65">
        <v>43696</v>
      </c>
      <c r="C709" s="66" t="s">
        <v>216</v>
      </c>
      <c r="D709" s="3" t="s">
        <v>5</v>
      </c>
      <c r="E709" s="64">
        <v>1</v>
      </c>
    </row>
    <row r="710" spans="1:5">
      <c r="A710" s="64" t="s">
        <v>6</v>
      </c>
      <c r="B710" s="65">
        <v>43697</v>
      </c>
      <c r="C710" s="66" t="s">
        <v>217</v>
      </c>
      <c r="D710" s="3" t="s">
        <v>5</v>
      </c>
      <c r="E710" s="64">
        <v>1</v>
      </c>
    </row>
    <row r="711" spans="1:5">
      <c r="A711" s="64" t="s">
        <v>6</v>
      </c>
      <c r="B711" s="65">
        <v>43698</v>
      </c>
      <c r="C711" s="66" t="s">
        <v>218</v>
      </c>
      <c r="D711" s="3" t="s">
        <v>5</v>
      </c>
      <c r="E711" s="64">
        <v>1</v>
      </c>
    </row>
    <row r="712" spans="1:5">
      <c r="A712" s="64" t="s">
        <v>6</v>
      </c>
      <c r="B712" s="65">
        <v>43699</v>
      </c>
      <c r="C712" s="66" t="s">
        <v>219</v>
      </c>
      <c r="D712" s="3" t="s">
        <v>5</v>
      </c>
      <c r="E712" s="64">
        <v>1</v>
      </c>
    </row>
    <row r="713" spans="1:5">
      <c r="A713" s="64" t="s">
        <v>6</v>
      </c>
      <c r="B713" s="65">
        <v>43700</v>
      </c>
      <c r="C713" s="66" t="s">
        <v>220</v>
      </c>
      <c r="D713" s="3" t="s">
        <v>5</v>
      </c>
      <c r="E713" s="64">
        <v>1</v>
      </c>
    </row>
    <row r="714" spans="1:5">
      <c r="A714" s="64" t="s">
        <v>6</v>
      </c>
      <c r="B714" s="65">
        <v>43701</v>
      </c>
      <c r="C714" s="66" t="s">
        <v>221</v>
      </c>
      <c r="D714" s="3" t="s">
        <v>5</v>
      </c>
      <c r="E714" s="64">
        <v>1</v>
      </c>
    </row>
    <row r="715" spans="1:5">
      <c r="A715" s="64" t="s">
        <v>6</v>
      </c>
      <c r="B715" s="65">
        <v>43702</v>
      </c>
      <c r="C715" s="66" t="s">
        <v>222</v>
      </c>
      <c r="D715" s="3" t="s">
        <v>5</v>
      </c>
      <c r="E715" s="64">
        <v>1</v>
      </c>
    </row>
    <row r="716" spans="1:5">
      <c r="A716" s="64" t="s">
        <v>6</v>
      </c>
      <c r="B716" s="65">
        <v>43703</v>
      </c>
      <c r="C716" s="66" t="s">
        <v>216</v>
      </c>
      <c r="D716" s="3" t="s">
        <v>5</v>
      </c>
      <c r="E716" s="64">
        <v>1</v>
      </c>
    </row>
    <row r="717" spans="1:5">
      <c r="A717" s="64" t="s">
        <v>6</v>
      </c>
      <c r="B717" s="65">
        <v>43704</v>
      </c>
      <c r="C717" s="66" t="s">
        <v>217</v>
      </c>
      <c r="D717" s="3" t="s">
        <v>5</v>
      </c>
      <c r="E717" s="64">
        <v>1</v>
      </c>
    </row>
    <row r="718" spans="1:5">
      <c r="A718" s="64" t="s">
        <v>6</v>
      </c>
      <c r="B718" s="65">
        <v>43705</v>
      </c>
      <c r="C718" s="66" t="s">
        <v>218</v>
      </c>
      <c r="D718" s="3" t="s">
        <v>5</v>
      </c>
      <c r="E718" s="64">
        <v>1</v>
      </c>
    </row>
    <row r="719" spans="1:5">
      <c r="A719" s="64" t="s">
        <v>6</v>
      </c>
      <c r="B719" s="65">
        <v>43706</v>
      </c>
      <c r="C719" s="66" t="s">
        <v>219</v>
      </c>
      <c r="D719" s="3" t="s">
        <v>5</v>
      </c>
      <c r="E719" s="64">
        <v>1</v>
      </c>
    </row>
    <row r="720" spans="1:5">
      <c r="A720" s="64" t="s">
        <v>6</v>
      </c>
      <c r="B720" s="65">
        <v>43707</v>
      </c>
      <c r="C720" s="66" t="s">
        <v>220</v>
      </c>
      <c r="D720" s="3" t="s">
        <v>5</v>
      </c>
      <c r="E720" s="64">
        <v>1</v>
      </c>
    </row>
    <row r="721" spans="1:5">
      <c r="A721" s="64" t="s">
        <v>6</v>
      </c>
      <c r="B721" s="65">
        <v>43708</v>
      </c>
      <c r="C721" s="66" t="s">
        <v>221</v>
      </c>
      <c r="D721" s="3" t="s">
        <v>5</v>
      </c>
      <c r="E721" s="64">
        <v>1</v>
      </c>
    </row>
    <row r="722" spans="1:5">
      <c r="A722" s="64" t="s">
        <v>6</v>
      </c>
      <c r="B722" s="65">
        <v>43709</v>
      </c>
      <c r="C722" s="66" t="s">
        <v>222</v>
      </c>
      <c r="D722" s="3" t="s">
        <v>5</v>
      </c>
      <c r="E722" s="64">
        <v>1</v>
      </c>
    </row>
    <row r="723" spans="1:5">
      <c r="A723" s="64" t="s">
        <v>6</v>
      </c>
      <c r="B723" s="65">
        <v>43710</v>
      </c>
      <c r="C723" s="66" t="s">
        <v>216</v>
      </c>
      <c r="D723" s="3" t="s">
        <v>5</v>
      </c>
      <c r="E723" s="64">
        <v>1</v>
      </c>
    </row>
    <row r="724" spans="1:5">
      <c r="A724" s="64" t="s">
        <v>6</v>
      </c>
      <c r="B724" s="65">
        <v>43711</v>
      </c>
      <c r="C724" s="66" t="s">
        <v>217</v>
      </c>
      <c r="D724" s="3" t="s">
        <v>5</v>
      </c>
      <c r="E724" s="64">
        <v>1</v>
      </c>
    </row>
    <row r="725" spans="1:5">
      <c r="A725" s="64" t="s">
        <v>6</v>
      </c>
      <c r="B725" s="65">
        <v>43712</v>
      </c>
      <c r="C725" s="66" t="s">
        <v>218</v>
      </c>
      <c r="D725" s="3" t="s">
        <v>5</v>
      </c>
      <c r="E725" s="64">
        <v>1</v>
      </c>
    </row>
    <row r="726" spans="1:5">
      <c r="A726" s="64" t="s">
        <v>6</v>
      </c>
      <c r="B726" s="65">
        <v>43713</v>
      </c>
      <c r="C726" s="66" t="s">
        <v>219</v>
      </c>
      <c r="D726" s="3" t="s">
        <v>5</v>
      </c>
      <c r="E726" s="64">
        <v>1</v>
      </c>
    </row>
    <row r="727" spans="1:5">
      <c r="A727" s="64" t="s">
        <v>6</v>
      </c>
      <c r="B727" s="65">
        <v>43714</v>
      </c>
      <c r="C727" s="66" t="s">
        <v>220</v>
      </c>
      <c r="D727" s="3" t="s">
        <v>5</v>
      </c>
      <c r="E727" s="64">
        <v>1</v>
      </c>
    </row>
    <row r="728" spans="1:5">
      <c r="A728" s="64" t="s">
        <v>6</v>
      </c>
      <c r="B728" s="65">
        <v>43715</v>
      </c>
      <c r="C728" s="66" t="s">
        <v>221</v>
      </c>
      <c r="D728" s="3" t="s">
        <v>5</v>
      </c>
      <c r="E728" s="64">
        <v>1</v>
      </c>
    </row>
    <row r="729" spans="1:5">
      <c r="A729" s="64" t="s">
        <v>6</v>
      </c>
      <c r="B729" s="65">
        <v>43716</v>
      </c>
      <c r="C729" s="66" t="s">
        <v>222</v>
      </c>
      <c r="D729" s="3" t="s">
        <v>5</v>
      </c>
      <c r="E729" s="64">
        <v>1</v>
      </c>
    </row>
    <row r="730" spans="1:5">
      <c r="A730" s="64" t="s">
        <v>6</v>
      </c>
      <c r="B730" s="65">
        <v>43717</v>
      </c>
      <c r="C730" s="66" t="s">
        <v>216</v>
      </c>
      <c r="D730" s="3" t="s">
        <v>5</v>
      </c>
      <c r="E730" s="64">
        <v>1</v>
      </c>
    </row>
    <row r="731" spans="1:5">
      <c r="A731" s="64" t="s">
        <v>6</v>
      </c>
      <c r="B731" s="65">
        <v>43718</v>
      </c>
      <c r="C731" s="66" t="s">
        <v>217</v>
      </c>
      <c r="D731" s="3" t="s">
        <v>5</v>
      </c>
      <c r="E731" s="64">
        <v>1</v>
      </c>
    </row>
    <row r="732" spans="1:5">
      <c r="A732" s="64" t="s">
        <v>6</v>
      </c>
      <c r="B732" s="65">
        <v>43719</v>
      </c>
      <c r="C732" s="66" t="s">
        <v>218</v>
      </c>
      <c r="D732" s="3" t="s">
        <v>5</v>
      </c>
      <c r="E732" s="64">
        <v>1</v>
      </c>
    </row>
    <row r="733" spans="1:5">
      <c r="A733" s="64" t="s">
        <v>6</v>
      </c>
      <c r="B733" s="65">
        <v>43720</v>
      </c>
      <c r="C733" s="66" t="s">
        <v>219</v>
      </c>
      <c r="D733" s="3" t="s">
        <v>5</v>
      </c>
      <c r="E733" s="64">
        <v>1</v>
      </c>
    </row>
    <row r="734" spans="1:5">
      <c r="A734" s="64" t="s">
        <v>6</v>
      </c>
      <c r="B734" s="65">
        <v>43721</v>
      </c>
      <c r="C734" s="66" t="s">
        <v>220</v>
      </c>
      <c r="D734" s="3" t="s">
        <v>5</v>
      </c>
      <c r="E734" s="64">
        <v>1</v>
      </c>
    </row>
    <row r="735" spans="1:5">
      <c r="A735" s="64" t="s">
        <v>6</v>
      </c>
      <c r="B735" s="65">
        <v>43722</v>
      </c>
      <c r="C735" s="66" t="s">
        <v>221</v>
      </c>
      <c r="D735" s="3" t="s">
        <v>5</v>
      </c>
      <c r="E735" s="64">
        <v>1</v>
      </c>
    </row>
    <row r="736" spans="1:5">
      <c r="A736" s="64" t="s">
        <v>6</v>
      </c>
      <c r="B736" s="65">
        <v>43723</v>
      </c>
      <c r="C736" s="66" t="s">
        <v>222</v>
      </c>
      <c r="D736" s="3" t="s">
        <v>5</v>
      </c>
      <c r="E736" s="64">
        <v>1</v>
      </c>
    </row>
    <row r="737" spans="1:5">
      <c r="A737" s="64" t="s">
        <v>6</v>
      </c>
      <c r="B737" s="65">
        <v>43724</v>
      </c>
      <c r="C737" s="66" t="s">
        <v>216</v>
      </c>
      <c r="D737" s="3" t="s">
        <v>5</v>
      </c>
      <c r="E737" s="64">
        <v>1</v>
      </c>
    </row>
    <row r="738" spans="1:5">
      <c r="A738" s="64" t="s">
        <v>6</v>
      </c>
      <c r="B738" s="65">
        <v>43725</v>
      </c>
      <c r="C738" s="66" t="s">
        <v>217</v>
      </c>
      <c r="D738" s="3" t="s">
        <v>5</v>
      </c>
      <c r="E738" s="64">
        <v>1</v>
      </c>
    </row>
    <row r="739" spans="1:5">
      <c r="A739" s="64" t="s">
        <v>6</v>
      </c>
      <c r="B739" s="65">
        <v>43726</v>
      </c>
      <c r="C739" s="66" t="s">
        <v>218</v>
      </c>
      <c r="D739" s="3" t="s">
        <v>5</v>
      </c>
      <c r="E739" s="64">
        <v>1</v>
      </c>
    </row>
    <row r="740" spans="1:5">
      <c r="A740" s="64" t="s">
        <v>6</v>
      </c>
      <c r="B740" s="65">
        <v>43727</v>
      </c>
      <c r="C740" s="66" t="s">
        <v>219</v>
      </c>
      <c r="D740" s="3" t="s">
        <v>5</v>
      </c>
      <c r="E740" s="64">
        <v>1</v>
      </c>
    </row>
    <row r="741" spans="1:5">
      <c r="A741" s="64" t="s">
        <v>6</v>
      </c>
      <c r="B741" s="65">
        <v>43728</v>
      </c>
      <c r="C741" s="66" t="s">
        <v>220</v>
      </c>
      <c r="D741" s="3" t="s">
        <v>5</v>
      </c>
      <c r="E741" s="64">
        <v>1</v>
      </c>
    </row>
    <row r="742" spans="1:5">
      <c r="A742" s="64" t="s">
        <v>6</v>
      </c>
      <c r="B742" s="65">
        <v>43729</v>
      </c>
      <c r="C742" s="66" t="s">
        <v>221</v>
      </c>
      <c r="D742" s="3" t="s">
        <v>5</v>
      </c>
      <c r="E742" s="64">
        <v>1</v>
      </c>
    </row>
    <row r="743" spans="1:5">
      <c r="A743" s="64" t="s">
        <v>6</v>
      </c>
      <c r="B743" s="65">
        <v>43730</v>
      </c>
      <c r="C743" s="66" t="s">
        <v>222</v>
      </c>
      <c r="D743" s="3" t="s">
        <v>5</v>
      </c>
      <c r="E743" s="64">
        <v>1</v>
      </c>
    </row>
    <row r="744" spans="1:5">
      <c r="A744" s="64" t="s">
        <v>6</v>
      </c>
      <c r="B744" s="65">
        <v>43731</v>
      </c>
      <c r="C744" s="66" t="s">
        <v>216</v>
      </c>
      <c r="D744" s="3" t="s">
        <v>5</v>
      </c>
      <c r="E744" s="64">
        <v>1</v>
      </c>
    </row>
    <row r="745" spans="1:5">
      <c r="A745" s="64" t="s">
        <v>6</v>
      </c>
      <c r="B745" s="65">
        <v>43732</v>
      </c>
      <c r="C745" s="66" t="s">
        <v>217</v>
      </c>
      <c r="D745" s="3" t="s">
        <v>5</v>
      </c>
      <c r="E745" s="64">
        <v>1</v>
      </c>
    </row>
    <row r="746" spans="1:5">
      <c r="A746" s="64" t="s">
        <v>6</v>
      </c>
      <c r="B746" s="65">
        <v>43733</v>
      </c>
      <c r="C746" s="66" t="s">
        <v>218</v>
      </c>
      <c r="D746" s="3" t="s">
        <v>5</v>
      </c>
      <c r="E746" s="64">
        <v>1</v>
      </c>
    </row>
    <row r="747" spans="1:5">
      <c r="A747" s="64" t="s">
        <v>6</v>
      </c>
      <c r="B747" s="65">
        <v>43734</v>
      </c>
      <c r="C747" s="66" t="s">
        <v>219</v>
      </c>
      <c r="D747" s="3" t="s">
        <v>5</v>
      </c>
      <c r="E747" s="64">
        <v>1</v>
      </c>
    </row>
    <row r="748" spans="1:5">
      <c r="A748" s="64" t="s">
        <v>6</v>
      </c>
      <c r="B748" s="65">
        <v>43735</v>
      </c>
      <c r="C748" s="66" t="s">
        <v>220</v>
      </c>
      <c r="D748" s="3" t="s">
        <v>5</v>
      </c>
      <c r="E748" s="64">
        <v>1</v>
      </c>
    </row>
    <row r="749" spans="1:5">
      <c r="A749" s="64" t="s">
        <v>6</v>
      </c>
      <c r="B749" s="65">
        <v>43736</v>
      </c>
      <c r="C749" s="66" t="s">
        <v>221</v>
      </c>
      <c r="D749" s="3" t="s">
        <v>5</v>
      </c>
      <c r="E749" s="64">
        <v>1</v>
      </c>
    </row>
    <row r="750" spans="1:5">
      <c r="A750" s="64" t="s">
        <v>6</v>
      </c>
      <c r="B750" s="65">
        <v>43737</v>
      </c>
      <c r="C750" s="66" t="s">
        <v>222</v>
      </c>
      <c r="D750" s="3" t="s">
        <v>5</v>
      </c>
      <c r="E750" s="64">
        <v>1</v>
      </c>
    </row>
    <row r="751" spans="1:5">
      <c r="A751" s="64" t="s">
        <v>6</v>
      </c>
      <c r="B751" s="65">
        <v>43738</v>
      </c>
      <c r="C751" s="66" t="s">
        <v>216</v>
      </c>
      <c r="D751" s="3" t="s">
        <v>5</v>
      </c>
      <c r="E751" s="64">
        <v>1</v>
      </c>
    </row>
    <row r="752" spans="1:5">
      <c r="A752" s="64" t="s">
        <v>6</v>
      </c>
      <c r="B752" s="65">
        <v>43739</v>
      </c>
      <c r="C752" s="66" t="s">
        <v>217</v>
      </c>
      <c r="D752" s="3" t="s">
        <v>5</v>
      </c>
      <c r="E752" s="64">
        <v>1</v>
      </c>
    </row>
    <row r="753" spans="1:5">
      <c r="A753" s="64" t="s">
        <v>6</v>
      </c>
      <c r="B753" s="65">
        <v>43740</v>
      </c>
      <c r="C753" s="66" t="s">
        <v>218</v>
      </c>
      <c r="D753" s="3" t="s">
        <v>5</v>
      </c>
      <c r="E753" s="64">
        <v>1</v>
      </c>
    </row>
    <row r="754" spans="1:5">
      <c r="A754" s="64" t="s">
        <v>6</v>
      </c>
      <c r="B754" s="65">
        <v>43741</v>
      </c>
      <c r="C754" s="66" t="s">
        <v>219</v>
      </c>
      <c r="D754" s="3" t="s">
        <v>5</v>
      </c>
      <c r="E754" s="64">
        <v>1</v>
      </c>
    </row>
    <row r="755" spans="1:5">
      <c r="A755" s="64" t="s">
        <v>6</v>
      </c>
      <c r="B755" s="65">
        <v>43742</v>
      </c>
      <c r="C755" s="66" t="s">
        <v>220</v>
      </c>
      <c r="D755" s="3" t="s">
        <v>5</v>
      </c>
      <c r="E755" s="64">
        <v>1</v>
      </c>
    </row>
    <row r="756" spans="1:5">
      <c r="A756" s="64" t="s">
        <v>6</v>
      </c>
      <c r="B756" s="65">
        <v>43743</v>
      </c>
      <c r="C756" s="66" t="s">
        <v>221</v>
      </c>
      <c r="D756" s="3" t="s">
        <v>5</v>
      </c>
      <c r="E756" s="64">
        <v>1</v>
      </c>
    </row>
    <row r="757" spans="1:5">
      <c r="A757" s="64" t="s">
        <v>6</v>
      </c>
      <c r="B757" s="65">
        <v>43744</v>
      </c>
      <c r="C757" s="66" t="s">
        <v>222</v>
      </c>
      <c r="D757" s="3" t="s">
        <v>5</v>
      </c>
      <c r="E757" s="64">
        <v>1</v>
      </c>
    </row>
    <row r="758" spans="1:5">
      <c r="A758" s="64" t="s">
        <v>6</v>
      </c>
      <c r="B758" s="65">
        <v>43745</v>
      </c>
      <c r="C758" s="66" t="s">
        <v>216</v>
      </c>
      <c r="D758" s="3" t="s">
        <v>5</v>
      </c>
      <c r="E758" s="64">
        <v>1</v>
      </c>
    </row>
    <row r="759" spans="1:5">
      <c r="A759" s="64" t="s">
        <v>6</v>
      </c>
      <c r="B759" s="65">
        <v>43746</v>
      </c>
      <c r="C759" s="66" t="s">
        <v>217</v>
      </c>
      <c r="D759" s="3" t="s">
        <v>5</v>
      </c>
      <c r="E759" s="64">
        <v>1</v>
      </c>
    </row>
    <row r="760" spans="1:5">
      <c r="A760" s="64" t="s">
        <v>6</v>
      </c>
      <c r="B760" s="65">
        <v>43747</v>
      </c>
      <c r="C760" s="66" t="s">
        <v>218</v>
      </c>
      <c r="D760" s="3" t="s">
        <v>5</v>
      </c>
      <c r="E760" s="64">
        <v>1</v>
      </c>
    </row>
    <row r="761" spans="1:5">
      <c r="A761" s="64" t="s">
        <v>6</v>
      </c>
      <c r="B761" s="65">
        <v>43748</v>
      </c>
      <c r="C761" s="66" t="s">
        <v>219</v>
      </c>
      <c r="D761" s="3" t="s">
        <v>5</v>
      </c>
      <c r="E761" s="64">
        <v>1</v>
      </c>
    </row>
    <row r="762" spans="1:5">
      <c r="A762" s="64" t="s">
        <v>6</v>
      </c>
      <c r="B762" s="65">
        <v>43749</v>
      </c>
      <c r="C762" s="66" t="s">
        <v>220</v>
      </c>
      <c r="D762" s="3" t="s">
        <v>5</v>
      </c>
      <c r="E762" s="64">
        <v>1</v>
      </c>
    </row>
    <row r="763" spans="1:5">
      <c r="A763" s="64" t="s">
        <v>6</v>
      </c>
      <c r="B763" s="65">
        <v>43750</v>
      </c>
      <c r="C763" s="66" t="s">
        <v>221</v>
      </c>
      <c r="D763" s="3" t="s">
        <v>5</v>
      </c>
      <c r="E763" s="64">
        <v>1</v>
      </c>
    </row>
    <row r="764" spans="1:5">
      <c r="A764" s="64" t="s">
        <v>6</v>
      </c>
      <c r="B764" s="65">
        <v>43751</v>
      </c>
      <c r="C764" s="66" t="s">
        <v>222</v>
      </c>
      <c r="D764" s="3" t="s">
        <v>5</v>
      </c>
      <c r="E764" s="64">
        <v>1</v>
      </c>
    </row>
    <row r="765" spans="1:5">
      <c r="A765" s="64" t="s">
        <v>6</v>
      </c>
      <c r="B765" s="65">
        <v>43752</v>
      </c>
      <c r="C765" s="66" t="s">
        <v>216</v>
      </c>
      <c r="D765" s="3" t="s">
        <v>5</v>
      </c>
      <c r="E765" s="64">
        <v>1</v>
      </c>
    </row>
    <row r="766" spans="1:5">
      <c r="A766" s="64" t="s">
        <v>6</v>
      </c>
      <c r="B766" s="65">
        <v>43753</v>
      </c>
      <c r="C766" s="66" t="s">
        <v>217</v>
      </c>
      <c r="D766" s="3" t="s">
        <v>5</v>
      </c>
      <c r="E766" s="64">
        <v>1</v>
      </c>
    </row>
    <row r="767" spans="1:5">
      <c r="A767" s="64" t="s">
        <v>6</v>
      </c>
      <c r="B767" s="65">
        <v>43754</v>
      </c>
      <c r="C767" s="66" t="s">
        <v>218</v>
      </c>
      <c r="D767" s="3" t="s">
        <v>5</v>
      </c>
      <c r="E767" s="64">
        <v>1</v>
      </c>
    </row>
    <row r="768" spans="1:5">
      <c r="A768" s="64" t="s">
        <v>6</v>
      </c>
      <c r="B768" s="65">
        <v>43755</v>
      </c>
      <c r="C768" s="66" t="s">
        <v>219</v>
      </c>
      <c r="D768" s="3" t="s">
        <v>5</v>
      </c>
      <c r="E768" s="64">
        <v>1</v>
      </c>
    </row>
    <row r="769" spans="1:5">
      <c r="A769" s="64" t="s">
        <v>6</v>
      </c>
      <c r="B769" s="65">
        <v>43756</v>
      </c>
      <c r="C769" s="66" t="s">
        <v>220</v>
      </c>
      <c r="D769" s="3" t="s">
        <v>5</v>
      </c>
      <c r="E769" s="64">
        <v>1</v>
      </c>
    </row>
    <row r="770" spans="1:5">
      <c r="A770" s="64" t="s">
        <v>6</v>
      </c>
      <c r="B770" s="65">
        <v>43757</v>
      </c>
      <c r="C770" s="66" t="s">
        <v>221</v>
      </c>
      <c r="D770" s="3" t="s">
        <v>5</v>
      </c>
      <c r="E770" s="64">
        <v>1</v>
      </c>
    </row>
    <row r="771" spans="1:5">
      <c r="A771" s="64" t="s">
        <v>6</v>
      </c>
      <c r="B771" s="65">
        <v>43758</v>
      </c>
      <c r="C771" s="66" t="s">
        <v>222</v>
      </c>
      <c r="D771" s="3" t="s">
        <v>5</v>
      </c>
      <c r="E771" s="64">
        <v>1</v>
      </c>
    </row>
    <row r="772" spans="1:5">
      <c r="A772" s="64" t="s">
        <v>6</v>
      </c>
      <c r="B772" s="65">
        <v>43759</v>
      </c>
      <c r="C772" s="66" t="s">
        <v>216</v>
      </c>
      <c r="D772" s="3" t="s">
        <v>5</v>
      </c>
      <c r="E772" s="64">
        <v>1</v>
      </c>
    </row>
    <row r="773" spans="1:5">
      <c r="A773" s="64" t="s">
        <v>6</v>
      </c>
      <c r="B773" s="65">
        <v>43760</v>
      </c>
      <c r="C773" s="66" t="s">
        <v>217</v>
      </c>
      <c r="D773" s="3" t="s">
        <v>5</v>
      </c>
      <c r="E773" s="64">
        <v>1</v>
      </c>
    </row>
    <row r="774" spans="1:5">
      <c r="A774" s="64" t="s">
        <v>6</v>
      </c>
      <c r="B774" s="65">
        <v>43761</v>
      </c>
      <c r="C774" s="66" t="s">
        <v>218</v>
      </c>
      <c r="D774" s="3" t="s">
        <v>5</v>
      </c>
      <c r="E774" s="64">
        <v>1</v>
      </c>
    </row>
    <row r="775" spans="1:5">
      <c r="A775" s="64" t="s">
        <v>6</v>
      </c>
      <c r="B775" s="65">
        <v>43762</v>
      </c>
      <c r="C775" s="66" t="s">
        <v>219</v>
      </c>
      <c r="D775" s="3" t="s">
        <v>5</v>
      </c>
      <c r="E775" s="64">
        <v>1</v>
      </c>
    </row>
    <row r="776" spans="1:5">
      <c r="A776" s="64" t="s">
        <v>6</v>
      </c>
      <c r="B776" s="65">
        <v>43763</v>
      </c>
      <c r="C776" s="66" t="s">
        <v>220</v>
      </c>
      <c r="D776" s="3" t="s">
        <v>5</v>
      </c>
      <c r="E776" s="64">
        <v>1</v>
      </c>
    </row>
    <row r="777" spans="1:5">
      <c r="A777" s="64" t="s">
        <v>6</v>
      </c>
      <c r="B777" s="65">
        <v>43764</v>
      </c>
      <c r="C777" s="66" t="s">
        <v>221</v>
      </c>
      <c r="D777" s="3" t="s">
        <v>5</v>
      </c>
      <c r="E777" s="64">
        <v>1</v>
      </c>
    </row>
    <row r="778" spans="1:5">
      <c r="A778" s="64" t="s">
        <v>6</v>
      </c>
      <c r="B778" s="65">
        <v>43765</v>
      </c>
      <c r="C778" s="66" t="s">
        <v>222</v>
      </c>
      <c r="D778" s="3" t="s">
        <v>5</v>
      </c>
      <c r="E778" s="64">
        <v>1</v>
      </c>
    </row>
    <row r="779" spans="1:5">
      <c r="A779" s="64" t="s">
        <v>6</v>
      </c>
      <c r="B779" s="65">
        <v>43766</v>
      </c>
      <c r="C779" s="66" t="s">
        <v>216</v>
      </c>
      <c r="D779" s="3" t="s">
        <v>5</v>
      </c>
      <c r="E779" s="64">
        <v>1</v>
      </c>
    </row>
    <row r="780" spans="1:5">
      <c r="A780" s="64" t="s">
        <v>6</v>
      </c>
      <c r="B780" s="65">
        <v>43767</v>
      </c>
      <c r="C780" s="66" t="s">
        <v>217</v>
      </c>
      <c r="D780" s="3" t="s">
        <v>5</v>
      </c>
      <c r="E780" s="64">
        <v>1</v>
      </c>
    </row>
    <row r="781" spans="1:5">
      <c r="A781" s="64" t="s">
        <v>6</v>
      </c>
      <c r="B781" s="65">
        <v>43768</v>
      </c>
      <c r="C781" s="66" t="s">
        <v>218</v>
      </c>
      <c r="D781" s="3" t="s">
        <v>5</v>
      </c>
      <c r="E781" s="64">
        <v>1</v>
      </c>
    </row>
    <row r="782" spans="1:5">
      <c r="A782" s="64" t="s">
        <v>6</v>
      </c>
      <c r="B782" s="65">
        <v>43769</v>
      </c>
      <c r="C782" s="66" t="s">
        <v>219</v>
      </c>
      <c r="D782" s="3" t="s">
        <v>5</v>
      </c>
      <c r="E782" s="64">
        <v>1</v>
      </c>
    </row>
    <row r="783" spans="1:5">
      <c r="A783" s="64" t="s">
        <v>6</v>
      </c>
      <c r="B783" s="65">
        <v>43770</v>
      </c>
      <c r="C783" s="66" t="s">
        <v>220</v>
      </c>
      <c r="D783" s="3" t="s">
        <v>5</v>
      </c>
      <c r="E783" s="64">
        <v>1</v>
      </c>
    </row>
    <row r="784" spans="1:5">
      <c r="A784" s="64" t="s">
        <v>6</v>
      </c>
      <c r="B784" s="65">
        <v>43771</v>
      </c>
      <c r="C784" s="66" t="s">
        <v>221</v>
      </c>
      <c r="D784" s="3" t="s">
        <v>5</v>
      </c>
      <c r="E784" s="64">
        <v>1</v>
      </c>
    </row>
    <row r="785" spans="1:5">
      <c r="A785" s="64" t="s">
        <v>6</v>
      </c>
      <c r="B785" s="65">
        <v>43772</v>
      </c>
      <c r="C785" s="66" t="s">
        <v>222</v>
      </c>
      <c r="D785" s="3" t="s">
        <v>5</v>
      </c>
      <c r="E785" s="64">
        <v>1</v>
      </c>
    </row>
    <row r="786" spans="1:5">
      <c r="A786" s="64" t="s">
        <v>6</v>
      </c>
      <c r="B786" s="65">
        <v>43773</v>
      </c>
      <c r="C786" s="66" t="s">
        <v>216</v>
      </c>
      <c r="D786" s="3" t="s">
        <v>5</v>
      </c>
      <c r="E786" s="64">
        <v>1</v>
      </c>
    </row>
    <row r="787" spans="1:5">
      <c r="A787" s="64" t="s">
        <v>6</v>
      </c>
      <c r="B787" s="65">
        <v>43774</v>
      </c>
      <c r="C787" s="66" t="s">
        <v>217</v>
      </c>
      <c r="D787" s="3" t="s">
        <v>5</v>
      </c>
      <c r="E787" s="64">
        <v>1</v>
      </c>
    </row>
    <row r="788" spans="1:5">
      <c r="A788" s="64" t="s">
        <v>6</v>
      </c>
      <c r="B788" s="65">
        <v>43775</v>
      </c>
      <c r="C788" s="66" t="s">
        <v>218</v>
      </c>
      <c r="D788" s="3" t="s">
        <v>5</v>
      </c>
      <c r="E788" s="64">
        <v>1</v>
      </c>
    </row>
    <row r="789" spans="1:5">
      <c r="A789" s="64" t="s">
        <v>6</v>
      </c>
      <c r="B789" s="65">
        <v>43776</v>
      </c>
      <c r="C789" s="66" t="s">
        <v>219</v>
      </c>
      <c r="D789" s="3" t="s">
        <v>5</v>
      </c>
      <c r="E789" s="64">
        <v>1</v>
      </c>
    </row>
    <row r="790" spans="1:5">
      <c r="A790" s="64" t="s">
        <v>6</v>
      </c>
      <c r="B790" s="65">
        <v>43777</v>
      </c>
      <c r="C790" s="66" t="s">
        <v>220</v>
      </c>
      <c r="D790" s="3" t="s">
        <v>5</v>
      </c>
      <c r="E790" s="64">
        <v>1</v>
      </c>
    </row>
    <row r="791" spans="1:5">
      <c r="A791" s="64" t="s">
        <v>6</v>
      </c>
      <c r="B791" s="65">
        <v>43778</v>
      </c>
      <c r="C791" s="66" t="s">
        <v>221</v>
      </c>
      <c r="D791" s="3" t="s">
        <v>5</v>
      </c>
      <c r="E791" s="64">
        <v>1</v>
      </c>
    </row>
    <row r="792" spans="1:5">
      <c r="A792" s="64" t="s">
        <v>6</v>
      </c>
      <c r="B792" s="65">
        <v>43779</v>
      </c>
      <c r="C792" s="66" t="s">
        <v>222</v>
      </c>
      <c r="D792" s="3" t="s">
        <v>5</v>
      </c>
      <c r="E792" s="64">
        <v>1</v>
      </c>
    </row>
    <row r="793" spans="1:5">
      <c r="A793" s="64" t="s">
        <v>6</v>
      </c>
      <c r="B793" s="65">
        <v>43780</v>
      </c>
      <c r="C793" s="66" t="s">
        <v>216</v>
      </c>
      <c r="D793" s="3" t="s">
        <v>5</v>
      </c>
      <c r="E793" s="64">
        <v>1</v>
      </c>
    </row>
    <row r="794" spans="1:5">
      <c r="A794" s="64" t="s">
        <v>6</v>
      </c>
      <c r="B794" s="65">
        <v>43781</v>
      </c>
      <c r="C794" s="66" t="s">
        <v>217</v>
      </c>
      <c r="D794" s="3" t="s">
        <v>5</v>
      </c>
      <c r="E794" s="64">
        <v>1</v>
      </c>
    </row>
    <row r="795" spans="1:5">
      <c r="A795" s="64" t="s">
        <v>6</v>
      </c>
      <c r="B795" s="65">
        <v>43782</v>
      </c>
      <c r="C795" s="66" t="s">
        <v>218</v>
      </c>
      <c r="D795" s="3" t="s">
        <v>5</v>
      </c>
      <c r="E795" s="64">
        <v>1</v>
      </c>
    </row>
    <row r="796" spans="1:5">
      <c r="A796" s="64" t="s">
        <v>6</v>
      </c>
      <c r="B796" s="65">
        <v>43783</v>
      </c>
      <c r="C796" s="66" t="s">
        <v>219</v>
      </c>
      <c r="D796" s="3" t="s">
        <v>5</v>
      </c>
      <c r="E796" s="64">
        <v>1</v>
      </c>
    </row>
    <row r="797" spans="1:5">
      <c r="A797" s="64" t="s">
        <v>6</v>
      </c>
      <c r="B797" s="65">
        <v>43784</v>
      </c>
      <c r="C797" s="66" t="s">
        <v>220</v>
      </c>
      <c r="D797" s="3" t="s">
        <v>5</v>
      </c>
      <c r="E797" s="64">
        <v>1</v>
      </c>
    </row>
    <row r="798" spans="1:5">
      <c r="A798" s="64" t="s">
        <v>6</v>
      </c>
      <c r="B798" s="65">
        <v>43785</v>
      </c>
      <c r="C798" s="66" t="s">
        <v>221</v>
      </c>
      <c r="D798" s="3" t="s">
        <v>5</v>
      </c>
      <c r="E798" s="64">
        <v>1</v>
      </c>
    </row>
    <row r="799" spans="1:5">
      <c r="A799" s="64" t="s">
        <v>6</v>
      </c>
      <c r="B799" s="65">
        <v>43786</v>
      </c>
      <c r="C799" s="66" t="s">
        <v>222</v>
      </c>
      <c r="D799" s="3" t="s">
        <v>5</v>
      </c>
      <c r="E799" s="64">
        <v>1</v>
      </c>
    </row>
    <row r="800" spans="1:5">
      <c r="A800" s="64" t="s">
        <v>6</v>
      </c>
      <c r="B800" s="65">
        <v>43787</v>
      </c>
      <c r="C800" s="66" t="s">
        <v>216</v>
      </c>
      <c r="D800" s="3" t="s">
        <v>5</v>
      </c>
      <c r="E800" s="64">
        <v>1</v>
      </c>
    </row>
    <row r="801" spans="1:5">
      <c r="A801" s="64" t="s">
        <v>6</v>
      </c>
      <c r="B801" s="65">
        <v>43788</v>
      </c>
      <c r="C801" s="66" t="s">
        <v>217</v>
      </c>
      <c r="D801" s="3" t="s">
        <v>5</v>
      </c>
      <c r="E801" s="64">
        <v>1</v>
      </c>
    </row>
    <row r="802" spans="1:5">
      <c r="A802" s="64" t="s">
        <v>6</v>
      </c>
      <c r="B802" s="65">
        <v>43789</v>
      </c>
      <c r="C802" s="66" t="s">
        <v>218</v>
      </c>
      <c r="D802" s="3" t="s">
        <v>5</v>
      </c>
      <c r="E802" s="64">
        <v>1</v>
      </c>
    </row>
    <row r="803" spans="1:5">
      <c r="A803" s="64" t="s">
        <v>6</v>
      </c>
      <c r="B803" s="65">
        <v>43790</v>
      </c>
      <c r="C803" s="66" t="s">
        <v>219</v>
      </c>
      <c r="D803" s="3" t="s">
        <v>5</v>
      </c>
      <c r="E803" s="64">
        <v>1</v>
      </c>
    </row>
    <row r="804" spans="1:5">
      <c r="A804" s="64" t="s">
        <v>6</v>
      </c>
      <c r="B804" s="65">
        <v>43791</v>
      </c>
      <c r="C804" s="66" t="s">
        <v>220</v>
      </c>
      <c r="D804" s="3" t="s">
        <v>5</v>
      </c>
      <c r="E804" s="64">
        <v>1</v>
      </c>
    </row>
    <row r="805" spans="1:5">
      <c r="A805" s="64" t="s">
        <v>6</v>
      </c>
      <c r="B805" s="65">
        <v>43792</v>
      </c>
      <c r="C805" s="66" t="s">
        <v>221</v>
      </c>
      <c r="D805" s="3" t="s">
        <v>5</v>
      </c>
      <c r="E805" s="64">
        <v>1</v>
      </c>
    </row>
    <row r="806" spans="1:5">
      <c r="A806" s="64" t="s">
        <v>6</v>
      </c>
      <c r="B806" s="65">
        <v>43793</v>
      </c>
      <c r="C806" s="66" t="s">
        <v>222</v>
      </c>
      <c r="D806" s="3" t="s">
        <v>5</v>
      </c>
      <c r="E806" s="64">
        <v>1</v>
      </c>
    </row>
    <row r="807" spans="1:5">
      <c r="A807" s="64" t="s">
        <v>6</v>
      </c>
      <c r="B807" s="65">
        <v>43794</v>
      </c>
      <c r="C807" s="66" t="s">
        <v>216</v>
      </c>
      <c r="D807" s="3" t="s">
        <v>5</v>
      </c>
      <c r="E807" s="64">
        <v>1</v>
      </c>
    </row>
    <row r="808" spans="1:5">
      <c r="A808" s="64" t="s">
        <v>6</v>
      </c>
      <c r="B808" s="65">
        <v>43795</v>
      </c>
      <c r="C808" s="66" t="s">
        <v>217</v>
      </c>
      <c r="D808" s="3" t="s">
        <v>5</v>
      </c>
      <c r="E808" s="64">
        <v>1</v>
      </c>
    </row>
    <row r="809" spans="1:5">
      <c r="A809" s="64" t="s">
        <v>6</v>
      </c>
      <c r="B809" s="65">
        <v>43796</v>
      </c>
      <c r="C809" s="66" t="s">
        <v>218</v>
      </c>
      <c r="D809" s="3" t="s">
        <v>5</v>
      </c>
      <c r="E809" s="64">
        <v>1</v>
      </c>
    </row>
    <row r="810" spans="1:5">
      <c r="A810" s="64" t="s">
        <v>6</v>
      </c>
      <c r="B810" s="65">
        <v>43797</v>
      </c>
      <c r="C810" s="66" t="s">
        <v>219</v>
      </c>
      <c r="D810" s="3" t="s">
        <v>5</v>
      </c>
      <c r="E810" s="64">
        <v>1</v>
      </c>
    </row>
    <row r="811" spans="1:5">
      <c r="A811" s="64" t="s">
        <v>6</v>
      </c>
      <c r="B811" s="65">
        <v>43798</v>
      </c>
      <c r="C811" s="66" t="s">
        <v>220</v>
      </c>
      <c r="D811" s="3" t="s">
        <v>5</v>
      </c>
      <c r="E811" s="64">
        <v>1</v>
      </c>
    </row>
    <row r="812" spans="1:5">
      <c r="A812" s="64" t="s">
        <v>6</v>
      </c>
      <c r="B812" s="65">
        <v>43799</v>
      </c>
      <c r="C812" s="66" t="s">
        <v>221</v>
      </c>
      <c r="D812" s="3" t="s">
        <v>5</v>
      </c>
      <c r="E812" s="64">
        <v>1</v>
      </c>
    </row>
    <row r="813" spans="1:5">
      <c r="A813" s="64" t="s">
        <v>6</v>
      </c>
      <c r="B813" s="65">
        <v>43800</v>
      </c>
      <c r="C813" s="66" t="s">
        <v>222</v>
      </c>
      <c r="D813" s="3" t="s">
        <v>5</v>
      </c>
      <c r="E813" s="64">
        <v>1</v>
      </c>
    </row>
    <row r="814" spans="1:5">
      <c r="A814" s="64" t="s">
        <v>6</v>
      </c>
      <c r="B814" s="65">
        <v>43801</v>
      </c>
      <c r="C814" s="66" t="s">
        <v>216</v>
      </c>
      <c r="D814" s="3" t="s">
        <v>5</v>
      </c>
      <c r="E814" s="64">
        <v>1</v>
      </c>
    </row>
    <row r="815" spans="1:5">
      <c r="A815" s="64" t="s">
        <v>6</v>
      </c>
      <c r="B815" s="65">
        <v>43802</v>
      </c>
      <c r="C815" s="66" t="s">
        <v>217</v>
      </c>
      <c r="D815" s="3" t="s">
        <v>5</v>
      </c>
      <c r="E815" s="64">
        <v>1</v>
      </c>
    </row>
    <row r="816" spans="1:5">
      <c r="A816" s="64" t="s">
        <v>6</v>
      </c>
      <c r="B816" s="65">
        <v>43803</v>
      </c>
      <c r="C816" s="66" t="s">
        <v>218</v>
      </c>
      <c r="D816" s="3" t="s">
        <v>5</v>
      </c>
      <c r="E816" s="64">
        <v>1</v>
      </c>
    </row>
    <row r="817" spans="1:5">
      <c r="A817" s="64" t="s">
        <v>6</v>
      </c>
      <c r="B817" s="65">
        <v>43804</v>
      </c>
      <c r="C817" s="66" t="s">
        <v>219</v>
      </c>
      <c r="D817" s="3" t="s">
        <v>5</v>
      </c>
      <c r="E817" s="64">
        <v>1</v>
      </c>
    </row>
    <row r="818" spans="1:5">
      <c r="A818" s="64" t="s">
        <v>6</v>
      </c>
      <c r="B818" s="65">
        <v>43805</v>
      </c>
      <c r="C818" s="66" t="s">
        <v>220</v>
      </c>
      <c r="D818" s="3" t="s">
        <v>5</v>
      </c>
      <c r="E818" s="64">
        <v>1</v>
      </c>
    </row>
    <row r="819" spans="1:5">
      <c r="A819" s="64" t="s">
        <v>6</v>
      </c>
      <c r="B819" s="65">
        <v>43806</v>
      </c>
      <c r="C819" s="66" t="s">
        <v>221</v>
      </c>
      <c r="D819" s="3" t="s">
        <v>5</v>
      </c>
      <c r="E819" s="64">
        <v>1</v>
      </c>
    </row>
    <row r="820" spans="1:5">
      <c r="A820" s="64" t="s">
        <v>6</v>
      </c>
      <c r="B820" s="65">
        <v>43807</v>
      </c>
      <c r="C820" s="66" t="s">
        <v>222</v>
      </c>
      <c r="D820" s="3" t="s">
        <v>5</v>
      </c>
      <c r="E820" s="64">
        <v>1</v>
      </c>
    </row>
    <row r="821" spans="1:5">
      <c r="A821" s="64" t="s">
        <v>6</v>
      </c>
      <c r="B821" s="65">
        <v>43808</v>
      </c>
      <c r="C821" s="66" t="s">
        <v>216</v>
      </c>
      <c r="D821" s="3" t="s">
        <v>5</v>
      </c>
      <c r="E821" s="64">
        <v>1</v>
      </c>
    </row>
    <row r="822" spans="1:5">
      <c r="A822" s="64" t="s">
        <v>6</v>
      </c>
      <c r="B822" s="65">
        <v>43809</v>
      </c>
      <c r="C822" s="66" t="s">
        <v>217</v>
      </c>
      <c r="D822" s="3" t="s">
        <v>5</v>
      </c>
      <c r="E822" s="64">
        <v>1</v>
      </c>
    </row>
    <row r="823" spans="1:5">
      <c r="A823" s="64" t="s">
        <v>6</v>
      </c>
      <c r="B823" s="65">
        <v>43556</v>
      </c>
      <c r="C823" s="66" t="s">
        <v>216</v>
      </c>
      <c r="D823" s="3" t="s">
        <v>8</v>
      </c>
      <c r="E823" s="64">
        <v>1</v>
      </c>
    </row>
    <row r="824" spans="1:5">
      <c r="A824" s="64" t="s">
        <v>6</v>
      </c>
      <c r="B824" s="65">
        <v>43557</v>
      </c>
      <c r="C824" s="66" t="s">
        <v>217</v>
      </c>
      <c r="D824" s="3" t="s">
        <v>8</v>
      </c>
      <c r="E824" s="64">
        <v>1</v>
      </c>
    </row>
    <row r="825" spans="1:5">
      <c r="A825" s="64" t="s">
        <v>6</v>
      </c>
      <c r="B825" s="65">
        <v>43558</v>
      </c>
      <c r="C825" s="66" t="s">
        <v>218</v>
      </c>
      <c r="D825" s="3" t="s">
        <v>8</v>
      </c>
      <c r="E825" s="64">
        <v>1</v>
      </c>
    </row>
    <row r="826" spans="1:5">
      <c r="A826" s="64" t="s">
        <v>6</v>
      </c>
      <c r="B826" s="65">
        <v>43559</v>
      </c>
      <c r="C826" s="66" t="s">
        <v>219</v>
      </c>
      <c r="D826" s="3" t="s">
        <v>8</v>
      </c>
      <c r="E826" s="64">
        <v>1</v>
      </c>
    </row>
    <row r="827" spans="1:5">
      <c r="A827" s="64" t="s">
        <v>6</v>
      </c>
      <c r="B827" s="65">
        <v>43560</v>
      </c>
      <c r="C827" s="66" t="s">
        <v>220</v>
      </c>
      <c r="D827" s="3" t="s">
        <v>8</v>
      </c>
      <c r="E827" s="64">
        <v>1</v>
      </c>
    </row>
    <row r="828" spans="1:5">
      <c r="A828" s="64" t="s">
        <v>6</v>
      </c>
      <c r="B828" s="65">
        <v>43561</v>
      </c>
      <c r="C828" s="66" t="s">
        <v>221</v>
      </c>
      <c r="D828" s="3" t="s">
        <v>8</v>
      </c>
      <c r="E828" s="64">
        <v>1</v>
      </c>
    </row>
    <row r="829" spans="1:5">
      <c r="A829" s="64" t="s">
        <v>6</v>
      </c>
      <c r="B829" s="65">
        <v>43562</v>
      </c>
      <c r="C829" s="66" t="s">
        <v>222</v>
      </c>
      <c r="D829" s="3" t="s">
        <v>8</v>
      </c>
      <c r="E829" s="64">
        <v>1</v>
      </c>
    </row>
    <row r="830" spans="1:5">
      <c r="A830" s="64" t="s">
        <v>6</v>
      </c>
      <c r="B830" s="65">
        <v>43563</v>
      </c>
      <c r="C830" s="66" t="s">
        <v>216</v>
      </c>
      <c r="D830" s="3" t="s">
        <v>8</v>
      </c>
      <c r="E830" s="64">
        <v>1</v>
      </c>
    </row>
    <row r="831" spans="1:5">
      <c r="A831" s="64" t="s">
        <v>6</v>
      </c>
      <c r="B831" s="65">
        <v>43564</v>
      </c>
      <c r="C831" s="66" t="s">
        <v>217</v>
      </c>
      <c r="D831" s="3" t="s">
        <v>8</v>
      </c>
      <c r="E831" s="64">
        <v>1</v>
      </c>
    </row>
    <row r="832" spans="1:5">
      <c r="A832" s="64" t="s">
        <v>6</v>
      </c>
      <c r="B832" s="65">
        <v>43565</v>
      </c>
      <c r="C832" s="66" t="s">
        <v>218</v>
      </c>
      <c r="D832" s="3" t="s">
        <v>8</v>
      </c>
      <c r="E832" s="64">
        <v>1</v>
      </c>
    </row>
    <row r="833" spans="1:5">
      <c r="A833" s="64" t="s">
        <v>6</v>
      </c>
      <c r="B833" s="65">
        <v>43566</v>
      </c>
      <c r="C833" s="66" t="s">
        <v>219</v>
      </c>
      <c r="D833" s="3" t="s">
        <v>8</v>
      </c>
      <c r="E833" s="64">
        <v>1</v>
      </c>
    </row>
    <row r="834" spans="1:5">
      <c r="A834" s="64" t="s">
        <v>6</v>
      </c>
      <c r="B834" s="65">
        <v>43567</v>
      </c>
      <c r="C834" s="66" t="s">
        <v>220</v>
      </c>
      <c r="D834" s="3" t="s">
        <v>8</v>
      </c>
      <c r="E834" s="64">
        <v>1</v>
      </c>
    </row>
    <row r="835" spans="1:5">
      <c r="A835" s="64" t="s">
        <v>6</v>
      </c>
      <c r="B835" s="65">
        <v>43568</v>
      </c>
      <c r="C835" s="66" t="s">
        <v>221</v>
      </c>
      <c r="D835" s="3" t="s">
        <v>8</v>
      </c>
      <c r="E835" s="64">
        <v>1</v>
      </c>
    </row>
    <row r="836" spans="1:5">
      <c r="A836" s="64" t="s">
        <v>6</v>
      </c>
      <c r="B836" s="65">
        <v>43569</v>
      </c>
      <c r="C836" s="66" t="s">
        <v>222</v>
      </c>
      <c r="D836" s="3" t="s">
        <v>8</v>
      </c>
      <c r="E836" s="64">
        <v>1</v>
      </c>
    </row>
    <row r="837" spans="1:5">
      <c r="A837" s="64" t="s">
        <v>6</v>
      </c>
      <c r="B837" s="65">
        <v>43570</v>
      </c>
      <c r="C837" s="66" t="s">
        <v>216</v>
      </c>
      <c r="D837" s="3" t="s">
        <v>8</v>
      </c>
      <c r="E837" s="64">
        <v>1</v>
      </c>
    </row>
    <row r="838" spans="1:5">
      <c r="A838" s="64" t="s">
        <v>6</v>
      </c>
      <c r="B838" s="65">
        <v>43571</v>
      </c>
      <c r="C838" s="66" t="s">
        <v>217</v>
      </c>
      <c r="D838" s="3" t="s">
        <v>8</v>
      </c>
      <c r="E838" s="64">
        <v>1</v>
      </c>
    </row>
    <row r="839" spans="1:5">
      <c r="A839" s="64" t="s">
        <v>6</v>
      </c>
      <c r="B839" s="65">
        <v>43572</v>
      </c>
      <c r="C839" s="66" t="s">
        <v>218</v>
      </c>
      <c r="D839" s="3" t="s">
        <v>8</v>
      </c>
      <c r="E839" s="64">
        <v>1</v>
      </c>
    </row>
    <row r="840" spans="1:5">
      <c r="A840" s="64" t="s">
        <v>6</v>
      </c>
      <c r="B840" s="65">
        <v>43573</v>
      </c>
      <c r="C840" s="66" t="s">
        <v>219</v>
      </c>
      <c r="D840" s="3" t="s">
        <v>8</v>
      </c>
      <c r="E840" s="64">
        <v>1</v>
      </c>
    </row>
    <row r="841" spans="1:5">
      <c r="A841" s="64" t="s">
        <v>6</v>
      </c>
      <c r="B841" s="65">
        <v>43574</v>
      </c>
      <c r="C841" s="66" t="s">
        <v>220</v>
      </c>
      <c r="D841" s="3" t="s">
        <v>8</v>
      </c>
      <c r="E841" s="64">
        <v>1</v>
      </c>
    </row>
    <row r="842" spans="1:5">
      <c r="A842" s="64" t="s">
        <v>6</v>
      </c>
      <c r="B842" s="65">
        <v>43575</v>
      </c>
      <c r="C842" s="66" t="s">
        <v>221</v>
      </c>
      <c r="D842" s="3" t="s">
        <v>8</v>
      </c>
      <c r="E842" s="64">
        <v>1</v>
      </c>
    </row>
    <row r="843" spans="1:5">
      <c r="A843" s="64" t="s">
        <v>6</v>
      </c>
      <c r="B843" s="65">
        <v>43576</v>
      </c>
      <c r="C843" s="66" t="s">
        <v>222</v>
      </c>
      <c r="D843" s="3" t="s">
        <v>8</v>
      </c>
      <c r="E843" s="64">
        <v>1</v>
      </c>
    </row>
    <row r="844" spans="1:5">
      <c r="A844" s="64" t="s">
        <v>6</v>
      </c>
      <c r="B844" s="65">
        <v>43577</v>
      </c>
      <c r="C844" s="66" t="s">
        <v>216</v>
      </c>
      <c r="D844" s="3" t="s">
        <v>8</v>
      </c>
      <c r="E844" s="64">
        <v>1</v>
      </c>
    </row>
    <row r="845" spans="1:5">
      <c r="A845" s="64" t="s">
        <v>6</v>
      </c>
      <c r="B845" s="65">
        <v>43578</v>
      </c>
      <c r="C845" s="66" t="s">
        <v>217</v>
      </c>
      <c r="D845" s="3" t="s">
        <v>8</v>
      </c>
      <c r="E845" s="64">
        <v>1</v>
      </c>
    </row>
    <row r="846" spans="1:5">
      <c r="A846" s="64" t="s">
        <v>6</v>
      </c>
      <c r="B846" s="65">
        <v>43579</v>
      </c>
      <c r="C846" s="66" t="s">
        <v>218</v>
      </c>
      <c r="D846" s="3" t="s">
        <v>8</v>
      </c>
      <c r="E846" s="64">
        <v>1</v>
      </c>
    </row>
    <row r="847" spans="1:5">
      <c r="A847" s="64" t="s">
        <v>6</v>
      </c>
      <c r="B847" s="65">
        <v>43580</v>
      </c>
      <c r="C847" s="66" t="s">
        <v>219</v>
      </c>
      <c r="D847" s="3" t="s">
        <v>8</v>
      </c>
      <c r="E847" s="64">
        <v>1</v>
      </c>
    </row>
    <row r="848" spans="1:5">
      <c r="A848" s="64" t="s">
        <v>6</v>
      </c>
      <c r="B848" s="65">
        <v>43581</v>
      </c>
      <c r="C848" s="66" t="s">
        <v>220</v>
      </c>
      <c r="D848" s="3" t="s">
        <v>8</v>
      </c>
      <c r="E848" s="64">
        <v>1</v>
      </c>
    </row>
    <row r="849" spans="1:5">
      <c r="A849" s="64" t="s">
        <v>6</v>
      </c>
      <c r="B849" s="65">
        <v>43582</v>
      </c>
      <c r="C849" s="66" t="s">
        <v>221</v>
      </c>
      <c r="D849" s="3" t="s">
        <v>8</v>
      </c>
      <c r="E849" s="64">
        <v>1</v>
      </c>
    </row>
    <row r="850" spans="1:5">
      <c r="A850" s="64" t="s">
        <v>6</v>
      </c>
      <c r="B850" s="65">
        <v>43583</v>
      </c>
      <c r="C850" s="66" t="s">
        <v>222</v>
      </c>
      <c r="D850" s="3" t="s">
        <v>8</v>
      </c>
      <c r="E850" s="64">
        <v>1</v>
      </c>
    </row>
    <row r="851" spans="1:5">
      <c r="A851" s="64" t="s">
        <v>6</v>
      </c>
      <c r="B851" s="65">
        <v>43584</v>
      </c>
      <c r="C851" s="66" t="s">
        <v>216</v>
      </c>
      <c r="D851" s="3" t="s">
        <v>8</v>
      </c>
      <c r="E851" s="64">
        <v>1</v>
      </c>
    </row>
    <row r="852" spans="1:5">
      <c r="A852" s="64" t="s">
        <v>6</v>
      </c>
      <c r="B852" s="65">
        <v>43585</v>
      </c>
      <c r="C852" s="66" t="s">
        <v>217</v>
      </c>
      <c r="D852" s="3" t="s">
        <v>8</v>
      </c>
      <c r="E852" s="64">
        <v>1</v>
      </c>
    </row>
    <row r="853" spans="1:5">
      <c r="A853" s="64" t="s">
        <v>6</v>
      </c>
      <c r="B853" s="65">
        <v>43586</v>
      </c>
      <c r="C853" s="66" t="s">
        <v>218</v>
      </c>
      <c r="D853" s="3" t="s">
        <v>8</v>
      </c>
      <c r="E853" s="64">
        <v>1</v>
      </c>
    </row>
    <row r="854" spans="1:5">
      <c r="A854" s="64" t="s">
        <v>6</v>
      </c>
      <c r="B854" s="65">
        <v>43587</v>
      </c>
      <c r="C854" s="66" t="s">
        <v>219</v>
      </c>
      <c r="D854" s="3" t="s">
        <v>8</v>
      </c>
      <c r="E854" s="64">
        <v>1</v>
      </c>
    </row>
    <row r="855" spans="1:5">
      <c r="A855" s="64" t="s">
        <v>6</v>
      </c>
      <c r="B855" s="65">
        <v>43588</v>
      </c>
      <c r="C855" s="66" t="s">
        <v>220</v>
      </c>
      <c r="D855" s="3" t="s">
        <v>8</v>
      </c>
      <c r="E855" s="64">
        <v>1</v>
      </c>
    </row>
    <row r="856" spans="1:5">
      <c r="A856" s="64" t="s">
        <v>6</v>
      </c>
      <c r="B856" s="65">
        <v>43589</v>
      </c>
      <c r="C856" s="66" t="s">
        <v>221</v>
      </c>
      <c r="D856" s="3" t="s">
        <v>8</v>
      </c>
      <c r="E856" s="64">
        <v>1</v>
      </c>
    </row>
    <row r="857" spans="1:5">
      <c r="A857" s="64" t="s">
        <v>6</v>
      </c>
      <c r="B857" s="65">
        <v>43590</v>
      </c>
      <c r="C857" s="66" t="s">
        <v>222</v>
      </c>
      <c r="D857" s="3" t="s">
        <v>8</v>
      </c>
      <c r="E857" s="64">
        <v>1</v>
      </c>
    </row>
    <row r="858" spans="1:5">
      <c r="A858" s="64" t="s">
        <v>6</v>
      </c>
      <c r="B858" s="65">
        <v>43591</v>
      </c>
      <c r="C858" s="66" t="s">
        <v>216</v>
      </c>
      <c r="D858" s="3" t="s">
        <v>8</v>
      </c>
      <c r="E858" s="64">
        <v>1</v>
      </c>
    </row>
    <row r="859" spans="1:5">
      <c r="A859" s="64" t="s">
        <v>6</v>
      </c>
      <c r="B859" s="65">
        <v>43592</v>
      </c>
      <c r="C859" s="66" t="s">
        <v>217</v>
      </c>
      <c r="D859" s="3" t="s">
        <v>8</v>
      </c>
      <c r="E859" s="64">
        <v>1</v>
      </c>
    </row>
    <row r="860" spans="1:5">
      <c r="A860" s="64" t="s">
        <v>6</v>
      </c>
      <c r="B860" s="65">
        <v>43593</v>
      </c>
      <c r="C860" s="66" t="s">
        <v>218</v>
      </c>
      <c r="D860" s="3" t="s">
        <v>8</v>
      </c>
      <c r="E860" s="64">
        <v>1</v>
      </c>
    </row>
    <row r="861" spans="1:5">
      <c r="A861" s="64" t="s">
        <v>6</v>
      </c>
      <c r="B861" s="65">
        <v>43594</v>
      </c>
      <c r="C861" s="66" t="s">
        <v>219</v>
      </c>
      <c r="D861" s="3" t="s">
        <v>8</v>
      </c>
      <c r="E861" s="64">
        <v>1</v>
      </c>
    </row>
    <row r="862" spans="1:5">
      <c r="A862" s="64" t="s">
        <v>6</v>
      </c>
      <c r="B862" s="65">
        <v>43595</v>
      </c>
      <c r="C862" s="66" t="s">
        <v>220</v>
      </c>
      <c r="D862" s="3" t="s">
        <v>8</v>
      </c>
      <c r="E862" s="64">
        <v>1</v>
      </c>
    </row>
    <row r="863" spans="1:5">
      <c r="A863" s="64" t="s">
        <v>6</v>
      </c>
      <c r="B863" s="65">
        <v>43596</v>
      </c>
      <c r="C863" s="66" t="s">
        <v>221</v>
      </c>
      <c r="D863" s="3" t="s">
        <v>8</v>
      </c>
      <c r="E863" s="64">
        <v>1</v>
      </c>
    </row>
    <row r="864" spans="1:5">
      <c r="A864" s="64" t="s">
        <v>6</v>
      </c>
      <c r="B864" s="65">
        <v>43597</v>
      </c>
      <c r="C864" s="66" t="s">
        <v>222</v>
      </c>
      <c r="D864" s="3" t="s">
        <v>8</v>
      </c>
      <c r="E864" s="64">
        <v>1</v>
      </c>
    </row>
    <row r="865" spans="1:5">
      <c r="A865" s="64" t="s">
        <v>6</v>
      </c>
      <c r="B865" s="65">
        <v>43598</v>
      </c>
      <c r="C865" s="66" t="s">
        <v>216</v>
      </c>
      <c r="D865" s="3" t="s">
        <v>8</v>
      </c>
      <c r="E865" s="64">
        <v>1</v>
      </c>
    </row>
    <row r="866" spans="1:5">
      <c r="A866" s="64" t="s">
        <v>6</v>
      </c>
      <c r="B866" s="65">
        <v>43599</v>
      </c>
      <c r="C866" s="66" t="s">
        <v>217</v>
      </c>
      <c r="D866" s="3" t="s">
        <v>8</v>
      </c>
      <c r="E866" s="64">
        <v>1</v>
      </c>
    </row>
    <row r="867" spans="1:5">
      <c r="A867" s="64" t="s">
        <v>6</v>
      </c>
      <c r="B867" s="65">
        <v>43600</v>
      </c>
      <c r="C867" s="66" t="s">
        <v>218</v>
      </c>
      <c r="D867" s="3" t="s">
        <v>8</v>
      </c>
      <c r="E867" s="64">
        <v>1</v>
      </c>
    </row>
    <row r="868" spans="1:5">
      <c r="A868" s="64" t="s">
        <v>6</v>
      </c>
      <c r="B868" s="65">
        <v>43601</v>
      </c>
      <c r="C868" s="66" t="s">
        <v>219</v>
      </c>
      <c r="D868" s="3" t="s">
        <v>8</v>
      </c>
      <c r="E868" s="64">
        <v>1</v>
      </c>
    </row>
    <row r="869" spans="1:5">
      <c r="A869" s="64" t="s">
        <v>6</v>
      </c>
      <c r="B869" s="65">
        <v>43602</v>
      </c>
      <c r="C869" s="66" t="s">
        <v>220</v>
      </c>
      <c r="D869" s="3" t="s">
        <v>8</v>
      </c>
      <c r="E869" s="64">
        <v>1</v>
      </c>
    </row>
    <row r="870" spans="1:5">
      <c r="A870" s="64" t="s">
        <v>6</v>
      </c>
      <c r="B870" s="65">
        <v>43603</v>
      </c>
      <c r="C870" s="66" t="s">
        <v>221</v>
      </c>
      <c r="D870" s="3" t="s">
        <v>8</v>
      </c>
      <c r="E870" s="64">
        <v>1</v>
      </c>
    </row>
    <row r="871" spans="1:5">
      <c r="A871" s="64" t="s">
        <v>6</v>
      </c>
      <c r="B871" s="65">
        <v>43604</v>
      </c>
      <c r="C871" s="66" t="s">
        <v>222</v>
      </c>
      <c r="D871" s="3" t="s">
        <v>8</v>
      </c>
      <c r="E871" s="64">
        <v>1</v>
      </c>
    </row>
    <row r="872" spans="1:5">
      <c r="A872" s="64" t="s">
        <v>6</v>
      </c>
      <c r="B872" s="65">
        <v>43605</v>
      </c>
      <c r="C872" s="66" t="s">
        <v>216</v>
      </c>
      <c r="D872" s="3" t="s">
        <v>8</v>
      </c>
      <c r="E872" s="64">
        <v>1</v>
      </c>
    </row>
    <row r="873" spans="1:5">
      <c r="A873" s="64" t="s">
        <v>6</v>
      </c>
      <c r="B873" s="65">
        <v>43606</v>
      </c>
      <c r="C873" s="66" t="s">
        <v>217</v>
      </c>
      <c r="D873" s="3" t="s">
        <v>8</v>
      </c>
      <c r="E873" s="64">
        <v>1</v>
      </c>
    </row>
    <row r="874" spans="1:5">
      <c r="A874" s="64" t="s">
        <v>6</v>
      </c>
      <c r="B874" s="65">
        <v>43607</v>
      </c>
      <c r="C874" s="66" t="s">
        <v>218</v>
      </c>
      <c r="D874" s="3" t="s">
        <v>8</v>
      </c>
      <c r="E874" s="64">
        <v>1</v>
      </c>
    </row>
    <row r="875" spans="1:5">
      <c r="A875" s="64" t="s">
        <v>6</v>
      </c>
      <c r="B875" s="65">
        <v>43608</v>
      </c>
      <c r="C875" s="66" t="s">
        <v>219</v>
      </c>
      <c r="D875" s="3" t="s">
        <v>8</v>
      </c>
      <c r="E875" s="64">
        <v>1</v>
      </c>
    </row>
    <row r="876" spans="1:5">
      <c r="A876" s="64" t="s">
        <v>6</v>
      </c>
      <c r="B876" s="65">
        <v>43609</v>
      </c>
      <c r="C876" s="66" t="s">
        <v>220</v>
      </c>
      <c r="D876" s="3" t="s">
        <v>8</v>
      </c>
      <c r="E876" s="64">
        <v>1</v>
      </c>
    </row>
    <row r="877" spans="1:5">
      <c r="A877" s="64" t="s">
        <v>6</v>
      </c>
      <c r="B877" s="65">
        <v>43610</v>
      </c>
      <c r="C877" s="66" t="s">
        <v>221</v>
      </c>
      <c r="D877" s="3" t="s">
        <v>8</v>
      </c>
      <c r="E877" s="64">
        <v>1</v>
      </c>
    </row>
    <row r="878" spans="1:5">
      <c r="A878" s="64" t="s">
        <v>6</v>
      </c>
      <c r="B878" s="65">
        <v>43611</v>
      </c>
      <c r="C878" s="66" t="s">
        <v>222</v>
      </c>
      <c r="D878" s="3" t="s">
        <v>8</v>
      </c>
      <c r="E878" s="64">
        <v>1</v>
      </c>
    </row>
    <row r="879" spans="1:5">
      <c r="A879" s="64" t="s">
        <v>6</v>
      </c>
      <c r="B879" s="65">
        <v>43612</v>
      </c>
      <c r="C879" s="66" t="s">
        <v>216</v>
      </c>
      <c r="D879" s="3" t="s">
        <v>8</v>
      </c>
      <c r="E879" s="64">
        <v>1</v>
      </c>
    </row>
    <row r="880" spans="1:5">
      <c r="A880" s="64" t="s">
        <v>6</v>
      </c>
      <c r="B880" s="65">
        <v>43613</v>
      </c>
      <c r="C880" s="66" t="s">
        <v>217</v>
      </c>
      <c r="D880" s="3" t="s">
        <v>8</v>
      </c>
      <c r="E880" s="64">
        <v>1</v>
      </c>
    </row>
    <row r="881" spans="1:5">
      <c r="A881" s="64" t="s">
        <v>6</v>
      </c>
      <c r="B881" s="65">
        <v>43614</v>
      </c>
      <c r="C881" s="66" t="s">
        <v>218</v>
      </c>
      <c r="D881" s="3" t="s">
        <v>8</v>
      </c>
      <c r="E881" s="64">
        <v>1</v>
      </c>
    </row>
    <row r="882" spans="1:5">
      <c r="A882" s="64" t="s">
        <v>6</v>
      </c>
      <c r="B882" s="65">
        <v>43615</v>
      </c>
      <c r="C882" s="66" t="s">
        <v>219</v>
      </c>
      <c r="D882" s="3" t="s">
        <v>8</v>
      </c>
      <c r="E882" s="64">
        <v>1</v>
      </c>
    </row>
    <row r="883" spans="1:5">
      <c r="A883" s="64" t="s">
        <v>6</v>
      </c>
      <c r="B883" s="65">
        <v>43616</v>
      </c>
      <c r="C883" s="66" t="s">
        <v>220</v>
      </c>
      <c r="D883" s="3" t="s">
        <v>8</v>
      </c>
      <c r="E883" s="64">
        <v>1</v>
      </c>
    </row>
    <row r="884" spans="1:5">
      <c r="A884" s="64" t="s">
        <v>6</v>
      </c>
      <c r="B884" s="65">
        <v>43617</v>
      </c>
      <c r="C884" s="66" t="s">
        <v>221</v>
      </c>
      <c r="D884" s="3" t="s">
        <v>8</v>
      </c>
      <c r="E884" s="64">
        <v>1</v>
      </c>
    </row>
    <row r="885" spans="1:5">
      <c r="A885" s="64" t="s">
        <v>6</v>
      </c>
      <c r="B885" s="65">
        <v>43618</v>
      </c>
      <c r="C885" s="66" t="s">
        <v>222</v>
      </c>
      <c r="D885" s="3" t="s">
        <v>8</v>
      </c>
      <c r="E885" s="64">
        <v>1</v>
      </c>
    </row>
    <row r="886" spans="1:5">
      <c r="A886" s="64" t="s">
        <v>6</v>
      </c>
      <c r="B886" s="65">
        <v>43619</v>
      </c>
      <c r="C886" s="66" t="s">
        <v>216</v>
      </c>
      <c r="D886" s="3" t="s">
        <v>8</v>
      </c>
      <c r="E886" s="64">
        <v>1</v>
      </c>
    </row>
    <row r="887" spans="1:5">
      <c r="A887" s="64" t="s">
        <v>6</v>
      </c>
      <c r="B887" s="65">
        <v>43620</v>
      </c>
      <c r="C887" s="66" t="s">
        <v>217</v>
      </c>
      <c r="D887" s="3" t="s">
        <v>8</v>
      </c>
      <c r="E887" s="64">
        <v>1</v>
      </c>
    </row>
    <row r="888" spans="1:5">
      <c r="A888" s="64" t="s">
        <v>6</v>
      </c>
      <c r="B888" s="65">
        <v>43621</v>
      </c>
      <c r="C888" s="66" t="s">
        <v>218</v>
      </c>
      <c r="D888" s="3" t="s">
        <v>8</v>
      </c>
      <c r="E888" s="64">
        <v>1</v>
      </c>
    </row>
    <row r="889" spans="1:5">
      <c r="A889" s="64" t="s">
        <v>6</v>
      </c>
      <c r="B889" s="65">
        <v>43622</v>
      </c>
      <c r="C889" s="66" t="s">
        <v>219</v>
      </c>
      <c r="D889" s="3" t="s">
        <v>8</v>
      </c>
      <c r="E889" s="64">
        <v>1</v>
      </c>
    </row>
    <row r="890" spans="1:5">
      <c r="A890" s="64" t="s">
        <v>6</v>
      </c>
      <c r="B890" s="65">
        <v>43623</v>
      </c>
      <c r="C890" s="66" t="s">
        <v>220</v>
      </c>
      <c r="D890" s="3" t="s">
        <v>8</v>
      </c>
      <c r="E890" s="64">
        <v>1</v>
      </c>
    </row>
    <row r="891" spans="1:5">
      <c r="A891" s="64" t="s">
        <v>6</v>
      </c>
      <c r="B891" s="65">
        <v>43624</v>
      </c>
      <c r="C891" s="66" t="s">
        <v>221</v>
      </c>
      <c r="D891" s="3" t="s">
        <v>8</v>
      </c>
      <c r="E891" s="64">
        <v>1</v>
      </c>
    </row>
    <row r="892" spans="1:5">
      <c r="A892" s="64" t="s">
        <v>6</v>
      </c>
      <c r="B892" s="65">
        <v>43625</v>
      </c>
      <c r="C892" s="66" t="s">
        <v>222</v>
      </c>
      <c r="D892" s="3" t="s">
        <v>8</v>
      </c>
      <c r="E892" s="64">
        <v>1</v>
      </c>
    </row>
    <row r="893" spans="1:5">
      <c r="A893" s="64" t="s">
        <v>6</v>
      </c>
      <c r="B893" s="65">
        <v>43626</v>
      </c>
      <c r="C893" s="66" t="s">
        <v>216</v>
      </c>
      <c r="D893" s="3" t="s">
        <v>8</v>
      </c>
      <c r="E893" s="64">
        <v>1</v>
      </c>
    </row>
    <row r="894" spans="1:5">
      <c r="A894" s="64" t="s">
        <v>6</v>
      </c>
      <c r="B894" s="65">
        <v>43627</v>
      </c>
      <c r="C894" s="66" t="s">
        <v>217</v>
      </c>
      <c r="D894" s="3" t="s">
        <v>8</v>
      </c>
      <c r="E894" s="64">
        <v>1</v>
      </c>
    </row>
    <row r="895" spans="1:5">
      <c r="A895" s="64" t="s">
        <v>6</v>
      </c>
      <c r="B895" s="65">
        <v>43628</v>
      </c>
      <c r="C895" s="66" t="s">
        <v>218</v>
      </c>
      <c r="D895" s="3" t="s">
        <v>8</v>
      </c>
      <c r="E895" s="64">
        <v>1</v>
      </c>
    </row>
    <row r="896" spans="1:5">
      <c r="A896" s="64" t="s">
        <v>6</v>
      </c>
      <c r="B896" s="65">
        <v>43629</v>
      </c>
      <c r="C896" s="66" t="s">
        <v>219</v>
      </c>
      <c r="D896" s="3" t="s">
        <v>8</v>
      </c>
      <c r="E896" s="64">
        <v>1</v>
      </c>
    </row>
    <row r="897" spans="1:5">
      <c r="A897" s="64" t="s">
        <v>6</v>
      </c>
      <c r="B897" s="65">
        <v>43630</v>
      </c>
      <c r="C897" s="66" t="s">
        <v>220</v>
      </c>
      <c r="D897" s="3" t="s">
        <v>8</v>
      </c>
      <c r="E897" s="64">
        <v>1</v>
      </c>
    </row>
    <row r="898" spans="1:5">
      <c r="A898" s="64" t="s">
        <v>6</v>
      </c>
      <c r="B898" s="65">
        <v>43631</v>
      </c>
      <c r="C898" s="66" t="s">
        <v>221</v>
      </c>
      <c r="D898" s="3" t="s">
        <v>8</v>
      </c>
      <c r="E898" s="64">
        <v>1</v>
      </c>
    </row>
    <row r="899" spans="1:5">
      <c r="A899" s="64" t="s">
        <v>6</v>
      </c>
      <c r="B899" s="65">
        <v>43632</v>
      </c>
      <c r="C899" s="66" t="s">
        <v>222</v>
      </c>
      <c r="D899" s="3" t="s">
        <v>8</v>
      </c>
      <c r="E899" s="64">
        <v>1</v>
      </c>
    </row>
    <row r="900" spans="1:5">
      <c r="A900" s="64" t="s">
        <v>6</v>
      </c>
      <c r="B900" s="65">
        <v>43633</v>
      </c>
      <c r="C900" s="66" t="s">
        <v>216</v>
      </c>
      <c r="D900" s="3" t="s">
        <v>8</v>
      </c>
      <c r="E900" s="64">
        <v>1</v>
      </c>
    </row>
    <row r="901" spans="1:5">
      <c r="A901" s="64" t="s">
        <v>6</v>
      </c>
      <c r="B901" s="65">
        <v>43634</v>
      </c>
      <c r="C901" s="66" t="s">
        <v>217</v>
      </c>
      <c r="D901" s="3" t="s">
        <v>8</v>
      </c>
      <c r="E901" s="64">
        <v>1</v>
      </c>
    </row>
    <row r="902" spans="1:5">
      <c r="A902" s="64" t="s">
        <v>6</v>
      </c>
      <c r="B902" s="65">
        <v>43635</v>
      </c>
      <c r="C902" s="66" t="s">
        <v>218</v>
      </c>
      <c r="D902" s="3" t="s">
        <v>8</v>
      </c>
      <c r="E902" s="64">
        <v>1</v>
      </c>
    </row>
    <row r="903" spans="1:5">
      <c r="A903" s="64" t="s">
        <v>6</v>
      </c>
      <c r="B903" s="65">
        <v>43636</v>
      </c>
      <c r="C903" s="66" t="s">
        <v>219</v>
      </c>
      <c r="D903" s="3" t="s">
        <v>8</v>
      </c>
      <c r="E903" s="64">
        <v>1</v>
      </c>
    </row>
    <row r="904" spans="1:5">
      <c r="A904" s="64" t="s">
        <v>6</v>
      </c>
      <c r="B904" s="65">
        <v>43637</v>
      </c>
      <c r="C904" s="66" t="s">
        <v>220</v>
      </c>
      <c r="D904" s="3" t="s">
        <v>8</v>
      </c>
      <c r="E904" s="64">
        <v>1</v>
      </c>
    </row>
    <row r="905" spans="1:5">
      <c r="A905" s="64" t="s">
        <v>6</v>
      </c>
      <c r="B905" s="65">
        <v>43638</v>
      </c>
      <c r="C905" s="66" t="s">
        <v>221</v>
      </c>
      <c r="D905" s="3" t="s">
        <v>8</v>
      </c>
      <c r="E905" s="64">
        <v>1</v>
      </c>
    </row>
    <row r="906" spans="1:5">
      <c r="A906" s="64" t="s">
        <v>6</v>
      </c>
      <c r="B906" s="65">
        <v>43639</v>
      </c>
      <c r="C906" s="66" t="s">
        <v>222</v>
      </c>
      <c r="D906" s="3" t="s">
        <v>8</v>
      </c>
      <c r="E906" s="64">
        <v>1</v>
      </c>
    </row>
    <row r="907" spans="1:5">
      <c r="A907" s="64" t="s">
        <v>6</v>
      </c>
      <c r="B907" s="65">
        <v>43640</v>
      </c>
      <c r="C907" s="66" t="s">
        <v>216</v>
      </c>
      <c r="D907" s="3" t="s">
        <v>8</v>
      </c>
      <c r="E907" s="64">
        <v>1</v>
      </c>
    </row>
    <row r="908" spans="1:5">
      <c r="A908" s="64" t="s">
        <v>6</v>
      </c>
      <c r="B908" s="65">
        <v>43641</v>
      </c>
      <c r="C908" s="66" t="s">
        <v>217</v>
      </c>
      <c r="D908" s="3" t="s">
        <v>8</v>
      </c>
      <c r="E908" s="64">
        <v>1</v>
      </c>
    </row>
    <row r="909" spans="1:5">
      <c r="A909" s="64" t="s">
        <v>6</v>
      </c>
      <c r="B909" s="65">
        <v>43642</v>
      </c>
      <c r="C909" s="66" t="s">
        <v>218</v>
      </c>
      <c r="D909" s="3" t="s">
        <v>8</v>
      </c>
      <c r="E909" s="64">
        <v>1</v>
      </c>
    </row>
    <row r="910" spans="1:5">
      <c r="A910" s="64" t="s">
        <v>6</v>
      </c>
      <c r="B910" s="65">
        <v>43643</v>
      </c>
      <c r="C910" s="66" t="s">
        <v>219</v>
      </c>
      <c r="D910" s="3" t="s">
        <v>8</v>
      </c>
      <c r="E910" s="64">
        <v>1</v>
      </c>
    </row>
    <row r="911" spans="1:5">
      <c r="A911" s="64" t="s">
        <v>6</v>
      </c>
      <c r="B911" s="65">
        <v>43644</v>
      </c>
      <c r="C911" s="66" t="s">
        <v>220</v>
      </c>
      <c r="D911" s="3" t="s">
        <v>8</v>
      </c>
      <c r="E911" s="64">
        <v>1</v>
      </c>
    </row>
    <row r="912" spans="1:5">
      <c r="A912" s="64" t="s">
        <v>6</v>
      </c>
      <c r="B912" s="65">
        <v>43645</v>
      </c>
      <c r="C912" s="66" t="s">
        <v>221</v>
      </c>
      <c r="D912" s="3" t="s">
        <v>8</v>
      </c>
      <c r="E912" s="64">
        <v>1</v>
      </c>
    </row>
    <row r="913" spans="1:5">
      <c r="A913" s="64" t="s">
        <v>6</v>
      </c>
      <c r="B913" s="65">
        <v>43646</v>
      </c>
      <c r="C913" s="66" t="s">
        <v>222</v>
      </c>
      <c r="D913" s="3" t="s">
        <v>8</v>
      </c>
      <c r="E913" s="64">
        <v>1</v>
      </c>
    </row>
    <row r="914" spans="1:5">
      <c r="A914" s="64" t="s">
        <v>6</v>
      </c>
      <c r="B914" s="65">
        <v>43647</v>
      </c>
      <c r="C914" s="66" t="s">
        <v>216</v>
      </c>
      <c r="D914" s="3" t="s">
        <v>8</v>
      </c>
      <c r="E914" s="64">
        <v>1</v>
      </c>
    </row>
    <row r="915" spans="1:5">
      <c r="A915" s="64" t="s">
        <v>6</v>
      </c>
      <c r="B915" s="65">
        <v>43648</v>
      </c>
      <c r="C915" s="66" t="s">
        <v>217</v>
      </c>
      <c r="D915" s="3" t="s">
        <v>8</v>
      </c>
      <c r="E915" s="64">
        <v>1</v>
      </c>
    </row>
    <row r="916" spans="1:5">
      <c r="A916" s="64" t="s">
        <v>6</v>
      </c>
      <c r="B916" s="65">
        <v>43649</v>
      </c>
      <c r="C916" s="66" t="s">
        <v>218</v>
      </c>
      <c r="D916" s="3" t="s">
        <v>8</v>
      </c>
      <c r="E916" s="64">
        <v>1</v>
      </c>
    </row>
    <row r="917" spans="1:5">
      <c r="A917" s="64" t="s">
        <v>6</v>
      </c>
      <c r="B917" s="65">
        <v>43650</v>
      </c>
      <c r="C917" s="66" t="s">
        <v>219</v>
      </c>
      <c r="D917" s="3" t="s">
        <v>8</v>
      </c>
      <c r="E917" s="64">
        <v>1</v>
      </c>
    </row>
    <row r="918" spans="1:5">
      <c r="A918" s="64" t="s">
        <v>6</v>
      </c>
      <c r="B918" s="65">
        <v>43651</v>
      </c>
      <c r="C918" s="66" t="s">
        <v>220</v>
      </c>
      <c r="D918" s="3" t="s">
        <v>8</v>
      </c>
      <c r="E918" s="64">
        <v>1</v>
      </c>
    </row>
    <row r="919" spans="1:5">
      <c r="A919" s="64" t="s">
        <v>6</v>
      </c>
      <c r="B919" s="65">
        <v>43652</v>
      </c>
      <c r="C919" s="66" t="s">
        <v>221</v>
      </c>
      <c r="D919" s="3" t="s">
        <v>8</v>
      </c>
      <c r="E919" s="64">
        <v>1</v>
      </c>
    </row>
    <row r="920" spans="1:5">
      <c r="A920" s="64" t="s">
        <v>6</v>
      </c>
      <c r="B920" s="65">
        <v>43653</v>
      </c>
      <c r="C920" s="66" t="s">
        <v>222</v>
      </c>
      <c r="D920" s="3" t="s">
        <v>8</v>
      </c>
      <c r="E920" s="64">
        <v>1</v>
      </c>
    </row>
    <row r="921" spans="1:5">
      <c r="A921" s="64" t="s">
        <v>6</v>
      </c>
      <c r="B921" s="65">
        <v>43654</v>
      </c>
      <c r="C921" s="66" t="s">
        <v>216</v>
      </c>
      <c r="D921" s="3" t="s">
        <v>8</v>
      </c>
      <c r="E921" s="64">
        <v>1</v>
      </c>
    </row>
    <row r="922" spans="1:5">
      <c r="A922" s="64" t="s">
        <v>6</v>
      </c>
      <c r="B922" s="65">
        <v>43655</v>
      </c>
      <c r="C922" s="66" t="s">
        <v>217</v>
      </c>
      <c r="D922" s="3" t="s">
        <v>8</v>
      </c>
      <c r="E922" s="64">
        <v>1</v>
      </c>
    </row>
    <row r="923" spans="1:5">
      <c r="A923" s="64" t="s">
        <v>6</v>
      </c>
      <c r="B923" s="65">
        <v>43656</v>
      </c>
      <c r="C923" s="66" t="s">
        <v>218</v>
      </c>
      <c r="D923" s="3" t="s">
        <v>8</v>
      </c>
      <c r="E923" s="64">
        <v>1</v>
      </c>
    </row>
    <row r="924" spans="1:5">
      <c r="A924" s="64" t="s">
        <v>6</v>
      </c>
      <c r="B924" s="65">
        <v>43657</v>
      </c>
      <c r="C924" s="66" t="s">
        <v>219</v>
      </c>
      <c r="D924" s="3" t="s">
        <v>8</v>
      </c>
      <c r="E924" s="64">
        <v>1</v>
      </c>
    </row>
    <row r="925" spans="1:5">
      <c r="A925" s="64" t="s">
        <v>6</v>
      </c>
      <c r="B925" s="65">
        <v>43658</v>
      </c>
      <c r="C925" s="66" t="s">
        <v>220</v>
      </c>
      <c r="D925" s="3" t="s">
        <v>8</v>
      </c>
      <c r="E925" s="64">
        <v>1</v>
      </c>
    </row>
    <row r="926" spans="1:5">
      <c r="A926" s="64" t="s">
        <v>6</v>
      </c>
      <c r="B926" s="65">
        <v>43659</v>
      </c>
      <c r="C926" s="66" t="s">
        <v>221</v>
      </c>
      <c r="D926" s="3" t="s">
        <v>8</v>
      </c>
      <c r="E926" s="64">
        <v>1</v>
      </c>
    </row>
    <row r="927" spans="1:5">
      <c r="A927" s="64" t="s">
        <v>6</v>
      </c>
      <c r="B927" s="65">
        <v>43660</v>
      </c>
      <c r="C927" s="66" t="s">
        <v>222</v>
      </c>
      <c r="D927" s="3" t="s">
        <v>8</v>
      </c>
      <c r="E927" s="64">
        <v>1</v>
      </c>
    </row>
    <row r="928" spans="1:5">
      <c r="A928" s="64" t="s">
        <v>6</v>
      </c>
      <c r="B928" s="65">
        <v>43661</v>
      </c>
      <c r="C928" s="66" t="s">
        <v>216</v>
      </c>
      <c r="D928" s="3" t="s">
        <v>8</v>
      </c>
      <c r="E928" s="64">
        <v>1</v>
      </c>
    </row>
    <row r="929" spans="1:5">
      <c r="A929" s="64" t="s">
        <v>6</v>
      </c>
      <c r="B929" s="65">
        <v>43662</v>
      </c>
      <c r="C929" s="66" t="s">
        <v>217</v>
      </c>
      <c r="D929" s="3" t="s">
        <v>8</v>
      </c>
      <c r="E929" s="64">
        <v>1</v>
      </c>
    </row>
    <row r="930" spans="1:5">
      <c r="A930" s="64" t="s">
        <v>6</v>
      </c>
      <c r="B930" s="65">
        <v>43663</v>
      </c>
      <c r="C930" s="66" t="s">
        <v>218</v>
      </c>
      <c r="D930" s="3" t="s">
        <v>8</v>
      </c>
      <c r="E930" s="64">
        <v>1</v>
      </c>
    </row>
    <row r="931" spans="1:5">
      <c r="A931" s="64" t="s">
        <v>6</v>
      </c>
      <c r="B931" s="65">
        <v>43664</v>
      </c>
      <c r="C931" s="66" t="s">
        <v>219</v>
      </c>
      <c r="D931" s="3" t="s">
        <v>8</v>
      </c>
      <c r="E931" s="64">
        <v>1</v>
      </c>
    </row>
    <row r="932" spans="1:5">
      <c r="A932" s="64" t="s">
        <v>6</v>
      </c>
      <c r="B932" s="65">
        <v>43665</v>
      </c>
      <c r="C932" s="66" t="s">
        <v>220</v>
      </c>
      <c r="D932" s="3" t="s">
        <v>8</v>
      </c>
      <c r="E932" s="64">
        <v>1</v>
      </c>
    </row>
    <row r="933" spans="1:5">
      <c r="A933" s="64" t="s">
        <v>6</v>
      </c>
      <c r="B933" s="65">
        <v>43666</v>
      </c>
      <c r="C933" s="66" t="s">
        <v>221</v>
      </c>
      <c r="D933" s="3" t="s">
        <v>8</v>
      </c>
      <c r="E933" s="64">
        <v>1</v>
      </c>
    </row>
    <row r="934" spans="1:5">
      <c r="A934" s="64" t="s">
        <v>6</v>
      </c>
      <c r="B934" s="65">
        <v>43667</v>
      </c>
      <c r="C934" s="66" t="s">
        <v>222</v>
      </c>
      <c r="D934" s="3" t="s">
        <v>8</v>
      </c>
      <c r="E934" s="64">
        <v>1</v>
      </c>
    </row>
    <row r="935" spans="1:5">
      <c r="A935" s="64" t="s">
        <v>6</v>
      </c>
      <c r="B935" s="65">
        <v>43668</v>
      </c>
      <c r="C935" s="66" t="s">
        <v>216</v>
      </c>
      <c r="D935" s="3" t="s">
        <v>8</v>
      </c>
      <c r="E935" s="64">
        <v>1</v>
      </c>
    </row>
    <row r="936" spans="1:5">
      <c r="A936" s="64" t="s">
        <v>6</v>
      </c>
      <c r="B936" s="65">
        <v>43669</v>
      </c>
      <c r="C936" s="66" t="s">
        <v>217</v>
      </c>
      <c r="D936" s="3" t="s">
        <v>8</v>
      </c>
      <c r="E936" s="64">
        <v>1</v>
      </c>
    </row>
    <row r="937" spans="1:5">
      <c r="A937" s="64" t="s">
        <v>6</v>
      </c>
      <c r="B937" s="65">
        <v>43670</v>
      </c>
      <c r="C937" s="66" t="s">
        <v>218</v>
      </c>
      <c r="D937" s="3" t="s">
        <v>8</v>
      </c>
      <c r="E937" s="64">
        <v>1</v>
      </c>
    </row>
    <row r="938" spans="1:5">
      <c r="A938" s="64" t="s">
        <v>6</v>
      </c>
      <c r="B938" s="65">
        <v>43671</v>
      </c>
      <c r="C938" s="66" t="s">
        <v>219</v>
      </c>
      <c r="D938" s="3" t="s">
        <v>8</v>
      </c>
      <c r="E938" s="64">
        <v>1</v>
      </c>
    </row>
    <row r="939" spans="1:5">
      <c r="A939" s="64" t="s">
        <v>6</v>
      </c>
      <c r="B939" s="65">
        <v>43672</v>
      </c>
      <c r="C939" s="66" t="s">
        <v>220</v>
      </c>
      <c r="D939" s="3" t="s">
        <v>8</v>
      </c>
      <c r="E939" s="64">
        <v>1</v>
      </c>
    </row>
    <row r="940" spans="1:5">
      <c r="A940" s="64" t="s">
        <v>6</v>
      </c>
      <c r="B940" s="65">
        <v>43673</v>
      </c>
      <c r="C940" s="66" t="s">
        <v>221</v>
      </c>
      <c r="D940" s="3" t="s">
        <v>8</v>
      </c>
      <c r="E940" s="64">
        <v>1</v>
      </c>
    </row>
    <row r="941" spans="1:5">
      <c r="A941" s="64" t="s">
        <v>6</v>
      </c>
      <c r="B941" s="65">
        <v>43674</v>
      </c>
      <c r="C941" s="66" t="s">
        <v>222</v>
      </c>
      <c r="D941" s="3" t="s">
        <v>8</v>
      </c>
      <c r="E941" s="64">
        <v>1</v>
      </c>
    </row>
    <row r="942" spans="1:5">
      <c r="A942" s="64" t="s">
        <v>6</v>
      </c>
      <c r="B942" s="65">
        <v>43675</v>
      </c>
      <c r="C942" s="66" t="s">
        <v>216</v>
      </c>
      <c r="D942" s="3" t="s">
        <v>8</v>
      </c>
      <c r="E942" s="64">
        <v>1</v>
      </c>
    </row>
    <row r="943" spans="1:5">
      <c r="A943" s="64" t="s">
        <v>6</v>
      </c>
      <c r="B943" s="65">
        <v>43676</v>
      </c>
      <c r="C943" s="66" t="s">
        <v>217</v>
      </c>
      <c r="D943" s="3" t="s">
        <v>8</v>
      </c>
      <c r="E943" s="64">
        <v>1</v>
      </c>
    </row>
    <row r="944" spans="1:5">
      <c r="A944" s="64" t="s">
        <v>6</v>
      </c>
      <c r="B944" s="65">
        <v>43677</v>
      </c>
      <c r="C944" s="66" t="s">
        <v>218</v>
      </c>
      <c r="D944" s="3" t="s">
        <v>8</v>
      </c>
      <c r="E944" s="64">
        <v>1</v>
      </c>
    </row>
    <row r="945" spans="1:5">
      <c r="A945" s="64" t="s">
        <v>6</v>
      </c>
      <c r="B945" s="65">
        <v>43678</v>
      </c>
      <c r="C945" s="66" t="s">
        <v>219</v>
      </c>
      <c r="D945" s="3" t="s">
        <v>8</v>
      </c>
      <c r="E945" s="64">
        <v>1</v>
      </c>
    </row>
    <row r="946" spans="1:5">
      <c r="A946" s="64" t="s">
        <v>6</v>
      </c>
      <c r="B946" s="65">
        <v>43679</v>
      </c>
      <c r="C946" s="66" t="s">
        <v>220</v>
      </c>
      <c r="D946" s="3" t="s">
        <v>8</v>
      </c>
      <c r="E946" s="64">
        <v>1</v>
      </c>
    </row>
    <row r="947" spans="1:5">
      <c r="A947" s="64" t="s">
        <v>6</v>
      </c>
      <c r="B947" s="65">
        <v>43680</v>
      </c>
      <c r="C947" s="66" t="s">
        <v>221</v>
      </c>
      <c r="D947" s="3" t="s">
        <v>8</v>
      </c>
      <c r="E947" s="64">
        <v>1</v>
      </c>
    </row>
    <row r="948" spans="1:5">
      <c r="A948" s="64" t="s">
        <v>6</v>
      </c>
      <c r="B948" s="65">
        <v>43681</v>
      </c>
      <c r="C948" s="66" t="s">
        <v>222</v>
      </c>
      <c r="D948" s="3" t="s">
        <v>8</v>
      </c>
      <c r="E948" s="64">
        <v>1</v>
      </c>
    </row>
    <row r="949" spans="1:5">
      <c r="A949" s="64" t="s">
        <v>6</v>
      </c>
      <c r="B949" s="65">
        <v>43682</v>
      </c>
      <c r="C949" s="66" t="s">
        <v>216</v>
      </c>
      <c r="D949" s="3" t="s">
        <v>8</v>
      </c>
      <c r="E949" s="64">
        <v>1</v>
      </c>
    </row>
    <row r="950" spans="1:5">
      <c r="A950" s="64" t="s">
        <v>6</v>
      </c>
      <c r="B950" s="65">
        <v>43683</v>
      </c>
      <c r="C950" s="66" t="s">
        <v>217</v>
      </c>
      <c r="D950" s="3" t="s">
        <v>8</v>
      </c>
      <c r="E950" s="64">
        <v>1</v>
      </c>
    </row>
    <row r="951" spans="1:5">
      <c r="A951" s="64" t="s">
        <v>6</v>
      </c>
      <c r="B951" s="65">
        <v>43684</v>
      </c>
      <c r="C951" s="66" t="s">
        <v>218</v>
      </c>
      <c r="D951" s="3" t="s">
        <v>8</v>
      </c>
      <c r="E951" s="64">
        <v>1</v>
      </c>
    </row>
    <row r="952" spans="1:5">
      <c r="A952" s="64" t="s">
        <v>6</v>
      </c>
      <c r="B952" s="65">
        <v>43685</v>
      </c>
      <c r="C952" s="66" t="s">
        <v>219</v>
      </c>
      <c r="D952" s="3" t="s">
        <v>8</v>
      </c>
      <c r="E952" s="64">
        <v>1</v>
      </c>
    </row>
    <row r="953" spans="1:5">
      <c r="A953" s="64" t="s">
        <v>6</v>
      </c>
      <c r="B953" s="65">
        <v>43686</v>
      </c>
      <c r="C953" s="66" t="s">
        <v>220</v>
      </c>
      <c r="D953" s="3" t="s">
        <v>8</v>
      </c>
      <c r="E953" s="64">
        <v>1</v>
      </c>
    </row>
    <row r="954" spans="1:5">
      <c r="A954" s="64" t="s">
        <v>6</v>
      </c>
      <c r="B954" s="65">
        <v>43687</v>
      </c>
      <c r="C954" s="66" t="s">
        <v>221</v>
      </c>
      <c r="D954" s="3" t="s">
        <v>8</v>
      </c>
      <c r="E954" s="64">
        <v>1</v>
      </c>
    </row>
    <row r="955" spans="1:5">
      <c r="A955" s="64" t="s">
        <v>6</v>
      </c>
      <c r="B955" s="65">
        <v>43688</v>
      </c>
      <c r="C955" s="66" t="s">
        <v>222</v>
      </c>
      <c r="D955" s="3" t="s">
        <v>8</v>
      </c>
      <c r="E955" s="64">
        <v>1</v>
      </c>
    </row>
    <row r="956" spans="1:5">
      <c r="A956" s="64" t="s">
        <v>6</v>
      </c>
      <c r="B956" s="65">
        <v>43689</v>
      </c>
      <c r="C956" s="66" t="s">
        <v>216</v>
      </c>
      <c r="D956" s="3" t="s">
        <v>8</v>
      </c>
      <c r="E956" s="64">
        <v>1</v>
      </c>
    </row>
    <row r="957" spans="1:5">
      <c r="A957" s="64" t="s">
        <v>6</v>
      </c>
      <c r="B957" s="65">
        <v>43690</v>
      </c>
      <c r="C957" s="66" t="s">
        <v>217</v>
      </c>
      <c r="D957" s="3" t="s">
        <v>8</v>
      </c>
      <c r="E957" s="64">
        <v>1</v>
      </c>
    </row>
    <row r="958" spans="1:5">
      <c r="A958" s="64" t="s">
        <v>6</v>
      </c>
      <c r="B958" s="65">
        <v>43691</v>
      </c>
      <c r="C958" s="66" t="s">
        <v>218</v>
      </c>
      <c r="D958" s="3" t="s">
        <v>8</v>
      </c>
      <c r="E958" s="64">
        <v>1</v>
      </c>
    </row>
    <row r="959" spans="1:5">
      <c r="A959" s="64" t="s">
        <v>6</v>
      </c>
      <c r="B959" s="65">
        <v>43692</v>
      </c>
      <c r="C959" s="66" t="s">
        <v>219</v>
      </c>
      <c r="D959" s="3" t="s">
        <v>8</v>
      </c>
      <c r="E959" s="64">
        <v>1</v>
      </c>
    </row>
    <row r="960" spans="1:5">
      <c r="A960" s="64" t="s">
        <v>6</v>
      </c>
      <c r="B960" s="65">
        <v>43693</v>
      </c>
      <c r="C960" s="66" t="s">
        <v>220</v>
      </c>
      <c r="D960" s="3" t="s">
        <v>8</v>
      </c>
      <c r="E960" s="64">
        <v>1</v>
      </c>
    </row>
    <row r="961" spans="1:5">
      <c r="A961" s="64" t="s">
        <v>6</v>
      </c>
      <c r="B961" s="65">
        <v>43694</v>
      </c>
      <c r="C961" s="66" t="s">
        <v>221</v>
      </c>
      <c r="D961" s="3" t="s">
        <v>8</v>
      </c>
      <c r="E961" s="64">
        <v>1</v>
      </c>
    </row>
    <row r="962" spans="1:5">
      <c r="A962" s="64" t="s">
        <v>6</v>
      </c>
      <c r="B962" s="65">
        <v>43695</v>
      </c>
      <c r="C962" s="66" t="s">
        <v>222</v>
      </c>
      <c r="D962" s="3" t="s">
        <v>8</v>
      </c>
      <c r="E962" s="64">
        <v>1</v>
      </c>
    </row>
    <row r="963" spans="1:5">
      <c r="A963" s="64" t="s">
        <v>6</v>
      </c>
      <c r="B963" s="65">
        <v>43696</v>
      </c>
      <c r="C963" s="66" t="s">
        <v>216</v>
      </c>
      <c r="D963" s="3" t="s">
        <v>8</v>
      </c>
      <c r="E963" s="64">
        <v>1</v>
      </c>
    </row>
    <row r="964" spans="1:5">
      <c r="A964" s="64" t="s">
        <v>6</v>
      </c>
      <c r="B964" s="65">
        <v>43697</v>
      </c>
      <c r="C964" s="66" t="s">
        <v>217</v>
      </c>
      <c r="D964" s="3" t="s">
        <v>8</v>
      </c>
      <c r="E964" s="64">
        <v>1</v>
      </c>
    </row>
    <row r="965" spans="1:5">
      <c r="A965" s="64" t="s">
        <v>6</v>
      </c>
      <c r="B965" s="65">
        <v>43698</v>
      </c>
      <c r="C965" s="66" t="s">
        <v>218</v>
      </c>
      <c r="D965" s="3" t="s">
        <v>8</v>
      </c>
      <c r="E965" s="64">
        <v>1</v>
      </c>
    </row>
    <row r="966" spans="1:5">
      <c r="A966" s="64" t="s">
        <v>6</v>
      </c>
      <c r="B966" s="65">
        <v>43699</v>
      </c>
      <c r="C966" s="66" t="s">
        <v>219</v>
      </c>
      <c r="D966" s="3" t="s">
        <v>8</v>
      </c>
      <c r="E966" s="64">
        <v>1</v>
      </c>
    </row>
    <row r="967" spans="1:5">
      <c r="A967" s="64" t="s">
        <v>6</v>
      </c>
      <c r="B967" s="65">
        <v>43700</v>
      </c>
      <c r="C967" s="66" t="s">
        <v>220</v>
      </c>
      <c r="D967" s="3" t="s">
        <v>8</v>
      </c>
      <c r="E967" s="64">
        <v>1</v>
      </c>
    </row>
    <row r="968" spans="1:5">
      <c r="A968" s="64" t="s">
        <v>6</v>
      </c>
      <c r="B968" s="65">
        <v>43701</v>
      </c>
      <c r="C968" s="66" t="s">
        <v>221</v>
      </c>
      <c r="D968" s="3" t="s">
        <v>8</v>
      </c>
      <c r="E968" s="64">
        <v>1</v>
      </c>
    </row>
    <row r="969" spans="1:5">
      <c r="A969" s="64" t="s">
        <v>6</v>
      </c>
      <c r="B969" s="65">
        <v>43702</v>
      </c>
      <c r="C969" s="66" t="s">
        <v>222</v>
      </c>
      <c r="D969" s="3" t="s">
        <v>8</v>
      </c>
      <c r="E969" s="64">
        <v>1</v>
      </c>
    </row>
    <row r="970" spans="1:5">
      <c r="A970" s="64" t="s">
        <v>6</v>
      </c>
      <c r="B970" s="65">
        <v>43703</v>
      </c>
      <c r="C970" s="66" t="s">
        <v>216</v>
      </c>
      <c r="D970" s="3" t="s">
        <v>8</v>
      </c>
      <c r="E970" s="64">
        <v>1</v>
      </c>
    </row>
    <row r="971" spans="1:5">
      <c r="A971" s="64" t="s">
        <v>6</v>
      </c>
      <c r="B971" s="65">
        <v>43704</v>
      </c>
      <c r="C971" s="66" t="s">
        <v>217</v>
      </c>
      <c r="D971" s="3" t="s">
        <v>8</v>
      </c>
      <c r="E971" s="64">
        <v>1</v>
      </c>
    </row>
    <row r="972" spans="1:5">
      <c r="A972" s="64" t="s">
        <v>6</v>
      </c>
      <c r="B972" s="65">
        <v>43705</v>
      </c>
      <c r="C972" s="66" t="s">
        <v>218</v>
      </c>
      <c r="D972" s="3" t="s">
        <v>8</v>
      </c>
      <c r="E972" s="64">
        <v>1</v>
      </c>
    </row>
    <row r="973" spans="1:5">
      <c r="A973" s="64" t="s">
        <v>6</v>
      </c>
      <c r="B973" s="65">
        <v>43706</v>
      </c>
      <c r="C973" s="66" t="s">
        <v>219</v>
      </c>
      <c r="D973" s="3" t="s">
        <v>8</v>
      </c>
      <c r="E973" s="64">
        <v>1</v>
      </c>
    </row>
    <row r="974" spans="1:5">
      <c r="A974" s="64" t="s">
        <v>6</v>
      </c>
      <c r="B974" s="65">
        <v>43707</v>
      </c>
      <c r="C974" s="66" t="s">
        <v>220</v>
      </c>
      <c r="D974" s="3" t="s">
        <v>8</v>
      </c>
      <c r="E974" s="64">
        <v>1</v>
      </c>
    </row>
    <row r="975" spans="1:5">
      <c r="A975" s="64" t="s">
        <v>6</v>
      </c>
      <c r="B975" s="65">
        <v>43708</v>
      </c>
      <c r="C975" s="66" t="s">
        <v>221</v>
      </c>
      <c r="D975" s="3" t="s">
        <v>8</v>
      </c>
      <c r="E975" s="64">
        <v>1</v>
      </c>
    </row>
    <row r="976" spans="1:5">
      <c r="A976" s="64" t="s">
        <v>6</v>
      </c>
      <c r="B976" s="65">
        <v>43709</v>
      </c>
      <c r="C976" s="66" t="s">
        <v>222</v>
      </c>
      <c r="D976" s="3" t="s">
        <v>8</v>
      </c>
      <c r="E976" s="64">
        <v>1</v>
      </c>
    </row>
    <row r="977" spans="1:5">
      <c r="A977" s="64" t="s">
        <v>6</v>
      </c>
      <c r="B977" s="65">
        <v>43710</v>
      </c>
      <c r="C977" s="66" t="s">
        <v>216</v>
      </c>
      <c r="D977" s="3" t="s">
        <v>8</v>
      </c>
      <c r="E977" s="64">
        <v>1</v>
      </c>
    </row>
    <row r="978" spans="1:5">
      <c r="A978" s="64" t="s">
        <v>6</v>
      </c>
      <c r="B978" s="65">
        <v>43711</v>
      </c>
      <c r="C978" s="66" t="s">
        <v>217</v>
      </c>
      <c r="D978" s="3" t="s">
        <v>8</v>
      </c>
      <c r="E978" s="64">
        <v>1</v>
      </c>
    </row>
    <row r="979" spans="1:5">
      <c r="A979" s="64" t="s">
        <v>6</v>
      </c>
      <c r="B979" s="65">
        <v>43712</v>
      </c>
      <c r="C979" s="66" t="s">
        <v>218</v>
      </c>
      <c r="D979" s="3" t="s">
        <v>8</v>
      </c>
      <c r="E979" s="64">
        <v>1</v>
      </c>
    </row>
    <row r="980" spans="1:5">
      <c r="A980" s="64" t="s">
        <v>6</v>
      </c>
      <c r="B980" s="65">
        <v>43713</v>
      </c>
      <c r="C980" s="66" t="s">
        <v>219</v>
      </c>
      <c r="D980" s="3" t="s">
        <v>8</v>
      </c>
      <c r="E980" s="64">
        <v>1</v>
      </c>
    </row>
    <row r="981" spans="1:5">
      <c r="A981" s="64" t="s">
        <v>6</v>
      </c>
      <c r="B981" s="65">
        <v>43714</v>
      </c>
      <c r="C981" s="66" t="s">
        <v>220</v>
      </c>
      <c r="D981" s="3" t="s">
        <v>8</v>
      </c>
      <c r="E981" s="64">
        <v>1</v>
      </c>
    </row>
    <row r="982" spans="1:5">
      <c r="A982" s="64" t="s">
        <v>6</v>
      </c>
      <c r="B982" s="65">
        <v>43715</v>
      </c>
      <c r="C982" s="66" t="s">
        <v>221</v>
      </c>
      <c r="D982" s="3" t="s">
        <v>8</v>
      </c>
      <c r="E982" s="64">
        <v>1</v>
      </c>
    </row>
    <row r="983" spans="1:5">
      <c r="A983" s="64" t="s">
        <v>6</v>
      </c>
      <c r="B983" s="65">
        <v>43716</v>
      </c>
      <c r="C983" s="66" t="s">
        <v>222</v>
      </c>
      <c r="D983" s="3" t="s">
        <v>8</v>
      </c>
      <c r="E983" s="64">
        <v>1</v>
      </c>
    </row>
    <row r="984" spans="1:5">
      <c r="A984" s="64" t="s">
        <v>6</v>
      </c>
      <c r="B984" s="65">
        <v>43717</v>
      </c>
      <c r="C984" s="66" t="s">
        <v>216</v>
      </c>
      <c r="D984" s="3" t="s">
        <v>8</v>
      </c>
      <c r="E984" s="64">
        <v>1</v>
      </c>
    </row>
    <row r="985" spans="1:5">
      <c r="A985" s="64" t="s">
        <v>6</v>
      </c>
      <c r="B985" s="65">
        <v>43718</v>
      </c>
      <c r="C985" s="66" t="s">
        <v>217</v>
      </c>
      <c r="D985" s="3" t="s">
        <v>8</v>
      </c>
      <c r="E985" s="64">
        <v>1</v>
      </c>
    </row>
    <row r="986" spans="1:5">
      <c r="A986" s="64" t="s">
        <v>6</v>
      </c>
      <c r="B986" s="65">
        <v>43719</v>
      </c>
      <c r="C986" s="66" t="s">
        <v>218</v>
      </c>
      <c r="D986" s="3" t="s">
        <v>8</v>
      </c>
      <c r="E986" s="64">
        <v>1</v>
      </c>
    </row>
    <row r="987" spans="1:5">
      <c r="A987" s="64" t="s">
        <v>6</v>
      </c>
      <c r="B987" s="65">
        <v>43720</v>
      </c>
      <c r="C987" s="66" t="s">
        <v>219</v>
      </c>
      <c r="D987" s="3" t="s">
        <v>8</v>
      </c>
      <c r="E987" s="64">
        <v>1</v>
      </c>
    </row>
    <row r="988" spans="1:5">
      <c r="A988" s="64" t="s">
        <v>6</v>
      </c>
      <c r="B988" s="65">
        <v>43721</v>
      </c>
      <c r="C988" s="66" t="s">
        <v>220</v>
      </c>
      <c r="D988" s="3" t="s">
        <v>8</v>
      </c>
      <c r="E988" s="64">
        <v>1</v>
      </c>
    </row>
    <row r="989" spans="1:5">
      <c r="A989" s="64" t="s">
        <v>6</v>
      </c>
      <c r="B989" s="65">
        <v>43722</v>
      </c>
      <c r="C989" s="66" t="s">
        <v>221</v>
      </c>
      <c r="D989" s="3" t="s">
        <v>8</v>
      </c>
      <c r="E989" s="64">
        <v>1</v>
      </c>
    </row>
    <row r="990" spans="1:5">
      <c r="A990" s="64" t="s">
        <v>6</v>
      </c>
      <c r="B990" s="65">
        <v>43723</v>
      </c>
      <c r="C990" s="66" t="s">
        <v>222</v>
      </c>
      <c r="D990" s="3" t="s">
        <v>8</v>
      </c>
      <c r="E990" s="64">
        <v>1</v>
      </c>
    </row>
    <row r="991" spans="1:5">
      <c r="A991" s="64" t="s">
        <v>6</v>
      </c>
      <c r="B991" s="65">
        <v>43724</v>
      </c>
      <c r="C991" s="66" t="s">
        <v>216</v>
      </c>
      <c r="D991" s="3" t="s">
        <v>8</v>
      </c>
      <c r="E991" s="64">
        <v>1</v>
      </c>
    </row>
    <row r="992" spans="1:5">
      <c r="A992" s="64" t="s">
        <v>6</v>
      </c>
      <c r="B992" s="65">
        <v>43725</v>
      </c>
      <c r="C992" s="66" t="s">
        <v>217</v>
      </c>
      <c r="D992" s="3" t="s">
        <v>8</v>
      </c>
      <c r="E992" s="64">
        <v>1</v>
      </c>
    </row>
    <row r="993" spans="1:5">
      <c r="A993" s="64" t="s">
        <v>6</v>
      </c>
      <c r="B993" s="65">
        <v>43726</v>
      </c>
      <c r="C993" s="66" t="s">
        <v>218</v>
      </c>
      <c r="D993" s="3" t="s">
        <v>8</v>
      </c>
      <c r="E993" s="64">
        <v>1</v>
      </c>
    </row>
    <row r="994" spans="1:5">
      <c r="A994" s="64" t="s">
        <v>6</v>
      </c>
      <c r="B994" s="65">
        <v>43727</v>
      </c>
      <c r="C994" s="66" t="s">
        <v>219</v>
      </c>
      <c r="D994" s="3" t="s">
        <v>8</v>
      </c>
      <c r="E994" s="64">
        <v>1</v>
      </c>
    </row>
    <row r="995" spans="1:5">
      <c r="A995" s="64" t="s">
        <v>6</v>
      </c>
      <c r="B995" s="65">
        <v>43728</v>
      </c>
      <c r="C995" s="66" t="s">
        <v>220</v>
      </c>
      <c r="D995" s="3" t="s">
        <v>8</v>
      </c>
      <c r="E995" s="64">
        <v>1</v>
      </c>
    </row>
    <row r="996" spans="1:5">
      <c r="A996" s="64" t="s">
        <v>6</v>
      </c>
      <c r="B996" s="65">
        <v>43729</v>
      </c>
      <c r="C996" s="66" t="s">
        <v>221</v>
      </c>
      <c r="D996" s="3" t="s">
        <v>8</v>
      </c>
      <c r="E996" s="64">
        <v>1</v>
      </c>
    </row>
    <row r="997" spans="1:5">
      <c r="A997" s="64" t="s">
        <v>6</v>
      </c>
      <c r="B997" s="65">
        <v>43730</v>
      </c>
      <c r="C997" s="66" t="s">
        <v>222</v>
      </c>
      <c r="D997" s="3" t="s">
        <v>8</v>
      </c>
      <c r="E997" s="64">
        <v>1</v>
      </c>
    </row>
    <row r="998" spans="1:5">
      <c r="A998" s="64" t="s">
        <v>6</v>
      </c>
      <c r="B998" s="65">
        <v>43731</v>
      </c>
      <c r="C998" s="66" t="s">
        <v>216</v>
      </c>
      <c r="D998" s="3" t="s">
        <v>8</v>
      </c>
      <c r="E998" s="64">
        <v>1</v>
      </c>
    </row>
    <row r="999" spans="1:5">
      <c r="A999" s="64" t="s">
        <v>6</v>
      </c>
      <c r="B999" s="65">
        <v>43732</v>
      </c>
      <c r="C999" s="66" t="s">
        <v>217</v>
      </c>
      <c r="D999" s="3" t="s">
        <v>8</v>
      </c>
      <c r="E999" s="64">
        <v>1</v>
      </c>
    </row>
    <row r="1000" spans="1:5">
      <c r="A1000" s="64" t="s">
        <v>6</v>
      </c>
      <c r="B1000" s="65">
        <v>43733</v>
      </c>
      <c r="C1000" s="66" t="s">
        <v>218</v>
      </c>
      <c r="D1000" s="3" t="s">
        <v>8</v>
      </c>
      <c r="E1000" s="64">
        <v>1</v>
      </c>
    </row>
    <row r="1001" spans="1:5">
      <c r="A1001" s="64" t="s">
        <v>6</v>
      </c>
      <c r="B1001" s="65">
        <v>43734</v>
      </c>
      <c r="C1001" s="66" t="s">
        <v>219</v>
      </c>
      <c r="D1001" s="3" t="s">
        <v>8</v>
      </c>
      <c r="E1001" s="64">
        <v>1</v>
      </c>
    </row>
    <row r="1002" spans="1:5">
      <c r="A1002" s="64" t="s">
        <v>6</v>
      </c>
      <c r="B1002" s="65">
        <v>43735</v>
      </c>
      <c r="C1002" s="66" t="s">
        <v>220</v>
      </c>
      <c r="D1002" s="3" t="s">
        <v>8</v>
      </c>
      <c r="E1002" s="64">
        <v>1</v>
      </c>
    </row>
    <row r="1003" spans="1:5">
      <c r="A1003" s="64" t="s">
        <v>6</v>
      </c>
      <c r="B1003" s="65">
        <v>43736</v>
      </c>
      <c r="C1003" s="66" t="s">
        <v>221</v>
      </c>
      <c r="D1003" s="3" t="s">
        <v>8</v>
      </c>
      <c r="E1003" s="64">
        <v>1</v>
      </c>
    </row>
    <row r="1004" spans="1:5">
      <c r="A1004" s="64" t="s">
        <v>6</v>
      </c>
      <c r="B1004" s="65">
        <v>43737</v>
      </c>
      <c r="C1004" s="66" t="s">
        <v>222</v>
      </c>
      <c r="D1004" s="3" t="s">
        <v>8</v>
      </c>
      <c r="E1004" s="64">
        <v>1</v>
      </c>
    </row>
    <row r="1005" spans="1:5">
      <c r="A1005" s="64" t="s">
        <v>6</v>
      </c>
      <c r="B1005" s="65">
        <v>43738</v>
      </c>
      <c r="C1005" s="66" t="s">
        <v>216</v>
      </c>
      <c r="D1005" s="3" t="s">
        <v>8</v>
      </c>
      <c r="E1005" s="64">
        <v>1</v>
      </c>
    </row>
    <row r="1006" spans="1:5">
      <c r="A1006" s="64" t="s">
        <v>6</v>
      </c>
      <c r="B1006" s="65">
        <v>43739</v>
      </c>
      <c r="C1006" s="66" t="s">
        <v>217</v>
      </c>
      <c r="D1006" s="3" t="s">
        <v>8</v>
      </c>
      <c r="E1006" s="64">
        <v>1</v>
      </c>
    </row>
    <row r="1007" spans="1:5">
      <c r="A1007" s="64" t="s">
        <v>6</v>
      </c>
      <c r="B1007" s="65">
        <v>43740</v>
      </c>
      <c r="C1007" s="66" t="s">
        <v>218</v>
      </c>
      <c r="D1007" s="3" t="s">
        <v>8</v>
      </c>
      <c r="E1007" s="64">
        <v>1</v>
      </c>
    </row>
    <row r="1008" spans="1:5">
      <c r="A1008" s="64" t="s">
        <v>6</v>
      </c>
      <c r="B1008" s="65">
        <v>43741</v>
      </c>
      <c r="C1008" s="66" t="s">
        <v>219</v>
      </c>
      <c r="D1008" s="3" t="s">
        <v>8</v>
      </c>
      <c r="E1008" s="64">
        <v>1</v>
      </c>
    </row>
    <row r="1009" spans="1:5">
      <c r="A1009" s="64" t="s">
        <v>6</v>
      </c>
      <c r="B1009" s="65">
        <v>43742</v>
      </c>
      <c r="C1009" s="66" t="s">
        <v>220</v>
      </c>
      <c r="D1009" s="3" t="s">
        <v>8</v>
      </c>
      <c r="E1009" s="64">
        <v>1</v>
      </c>
    </row>
    <row r="1010" spans="1:5">
      <c r="A1010" s="64" t="s">
        <v>6</v>
      </c>
      <c r="B1010" s="65">
        <v>43743</v>
      </c>
      <c r="C1010" s="66" t="s">
        <v>221</v>
      </c>
      <c r="D1010" s="3" t="s">
        <v>8</v>
      </c>
      <c r="E1010" s="64">
        <v>1</v>
      </c>
    </row>
    <row r="1011" spans="1:5">
      <c r="A1011" s="64" t="s">
        <v>6</v>
      </c>
      <c r="B1011" s="65">
        <v>43744</v>
      </c>
      <c r="C1011" s="66" t="s">
        <v>222</v>
      </c>
      <c r="D1011" s="3" t="s">
        <v>8</v>
      </c>
      <c r="E1011" s="64">
        <v>1</v>
      </c>
    </row>
    <row r="1012" spans="1:5">
      <c r="A1012" s="64" t="s">
        <v>6</v>
      </c>
      <c r="B1012" s="65">
        <v>43745</v>
      </c>
      <c r="C1012" s="66" t="s">
        <v>216</v>
      </c>
      <c r="D1012" s="3" t="s">
        <v>8</v>
      </c>
      <c r="E1012" s="64">
        <v>1</v>
      </c>
    </row>
    <row r="1013" spans="1:5">
      <c r="A1013" s="64" t="s">
        <v>6</v>
      </c>
      <c r="B1013" s="65">
        <v>43746</v>
      </c>
      <c r="C1013" s="66" t="s">
        <v>217</v>
      </c>
      <c r="D1013" s="3" t="s">
        <v>8</v>
      </c>
      <c r="E1013" s="64">
        <v>1</v>
      </c>
    </row>
    <row r="1014" spans="1:5">
      <c r="A1014" s="64" t="s">
        <v>6</v>
      </c>
      <c r="B1014" s="65">
        <v>43747</v>
      </c>
      <c r="C1014" s="66" t="s">
        <v>218</v>
      </c>
      <c r="D1014" s="3" t="s">
        <v>8</v>
      </c>
      <c r="E1014" s="64">
        <v>1</v>
      </c>
    </row>
    <row r="1015" spans="1:5">
      <c r="A1015" s="64" t="s">
        <v>6</v>
      </c>
      <c r="B1015" s="65">
        <v>43748</v>
      </c>
      <c r="C1015" s="66" t="s">
        <v>219</v>
      </c>
      <c r="D1015" s="3" t="s">
        <v>8</v>
      </c>
      <c r="E1015" s="64">
        <v>1</v>
      </c>
    </row>
    <row r="1016" spans="1:5">
      <c r="A1016" s="64" t="s">
        <v>6</v>
      </c>
      <c r="B1016" s="65">
        <v>43749</v>
      </c>
      <c r="C1016" s="66" t="s">
        <v>220</v>
      </c>
      <c r="D1016" s="3" t="s">
        <v>8</v>
      </c>
      <c r="E1016" s="64">
        <v>1</v>
      </c>
    </row>
    <row r="1017" spans="1:5">
      <c r="A1017" s="64" t="s">
        <v>6</v>
      </c>
      <c r="B1017" s="65">
        <v>43750</v>
      </c>
      <c r="C1017" s="66" t="s">
        <v>221</v>
      </c>
      <c r="D1017" s="3" t="s">
        <v>8</v>
      </c>
      <c r="E1017" s="64">
        <v>1</v>
      </c>
    </row>
    <row r="1018" spans="1:5">
      <c r="A1018" s="64" t="s">
        <v>6</v>
      </c>
      <c r="B1018" s="65">
        <v>43751</v>
      </c>
      <c r="C1018" s="66" t="s">
        <v>222</v>
      </c>
      <c r="D1018" s="3" t="s">
        <v>8</v>
      </c>
      <c r="E1018" s="64">
        <v>1</v>
      </c>
    </row>
    <row r="1019" spans="1:5">
      <c r="A1019" s="64" t="s">
        <v>6</v>
      </c>
      <c r="B1019" s="65">
        <v>43752</v>
      </c>
      <c r="C1019" s="66" t="s">
        <v>216</v>
      </c>
      <c r="D1019" s="3" t="s">
        <v>8</v>
      </c>
      <c r="E1019" s="64">
        <v>1</v>
      </c>
    </row>
    <row r="1020" spans="1:5">
      <c r="A1020" s="64" t="s">
        <v>6</v>
      </c>
      <c r="B1020" s="65">
        <v>43753</v>
      </c>
      <c r="C1020" s="66" t="s">
        <v>217</v>
      </c>
      <c r="D1020" s="3" t="s">
        <v>8</v>
      </c>
      <c r="E1020" s="64">
        <v>1</v>
      </c>
    </row>
    <row r="1021" spans="1:5">
      <c r="A1021" s="64" t="s">
        <v>6</v>
      </c>
      <c r="B1021" s="65">
        <v>43754</v>
      </c>
      <c r="C1021" s="66" t="s">
        <v>218</v>
      </c>
      <c r="D1021" s="3" t="s">
        <v>8</v>
      </c>
      <c r="E1021" s="64">
        <v>1</v>
      </c>
    </row>
    <row r="1022" spans="1:5">
      <c r="A1022" s="64" t="s">
        <v>6</v>
      </c>
      <c r="B1022" s="65">
        <v>43755</v>
      </c>
      <c r="C1022" s="66" t="s">
        <v>219</v>
      </c>
      <c r="D1022" s="3" t="s">
        <v>8</v>
      </c>
      <c r="E1022" s="64">
        <v>1</v>
      </c>
    </row>
    <row r="1023" spans="1:5">
      <c r="A1023" s="64" t="s">
        <v>6</v>
      </c>
      <c r="B1023" s="65">
        <v>43756</v>
      </c>
      <c r="C1023" s="66" t="s">
        <v>220</v>
      </c>
      <c r="D1023" s="3" t="s">
        <v>8</v>
      </c>
      <c r="E1023" s="64">
        <v>1</v>
      </c>
    </row>
    <row r="1024" spans="1:5">
      <c r="A1024" s="64" t="s">
        <v>6</v>
      </c>
      <c r="B1024" s="65">
        <v>43757</v>
      </c>
      <c r="C1024" s="66" t="s">
        <v>221</v>
      </c>
      <c r="D1024" s="3" t="s">
        <v>8</v>
      </c>
      <c r="E1024" s="64">
        <v>1</v>
      </c>
    </row>
    <row r="1025" spans="1:5">
      <c r="A1025" s="64" t="s">
        <v>6</v>
      </c>
      <c r="B1025" s="65">
        <v>43758</v>
      </c>
      <c r="C1025" s="66" t="s">
        <v>222</v>
      </c>
      <c r="D1025" s="3" t="s">
        <v>8</v>
      </c>
      <c r="E1025" s="64">
        <v>1</v>
      </c>
    </row>
    <row r="1026" spans="1:5">
      <c r="A1026" s="64" t="s">
        <v>6</v>
      </c>
      <c r="B1026" s="65">
        <v>43759</v>
      </c>
      <c r="C1026" s="66" t="s">
        <v>216</v>
      </c>
      <c r="D1026" s="3" t="s">
        <v>8</v>
      </c>
      <c r="E1026" s="64">
        <v>1</v>
      </c>
    </row>
    <row r="1027" spans="1:5">
      <c r="A1027" s="64" t="s">
        <v>6</v>
      </c>
      <c r="B1027" s="65">
        <v>43760</v>
      </c>
      <c r="C1027" s="66" t="s">
        <v>217</v>
      </c>
      <c r="D1027" s="3" t="s">
        <v>8</v>
      </c>
      <c r="E1027" s="64">
        <v>1</v>
      </c>
    </row>
    <row r="1028" spans="1:5">
      <c r="A1028" s="64" t="s">
        <v>6</v>
      </c>
      <c r="B1028" s="65">
        <v>43761</v>
      </c>
      <c r="C1028" s="66" t="s">
        <v>218</v>
      </c>
      <c r="D1028" s="3" t="s">
        <v>8</v>
      </c>
      <c r="E1028" s="64">
        <v>1</v>
      </c>
    </row>
    <row r="1029" spans="1:5">
      <c r="A1029" s="64" t="s">
        <v>6</v>
      </c>
      <c r="B1029" s="65">
        <v>43762</v>
      </c>
      <c r="C1029" s="66" t="s">
        <v>219</v>
      </c>
      <c r="D1029" s="3" t="s">
        <v>8</v>
      </c>
      <c r="E1029" s="64">
        <v>1</v>
      </c>
    </row>
    <row r="1030" spans="1:5">
      <c r="A1030" s="64" t="s">
        <v>6</v>
      </c>
      <c r="B1030" s="65">
        <v>43763</v>
      </c>
      <c r="C1030" s="66" t="s">
        <v>220</v>
      </c>
      <c r="D1030" s="3" t="s">
        <v>8</v>
      </c>
      <c r="E1030" s="64">
        <v>1</v>
      </c>
    </row>
    <row r="1031" spans="1:5">
      <c r="A1031" s="64" t="s">
        <v>6</v>
      </c>
      <c r="B1031" s="65">
        <v>43764</v>
      </c>
      <c r="C1031" s="66" t="s">
        <v>221</v>
      </c>
      <c r="D1031" s="3" t="s">
        <v>8</v>
      </c>
      <c r="E1031" s="64">
        <v>1</v>
      </c>
    </row>
    <row r="1032" spans="1:5">
      <c r="A1032" s="64" t="s">
        <v>6</v>
      </c>
      <c r="B1032" s="65">
        <v>43765</v>
      </c>
      <c r="C1032" s="66" t="s">
        <v>222</v>
      </c>
      <c r="D1032" s="3" t="s">
        <v>8</v>
      </c>
      <c r="E1032" s="64">
        <v>1</v>
      </c>
    </row>
    <row r="1033" spans="1:5">
      <c r="A1033" s="64" t="s">
        <v>6</v>
      </c>
      <c r="B1033" s="65">
        <v>43766</v>
      </c>
      <c r="C1033" s="66" t="s">
        <v>216</v>
      </c>
      <c r="D1033" s="3" t="s">
        <v>8</v>
      </c>
      <c r="E1033" s="64">
        <v>1</v>
      </c>
    </row>
    <row r="1034" spans="1:5">
      <c r="A1034" s="64" t="s">
        <v>6</v>
      </c>
      <c r="B1034" s="65">
        <v>43767</v>
      </c>
      <c r="C1034" s="66" t="s">
        <v>217</v>
      </c>
      <c r="D1034" s="3" t="s">
        <v>8</v>
      </c>
      <c r="E1034" s="64">
        <v>1</v>
      </c>
    </row>
    <row r="1035" spans="1:5">
      <c r="A1035" s="64" t="s">
        <v>6</v>
      </c>
      <c r="B1035" s="65">
        <v>43768</v>
      </c>
      <c r="C1035" s="66" t="s">
        <v>218</v>
      </c>
      <c r="D1035" s="3" t="s">
        <v>8</v>
      </c>
      <c r="E1035" s="64">
        <v>1</v>
      </c>
    </row>
    <row r="1036" spans="1:5">
      <c r="A1036" s="64" t="s">
        <v>6</v>
      </c>
      <c r="B1036" s="65">
        <v>43769</v>
      </c>
      <c r="C1036" s="66" t="s">
        <v>219</v>
      </c>
      <c r="D1036" s="3" t="s">
        <v>8</v>
      </c>
      <c r="E1036" s="64">
        <v>1</v>
      </c>
    </row>
    <row r="1037" spans="1:5">
      <c r="A1037" s="64" t="s">
        <v>6</v>
      </c>
      <c r="B1037" s="65">
        <v>43770</v>
      </c>
      <c r="C1037" s="66" t="s">
        <v>220</v>
      </c>
      <c r="D1037" s="3" t="s">
        <v>8</v>
      </c>
      <c r="E1037" s="64">
        <v>1</v>
      </c>
    </row>
    <row r="1038" spans="1:5">
      <c r="A1038" s="64" t="s">
        <v>6</v>
      </c>
      <c r="B1038" s="65">
        <v>43771</v>
      </c>
      <c r="C1038" s="66" t="s">
        <v>221</v>
      </c>
      <c r="D1038" s="3" t="s">
        <v>8</v>
      </c>
      <c r="E1038" s="64">
        <v>1</v>
      </c>
    </row>
    <row r="1039" spans="1:5">
      <c r="A1039" s="64" t="s">
        <v>6</v>
      </c>
      <c r="B1039" s="65">
        <v>43772</v>
      </c>
      <c r="C1039" s="66" t="s">
        <v>222</v>
      </c>
      <c r="D1039" s="3" t="s">
        <v>8</v>
      </c>
      <c r="E1039" s="64">
        <v>1</v>
      </c>
    </row>
    <row r="1040" spans="1:5">
      <c r="A1040" s="64" t="s">
        <v>6</v>
      </c>
      <c r="B1040" s="65">
        <v>43773</v>
      </c>
      <c r="C1040" s="66" t="s">
        <v>216</v>
      </c>
      <c r="D1040" s="3" t="s">
        <v>8</v>
      </c>
      <c r="E1040" s="64">
        <v>1</v>
      </c>
    </row>
    <row r="1041" spans="1:5">
      <c r="A1041" s="64" t="s">
        <v>6</v>
      </c>
      <c r="B1041" s="65">
        <v>43774</v>
      </c>
      <c r="C1041" s="66" t="s">
        <v>217</v>
      </c>
      <c r="D1041" s="3" t="s">
        <v>8</v>
      </c>
      <c r="E1041" s="64">
        <v>1</v>
      </c>
    </row>
    <row r="1042" spans="1:5">
      <c r="A1042" s="64" t="s">
        <v>6</v>
      </c>
      <c r="B1042" s="65">
        <v>43775</v>
      </c>
      <c r="C1042" s="66" t="s">
        <v>218</v>
      </c>
      <c r="D1042" s="3" t="s">
        <v>8</v>
      </c>
      <c r="E1042" s="64">
        <v>1</v>
      </c>
    </row>
    <row r="1043" spans="1:5">
      <c r="A1043" s="64" t="s">
        <v>6</v>
      </c>
      <c r="B1043" s="65">
        <v>43776</v>
      </c>
      <c r="C1043" s="66" t="s">
        <v>219</v>
      </c>
      <c r="D1043" s="3" t="s">
        <v>8</v>
      </c>
      <c r="E1043" s="64">
        <v>1</v>
      </c>
    </row>
    <row r="1044" spans="1:5">
      <c r="A1044" s="64" t="s">
        <v>6</v>
      </c>
      <c r="B1044" s="65">
        <v>43777</v>
      </c>
      <c r="C1044" s="66" t="s">
        <v>220</v>
      </c>
      <c r="D1044" s="3" t="s">
        <v>8</v>
      </c>
      <c r="E1044" s="64">
        <v>1</v>
      </c>
    </row>
    <row r="1045" spans="1:5">
      <c r="A1045" s="64" t="s">
        <v>6</v>
      </c>
      <c r="B1045" s="65">
        <v>43778</v>
      </c>
      <c r="C1045" s="66" t="s">
        <v>221</v>
      </c>
      <c r="D1045" s="3" t="s">
        <v>8</v>
      </c>
      <c r="E1045" s="64">
        <v>1</v>
      </c>
    </row>
    <row r="1046" spans="1:5">
      <c r="A1046" s="64" t="s">
        <v>6</v>
      </c>
      <c r="B1046" s="65">
        <v>43779</v>
      </c>
      <c r="C1046" s="66" t="s">
        <v>222</v>
      </c>
      <c r="D1046" s="3" t="s">
        <v>8</v>
      </c>
      <c r="E1046" s="64">
        <v>1</v>
      </c>
    </row>
    <row r="1047" spans="1:5">
      <c r="A1047" s="64" t="s">
        <v>6</v>
      </c>
      <c r="B1047" s="65">
        <v>43780</v>
      </c>
      <c r="C1047" s="66" t="s">
        <v>216</v>
      </c>
      <c r="D1047" s="3" t="s">
        <v>8</v>
      </c>
      <c r="E1047" s="64">
        <v>1</v>
      </c>
    </row>
    <row r="1048" spans="1:5">
      <c r="A1048" s="64" t="s">
        <v>6</v>
      </c>
      <c r="B1048" s="65">
        <v>43781</v>
      </c>
      <c r="C1048" s="66" t="s">
        <v>217</v>
      </c>
      <c r="D1048" s="3" t="s">
        <v>8</v>
      </c>
      <c r="E1048" s="64">
        <v>1</v>
      </c>
    </row>
    <row r="1049" spans="1:5">
      <c r="A1049" s="64" t="s">
        <v>6</v>
      </c>
      <c r="B1049" s="65">
        <v>43782</v>
      </c>
      <c r="C1049" s="66" t="s">
        <v>218</v>
      </c>
      <c r="D1049" s="3" t="s">
        <v>8</v>
      </c>
      <c r="E1049" s="64">
        <v>1</v>
      </c>
    </row>
    <row r="1050" spans="1:5">
      <c r="A1050" s="64" t="s">
        <v>6</v>
      </c>
      <c r="B1050" s="65">
        <v>43783</v>
      </c>
      <c r="C1050" s="66" t="s">
        <v>219</v>
      </c>
      <c r="D1050" s="3" t="s">
        <v>8</v>
      </c>
      <c r="E1050" s="64">
        <v>1</v>
      </c>
    </row>
    <row r="1051" spans="1:5">
      <c r="A1051" s="64" t="s">
        <v>6</v>
      </c>
      <c r="B1051" s="65">
        <v>43784</v>
      </c>
      <c r="C1051" s="66" t="s">
        <v>220</v>
      </c>
      <c r="D1051" s="3" t="s">
        <v>8</v>
      </c>
      <c r="E1051" s="64">
        <v>1</v>
      </c>
    </row>
    <row r="1052" spans="1:5">
      <c r="A1052" s="64" t="s">
        <v>6</v>
      </c>
      <c r="B1052" s="65">
        <v>43785</v>
      </c>
      <c r="C1052" s="66" t="s">
        <v>221</v>
      </c>
      <c r="D1052" s="3" t="s">
        <v>8</v>
      </c>
      <c r="E1052" s="64">
        <v>1</v>
      </c>
    </row>
    <row r="1053" spans="1:5">
      <c r="A1053" s="64" t="s">
        <v>6</v>
      </c>
      <c r="B1053" s="65">
        <v>43786</v>
      </c>
      <c r="C1053" s="66" t="s">
        <v>222</v>
      </c>
      <c r="D1053" s="3" t="s">
        <v>8</v>
      </c>
      <c r="E1053" s="64">
        <v>1</v>
      </c>
    </row>
    <row r="1054" spans="1:5">
      <c r="A1054" s="64" t="s">
        <v>6</v>
      </c>
      <c r="B1054" s="65">
        <v>43787</v>
      </c>
      <c r="C1054" s="66" t="s">
        <v>216</v>
      </c>
      <c r="D1054" s="3" t="s">
        <v>8</v>
      </c>
      <c r="E1054" s="64">
        <v>1</v>
      </c>
    </row>
    <row r="1055" spans="1:5">
      <c r="A1055" s="64" t="s">
        <v>6</v>
      </c>
      <c r="B1055" s="65">
        <v>43788</v>
      </c>
      <c r="C1055" s="66" t="s">
        <v>217</v>
      </c>
      <c r="D1055" s="3" t="s">
        <v>8</v>
      </c>
      <c r="E1055" s="64">
        <v>1</v>
      </c>
    </row>
    <row r="1056" spans="1:5">
      <c r="A1056" s="64" t="s">
        <v>6</v>
      </c>
      <c r="B1056" s="65">
        <v>43789</v>
      </c>
      <c r="C1056" s="66" t="s">
        <v>218</v>
      </c>
      <c r="D1056" s="3" t="s">
        <v>8</v>
      </c>
      <c r="E1056" s="64">
        <v>1</v>
      </c>
    </row>
    <row r="1057" spans="1:5">
      <c r="A1057" s="64" t="s">
        <v>6</v>
      </c>
      <c r="B1057" s="65">
        <v>43790</v>
      </c>
      <c r="C1057" s="66" t="s">
        <v>219</v>
      </c>
      <c r="D1057" s="3" t="s">
        <v>8</v>
      </c>
      <c r="E1057" s="64">
        <v>1</v>
      </c>
    </row>
    <row r="1058" spans="1:5">
      <c r="A1058" s="64" t="s">
        <v>6</v>
      </c>
      <c r="B1058" s="65">
        <v>43791</v>
      </c>
      <c r="C1058" s="66" t="s">
        <v>220</v>
      </c>
      <c r="D1058" s="3" t="s">
        <v>8</v>
      </c>
      <c r="E1058" s="64">
        <v>1</v>
      </c>
    </row>
    <row r="1059" spans="1:5">
      <c r="A1059" s="64" t="s">
        <v>6</v>
      </c>
      <c r="B1059" s="65">
        <v>43792</v>
      </c>
      <c r="C1059" s="66" t="s">
        <v>221</v>
      </c>
      <c r="D1059" s="3" t="s">
        <v>8</v>
      </c>
      <c r="E1059" s="64">
        <v>1</v>
      </c>
    </row>
    <row r="1060" spans="1:5">
      <c r="A1060" s="64" t="s">
        <v>6</v>
      </c>
      <c r="B1060" s="65">
        <v>43793</v>
      </c>
      <c r="C1060" s="66" t="s">
        <v>222</v>
      </c>
      <c r="D1060" s="3" t="s">
        <v>8</v>
      </c>
      <c r="E1060" s="64">
        <v>1</v>
      </c>
    </row>
    <row r="1061" spans="1:5">
      <c r="A1061" s="64" t="s">
        <v>6</v>
      </c>
      <c r="B1061" s="65">
        <v>43794</v>
      </c>
      <c r="C1061" s="66" t="s">
        <v>216</v>
      </c>
      <c r="D1061" s="3" t="s">
        <v>8</v>
      </c>
      <c r="E1061" s="64">
        <v>1</v>
      </c>
    </row>
    <row r="1062" spans="1:5">
      <c r="A1062" s="64" t="s">
        <v>6</v>
      </c>
      <c r="B1062" s="65">
        <v>43795</v>
      </c>
      <c r="C1062" s="66" t="s">
        <v>217</v>
      </c>
      <c r="D1062" s="3" t="s">
        <v>8</v>
      </c>
      <c r="E1062" s="64">
        <v>1</v>
      </c>
    </row>
    <row r="1063" spans="1:5">
      <c r="A1063" s="64" t="s">
        <v>6</v>
      </c>
      <c r="B1063" s="65">
        <v>43796</v>
      </c>
      <c r="C1063" s="66" t="s">
        <v>218</v>
      </c>
      <c r="D1063" s="3" t="s">
        <v>8</v>
      </c>
      <c r="E1063" s="64">
        <v>1</v>
      </c>
    </row>
    <row r="1064" spans="1:5">
      <c r="A1064" s="64" t="s">
        <v>6</v>
      </c>
      <c r="B1064" s="65">
        <v>43797</v>
      </c>
      <c r="C1064" s="66" t="s">
        <v>219</v>
      </c>
      <c r="D1064" s="3" t="s">
        <v>8</v>
      </c>
      <c r="E1064" s="64">
        <v>1</v>
      </c>
    </row>
    <row r="1065" spans="1:5">
      <c r="A1065" s="64" t="s">
        <v>6</v>
      </c>
      <c r="B1065" s="65">
        <v>43798</v>
      </c>
      <c r="C1065" s="66" t="s">
        <v>220</v>
      </c>
      <c r="D1065" s="3" t="s">
        <v>8</v>
      </c>
      <c r="E1065" s="64">
        <v>1</v>
      </c>
    </row>
    <row r="1066" spans="1:5">
      <c r="A1066" s="64" t="s">
        <v>6</v>
      </c>
      <c r="B1066" s="65">
        <v>43799</v>
      </c>
      <c r="C1066" s="66" t="s">
        <v>221</v>
      </c>
      <c r="D1066" s="3" t="s">
        <v>8</v>
      </c>
      <c r="E1066" s="64">
        <v>1</v>
      </c>
    </row>
    <row r="1067" spans="1:5">
      <c r="A1067" s="64" t="s">
        <v>6</v>
      </c>
      <c r="B1067" s="65">
        <v>43800</v>
      </c>
      <c r="C1067" s="66" t="s">
        <v>222</v>
      </c>
      <c r="D1067" s="3" t="s">
        <v>8</v>
      </c>
      <c r="E1067" s="64">
        <v>1</v>
      </c>
    </row>
    <row r="1068" spans="1:5">
      <c r="A1068" s="64" t="s">
        <v>6</v>
      </c>
      <c r="B1068" s="65">
        <v>43801</v>
      </c>
      <c r="C1068" s="66" t="s">
        <v>216</v>
      </c>
      <c r="D1068" s="3" t="s">
        <v>8</v>
      </c>
      <c r="E1068" s="64">
        <v>1</v>
      </c>
    </row>
    <row r="1069" spans="1:5">
      <c r="A1069" s="64" t="s">
        <v>6</v>
      </c>
      <c r="B1069" s="65">
        <v>43802</v>
      </c>
      <c r="C1069" s="66" t="s">
        <v>217</v>
      </c>
      <c r="D1069" s="3" t="s">
        <v>8</v>
      </c>
      <c r="E1069" s="64">
        <v>1</v>
      </c>
    </row>
    <row r="1070" spans="1:5">
      <c r="A1070" s="64" t="s">
        <v>6</v>
      </c>
      <c r="B1070" s="65">
        <v>43803</v>
      </c>
      <c r="C1070" s="66" t="s">
        <v>218</v>
      </c>
      <c r="D1070" s="3" t="s">
        <v>8</v>
      </c>
      <c r="E1070" s="64">
        <v>1</v>
      </c>
    </row>
    <row r="1071" spans="1:5">
      <c r="A1071" s="64" t="s">
        <v>6</v>
      </c>
      <c r="B1071" s="65">
        <v>43804</v>
      </c>
      <c r="C1071" s="66" t="s">
        <v>219</v>
      </c>
      <c r="D1071" s="3" t="s">
        <v>8</v>
      </c>
      <c r="E1071" s="64">
        <v>1</v>
      </c>
    </row>
    <row r="1072" spans="1:5">
      <c r="A1072" s="64" t="s">
        <v>6</v>
      </c>
      <c r="B1072" s="65">
        <v>43805</v>
      </c>
      <c r="C1072" s="66" t="s">
        <v>220</v>
      </c>
      <c r="D1072" s="3" t="s">
        <v>8</v>
      </c>
      <c r="E1072" s="64">
        <v>1</v>
      </c>
    </row>
    <row r="1073" spans="1:5">
      <c r="A1073" s="64" t="s">
        <v>6</v>
      </c>
      <c r="B1073" s="65">
        <v>43806</v>
      </c>
      <c r="C1073" s="66" t="s">
        <v>221</v>
      </c>
      <c r="D1073" s="3" t="s">
        <v>8</v>
      </c>
      <c r="E1073" s="64">
        <v>1</v>
      </c>
    </row>
    <row r="1074" spans="1:5">
      <c r="A1074" s="64" t="s">
        <v>6</v>
      </c>
      <c r="B1074" s="65">
        <v>43807</v>
      </c>
      <c r="C1074" s="66" t="s">
        <v>222</v>
      </c>
      <c r="D1074" s="3" t="s">
        <v>8</v>
      </c>
      <c r="E1074" s="64">
        <v>1</v>
      </c>
    </row>
    <row r="1075" spans="1:5">
      <c r="A1075" s="64" t="s">
        <v>6</v>
      </c>
      <c r="B1075" s="65">
        <v>43808</v>
      </c>
      <c r="C1075" s="66" t="s">
        <v>216</v>
      </c>
      <c r="D1075" s="3" t="s">
        <v>8</v>
      </c>
      <c r="E1075" s="64">
        <v>1</v>
      </c>
    </row>
    <row r="1076" spans="1:5">
      <c r="A1076" s="64" t="s">
        <v>6</v>
      </c>
      <c r="B1076" s="65">
        <v>43809</v>
      </c>
      <c r="C1076" s="66" t="s">
        <v>217</v>
      </c>
      <c r="D1076" s="3" t="s">
        <v>8</v>
      </c>
      <c r="E1076" s="64">
        <v>1</v>
      </c>
    </row>
    <row r="1077" spans="1:5">
      <c r="A1077" s="64" t="s">
        <v>6</v>
      </c>
      <c r="B1077" s="65">
        <v>43810</v>
      </c>
      <c r="C1077" s="66" t="s">
        <v>218</v>
      </c>
      <c r="D1077" s="3" t="s">
        <v>8</v>
      </c>
      <c r="E1077" s="64">
        <v>1</v>
      </c>
    </row>
    <row r="1078" spans="1:5">
      <c r="A1078" s="64" t="s">
        <v>6</v>
      </c>
      <c r="B1078" s="65">
        <v>43811</v>
      </c>
      <c r="C1078" s="66" t="s">
        <v>219</v>
      </c>
      <c r="D1078" s="3" t="s">
        <v>8</v>
      </c>
      <c r="E1078" s="64">
        <v>1</v>
      </c>
    </row>
    <row r="1079" spans="1:5">
      <c r="A1079" s="64" t="s">
        <v>6</v>
      </c>
      <c r="B1079" s="65">
        <v>43812</v>
      </c>
      <c r="C1079" s="66" t="s">
        <v>220</v>
      </c>
      <c r="D1079" s="3" t="s">
        <v>8</v>
      </c>
      <c r="E1079" s="64">
        <v>1</v>
      </c>
    </row>
    <row r="1080" spans="1:5">
      <c r="A1080" s="64" t="s">
        <v>6</v>
      </c>
      <c r="B1080" s="65">
        <v>43813</v>
      </c>
      <c r="C1080" s="66" t="s">
        <v>221</v>
      </c>
      <c r="D1080" s="3" t="s">
        <v>8</v>
      </c>
      <c r="E1080" s="64">
        <v>1</v>
      </c>
    </row>
    <row r="1081" spans="1:5">
      <c r="A1081" s="64" t="s">
        <v>6</v>
      </c>
      <c r="B1081" s="65">
        <v>43814</v>
      </c>
      <c r="C1081" s="66" t="s">
        <v>222</v>
      </c>
      <c r="D1081" s="3" t="s">
        <v>8</v>
      </c>
      <c r="E1081" s="64">
        <v>1</v>
      </c>
    </row>
    <row r="1082" spans="1:5">
      <c r="A1082" s="64" t="s">
        <v>6</v>
      </c>
      <c r="B1082" s="65">
        <v>43815</v>
      </c>
      <c r="C1082" s="66" t="s">
        <v>216</v>
      </c>
      <c r="D1082" s="3" t="s">
        <v>8</v>
      </c>
      <c r="E1082" s="64">
        <v>1</v>
      </c>
    </row>
    <row r="1083" spans="1:5">
      <c r="A1083" s="64" t="s">
        <v>6</v>
      </c>
      <c r="B1083" s="65">
        <v>43816</v>
      </c>
      <c r="C1083" s="66" t="s">
        <v>217</v>
      </c>
      <c r="D1083" s="3" t="s">
        <v>8</v>
      </c>
      <c r="E1083" s="64">
        <v>1</v>
      </c>
    </row>
    <row r="1084" spans="1:5">
      <c r="A1084" s="64" t="s">
        <v>6</v>
      </c>
      <c r="B1084" s="65">
        <v>43817</v>
      </c>
      <c r="C1084" s="66" t="s">
        <v>218</v>
      </c>
      <c r="D1084" s="3" t="s">
        <v>8</v>
      </c>
      <c r="E1084" s="64">
        <v>1</v>
      </c>
    </row>
    <row r="1085" spans="1:5">
      <c r="A1085" s="64" t="s">
        <v>6</v>
      </c>
      <c r="B1085" s="65">
        <v>43818</v>
      </c>
      <c r="C1085" s="66" t="s">
        <v>219</v>
      </c>
      <c r="D1085" s="3" t="s">
        <v>8</v>
      </c>
      <c r="E1085" s="64">
        <v>1</v>
      </c>
    </row>
    <row r="1086" spans="1:5">
      <c r="A1086" s="64" t="s">
        <v>6</v>
      </c>
      <c r="B1086" s="65">
        <v>43819</v>
      </c>
      <c r="C1086" s="66" t="s">
        <v>220</v>
      </c>
      <c r="D1086" s="3" t="s">
        <v>8</v>
      </c>
      <c r="E1086" s="64">
        <v>1</v>
      </c>
    </row>
    <row r="1087" spans="1:5">
      <c r="A1087" s="64" t="s">
        <v>6</v>
      </c>
      <c r="B1087" s="65">
        <v>43820</v>
      </c>
      <c r="C1087" s="66" t="s">
        <v>221</v>
      </c>
      <c r="D1087" s="3" t="s">
        <v>8</v>
      </c>
      <c r="E1087" s="64">
        <v>1</v>
      </c>
    </row>
    <row r="1088" spans="1:5">
      <c r="A1088" s="64" t="s">
        <v>6</v>
      </c>
      <c r="B1088" s="65">
        <v>43821</v>
      </c>
      <c r="C1088" s="66" t="s">
        <v>222</v>
      </c>
      <c r="D1088" s="3" t="s">
        <v>8</v>
      </c>
      <c r="E1088" s="64">
        <v>1</v>
      </c>
    </row>
    <row r="1089" spans="1:5">
      <c r="A1089" s="64" t="s">
        <v>6</v>
      </c>
      <c r="B1089" s="65">
        <v>43822</v>
      </c>
      <c r="C1089" s="66" t="s">
        <v>216</v>
      </c>
      <c r="D1089" s="3" t="s">
        <v>8</v>
      </c>
      <c r="E1089" s="64">
        <v>1</v>
      </c>
    </row>
    <row r="1090" spans="1:5">
      <c r="A1090" s="64" t="s">
        <v>6</v>
      </c>
      <c r="B1090" s="65">
        <v>43823</v>
      </c>
      <c r="C1090" s="66" t="s">
        <v>217</v>
      </c>
      <c r="D1090" s="3" t="s">
        <v>8</v>
      </c>
      <c r="E1090" s="64">
        <v>1</v>
      </c>
    </row>
    <row r="1091" spans="1:5">
      <c r="A1091" s="64" t="s">
        <v>6</v>
      </c>
      <c r="B1091" s="65">
        <v>43824</v>
      </c>
      <c r="C1091" s="66" t="s">
        <v>218</v>
      </c>
      <c r="D1091" s="3" t="s">
        <v>8</v>
      </c>
      <c r="E1091" s="64">
        <v>1</v>
      </c>
    </row>
    <row r="1092" spans="1:5">
      <c r="A1092" s="64" t="s">
        <v>6</v>
      </c>
      <c r="B1092" s="65">
        <v>43825</v>
      </c>
      <c r="C1092" s="66" t="s">
        <v>219</v>
      </c>
      <c r="D1092" s="3" t="s">
        <v>8</v>
      </c>
      <c r="E1092" s="64">
        <v>1</v>
      </c>
    </row>
    <row r="1093" spans="1:5">
      <c r="A1093" s="64" t="s">
        <v>6</v>
      </c>
      <c r="B1093" s="65">
        <v>43826</v>
      </c>
      <c r="C1093" s="66" t="s">
        <v>220</v>
      </c>
      <c r="D1093" s="3" t="s">
        <v>8</v>
      </c>
      <c r="E1093" s="64">
        <v>1</v>
      </c>
    </row>
    <row r="1094" spans="1:5">
      <c r="A1094" s="64" t="s">
        <v>6</v>
      </c>
      <c r="B1094" s="65">
        <v>43827</v>
      </c>
      <c r="C1094" s="66" t="s">
        <v>221</v>
      </c>
      <c r="D1094" s="3" t="s">
        <v>8</v>
      </c>
      <c r="E1094" s="64">
        <v>1</v>
      </c>
    </row>
    <row r="1095" spans="1:5">
      <c r="A1095" s="64" t="s">
        <v>6</v>
      </c>
      <c r="B1095" s="65">
        <v>43828</v>
      </c>
      <c r="C1095" s="66" t="s">
        <v>222</v>
      </c>
      <c r="D1095" s="3" t="s">
        <v>8</v>
      </c>
      <c r="E1095" s="64">
        <v>1</v>
      </c>
    </row>
    <row r="1096" spans="1:5">
      <c r="A1096" s="64" t="s">
        <v>6</v>
      </c>
      <c r="B1096" s="65">
        <v>43829</v>
      </c>
      <c r="C1096" s="66" t="s">
        <v>216</v>
      </c>
      <c r="D1096" s="3" t="s">
        <v>8</v>
      </c>
      <c r="E1096" s="64">
        <v>1</v>
      </c>
    </row>
    <row r="1097" spans="1:5">
      <c r="A1097" s="64" t="s">
        <v>6</v>
      </c>
      <c r="B1097" s="65">
        <v>43830</v>
      </c>
      <c r="C1097" s="66" t="s">
        <v>217</v>
      </c>
      <c r="D1097" s="3" t="s">
        <v>8</v>
      </c>
      <c r="E1097" s="64">
        <v>1</v>
      </c>
    </row>
    <row r="1098" spans="1:5">
      <c r="A1098" s="64" t="s">
        <v>6</v>
      </c>
      <c r="B1098" s="65">
        <v>43831</v>
      </c>
      <c r="C1098" s="66" t="s">
        <v>218</v>
      </c>
      <c r="D1098" s="3" t="s">
        <v>8</v>
      </c>
      <c r="E1098" s="64">
        <v>1</v>
      </c>
    </row>
    <row r="1099" spans="1:5">
      <c r="A1099" s="64" t="s">
        <v>6</v>
      </c>
      <c r="B1099" s="65">
        <v>43832</v>
      </c>
      <c r="C1099" s="66" t="s">
        <v>219</v>
      </c>
      <c r="D1099" s="3" t="s">
        <v>8</v>
      </c>
      <c r="E1099" s="64">
        <v>1</v>
      </c>
    </row>
    <row r="1100" spans="1:5">
      <c r="A1100" s="64" t="s">
        <v>6</v>
      </c>
      <c r="B1100" s="65">
        <v>43833</v>
      </c>
      <c r="C1100" s="66" t="s">
        <v>220</v>
      </c>
      <c r="D1100" s="3" t="s">
        <v>8</v>
      </c>
      <c r="E1100" s="64">
        <v>1</v>
      </c>
    </row>
    <row r="1101" spans="1:5">
      <c r="A1101" s="64" t="s">
        <v>6</v>
      </c>
      <c r="B1101" s="65">
        <v>43834</v>
      </c>
      <c r="C1101" s="66" t="s">
        <v>221</v>
      </c>
      <c r="D1101" s="3" t="s">
        <v>8</v>
      </c>
      <c r="E1101" s="64">
        <v>1</v>
      </c>
    </row>
    <row r="1102" spans="1:5">
      <c r="A1102" s="64" t="s">
        <v>6</v>
      </c>
      <c r="B1102" s="65">
        <v>43835</v>
      </c>
      <c r="C1102" s="66" t="s">
        <v>222</v>
      </c>
      <c r="D1102" s="3" t="s">
        <v>8</v>
      </c>
      <c r="E1102" s="64">
        <v>1</v>
      </c>
    </row>
    <row r="1103" spans="1:5">
      <c r="A1103" s="64" t="s">
        <v>6</v>
      </c>
      <c r="B1103" s="65">
        <v>43836</v>
      </c>
      <c r="C1103" s="66" t="s">
        <v>216</v>
      </c>
      <c r="D1103" s="3" t="s">
        <v>8</v>
      </c>
      <c r="E1103" s="64">
        <v>1</v>
      </c>
    </row>
    <row r="1104" spans="1:5">
      <c r="A1104" s="64" t="s">
        <v>6</v>
      </c>
      <c r="B1104" s="65">
        <v>43837</v>
      </c>
      <c r="C1104" s="66" t="s">
        <v>217</v>
      </c>
      <c r="D1104" s="3" t="s">
        <v>8</v>
      </c>
      <c r="E1104" s="64">
        <v>1</v>
      </c>
    </row>
    <row r="1105" spans="1:5">
      <c r="A1105" s="64" t="s">
        <v>6</v>
      </c>
      <c r="B1105" s="65">
        <v>43838</v>
      </c>
      <c r="C1105" s="66" t="s">
        <v>218</v>
      </c>
      <c r="D1105" s="3" t="s">
        <v>8</v>
      </c>
      <c r="E1105" s="64">
        <v>1</v>
      </c>
    </row>
    <row r="1106" spans="1:5">
      <c r="A1106" s="64" t="s">
        <v>6</v>
      </c>
      <c r="B1106" s="65">
        <v>43839</v>
      </c>
      <c r="C1106" s="66" t="s">
        <v>219</v>
      </c>
      <c r="D1106" s="3" t="s">
        <v>8</v>
      </c>
      <c r="E1106" s="64">
        <v>1</v>
      </c>
    </row>
    <row r="1107" spans="1:5">
      <c r="A1107" s="64" t="s">
        <v>6</v>
      </c>
      <c r="B1107" s="65">
        <v>43840</v>
      </c>
      <c r="C1107" s="66" t="s">
        <v>220</v>
      </c>
      <c r="D1107" s="3" t="s">
        <v>8</v>
      </c>
      <c r="E1107" s="64">
        <v>1</v>
      </c>
    </row>
    <row r="1108" spans="1:5">
      <c r="A1108" s="64" t="s">
        <v>6</v>
      </c>
      <c r="B1108" s="65">
        <v>43841</v>
      </c>
      <c r="C1108" s="66" t="s">
        <v>221</v>
      </c>
      <c r="D1108" s="3" t="s">
        <v>8</v>
      </c>
      <c r="E1108" s="64">
        <v>1</v>
      </c>
    </row>
    <row r="1109" spans="1:5">
      <c r="A1109" s="64" t="s">
        <v>6</v>
      </c>
      <c r="B1109" s="65">
        <v>43842</v>
      </c>
      <c r="C1109" s="66" t="s">
        <v>222</v>
      </c>
      <c r="D1109" s="3" t="s">
        <v>8</v>
      </c>
      <c r="E1109" s="64">
        <v>1</v>
      </c>
    </row>
    <row r="1110" spans="1:5">
      <c r="A1110" s="64" t="s">
        <v>6</v>
      </c>
      <c r="B1110" s="65">
        <v>43843</v>
      </c>
      <c r="C1110" s="66" t="s">
        <v>216</v>
      </c>
      <c r="D1110" s="3" t="s">
        <v>8</v>
      </c>
      <c r="E1110" s="64">
        <v>1</v>
      </c>
    </row>
    <row r="1111" spans="1:5">
      <c r="A1111" s="64" t="s">
        <v>6</v>
      </c>
      <c r="B1111" s="65">
        <v>43844</v>
      </c>
      <c r="C1111" s="66" t="s">
        <v>217</v>
      </c>
      <c r="D1111" s="3" t="s">
        <v>8</v>
      </c>
      <c r="E1111" s="64">
        <v>1</v>
      </c>
    </row>
    <row r="1112" spans="1:5">
      <c r="A1112" s="64" t="s">
        <v>6</v>
      </c>
      <c r="B1112" s="65">
        <v>43845</v>
      </c>
      <c r="C1112" s="66" t="s">
        <v>218</v>
      </c>
      <c r="D1112" s="3" t="s">
        <v>8</v>
      </c>
      <c r="E1112" s="64">
        <v>1</v>
      </c>
    </row>
    <row r="1113" spans="1:5">
      <c r="A1113" s="64" t="s">
        <v>6</v>
      </c>
      <c r="B1113" s="65">
        <v>43846</v>
      </c>
      <c r="C1113" s="66" t="s">
        <v>219</v>
      </c>
      <c r="D1113" s="3" t="s">
        <v>8</v>
      </c>
      <c r="E1113" s="64">
        <v>1</v>
      </c>
    </row>
    <row r="1114" spans="1:5">
      <c r="A1114" s="64" t="s">
        <v>6</v>
      </c>
      <c r="B1114" s="65">
        <v>43847</v>
      </c>
      <c r="C1114" s="66" t="s">
        <v>220</v>
      </c>
      <c r="D1114" s="3" t="s">
        <v>8</v>
      </c>
      <c r="E1114" s="64">
        <v>1</v>
      </c>
    </row>
    <row r="1115" spans="1:5">
      <c r="A1115" s="64" t="s">
        <v>6</v>
      </c>
      <c r="B1115" s="65">
        <v>43848</v>
      </c>
      <c r="C1115" s="66" t="s">
        <v>221</v>
      </c>
      <c r="D1115" s="3" t="s">
        <v>8</v>
      </c>
      <c r="E1115" s="64">
        <v>1</v>
      </c>
    </row>
    <row r="1116" spans="1:5">
      <c r="A1116" s="64" t="s">
        <v>6</v>
      </c>
      <c r="B1116" s="65">
        <v>43849</v>
      </c>
      <c r="C1116" s="66" t="s">
        <v>222</v>
      </c>
      <c r="D1116" s="3" t="s">
        <v>8</v>
      </c>
      <c r="E1116" s="64">
        <v>1</v>
      </c>
    </row>
    <row r="1117" spans="1:5">
      <c r="A1117" s="64" t="s">
        <v>6</v>
      </c>
      <c r="B1117" s="65">
        <v>43850</v>
      </c>
      <c r="C1117" s="66" t="s">
        <v>216</v>
      </c>
      <c r="D1117" s="3" t="s">
        <v>8</v>
      </c>
      <c r="E1117" s="64">
        <v>1</v>
      </c>
    </row>
    <row r="1118" spans="1:5">
      <c r="A1118" s="64" t="s">
        <v>6</v>
      </c>
      <c r="B1118" s="65">
        <v>43851</v>
      </c>
      <c r="C1118" s="66" t="s">
        <v>217</v>
      </c>
      <c r="D1118" s="3" t="s">
        <v>8</v>
      </c>
      <c r="E1118" s="64">
        <v>1</v>
      </c>
    </row>
    <row r="1119" spans="1:5">
      <c r="A1119" s="64" t="s">
        <v>6</v>
      </c>
      <c r="B1119" s="65">
        <v>43852</v>
      </c>
      <c r="C1119" s="66" t="s">
        <v>218</v>
      </c>
      <c r="D1119" s="3" t="s">
        <v>8</v>
      </c>
      <c r="E1119" s="64">
        <v>1</v>
      </c>
    </row>
    <row r="1120" spans="1:5">
      <c r="A1120" s="64" t="s">
        <v>6</v>
      </c>
      <c r="B1120" s="65">
        <v>43853</v>
      </c>
      <c r="C1120" s="66" t="s">
        <v>219</v>
      </c>
      <c r="D1120" s="3" t="s">
        <v>8</v>
      </c>
      <c r="E1120" s="64">
        <v>1</v>
      </c>
    </row>
    <row r="1121" spans="1:5">
      <c r="A1121" s="64" t="s">
        <v>6</v>
      </c>
      <c r="B1121" s="65">
        <v>43854</v>
      </c>
      <c r="C1121" s="66" t="s">
        <v>220</v>
      </c>
      <c r="D1121" s="3" t="s">
        <v>8</v>
      </c>
      <c r="E1121" s="64">
        <v>1</v>
      </c>
    </row>
    <row r="1122" spans="1:5">
      <c r="A1122" s="64" t="s">
        <v>6</v>
      </c>
      <c r="B1122" s="65">
        <v>43855</v>
      </c>
      <c r="C1122" s="66" t="s">
        <v>221</v>
      </c>
      <c r="D1122" s="3" t="s">
        <v>8</v>
      </c>
      <c r="E1122" s="64">
        <v>1</v>
      </c>
    </row>
    <row r="1123" spans="1:5">
      <c r="A1123" s="64" t="s">
        <v>6</v>
      </c>
      <c r="B1123" s="65">
        <v>43856</v>
      </c>
      <c r="C1123" s="66" t="s">
        <v>222</v>
      </c>
      <c r="D1123" s="3" t="s">
        <v>8</v>
      </c>
      <c r="E1123" s="64">
        <v>1</v>
      </c>
    </row>
    <row r="1124" spans="1:5">
      <c r="A1124" s="64" t="s">
        <v>6</v>
      </c>
      <c r="B1124" s="65">
        <v>43857</v>
      </c>
      <c r="C1124" s="66" t="s">
        <v>216</v>
      </c>
      <c r="D1124" s="3" t="s">
        <v>8</v>
      </c>
      <c r="E1124" s="64">
        <v>1</v>
      </c>
    </row>
    <row r="1125" spans="1:5">
      <c r="A1125" s="64" t="s">
        <v>6</v>
      </c>
      <c r="B1125" s="65">
        <v>43858</v>
      </c>
      <c r="C1125" s="66" t="s">
        <v>217</v>
      </c>
      <c r="D1125" s="3" t="s">
        <v>8</v>
      </c>
      <c r="E1125" s="64">
        <v>1</v>
      </c>
    </row>
    <row r="1126" spans="1:5">
      <c r="A1126" s="64" t="s">
        <v>6</v>
      </c>
      <c r="B1126" s="65">
        <v>43859</v>
      </c>
      <c r="C1126" s="66" t="s">
        <v>218</v>
      </c>
      <c r="D1126" s="3" t="s">
        <v>8</v>
      </c>
      <c r="E1126" s="64">
        <v>1</v>
      </c>
    </row>
    <row r="1127" spans="1:5">
      <c r="A1127" s="64" t="s">
        <v>6</v>
      </c>
      <c r="B1127" s="65">
        <v>43860</v>
      </c>
      <c r="C1127" s="66" t="s">
        <v>219</v>
      </c>
      <c r="D1127" s="3" t="s">
        <v>8</v>
      </c>
      <c r="E1127" s="64">
        <v>1</v>
      </c>
    </row>
    <row r="1128" spans="1:5">
      <c r="A1128" s="64" t="s">
        <v>6</v>
      </c>
      <c r="B1128" s="65">
        <v>43861</v>
      </c>
      <c r="C1128" s="66" t="s">
        <v>220</v>
      </c>
      <c r="D1128" s="3" t="s">
        <v>8</v>
      </c>
      <c r="E1128" s="64">
        <v>1</v>
      </c>
    </row>
    <row r="1129" spans="1:5">
      <c r="A1129" s="64" t="s">
        <v>6</v>
      </c>
      <c r="B1129" s="65">
        <v>43862</v>
      </c>
      <c r="C1129" s="66" t="s">
        <v>221</v>
      </c>
      <c r="D1129" s="3" t="s">
        <v>8</v>
      </c>
      <c r="E1129" s="64">
        <v>1</v>
      </c>
    </row>
    <row r="1130" spans="1:5">
      <c r="A1130" s="64" t="s">
        <v>6</v>
      </c>
      <c r="B1130" s="65">
        <v>43863</v>
      </c>
      <c r="C1130" s="66" t="s">
        <v>222</v>
      </c>
      <c r="D1130" s="3" t="s">
        <v>8</v>
      </c>
      <c r="E1130" s="64">
        <v>1</v>
      </c>
    </row>
    <row r="1131" spans="1:5">
      <c r="A1131" s="64" t="s">
        <v>6</v>
      </c>
      <c r="B1131" s="65">
        <v>43864</v>
      </c>
      <c r="C1131" s="66" t="s">
        <v>216</v>
      </c>
      <c r="D1131" s="3" t="s">
        <v>8</v>
      </c>
      <c r="E1131" s="64">
        <v>1</v>
      </c>
    </row>
    <row r="1132" spans="1:5">
      <c r="A1132" s="64" t="s">
        <v>6</v>
      </c>
      <c r="B1132" s="65">
        <v>43865</v>
      </c>
      <c r="C1132" s="66" t="s">
        <v>217</v>
      </c>
      <c r="D1132" s="3" t="s">
        <v>8</v>
      </c>
      <c r="E1132" s="64">
        <v>1</v>
      </c>
    </row>
    <row r="1133" spans="1:5">
      <c r="A1133" s="64" t="s">
        <v>6</v>
      </c>
      <c r="B1133" s="65">
        <v>43866</v>
      </c>
      <c r="C1133" s="66" t="s">
        <v>218</v>
      </c>
      <c r="D1133" s="3" t="s">
        <v>8</v>
      </c>
      <c r="E1133" s="64">
        <v>1</v>
      </c>
    </row>
    <row r="1134" spans="1:5">
      <c r="A1134" s="64" t="s">
        <v>6</v>
      </c>
      <c r="B1134" s="65">
        <v>43867</v>
      </c>
      <c r="C1134" s="66" t="s">
        <v>219</v>
      </c>
      <c r="D1134" s="3" t="s">
        <v>8</v>
      </c>
      <c r="E1134" s="64">
        <v>1</v>
      </c>
    </row>
    <row r="1135" spans="1:5">
      <c r="A1135" s="64" t="s">
        <v>6</v>
      </c>
      <c r="B1135" s="65">
        <v>43868</v>
      </c>
      <c r="C1135" s="66" t="s">
        <v>220</v>
      </c>
      <c r="D1135" s="3" t="s">
        <v>8</v>
      </c>
      <c r="E1135" s="64">
        <v>1</v>
      </c>
    </row>
    <row r="1136" spans="1:5">
      <c r="A1136" s="64" t="s">
        <v>6</v>
      </c>
      <c r="B1136" s="65">
        <v>43869</v>
      </c>
      <c r="C1136" s="66" t="s">
        <v>221</v>
      </c>
      <c r="D1136" s="3" t="s">
        <v>8</v>
      </c>
      <c r="E1136" s="64">
        <v>1</v>
      </c>
    </row>
    <row r="1137" spans="1:5">
      <c r="A1137" s="64" t="s">
        <v>6</v>
      </c>
      <c r="B1137" s="65">
        <v>43870</v>
      </c>
      <c r="C1137" s="66" t="s">
        <v>222</v>
      </c>
      <c r="D1137" s="3" t="s">
        <v>8</v>
      </c>
      <c r="E1137" s="64">
        <v>1</v>
      </c>
    </row>
    <row r="1138" spans="1:5">
      <c r="A1138" s="64" t="s">
        <v>6</v>
      </c>
      <c r="B1138" s="65">
        <v>43871</v>
      </c>
      <c r="C1138" s="66" t="s">
        <v>216</v>
      </c>
      <c r="D1138" s="3" t="s">
        <v>8</v>
      </c>
      <c r="E1138" s="64">
        <v>1</v>
      </c>
    </row>
    <row r="1139" spans="1:5">
      <c r="A1139" s="64" t="s">
        <v>6</v>
      </c>
      <c r="B1139" s="65">
        <v>43536</v>
      </c>
      <c r="C1139" s="66" t="s">
        <v>217</v>
      </c>
      <c r="D1139" s="3" t="s">
        <v>9</v>
      </c>
      <c r="E1139" s="64">
        <v>1</v>
      </c>
    </row>
    <row r="1140" spans="1:5">
      <c r="A1140" s="64" t="s">
        <v>6</v>
      </c>
      <c r="B1140" s="65">
        <v>43537</v>
      </c>
      <c r="C1140" s="66" t="s">
        <v>218</v>
      </c>
      <c r="D1140" s="3" t="s">
        <v>9</v>
      </c>
      <c r="E1140" s="64">
        <v>1</v>
      </c>
    </row>
    <row r="1141" spans="1:5">
      <c r="A1141" s="64" t="s">
        <v>6</v>
      </c>
      <c r="B1141" s="65">
        <v>43538</v>
      </c>
      <c r="C1141" s="66" t="s">
        <v>219</v>
      </c>
      <c r="D1141" s="3" t="s">
        <v>9</v>
      </c>
      <c r="E1141" s="64">
        <v>1</v>
      </c>
    </row>
    <row r="1142" spans="1:5">
      <c r="A1142" s="64" t="s">
        <v>6</v>
      </c>
      <c r="B1142" s="65">
        <v>43539</v>
      </c>
      <c r="C1142" s="66" t="s">
        <v>220</v>
      </c>
      <c r="D1142" s="3" t="s">
        <v>9</v>
      </c>
      <c r="E1142" s="64">
        <v>1</v>
      </c>
    </row>
    <row r="1143" spans="1:5">
      <c r="A1143" s="64" t="s">
        <v>6</v>
      </c>
      <c r="B1143" s="65">
        <v>43540</v>
      </c>
      <c r="C1143" s="66" t="s">
        <v>221</v>
      </c>
      <c r="D1143" s="3" t="s">
        <v>9</v>
      </c>
      <c r="E1143" s="64">
        <v>1</v>
      </c>
    </row>
    <row r="1144" spans="1:5">
      <c r="A1144" s="64" t="s">
        <v>6</v>
      </c>
      <c r="B1144" s="65">
        <v>43541</v>
      </c>
      <c r="C1144" s="66" t="s">
        <v>222</v>
      </c>
      <c r="D1144" s="3" t="s">
        <v>9</v>
      </c>
      <c r="E1144" s="64">
        <v>1</v>
      </c>
    </row>
    <row r="1145" spans="1:5">
      <c r="A1145" s="64" t="s">
        <v>6</v>
      </c>
      <c r="B1145" s="65">
        <v>43542</v>
      </c>
      <c r="C1145" s="66" t="s">
        <v>216</v>
      </c>
      <c r="D1145" s="3" t="s">
        <v>9</v>
      </c>
      <c r="E1145" s="64">
        <v>1</v>
      </c>
    </row>
    <row r="1146" spans="1:5">
      <c r="A1146" s="64" t="s">
        <v>6</v>
      </c>
      <c r="B1146" s="65">
        <v>43543</v>
      </c>
      <c r="C1146" s="66" t="s">
        <v>217</v>
      </c>
      <c r="D1146" s="3" t="s">
        <v>9</v>
      </c>
      <c r="E1146" s="64">
        <v>1</v>
      </c>
    </row>
    <row r="1147" spans="1:5">
      <c r="A1147" s="64" t="s">
        <v>6</v>
      </c>
      <c r="B1147" s="65">
        <v>43544</v>
      </c>
      <c r="C1147" s="66" t="s">
        <v>218</v>
      </c>
      <c r="D1147" s="3" t="s">
        <v>9</v>
      </c>
      <c r="E1147" s="64">
        <v>1</v>
      </c>
    </row>
    <row r="1148" spans="1:5">
      <c r="A1148" s="64" t="s">
        <v>6</v>
      </c>
      <c r="B1148" s="65">
        <v>43545</v>
      </c>
      <c r="C1148" s="66" t="s">
        <v>219</v>
      </c>
      <c r="D1148" s="3" t="s">
        <v>9</v>
      </c>
      <c r="E1148" s="64">
        <v>1</v>
      </c>
    </row>
    <row r="1149" spans="1:5">
      <c r="A1149" s="64" t="s">
        <v>6</v>
      </c>
      <c r="B1149" s="65">
        <v>43546</v>
      </c>
      <c r="C1149" s="66" t="s">
        <v>220</v>
      </c>
      <c r="D1149" s="3" t="s">
        <v>9</v>
      </c>
      <c r="E1149" s="64">
        <v>1</v>
      </c>
    </row>
    <row r="1150" spans="1:5">
      <c r="A1150" s="64" t="s">
        <v>6</v>
      </c>
      <c r="B1150" s="65">
        <v>43547</v>
      </c>
      <c r="C1150" s="66" t="s">
        <v>221</v>
      </c>
      <c r="D1150" s="3" t="s">
        <v>9</v>
      </c>
      <c r="E1150" s="64">
        <v>1</v>
      </c>
    </row>
    <row r="1151" spans="1:5">
      <c r="A1151" s="64" t="s">
        <v>6</v>
      </c>
      <c r="B1151" s="65">
        <v>43548</v>
      </c>
      <c r="C1151" s="66" t="s">
        <v>222</v>
      </c>
      <c r="D1151" s="3" t="s">
        <v>9</v>
      </c>
      <c r="E1151" s="64">
        <v>1</v>
      </c>
    </row>
    <row r="1152" spans="1:5">
      <c r="A1152" s="64" t="s">
        <v>6</v>
      </c>
      <c r="B1152" s="65">
        <v>43549</v>
      </c>
      <c r="C1152" s="66" t="s">
        <v>216</v>
      </c>
      <c r="D1152" s="3" t="s">
        <v>9</v>
      </c>
      <c r="E1152" s="64">
        <v>1</v>
      </c>
    </row>
    <row r="1153" spans="1:5">
      <c r="A1153" s="64" t="s">
        <v>6</v>
      </c>
      <c r="B1153" s="65">
        <v>43550</v>
      </c>
      <c r="C1153" s="66" t="s">
        <v>217</v>
      </c>
      <c r="D1153" s="3" t="s">
        <v>9</v>
      </c>
      <c r="E1153" s="64">
        <v>1</v>
      </c>
    </row>
    <row r="1154" spans="1:5">
      <c r="A1154" s="64" t="s">
        <v>6</v>
      </c>
      <c r="B1154" s="65">
        <v>43551</v>
      </c>
      <c r="C1154" s="66" t="s">
        <v>218</v>
      </c>
      <c r="D1154" s="3" t="s">
        <v>9</v>
      </c>
      <c r="E1154" s="64">
        <v>1</v>
      </c>
    </row>
    <row r="1155" spans="1:5">
      <c r="A1155" s="64" t="s">
        <v>6</v>
      </c>
      <c r="B1155" s="65">
        <v>43552</v>
      </c>
      <c r="C1155" s="66" t="s">
        <v>219</v>
      </c>
      <c r="D1155" s="3" t="s">
        <v>9</v>
      </c>
      <c r="E1155" s="64">
        <v>1</v>
      </c>
    </row>
    <row r="1156" spans="1:5">
      <c r="A1156" s="64" t="s">
        <v>6</v>
      </c>
      <c r="B1156" s="65">
        <v>43553</v>
      </c>
      <c r="C1156" s="66" t="s">
        <v>220</v>
      </c>
      <c r="D1156" s="3" t="s">
        <v>9</v>
      </c>
      <c r="E1156" s="64">
        <v>1</v>
      </c>
    </row>
    <row r="1157" spans="1:5">
      <c r="A1157" s="64" t="s">
        <v>6</v>
      </c>
      <c r="B1157" s="65">
        <v>43554</v>
      </c>
      <c r="C1157" s="66" t="s">
        <v>221</v>
      </c>
      <c r="D1157" s="3" t="s">
        <v>9</v>
      </c>
      <c r="E1157" s="64">
        <v>1</v>
      </c>
    </row>
    <row r="1158" spans="1:5">
      <c r="A1158" s="64" t="s">
        <v>6</v>
      </c>
      <c r="B1158" s="65">
        <v>43555</v>
      </c>
      <c r="C1158" s="66" t="s">
        <v>222</v>
      </c>
      <c r="D1158" s="3" t="s">
        <v>9</v>
      </c>
      <c r="E1158" s="64">
        <v>1</v>
      </c>
    </row>
    <row r="1159" spans="1:5">
      <c r="A1159" s="64" t="s">
        <v>6</v>
      </c>
      <c r="B1159" s="65">
        <v>43556</v>
      </c>
      <c r="C1159" s="66" t="s">
        <v>216</v>
      </c>
      <c r="D1159" s="3" t="s">
        <v>9</v>
      </c>
      <c r="E1159" s="64">
        <v>1</v>
      </c>
    </row>
    <row r="1160" spans="1:5">
      <c r="A1160" s="64" t="s">
        <v>6</v>
      </c>
      <c r="B1160" s="65">
        <v>43557</v>
      </c>
      <c r="C1160" s="66" t="s">
        <v>217</v>
      </c>
      <c r="D1160" s="3" t="s">
        <v>9</v>
      </c>
      <c r="E1160" s="64">
        <v>1</v>
      </c>
    </row>
    <row r="1161" spans="1:5">
      <c r="A1161" s="64" t="s">
        <v>6</v>
      </c>
      <c r="B1161" s="65">
        <v>43558</v>
      </c>
      <c r="C1161" s="66" t="s">
        <v>218</v>
      </c>
      <c r="D1161" s="3" t="s">
        <v>9</v>
      </c>
      <c r="E1161" s="64">
        <v>1</v>
      </c>
    </row>
    <row r="1162" spans="1:5">
      <c r="A1162" s="64" t="s">
        <v>6</v>
      </c>
      <c r="B1162" s="65">
        <v>43559</v>
      </c>
      <c r="C1162" s="66" t="s">
        <v>219</v>
      </c>
      <c r="D1162" s="3" t="s">
        <v>9</v>
      </c>
      <c r="E1162" s="64">
        <v>1</v>
      </c>
    </row>
    <row r="1163" spans="1:5">
      <c r="A1163" s="64" t="s">
        <v>6</v>
      </c>
      <c r="B1163" s="65">
        <v>43560</v>
      </c>
      <c r="C1163" s="66" t="s">
        <v>220</v>
      </c>
      <c r="D1163" s="3" t="s">
        <v>9</v>
      </c>
      <c r="E1163" s="64">
        <v>1</v>
      </c>
    </row>
    <row r="1164" spans="1:5">
      <c r="A1164" s="64" t="s">
        <v>6</v>
      </c>
      <c r="B1164" s="65">
        <v>43561</v>
      </c>
      <c r="C1164" s="66" t="s">
        <v>221</v>
      </c>
      <c r="D1164" s="3" t="s">
        <v>9</v>
      </c>
      <c r="E1164" s="64">
        <v>1</v>
      </c>
    </row>
    <row r="1165" spans="1:5">
      <c r="A1165" s="64" t="s">
        <v>6</v>
      </c>
      <c r="B1165" s="65">
        <v>43562</v>
      </c>
      <c r="C1165" s="66" t="s">
        <v>222</v>
      </c>
      <c r="D1165" s="3" t="s">
        <v>9</v>
      </c>
      <c r="E1165" s="64">
        <v>1</v>
      </c>
    </row>
    <row r="1166" spans="1:5">
      <c r="A1166" s="64" t="s">
        <v>6</v>
      </c>
      <c r="B1166" s="65">
        <v>43563</v>
      </c>
      <c r="C1166" s="66" t="s">
        <v>216</v>
      </c>
      <c r="D1166" s="3" t="s">
        <v>9</v>
      </c>
      <c r="E1166" s="64">
        <v>1</v>
      </c>
    </row>
    <row r="1167" spans="1:5">
      <c r="A1167" s="64" t="s">
        <v>6</v>
      </c>
      <c r="B1167" s="65">
        <v>43564</v>
      </c>
      <c r="C1167" s="66" t="s">
        <v>217</v>
      </c>
      <c r="D1167" s="3" t="s">
        <v>9</v>
      </c>
      <c r="E1167" s="64">
        <v>1</v>
      </c>
    </row>
    <row r="1168" spans="1:5">
      <c r="A1168" s="64" t="s">
        <v>6</v>
      </c>
      <c r="B1168" s="65">
        <v>43565</v>
      </c>
      <c r="C1168" s="66" t="s">
        <v>218</v>
      </c>
      <c r="D1168" s="3" t="s">
        <v>9</v>
      </c>
      <c r="E1168" s="64">
        <v>1</v>
      </c>
    </row>
    <row r="1169" spans="1:5">
      <c r="A1169" s="64" t="s">
        <v>6</v>
      </c>
      <c r="B1169" s="65">
        <v>43566</v>
      </c>
      <c r="C1169" s="66" t="s">
        <v>219</v>
      </c>
      <c r="D1169" s="3" t="s">
        <v>9</v>
      </c>
      <c r="E1169" s="64">
        <v>1</v>
      </c>
    </row>
    <row r="1170" spans="1:5">
      <c r="A1170" s="64" t="s">
        <v>6</v>
      </c>
      <c r="B1170" s="65">
        <v>43567</v>
      </c>
      <c r="C1170" s="66" t="s">
        <v>220</v>
      </c>
      <c r="D1170" s="3" t="s">
        <v>9</v>
      </c>
      <c r="E1170" s="64">
        <v>1</v>
      </c>
    </row>
    <row r="1171" spans="1:5">
      <c r="A1171" s="64" t="s">
        <v>6</v>
      </c>
      <c r="B1171" s="65">
        <v>43568</v>
      </c>
      <c r="C1171" s="66" t="s">
        <v>221</v>
      </c>
      <c r="D1171" s="3" t="s">
        <v>9</v>
      </c>
      <c r="E1171" s="64">
        <v>1</v>
      </c>
    </row>
    <row r="1172" spans="1:5">
      <c r="A1172" s="64" t="s">
        <v>6</v>
      </c>
      <c r="B1172" s="65">
        <v>43569</v>
      </c>
      <c r="C1172" s="66" t="s">
        <v>222</v>
      </c>
      <c r="D1172" s="3" t="s">
        <v>9</v>
      </c>
      <c r="E1172" s="64">
        <v>1</v>
      </c>
    </row>
    <row r="1173" spans="1:5">
      <c r="A1173" s="64" t="s">
        <v>6</v>
      </c>
      <c r="B1173" s="65">
        <v>43570</v>
      </c>
      <c r="C1173" s="66" t="s">
        <v>216</v>
      </c>
      <c r="D1173" s="3" t="s">
        <v>9</v>
      </c>
      <c r="E1173" s="64">
        <v>1</v>
      </c>
    </row>
    <row r="1174" spans="1:5">
      <c r="A1174" s="64" t="s">
        <v>6</v>
      </c>
      <c r="B1174" s="65">
        <v>43571</v>
      </c>
      <c r="C1174" s="66" t="s">
        <v>217</v>
      </c>
      <c r="D1174" s="3" t="s">
        <v>9</v>
      </c>
      <c r="E1174" s="64">
        <v>1</v>
      </c>
    </row>
    <row r="1175" spans="1:5">
      <c r="A1175" s="64" t="s">
        <v>6</v>
      </c>
      <c r="B1175" s="65">
        <v>43572</v>
      </c>
      <c r="C1175" s="66" t="s">
        <v>218</v>
      </c>
      <c r="D1175" s="3" t="s">
        <v>9</v>
      </c>
      <c r="E1175" s="64">
        <v>1</v>
      </c>
    </row>
    <row r="1176" spans="1:5">
      <c r="A1176" s="64" t="s">
        <v>6</v>
      </c>
      <c r="B1176" s="65">
        <v>43573</v>
      </c>
      <c r="C1176" s="66" t="s">
        <v>219</v>
      </c>
      <c r="D1176" s="3" t="s">
        <v>9</v>
      </c>
      <c r="E1176" s="64">
        <v>1</v>
      </c>
    </row>
    <row r="1177" spans="1:5">
      <c r="A1177" s="64" t="s">
        <v>6</v>
      </c>
      <c r="B1177" s="65">
        <v>43574</v>
      </c>
      <c r="C1177" s="66" t="s">
        <v>220</v>
      </c>
      <c r="D1177" s="3" t="s">
        <v>9</v>
      </c>
      <c r="E1177" s="64">
        <v>1</v>
      </c>
    </row>
    <row r="1178" spans="1:5">
      <c r="A1178" s="64" t="s">
        <v>6</v>
      </c>
      <c r="B1178" s="65">
        <v>43575</v>
      </c>
      <c r="C1178" s="66" t="s">
        <v>221</v>
      </c>
      <c r="D1178" s="3" t="s">
        <v>9</v>
      </c>
      <c r="E1178" s="64">
        <v>1</v>
      </c>
    </row>
    <row r="1179" spans="1:5">
      <c r="A1179" s="64" t="s">
        <v>6</v>
      </c>
      <c r="B1179" s="65">
        <v>43576</v>
      </c>
      <c r="C1179" s="66" t="s">
        <v>222</v>
      </c>
      <c r="D1179" s="3" t="s">
        <v>9</v>
      </c>
      <c r="E1179" s="64">
        <v>1</v>
      </c>
    </row>
    <row r="1180" spans="1:5">
      <c r="A1180" s="64" t="s">
        <v>6</v>
      </c>
      <c r="B1180" s="65">
        <v>43577</v>
      </c>
      <c r="C1180" s="66" t="s">
        <v>216</v>
      </c>
      <c r="D1180" s="3" t="s">
        <v>9</v>
      </c>
      <c r="E1180" s="64">
        <v>1</v>
      </c>
    </row>
    <row r="1181" spans="1:5">
      <c r="A1181" s="64" t="s">
        <v>6</v>
      </c>
      <c r="B1181" s="65">
        <v>43578</v>
      </c>
      <c r="C1181" s="66" t="s">
        <v>217</v>
      </c>
      <c r="D1181" s="3" t="s">
        <v>9</v>
      </c>
      <c r="E1181" s="64">
        <v>1</v>
      </c>
    </row>
    <row r="1182" spans="1:5">
      <c r="A1182" s="64" t="s">
        <v>6</v>
      </c>
      <c r="B1182" s="65">
        <v>43579</v>
      </c>
      <c r="C1182" s="66" t="s">
        <v>218</v>
      </c>
      <c r="D1182" s="3" t="s">
        <v>9</v>
      </c>
      <c r="E1182" s="64">
        <v>1</v>
      </c>
    </row>
    <row r="1183" spans="1:5">
      <c r="A1183" s="64" t="s">
        <v>6</v>
      </c>
      <c r="B1183" s="65">
        <v>43580</v>
      </c>
      <c r="C1183" s="66" t="s">
        <v>219</v>
      </c>
      <c r="D1183" s="3" t="s">
        <v>9</v>
      </c>
      <c r="E1183" s="64">
        <v>1</v>
      </c>
    </row>
    <row r="1184" spans="1:5">
      <c r="A1184" s="64" t="s">
        <v>6</v>
      </c>
      <c r="B1184" s="65">
        <v>43581</v>
      </c>
      <c r="C1184" s="66" t="s">
        <v>220</v>
      </c>
      <c r="D1184" s="3" t="s">
        <v>9</v>
      </c>
      <c r="E1184" s="64">
        <v>1</v>
      </c>
    </row>
    <row r="1185" spans="1:5">
      <c r="A1185" s="64" t="s">
        <v>6</v>
      </c>
      <c r="B1185" s="65">
        <v>43582</v>
      </c>
      <c r="C1185" s="66" t="s">
        <v>221</v>
      </c>
      <c r="D1185" s="3" t="s">
        <v>9</v>
      </c>
      <c r="E1185" s="64">
        <v>1</v>
      </c>
    </row>
    <row r="1186" spans="1:5">
      <c r="A1186" s="64" t="s">
        <v>6</v>
      </c>
      <c r="B1186" s="65">
        <v>43583</v>
      </c>
      <c r="C1186" s="66" t="s">
        <v>222</v>
      </c>
      <c r="D1186" s="3" t="s">
        <v>9</v>
      </c>
      <c r="E1186" s="64">
        <v>1</v>
      </c>
    </row>
    <row r="1187" spans="1:5">
      <c r="A1187" s="64" t="s">
        <v>6</v>
      </c>
      <c r="B1187" s="65">
        <v>43584</v>
      </c>
      <c r="C1187" s="66" t="s">
        <v>216</v>
      </c>
      <c r="D1187" s="3" t="s">
        <v>9</v>
      </c>
      <c r="E1187" s="64">
        <v>1</v>
      </c>
    </row>
    <row r="1188" spans="1:5">
      <c r="A1188" s="64" t="s">
        <v>6</v>
      </c>
      <c r="B1188" s="65">
        <v>43585</v>
      </c>
      <c r="C1188" s="66" t="s">
        <v>217</v>
      </c>
      <c r="D1188" s="3" t="s">
        <v>9</v>
      </c>
      <c r="E1188" s="64">
        <v>1</v>
      </c>
    </row>
    <row r="1189" spans="1:5">
      <c r="A1189" s="64" t="s">
        <v>6</v>
      </c>
      <c r="B1189" s="65">
        <v>43586</v>
      </c>
      <c r="C1189" s="66" t="s">
        <v>218</v>
      </c>
      <c r="D1189" s="3" t="s">
        <v>9</v>
      </c>
      <c r="E1189" s="64">
        <v>1</v>
      </c>
    </row>
    <row r="1190" spans="1:5">
      <c r="A1190" s="64" t="s">
        <v>6</v>
      </c>
      <c r="B1190" s="65">
        <v>43587</v>
      </c>
      <c r="C1190" s="66" t="s">
        <v>219</v>
      </c>
      <c r="D1190" s="3" t="s">
        <v>9</v>
      </c>
      <c r="E1190" s="64">
        <v>1</v>
      </c>
    </row>
    <row r="1191" spans="1:5">
      <c r="A1191" s="64" t="s">
        <v>6</v>
      </c>
      <c r="B1191" s="65">
        <v>43588</v>
      </c>
      <c r="C1191" s="66" t="s">
        <v>220</v>
      </c>
      <c r="D1191" s="3" t="s">
        <v>9</v>
      </c>
      <c r="E1191" s="64">
        <v>1</v>
      </c>
    </row>
    <row r="1192" spans="1:5">
      <c r="A1192" s="64" t="s">
        <v>6</v>
      </c>
      <c r="B1192" s="65">
        <v>43589</v>
      </c>
      <c r="C1192" s="66" t="s">
        <v>221</v>
      </c>
      <c r="D1192" s="3" t="s">
        <v>9</v>
      </c>
      <c r="E1192" s="64">
        <v>1</v>
      </c>
    </row>
    <row r="1193" spans="1:5">
      <c r="A1193" s="64" t="s">
        <v>6</v>
      </c>
      <c r="B1193" s="65">
        <v>43590</v>
      </c>
      <c r="C1193" s="66" t="s">
        <v>222</v>
      </c>
      <c r="D1193" s="3" t="s">
        <v>9</v>
      </c>
      <c r="E1193" s="64">
        <v>1</v>
      </c>
    </row>
    <row r="1194" spans="1:5">
      <c r="A1194" s="64" t="s">
        <v>6</v>
      </c>
      <c r="B1194" s="65">
        <v>43591</v>
      </c>
      <c r="C1194" s="66" t="s">
        <v>216</v>
      </c>
      <c r="D1194" s="3" t="s">
        <v>9</v>
      </c>
      <c r="E1194" s="64">
        <v>1</v>
      </c>
    </row>
    <row r="1195" spans="1:5">
      <c r="A1195" s="64" t="s">
        <v>6</v>
      </c>
      <c r="B1195" s="65">
        <v>43592</v>
      </c>
      <c r="C1195" s="66" t="s">
        <v>217</v>
      </c>
      <c r="D1195" s="3" t="s">
        <v>9</v>
      </c>
      <c r="E1195" s="64">
        <v>1</v>
      </c>
    </row>
    <row r="1196" spans="1:5">
      <c r="A1196" s="64" t="s">
        <v>6</v>
      </c>
      <c r="B1196" s="65">
        <v>43593</v>
      </c>
      <c r="C1196" s="66" t="s">
        <v>218</v>
      </c>
      <c r="D1196" s="3" t="s">
        <v>9</v>
      </c>
      <c r="E1196" s="64">
        <v>1</v>
      </c>
    </row>
    <row r="1197" spans="1:5">
      <c r="A1197" s="64" t="s">
        <v>6</v>
      </c>
      <c r="B1197" s="65">
        <v>43594</v>
      </c>
      <c r="C1197" s="66" t="s">
        <v>219</v>
      </c>
      <c r="D1197" s="3" t="s">
        <v>9</v>
      </c>
      <c r="E1197" s="64">
        <v>1</v>
      </c>
    </row>
    <row r="1198" spans="1:5">
      <c r="A1198" s="64" t="s">
        <v>6</v>
      </c>
      <c r="B1198" s="65">
        <v>43595</v>
      </c>
      <c r="C1198" s="66" t="s">
        <v>220</v>
      </c>
      <c r="D1198" s="3" t="s">
        <v>9</v>
      </c>
      <c r="E1198" s="64">
        <v>1</v>
      </c>
    </row>
    <row r="1199" spans="1:5">
      <c r="A1199" s="64" t="s">
        <v>6</v>
      </c>
      <c r="B1199" s="65">
        <v>43596</v>
      </c>
      <c r="C1199" s="66" t="s">
        <v>221</v>
      </c>
      <c r="D1199" s="3" t="s">
        <v>9</v>
      </c>
      <c r="E1199" s="64">
        <v>1</v>
      </c>
    </row>
    <row r="1200" spans="1:5">
      <c r="A1200" s="64" t="s">
        <v>6</v>
      </c>
      <c r="B1200" s="65">
        <v>43597</v>
      </c>
      <c r="C1200" s="66" t="s">
        <v>222</v>
      </c>
      <c r="D1200" s="3" t="s">
        <v>9</v>
      </c>
      <c r="E1200" s="64">
        <v>1</v>
      </c>
    </row>
    <row r="1201" spans="1:5">
      <c r="A1201" s="64" t="s">
        <v>6</v>
      </c>
      <c r="B1201" s="65">
        <v>43598</v>
      </c>
      <c r="C1201" s="66" t="s">
        <v>216</v>
      </c>
      <c r="D1201" s="3" t="s">
        <v>9</v>
      </c>
      <c r="E1201" s="64">
        <v>1</v>
      </c>
    </row>
    <row r="1202" spans="1:5">
      <c r="A1202" s="64" t="s">
        <v>6</v>
      </c>
      <c r="B1202" s="65">
        <v>43599</v>
      </c>
      <c r="C1202" s="66" t="s">
        <v>217</v>
      </c>
      <c r="D1202" s="3" t="s">
        <v>9</v>
      </c>
      <c r="E1202" s="64">
        <v>1</v>
      </c>
    </row>
    <row r="1203" spans="1:5">
      <c r="A1203" s="64" t="s">
        <v>6</v>
      </c>
      <c r="B1203" s="65">
        <v>43600</v>
      </c>
      <c r="C1203" s="66" t="s">
        <v>218</v>
      </c>
      <c r="D1203" s="3" t="s">
        <v>9</v>
      </c>
      <c r="E1203" s="64">
        <v>1</v>
      </c>
    </row>
    <row r="1204" spans="1:5">
      <c r="A1204" s="64" t="s">
        <v>6</v>
      </c>
      <c r="B1204" s="65">
        <v>43601</v>
      </c>
      <c r="C1204" s="66" t="s">
        <v>219</v>
      </c>
      <c r="D1204" s="3" t="s">
        <v>9</v>
      </c>
      <c r="E1204" s="64">
        <v>1</v>
      </c>
    </row>
    <row r="1205" spans="1:5">
      <c r="A1205" s="64" t="s">
        <v>6</v>
      </c>
      <c r="B1205" s="65">
        <v>43602</v>
      </c>
      <c r="C1205" s="66" t="s">
        <v>220</v>
      </c>
      <c r="D1205" s="3" t="s">
        <v>9</v>
      </c>
      <c r="E1205" s="64">
        <v>1</v>
      </c>
    </row>
    <row r="1206" spans="1:5">
      <c r="A1206" s="64" t="s">
        <v>6</v>
      </c>
      <c r="B1206" s="65">
        <v>43603</v>
      </c>
      <c r="C1206" s="66" t="s">
        <v>221</v>
      </c>
      <c r="D1206" s="3" t="s">
        <v>9</v>
      </c>
      <c r="E1206" s="64">
        <v>1</v>
      </c>
    </row>
    <row r="1207" spans="1:5">
      <c r="A1207" s="64" t="s">
        <v>6</v>
      </c>
      <c r="B1207" s="65">
        <v>43604</v>
      </c>
      <c r="C1207" s="66" t="s">
        <v>222</v>
      </c>
      <c r="D1207" s="3" t="s">
        <v>9</v>
      </c>
      <c r="E1207" s="64">
        <v>1</v>
      </c>
    </row>
    <row r="1208" spans="1:5">
      <c r="A1208" s="64" t="s">
        <v>6</v>
      </c>
      <c r="B1208" s="65">
        <v>43605</v>
      </c>
      <c r="C1208" s="66" t="s">
        <v>216</v>
      </c>
      <c r="D1208" s="3" t="s">
        <v>9</v>
      </c>
      <c r="E1208" s="64">
        <v>1</v>
      </c>
    </row>
    <row r="1209" spans="1:5">
      <c r="A1209" s="64" t="s">
        <v>6</v>
      </c>
      <c r="B1209" s="65">
        <v>43606</v>
      </c>
      <c r="C1209" s="66" t="s">
        <v>217</v>
      </c>
      <c r="D1209" s="3" t="s">
        <v>9</v>
      </c>
      <c r="E1209" s="64">
        <v>1</v>
      </c>
    </row>
    <row r="1210" spans="1:5">
      <c r="A1210" s="64" t="s">
        <v>6</v>
      </c>
      <c r="B1210" s="65">
        <v>43607</v>
      </c>
      <c r="C1210" s="66" t="s">
        <v>218</v>
      </c>
      <c r="D1210" s="3" t="s">
        <v>9</v>
      </c>
      <c r="E1210" s="64">
        <v>1</v>
      </c>
    </row>
    <row r="1211" spans="1:5">
      <c r="A1211" s="64" t="s">
        <v>6</v>
      </c>
      <c r="B1211" s="65">
        <v>43608</v>
      </c>
      <c r="C1211" s="66" t="s">
        <v>219</v>
      </c>
      <c r="D1211" s="3" t="s">
        <v>9</v>
      </c>
      <c r="E1211" s="64">
        <v>1</v>
      </c>
    </row>
    <row r="1212" spans="1:5">
      <c r="A1212" s="64" t="s">
        <v>6</v>
      </c>
      <c r="B1212" s="65">
        <v>43609</v>
      </c>
      <c r="C1212" s="66" t="s">
        <v>220</v>
      </c>
      <c r="D1212" s="3" t="s">
        <v>9</v>
      </c>
      <c r="E1212" s="64">
        <v>1</v>
      </c>
    </row>
    <row r="1213" spans="1:5">
      <c r="A1213" s="64" t="s">
        <v>6</v>
      </c>
      <c r="B1213" s="65">
        <v>43610</v>
      </c>
      <c r="C1213" s="66" t="s">
        <v>221</v>
      </c>
      <c r="D1213" s="3" t="s">
        <v>9</v>
      </c>
      <c r="E1213" s="64">
        <v>1</v>
      </c>
    </row>
    <row r="1214" spans="1:5">
      <c r="A1214" s="64" t="s">
        <v>6</v>
      </c>
      <c r="B1214" s="65">
        <v>43611</v>
      </c>
      <c r="C1214" s="66" t="s">
        <v>222</v>
      </c>
      <c r="D1214" s="3" t="s">
        <v>9</v>
      </c>
      <c r="E1214" s="64">
        <v>1</v>
      </c>
    </row>
    <row r="1215" spans="1:5">
      <c r="A1215" s="64" t="s">
        <v>6</v>
      </c>
      <c r="B1215" s="65">
        <v>43612</v>
      </c>
      <c r="C1215" s="66" t="s">
        <v>216</v>
      </c>
      <c r="D1215" s="3" t="s">
        <v>9</v>
      </c>
      <c r="E1215" s="64">
        <v>1</v>
      </c>
    </row>
    <row r="1216" spans="1:5">
      <c r="A1216" s="64" t="s">
        <v>6</v>
      </c>
      <c r="B1216" s="65">
        <v>43613</v>
      </c>
      <c r="C1216" s="66" t="s">
        <v>217</v>
      </c>
      <c r="D1216" s="3" t="s">
        <v>9</v>
      </c>
      <c r="E1216" s="64">
        <v>1</v>
      </c>
    </row>
    <row r="1217" spans="1:5">
      <c r="A1217" s="64" t="s">
        <v>6</v>
      </c>
      <c r="B1217" s="65">
        <v>43614</v>
      </c>
      <c r="C1217" s="66" t="s">
        <v>218</v>
      </c>
      <c r="D1217" s="3" t="s">
        <v>9</v>
      </c>
      <c r="E1217" s="64">
        <v>1</v>
      </c>
    </row>
    <row r="1218" spans="1:5">
      <c r="A1218" s="64" t="s">
        <v>6</v>
      </c>
      <c r="B1218" s="65">
        <v>43615</v>
      </c>
      <c r="C1218" s="66" t="s">
        <v>219</v>
      </c>
      <c r="D1218" s="3" t="s">
        <v>9</v>
      </c>
      <c r="E1218" s="64">
        <v>1</v>
      </c>
    </row>
    <row r="1219" spans="1:5">
      <c r="A1219" s="64" t="s">
        <v>6</v>
      </c>
      <c r="B1219" s="65">
        <v>43616</v>
      </c>
      <c r="C1219" s="66" t="s">
        <v>220</v>
      </c>
      <c r="D1219" s="3" t="s">
        <v>9</v>
      </c>
      <c r="E1219" s="64">
        <v>1</v>
      </c>
    </row>
    <row r="1220" spans="1:5">
      <c r="A1220" s="64" t="s">
        <v>6</v>
      </c>
      <c r="B1220" s="65">
        <v>43617</v>
      </c>
      <c r="C1220" s="66" t="s">
        <v>221</v>
      </c>
      <c r="D1220" s="3" t="s">
        <v>9</v>
      </c>
      <c r="E1220" s="64">
        <v>1</v>
      </c>
    </row>
    <row r="1221" spans="1:5">
      <c r="A1221" s="64" t="s">
        <v>6</v>
      </c>
      <c r="B1221" s="65">
        <v>43618</v>
      </c>
      <c r="C1221" s="66" t="s">
        <v>222</v>
      </c>
      <c r="D1221" s="3" t="s">
        <v>9</v>
      </c>
      <c r="E1221" s="64">
        <v>1</v>
      </c>
    </row>
    <row r="1222" spans="1:5">
      <c r="A1222" s="64" t="s">
        <v>6</v>
      </c>
      <c r="B1222" s="65">
        <v>43619</v>
      </c>
      <c r="C1222" s="66" t="s">
        <v>216</v>
      </c>
      <c r="D1222" s="3" t="s">
        <v>9</v>
      </c>
      <c r="E1222" s="64">
        <v>1</v>
      </c>
    </row>
    <row r="1223" spans="1:5">
      <c r="A1223" s="64" t="s">
        <v>6</v>
      </c>
      <c r="B1223" s="65">
        <v>43620</v>
      </c>
      <c r="C1223" s="66" t="s">
        <v>217</v>
      </c>
      <c r="D1223" s="3" t="s">
        <v>9</v>
      </c>
      <c r="E1223" s="64">
        <v>1</v>
      </c>
    </row>
    <row r="1224" spans="1:5">
      <c r="A1224" s="64" t="s">
        <v>6</v>
      </c>
      <c r="B1224" s="65">
        <v>43621</v>
      </c>
      <c r="C1224" s="66" t="s">
        <v>218</v>
      </c>
      <c r="D1224" s="3" t="s">
        <v>9</v>
      </c>
      <c r="E1224" s="64">
        <v>1</v>
      </c>
    </row>
    <row r="1225" spans="1:5">
      <c r="A1225" s="64" t="s">
        <v>6</v>
      </c>
      <c r="B1225" s="65">
        <v>43622</v>
      </c>
      <c r="C1225" s="66" t="s">
        <v>219</v>
      </c>
      <c r="D1225" s="3" t="s">
        <v>9</v>
      </c>
      <c r="E1225" s="64">
        <v>1</v>
      </c>
    </row>
    <row r="1226" spans="1:5">
      <c r="A1226" s="64" t="s">
        <v>6</v>
      </c>
      <c r="B1226" s="65">
        <v>43623</v>
      </c>
      <c r="C1226" s="66" t="s">
        <v>220</v>
      </c>
      <c r="D1226" s="3" t="s">
        <v>9</v>
      </c>
      <c r="E1226" s="64">
        <v>1</v>
      </c>
    </row>
    <row r="1227" spans="1:5">
      <c r="A1227" s="64" t="s">
        <v>6</v>
      </c>
      <c r="B1227" s="65">
        <v>43624</v>
      </c>
      <c r="C1227" s="66" t="s">
        <v>221</v>
      </c>
      <c r="D1227" s="3" t="s">
        <v>9</v>
      </c>
      <c r="E1227" s="64">
        <v>1</v>
      </c>
    </row>
    <row r="1228" spans="1:5">
      <c r="A1228" s="64" t="s">
        <v>6</v>
      </c>
      <c r="B1228" s="65">
        <v>43625</v>
      </c>
      <c r="C1228" s="66" t="s">
        <v>222</v>
      </c>
      <c r="D1228" s="3" t="s">
        <v>9</v>
      </c>
      <c r="E1228" s="64">
        <v>1</v>
      </c>
    </row>
    <row r="1229" spans="1:5">
      <c r="A1229" s="64" t="s">
        <v>6</v>
      </c>
      <c r="B1229" s="65">
        <v>43626</v>
      </c>
      <c r="C1229" s="66" t="s">
        <v>216</v>
      </c>
      <c r="D1229" s="3" t="s">
        <v>9</v>
      </c>
      <c r="E1229" s="64">
        <v>1</v>
      </c>
    </row>
    <row r="1230" spans="1:5">
      <c r="A1230" s="64" t="s">
        <v>6</v>
      </c>
      <c r="B1230" s="65">
        <v>43627</v>
      </c>
      <c r="C1230" s="66" t="s">
        <v>217</v>
      </c>
      <c r="D1230" s="3" t="s">
        <v>9</v>
      </c>
      <c r="E1230" s="64">
        <v>1</v>
      </c>
    </row>
    <row r="1231" spans="1:5">
      <c r="A1231" s="64" t="s">
        <v>6</v>
      </c>
      <c r="B1231" s="65">
        <v>43628</v>
      </c>
      <c r="C1231" s="66" t="s">
        <v>218</v>
      </c>
      <c r="D1231" s="3" t="s">
        <v>9</v>
      </c>
      <c r="E1231" s="64">
        <v>1</v>
      </c>
    </row>
    <row r="1232" spans="1:5">
      <c r="A1232" s="64" t="s">
        <v>6</v>
      </c>
      <c r="B1232" s="65">
        <v>43629</v>
      </c>
      <c r="C1232" s="66" t="s">
        <v>219</v>
      </c>
      <c r="D1232" s="3" t="s">
        <v>9</v>
      </c>
      <c r="E1232" s="64">
        <v>1</v>
      </c>
    </row>
    <row r="1233" spans="1:5">
      <c r="A1233" s="64" t="s">
        <v>6</v>
      </c>
      <c r="B1233" s="65">
        <v>43630</v>
      </c>
      <c r="C1233" s="66" t="s">
        <v>220</v>
      </c>
      <c r="D1233" s="3" t="s">
        <v>9</v>
      </c>
      <c r="E1233" s="64">
        <v>1</v>
      </c>
    </row>
    <row r="1234" spans="1:5">
      <c r="A1234" s="64" t="s">
        <v>6</v>
      </c>
      <c r="B1234" s="65">
        <v>43631</v>
      </c>
      <c r="C1234" s="66" t="s">
        <v>221</v>
      </c>
      <c r="D1234" s="3" t="s">
        <v>9</v>
      </c>
      <c r="E1234" s="64">
        <v>1</v>
      </c>
    </row>
    <row r="1235" spans="1:5">
      <c r="A1235" s="64" t="s">
        <v>6</v>
      </c>
      <c r="B1235" s="65">
        <v>43632</v>
      </c>
      <c r="C1235" s="66" t="s">
        <v>222</v>
      </c>
      <c r="D1235" s="3" t="s">
        <v>9</v>
      </c>
      <c r="E1235" s="64">
        <v>1</v>
      </c>
    </row>
    <row r="1236" spans="1:5">
      <c r="A1236" s="64" t="s">
        <v>6</v>
      </c>
      <c r="B1236" s="65">
        <v>43633</v>
      </c>
      <c r="C1236" s="66" t="s">
        <v>216</v>
      </c>
      <c r="D1236" s="3" t="s">
        <v>9</v>
      </c>
      <c r="E1236" s="64">
        <v>1</v>
      </c>
    </row>
    <row r="1237" spans="1:5">
      <c r="A1237" s="64" t="s">
        <v>6</v>
      </c>
      <c r="B1237" s="65">
        <v>43634</v>
      </c>
      <c r="C1237" s="66" t="s">
        <v>217</v>
      </c>
      <c r="D1237" s="3" t="s">
        <v>9</v>
      </c>
      <c r="E1237" s="64">
        <v>1</v>
      </c>
    </row>
    <row r="1238" spans="1:5">
      <c r="A1238" s="64" t="s">
        <v>6</v>
      </c>
      <c r="B1238" s="65">
        <v>43635</v>
      </c>
      <c r="C1238" s="66" t="s">
        <v>218</v>
      </c>
      <c r="D1238" s="3" t="s">
        <v>9</v>
      </c>
      <c r="E1238" s="64">
        <v>1</v>
      </c>
    </row>
    <row r="1239" spans="1:5">
      <c r="A1239" s="64" t="s">
        <v>6</v>
      </c>
      <c r="B1239" s="65">
        <v>43636</v>
      </c>
      <c r="C1239" s="66" t="s">
        <v>219</v>
      </c>
      <c r="D1239" s="3" t="s">
        <v>9</v>
      </c>
      <c r="E1239" s="64">
        <v>1</v>
      </c>
    </row>
    <row r="1240" spans="1:5">
      <c r="A1240" s="64" t="s">
        <v>6</v>
      </c>
      <c r="B1240" s="65">
        <v>43637</v>
      </c>
      <c r="C1240" s="66" t="s">
        <v>220</v>
      </c>
      <c r="D1240" s="3" t="s">
        <v>9</v>
      </c>
      <c r="E1240" s="64">
        <v>1</v>
      </c>
    </row>
    <row r="1241" spans="1:5">
      <c r="A1241" s="64" t="s">
        <v>6</v>
      </c>
      <c r="B1241" s="65">
        <v>43638</v>
      </c>
      <c r="C1241" s="66" t="s">
        <v>221</v>
      </c>
      <c r="D1241" s="3" t="s">
        <v>9</v>
      </c>
      <c r="E1241" s="64">
        <v>1</v>
      </c>
    </row>
    <row r="1242" spans="1:5">
      <c r="A1242" s="64" t="s">
        <v>6</v>
      </c>
      <c r="B1242" s="65">
        <v>43639</v>
      </c>
      <c r="C1242" s="66" t="s">
        <v>222</v>
      </c>
      <c r="D1242" s="3" t="s">
        <v>9</v>
      </c>
      <c r="E1242" s="64">
        <v>1</v>
      </c>
    </row>
    <row r="1243" spans="1:5">
      <c r="A1243" s="64" t="s">
        <v>6</v>
      </c>
      <c r="B1243" s="65">
        <v>43640</v>
      </c>
      <c r="C1243" s="66" t="s">
        <v>216</v>
      </c>
      <c r="D1243" s="3" t="s">
        <v>9</v>
      </c>
      <c r="E1243" s="64">
        <v>1</v>
      </c>
    </row>
    <row r="1244" spans="1:5">
      <c r="A1244" s="64" t="s">
        <v>6</v>
      </c>
      <c r="B1244" s="65">
        <v>43641</v>
      </c>
      <c r="C1244" s="66" t="s">
        <v>217</v>
      </c>
      <c r="D1244" s="3" t="s">
        <v>9</v>
      </c>
      <c r="E1244" s="64">
        <v>1</v>
      </c>
    </row>
    <row r="1245" spans="1:5">
      <c r="A1245" s="64" t="s">
        <v>6</v>
      </c>
      <c r="B1245" s="65">
        <v>43642</v>
      </c>
      <c r="C1245" s="66" t="s">
        <v>218</v>
      </c>
      <c r="D1245" s="3" t="s">
        <v>9</v>
      </c>
      <c r="E1245" s="64">
        <v>1</v>
      </c>
    </row>
    <row r="1246" spans="1:5">
      <c r="A1246" s="64" t="s">
        <v>6</v>
      </c>
      <c r="B1246" s="65">
        <v>43643</v>
      </c>
      <c r="C1246" s="66" t="s">
        <v>219</v>
      </c>
      <c r="D1246" s="3" t="s">
        <v>9</v>
      </c>
      <c r="E1246" s="64">
        <v>1</v>
      </c>
    </row>
    <row r="1247" spans="1:5">
      <c r="A1247" s="64" t="s">
        <v>6</v>
      </c>
      <c r="B1247" s="65">
        <v>43644</v>
      </c>
      <c r="C1247" s="66" t="s">
        <v>220</v>
      </c>
      <c r="D1247" s="3" t="s">
        <v>9</v>
      </c>
      <c r="E1247" s="64">
        <v>1</v>
      </c>
    </row>
    <row r="1248" spans="1:5">
      <c r="A1248" s="64" t="s">
        <v>6</v>
      </c>
      <c r="B1248" s="65">
        <v>43645</v>
      </c>
      <c r="C1248" s="66" t="s">
        <v>221</v>
      </c>
      <c r="D1248" s="3" t="s">
        <v>9</v>
      </c>
      <c r="E1248" s="64">
        <v>1</v>
      </c>
    </row>
    <row r="1249" spans="1:5">
      <c r="A1249" s="64" t="s">
        <v>6</v>
      </c>
      <c r="B1249" s="65">
        <v>43646</v>
      </c>
      <c r="C1249" s="66" t="s">
        <v>222</v>
      </c>
      <c r="D1249" s="3" t="s">
        <v>9</v>
      </c>
      <c r="E1249" s="64">
        <v>1</v>
      </c>
    </row>
    <row r="1250" spans="1:5">
      <c r="A1250" s="64" t="s">
        <v>6</v>
      </c>
      <c r="B1250" s="65">
        <v>43647</v>
      </c>
      <c r="C1250" s="66" t="s">
        <v>216</v>
      </c>
      <c r="D1250" s="3" t="s">
        <v>9</v>
      </c>
      <c r="E1250" s="64">
        <v>1</v>
      </c>
    </row>
    <row r="1251" spans="1:5">
      <c r="A1251" s="64" t="s">
        <v>6</v>
      </c>
      <c r="B1251" s="65">
        <v>43648</v>
      </c>
      <c r="C1251" s="66" t="s">
        <v>217</v>
      </c>
      <c r="D1251" s="3" t="s">
        <v>9</v>
      </c>
      <c r="E1251" s="64">
        <v>1</v>
      </c>
    </row>
    <row r="1252" spans="1:5">
      <c r="A1252" s="64" t="s">
        <v>6</v>
      </c>
      <c r="B1252" s="65">
        <v>43649</v>
      </c>
      <c r="C1252" s="66" t="s">
        <v>218</v>
      </c>
      <c r="D1252" s="3" t="s">
        <v>9</v>
      </c>
      <c r="E1252" s="64">
        <v>1</v>
      </c>
    </row>
    <row r="1253" spans="1:5">
      <c r="A1253" s="64" t="s">
        <v>6</v>
      </c>
      <c r="B1253" s="65">
        <v>43650</v>
      </c>
      <c r="C1253" s="66" t="s">
        <v>219</v>
      </c>
      <c r="D1253" s="3" t="s">
        <v>9</v>
      </c>
      <c r="E1253" s="64">
        <v>1</v>
      </c>
    </row>
    <row r="1254" spans="1:5">
      <c r="A1254" s="64" t="s">
        <v>6</v>
      </c>
      <c r="B1254" s="65">
        <v>43651</v>
      </c>
      <c r="C1254" s="66" t="s">
        <v>220</v>
      </c>
      <c r="D1254" s="3" t="s">
        <v>9</v>
      </c>
      <c r="E1254" s="64">
        <v>1</v>
      </c>
    </row>
    <row r="1255" spans="1:5">
      <c r="A1255" s="64" t="s">
        <v>6</v>
      </c>
      <c r="B1255" s="65">
        <v>43652</v>
      </c>
      <c r="C1255" s="66" t="s">
        <v>221</v>
      </c>
      <c r="D1255" s="3" t="s">
        <v>9</v>
      </c>
      <c r="E1255" s="64">
        <v>1</v>
      </c>
    </row>
    <row r="1256" spans="1:5">
      <c r="A1256" s="64" t="s">
        <v>6</v>
      </c>
      <c r="B1256" s="65">
        <v>43653</v>
      </c>
      <c r="C1256" s="66" t="s">
        <v>222</v>
      </c>
      <c r="D1256" s="3" t="s">
        <v>9</v>
      </c>
      <c r="E1256" s="64">
        <v>1</v>
      </c>
    </row>
    <row r="1257" spans="1:5">
      <c r="A1257" s="64" t="s">
        <v>6</v>
      </c>
      <c r="B1257" s="65">
        <v>43654</v>
      </c>
      <c r="C1257" s="66" t="s">
        <v>216</v>
      </c>
      <c r="D1257" s="3" t="s">
        <v>9</v>
      </c>
      <c r="E1257" s="64">
        <v>1</v>
      </c>
    </row>
    <row r="1258" spans="1:5">
      <c r="A1258" s="64" t="s">
        <v>6</v>
      </c>
      <c r="B1258" s="65">
        <v>43655</v>
      </c>
      <c r="C1258" s="66" t="s">
        <v>217</v>
      </c>
      <c r="D1258" s="3" t="s">
        <v>9</v>
      </c>
      <c r="E1258" s="64">
        <v>1</v>
      </c>
    </row>
    <row r="1259" spans="1:5">
      <c r="A1259" s="64" t="s">
        <v>6</v>
      </c>
      <c r="B1259" s="65">
        <v>43656</v>
      </c>
      <c r="C1259" s="66" t="s">
        <v>218</v>
      </c>
      <c r="D1259" s="3" t="s">
        <v>9</v>
      </c>
      <c r="E1259" s="64">
        <v>1</v>
      </c>
    </row>
    <row r="1260" spans="1:5">
      <c r="A1260" s="64" t="s">
        <v>6</v>
      </c>
      <c r="B1260" s="65">
        <v>43657</v>
      </c>
      <c r="C1260" s="66" t="s">
        <v>219</v>
      </c>
      <c r="D1260" s="3" t="s">
        <v>9</v>
      </c>
      <c r="E1260" s="64">
        <v>1</v>
      </c>
    </row>
    <row r="1261" spans="1:5">
      <c r="A1261" s="64" t="s">
        <v>6</v>
      </c>
      <c r="B1261" s="65">
        <v>43658</v>
      </c>
      <c r="C1261" s="66" t="s">
        <v>220</v>
      </c>
      <c r="D1261" s="3" t="s">
        <v>9</v>
      </c>
      <c r="E1261" s="64">
        <v>1</v>
      </c>
    </row>
    <row r="1262" spans="1:5">
      <c r="A1262" s="64" t="s">
        <v>6</v>
      </c>
      <c r="B1262" s="65">
        <v>43659</v>
      </c>
      <c r="C1262" s="66" t="s">
        <v>221</v>
      </c>
      <c r="D1262" s="3" t="s">
        <v>9</v>
      </c>
      <c r="E1262" s="64">
        <v>1</v>
      </c>
    </row>
    <row r="1263" spans="1:5">
      <c r="A1263" s="64" t="s">
        <v>6</v>
      </c>
      <c r="B1263" s="65">
        <v>43660</v>
      </c>
      <c r="C1263" s="66" t="s">
        <v>222</v>
      </c>
      <c r="D1263" s="3" t="s">
        <v>9</v>
      </c>
      <c r="E1263" s="64">
        <v>1</v>
      </c>
    </row>
    <row r="1264" spans="1:5">
      <c r="A1264" s="64" t="s">
        <v>6</v>
      </c>
      <c r="B1264" s="65">
        <v>43661</v>
      </c>
      <c r="C1264" s="66" t="s">
        <v>216</v>
      </c>
      <c r="D1264" s="3" t="s">
        <v>9</v>
      </c>
      <c r="E1264" s="64">
        <v>1</v>
      </c>
    </row>
    <row r="1265" spans="1:5">
      <c r="A1265" s="64" t="s">
        <v>6</v>
      </c>
      <c r="B1265" s="65">
        <v>43662</v>
      </c>
      <c r="C1265" s="66" t="s">
        <v>217</v>
      </c>
      <c r="D1265" s="3" t="s">
        <v>9</v>
      </c>
      <c r="E1265" s="64">
        <v>1</v>
      </c>
    </row>
    <row r="1266" spans="1:5">
      <c r="A1266" s="64" t="s">
        <v>6</v>
      </c>
      <c r="B1266" s="65">
        <v>43663</v>
      </c>
      <c r="C1266" s="66" t="s">
        <v>218</v>
      </c>
      <c r="D1266" s="3" t="s">
        <v>9</v>
      </c>
      <c r="E1266" s="64">
        <v>1</v>
      </c>
    </row>
    <row r="1267" spans="1:5">
      <c r="A1267" s="64" t="s">
        <v>6</v>
      </c>
      <c r="B1267" s="65">
        <v>43664</v>
      </c>
      <c r="C1267" s="66" t="s">
        <v>219</v>
      </c>
      <c r="D1267" s="3" t="s">
        <v>9</v>
      </c>
      <c r="E1267" s="64">
        <v>1</v>
      </c>
    </row>
    <row r="1268" spans="1:5">
      <c r="A1268" s="64" t="s">
        <v>6</v>
      </c>
      <c r="B1268" s="65">
        <v>43665</v>
      </c>
      <c r="C1268" s="66" t="s">
        <v>220</v>
      </c>
      <c r="D1268" s="3" t="s">
        <v>9</v>
      </c>
      <c r="E1268" s="64">
        <v>1</v>
      </c>
    </row>
    <row r="1269" spans="1:5">
      <c r="A1269" s="64" t="s">
        <v>6</v>
      </c>
      <c r="B1269" s="65">
        <v>43666</v>
      </c>
      <c r="C1269" s="66" t="s">
        <v>221</v>
      </c>
      <c r="D1269" s="3" t="s">
        <v>9</v>
      </c>
      <c r="E1269" s="64">
        <v>1</v>
      </c>
    </row>
    <row r="1270" spans="1:5">
      <c r="A1270" s="64" t="s">
        <v>6</v>
      </c>
      <c r="B1270" s="65">
        <v>43667</v>
      </c>
      <c r="C1270" s="66" t="s">
        <v>222</v>
      </c>
      <c r="D1270" s="3" t="s">
        <v>9</v>
      </c>
      <c r="E1270" s="64">
        <v>1</v>
      </c>
    </row>
    <row r="1271" spans="1:5">
      <c r="A1271" s="64" t="s">
        <v>6</v>
      </c>
      <c r="B1271" s="65">
        <v>43668</v>
      </c>
      <c r="C1271" s="66" t="s">
        <v>216</v>
      </c>
      <c r="D1271" s="3" t="s">
        <v>9</v>
      </c>
      <c r="E1271" s="64">
        <v>1</v>
      </c>
    </row>
    <row r="1272" spans="1:5">
      <c r="A1272" s="64" t="s">
        <v>6</v>
      </c>
      <c r="B1272" s="65">
        <v>43669</v>
      </c>
      <c r="C1272" s="66" t="s">
        <v>217</v>
      </c>
      <c r="D1272" s="3" t="s">
        <v>9</v>
      </c>
      <c r="E1272" s="64">
        <v>1</v>
      </c>
    </row>
    <row r="1273" spans="1:5">
      <c r="A1273" s="64" t="s">
        <v>6</v>
      </c>
      <c r="B1273" s="65">
        <v>43670</v>
      </c>
      <c r="C1273" s="66" t="s">
        <v>218</v>
      </c>
      <c r="D1273" s="3" t="s">
        <v>9</v>
      </c>
      <c r="E1273" s="64">
        <v>1</v>
      </c>
    </row>
    <row r="1274" spans="1:5">
      <c r="A1274" s="64" t="s">
        <v>6</v>
      </c>
      <c r="B1274" s="65">
        <v>43671</v>
      </c>
      <c r="C1274" s="66" t="s">
        <v>219</v>
      </c>
      <c r="D1274" s="3" t="s">
        <v>9</v>
      </c>
      <c r="E1274" s="64">
        <v>1</v>
      </c>
    </row>
    <row r="1275" spans="1:5">
      <c r="A1275" s="64" t="s">
        <v>6</v>
      </c>
      <c r="B1275" s="65">
        <v>43672</v>
      </c>
      <c r="C1275" s="66" t="s">
        <v>220</v>
      </c>
      <c r="D1275" s="3" t="s">
        <v>9</v>
      </c>
      <c r="E1275" s="64">
        <v>1</v>
      </c>
    </row>
    <row r="1276" spans="1:5">
      <c r="A1276" s="64" t="s">
        <v>6</v>
      </c>
      <c r="B1276" s="65">
        <v>43673</v>
      </c>
      <c r="C1276" s="66" t="s">
        <v>221</v>
      </c>
      <c r="D1276" s="3" t="s">
        <v>9</v>
      </c>
      <c r="E1276" s="64">
        <v>1</v>
      </c>
    </row>
    <row r="1277" spans="1:5">
      <c r="A1277" s="64" t="s">
        <v>6</v>
      </c>
      <c r="B1277" s="65">
        <v>43674</v>
      </c>
      <c r="C1277" s="66" t="s">
        <v>222</v>
      </c>
      <c r="D1277" s="3" t="s">
        <v>9</v>
      </c>
      <c r="E1277" s="64">
        <v>1</v>
      </c>
    </row>
    <row r="1278" spans="1:5">
      <c r="A1278" s="64" t="s">
        <v>6</v>
      </c>
      <c r="B1278" s="65">
        <v>43675</v>
      </c>
      <c r="C1278" s="66" t="s">
        <v>216</v>
      </c>
      <c r="D1278" s="3" t="s">
        <v>9</v>
      </c>
      <c r="E1278" s="64">
        <v>1</v>
      </c>
    </row>
    <row r="1279" spans="1:5">
      <c r="A1279" s="64" t="s">
        <v>6</v>
      </c>
      <c r="B1279" s="65">
        <v>43676</v>
      </c>
      <c r="C1279" s="66" t="s">
        <v>217</v>
      </c>
      <c r="D1279" s="3" t="s">
        <v>9</v>
      </c>
      <c r="E1279" s="64">
        <v>1</v>
      </c>
    </row>
    <row r="1280" spans="1:5">
      <c r="A1280" s="64" t="s">
        <v>6</v>
      </c>
      <c r="B1280" s="65">
        <v>43677</v>
      </c>
      <c r="C1280" s="66" t="s">
        <v>218</v>
      </c>
      <c r="D1280" s="3" t="s">
        <v>9</v>
      </c>
      <c r="E1280" s="64">
        <v>1</v>
      </c>
    </row>
    <row r="1281" spans="1:5">
      <c r="A1281" s="64" t="s">
        <v>6</v>
      </c>
      <c r="B1281" s="65">
        <v>43678</v>
      </c>
      <c r="C1281" s="66" t="s">
        <v>219</v>
      </c>
      <c r="D1281" s="3" t="s">
        <v>9</v>
      </c>
      <c r="E1281" s="64">
        <v>1</v>
      </c>
    </row>
    <row r="1282" spans="1:5">
      <c r="A1282" s="64" t="s">
        <v>6</v>
      </c>
      <c r="B1282" s="65">
        <v>43679</v>
      </c>
      <c r="C1282" s="66" t="s">
        <v>220</v>
      </c>
      <c r="D1282" s="3" t="s">
        <v>9</v>
      </c>
      <c r="E1282" s="64">
        <v>1</v>
      </c>
    </row>
    <row r="1283" spans="1:5">
      <c r="A1283" s="64" t="s">
        <v>6</v>
      </c>
      <c r="B1283" s="65">
        <v>43680</v>
      </c>
      <c r="C1283" s="66" t="s">
        <v>221</v>
      </c>
      <c r="D1283" s="3" t="s">
        <v>9</v>
      </c>
      <c r="E1283" s="64">
        <v>1</v>
      </c>
    </row>
    <row r="1284" spans="1:5">
      <c r="A1284" s="64" t="s">
        <v>6</v>
      </c>
      <c r="B1284" s="65">
        <v>43681</v>
      </c>
      <c r="C1284" s="66" t="s">
        <v>222</v>
      </c>
      <c r="D1284" s="3" t="s">
        <v>9</v>
      </c>
      <c r="E1284" s="64">
        <v>1</v>
      </c>
    </row>
    <row r="1285" spans="1:5">
      <c r="A1285" s="64" t="s">
        <v>6</v>
      </c>
      <c r="B1285" s="65">
        <v>43682</v>
      </c>
      <c r="C1285" s="66" t="s">
        <v>216</v>
      </c>
      <c r="D1285" s="3" t="s">
        <v>9</v>
      </c>
      <c r="E1285" s="64">
        <v>1</v>
      </c>
    </row>
    <row r="1286" spans="1:5">
      <c r="A1286" s="64" t="s">
        <v>6</v>
      </c>
      <c r="B1286" s="65">
        <v>43683</v>
      </c>
      <c r="C1286" s="66" t="s">
        <v>217</v>
      </c>
      <c r="D1286" s="3" t="s">
        <v>9</v>
      </c>
      <c r="E1286" s="64">
        <v>1</v>
      </c>
    </row>
    <row r="1287" spans="1:5">
      <c r="A1287" s="64" t="s">
        <v>6</v>
      </c>
      <c r="B1287" s="65">
        <v>43684</v>
      </c>
      <c r="C1287" s="66" t="s">
        <v>218</v>
      </c>
      <c r="D1287" s="3" t="s">
        <v>9</v>
      </c>
      <c r="E1287" s="64">
        <v>1</v>
      </c>
    </row>
    <row r="1288" spans="1:5">
      <c r="A1288" s="64" t="s">
        <v>6</v>
      </c>
      <c r="B1288" s="65">
        <v>43685</v>
      </c>
      <c r="C1288" s="66" t="s">
        <v>219</v>
      </c>
      <c r="D1288" s="3" t="s">
        <v>9</v>
      </c>
      <c r="E1288" s="64">
        <v>1</v>
      </c>
    </row>
    <row r="1289" spans="1:5">
      <c r="A1289" s="64" t="s">
        <v>6</v>
      </c>
      <c r="B1289" s="65">
        <v>43686</v>
      </c>
      <c r="C1289" s="66" t="s">
        <v>220</v>
      </c>
      <c r="D1289" s="3" t="s">
        <v>9</v>
      </c>
      <c r="E1289" s="64">
        <v>1</v>
      </c>
    </row>
    <row r="1290" spans="1:5">
      <c r="A1290" s="64" t="s">
        <v>6</v>
      </c>
      <c r="B1290" s="65">
        <v>43687</v>
      </c>
      <c r="C1290" s="66" t="s">
        <v>221</v>
      </c>
      <c r="D1290" s="3" t="s">
        <v>9</v>
      </c>
      <c r="E1290" s="64">
        <v>1</v>
      </c>
    </row>
    <row r="1291" spans="1:5">
      <c r="A1291" s="64" t="s">
        <v>6</v>
      </c>
      <c r="B1291" s="65">
        <v>43688</v>
      </c>
      <c r="C1291" s="66" t="s">
        <v>222</v>
      </c>
      <c r="D1291" s="3" t="s">
        <v>9</v>
      </c>
      <c r="E1291" s="64">
        <v>1</v>
      </c>
    </row>
    <row r="1292" spans="1:5">
      <c r="A1292" s="64" t="s">
        <v>6</v>
      </c>
      <c r="B1292" s="65">
        <v>43689</v>
      </c>
      <c r="C1292" s="66" t="s">
        <v>216</v>
      </c>
      <c r="D1292" s="3" t="s">
        <v>9</v>
      </c>
      <c r="E1292" s="64">
        <v>1</v>
      </c>
    </row>
    <row r="1293" spans="1:5">
      <c r="A1293" s="64" t="s">
        <v>6</v>
      </c>
      <c r="B1293" s="65">
        <v>43690</v>
      </c>
      <c r="C1293" s="66" t="s">
        <v>217</v>
      </c>
      <c r="D1293" s="3" t="s">
        <v>9</v>
      </c>
      <c r="E1293" s="64">
        <v>1</v>
      </c>
    </row>
    <row r="1294" spans="1:5">
      <c r="A1294" s="64" t="s">
        <v>6</v>
      </c>
      <c r="B1294" s="65">
        <v>43691</v>
      </c>
      <c r="C1294" s="66" t="s">
        <v>218</v>
      </c>
      <c r="D1294" s="3" t="s">
        <v>9</v>
      </c>
      <c r="E1294" s="64">
        <v>1</v>
      </c>
    </row>
    <row r="1295" spans="1:5">
      <c r="A1295" s="64" t="s">
        <v>6</v>
      </c>
      <c r="B1295" s="65">
        <v>43692</v>
      </c>
      <c r="C1295" s="66" t="s">
        <v>219</v>
      </c>
      <c r="D1295" s="3" t="s">
        <v>9</v>
      </c>
      <c r="E1295" s="64">
        <v>1</v>
      </c>
    </row>
    <row r="1296" spans="1:5">
      <c r="A1296" s="64" t="s">
        <v>6</v>
      </c>
      <c r="B1296" s="65">
        <v>43693</v>
      </c>
      <c r="C1296" s="66" t="s">
        <v>220</v>
      </c>
      <c r="D1296" s="3" t="s">
        <v>9</v>
      </c>
      <c r="E1296" s="64">
        <v>1</v>
      </c>
    </row>
    <row r="1297" spans="1:5">
      <c r="A1297" s="64" t="s">
        <v>6</v>
      </c>
      <c r="B1297" s="65">
        <v>43694</v>
      </c>
      <c r="C1297" s="66" t="s">
        <v>221</v>
      </c>
      <c r="D1297" s="3" t="s">
        <v>9</v>
      </c>
      <c r="E1297" s="64">
        <v>1</v>
      </c>
    </row>
    <row r="1298" spans="1:5">
      <c r="A1298" s="64" t="s">
        <v>6</v>
      </c>
      <c r="B1298" s="65">
        <v>43695</v>
      </c>
      <c r="C1298" s="66" t="s">
        <v>222</v>
      </c>
      <c r="D1298" s="3" t="s">
        <v>9</v>
      </c>
      <c r="E1298" s="64">
        <v>1</v>
      </c>
    </row>
    <row r="1299" spans="1:5">
      <c r="A1299" s="64" t="s">
        <v>6</v>
      </c>
      <c r="B1299" s="65">
        <v>43696</v>
      </c>
      <c r="C1299" s="66" t="s">
        <v>216</v>
      </c>
      <c r="D1299" s="3" t="s">
        <v>9</v>
      </c>
      <c r="E1299" s="64">
        <v>1</v>
      </c>
    </row>
    <row r="1300" spans="1:5">
      <c r="A1300" s="64" t="s">
        <v>6</v>
      </c>
      <c r="B1300" s="65">
        <v>43697</v>
      </c>
      <c r="C1300" s="66" t="s">
        <v>217</v>
      </c>
      <c r="D1300" s="3" t="s">
        <v>9</v>
      </c>
      <c r="E1300" s="64">
        <v>1</v>
      </c>
    </row>
    <row r="1301" spans="1:5">
      <c r="A1301" s="64" t="s">
        <v>6</v>
      </c>
      <c r="B1301" s="65">
        <v>43698</v>
      </c>
      <c r="C1301" s="66" t="s">
        <v>218</v>
      </c>
      <c r="D1301" s="3" t="s">
        <v>9</v>
      </c>
      <c r="E1301" s="64">
        <v>1</v>
      </c>
    </row>
    <row r="1302" spans="1:5">
      <c r="A1302" s="64" t="s">
        <v>6</v>
      </c>
      <c r="B1302" s="65">
        <v>43699</v>
      </c>
      <c r="C1302" s="66" t="s">
        <v>219</v>
      </c>
      <c r="D1302" s="3" t="s">
        <v>9</v>
      </c>
      <c r="E1302" s="64">
        <v>1</v>
      </c>
    </row>
    <row r="1303" spans="1:5">
      <c r="A1303" s="64" t="s">
        <v>6</v>
      </c>
      <c r="B1303" s="65">
        <v>43700</v>
      </c>
      <c r="C1303" s="66" t="s">
        <v>220</v>
      </c>
      <c r="D1303" s="3" t="s">
        <v>9</v>
      </c>
      <c r="E1303" s="64">
        <v>1</v>
      </c>
    </row>
    <row r="1304" spans="1:5">
      <c r="A1304" s="64" t="s">
        <v>6</v>
      </c>
      <c r="B1304" s="65">
        <v>43701</v>
      </c>
      <c r="C1304" s="66" t="s">
        <v>221</v>
      </c>
      <c r="D1304" s="3" t="s">
        <v>9</v>
      </c>
      <c r="E1304" s="64">
        <v>1</v>
      </c>
    </row>
    <row r="1305" spans="1:5">
      <c r="A1305" s="64" t="s">
        <v>6</v>
      </c>
      <c r="B1305" s="65">
        <v>43702</v>
      </c>
      <c r="C1305" s="66" t="s">
        <v>222</v>
      </c>
      <c r="D1305" s="3" t="s">
        <v>9</v>
      </c>
      <c r="E1305" s="64">
        <v>1</v>
      </c>
    </row>
    <row r="1306" spans="1:5">
      <c r="A1306" s="64" t="s">
        <v>6</v>
      </c>
      <c r="B1306" s="65">
        <v>43703</v>
      </c>
      <c r="C1306" s="66" t="s">
        <v>216</v>
      </c>
      <c r="D1306" s="3" t="s">
        <v>9</v>
      </c>
      <c r="E1306" s="64">
        <v>1</v>
      </c>
    </row>
    <row r="1307" spans="1:5">
      <c r="A1307" s="64" t="s">
        <v>6</v>
      </c>
      <c r="B1307" s="65">
        <v>43704</v>
      </c>
      <c r="C1307" s="66" t="s">
        <v>217</v>
      </c>
      <c r="D1307" s="3" t="s">
        <v>9</v>
      </c>
      <c r="E1307" s="64">
        <v>1</v>
      </c>
    </row>
    <row r="1308" spans="1:5">
      <c r="A1308" s="64" t="s">
        <v>6</v>
      </c>
      <c r="B1308" s="65">
        <v>43705</v>
      </c>
      <c r="C1308" s="66" t="s">
        <v>218</v>
      </c>
      <c r="D1308" s="3" t="s">
        <v>9</v>
      </c>
      <c r="E1308" s="64">
        <v>1</v>
      </c>
    </row>
    <row r="1309" spans="1:5">
      <c r="A1309" s="64" t="s">
        <v>6</v>
      </c>
      <c r="B1309" s="65">
        <v>43706</v>
      </c>
      <c r="C1309" s="66" t="s">
        <v>219</v>
      </c>
      <c r="D1309" s="3" t="s">
        <v>9</v>
      </c>
      <c r="E1309" s="64">
        <v>1</v>
      </c>
    </row>
    <row r="1310" spans="1:5">
      <c r="A1310" s="64" t="s">
        <v>6</v>
      </c>
      <c r="B1310" s="65">
        <v>43707</v>
      </c>
      <c r="C1310" s="66" t="s">
        <v>220</v>
      </c>
      <c r="D1310" s="3" t="s">
        <v>9</v>
      </c>
      <c r="E1310" s="64">
        <v>1</v>
      </c>
    </row>
    <row r="1311" spans="1:5">
      <c r="A1311" s="64" t="s">
        <v>6</v>
      </c>
      <c r="B1311" s="65">
        <v>43708</v>
      </c>
      <c r="C1311" s="66" t="s">
        <v>221</v>
      </c>
      <c r="D1311" s="3" t="s">
        <v>9</v>
      </c>
      <c r="E1311" s="64">
        <v>1</v>
      </c>
    </row>
    <row r="1312" spans="1:5">
      <c r="A1312" s="64" t="s">
        <v>6</v>
      </c>
      <c r="B1312" s="65">
        <v>43709</v>
      </c>
      <c r="C1312" s="66" t="s">
        <v>222</v>
      </c>
      <c r="D1312" s="3" t="s">
        <v>9</v>
      </c>
      <c r="E1312" s="64">
        <v>1</v>
      </c>
    </row>
    <row r="1313" spans="1:5">
      <c r="A1313" s="64" t="s">
        <v>6</v>
      </c>
      <c r="B1313" s="65">
        <v>43710</v>
      </c>
      <c r="C1313" s="66" t="s">
        <v>216</v>
      </c>
      <c r="D1313" s="3" t="s">
        <v>9</v>
      </c>
      <c r="E1313" s="64">
        <v>1</v>
      </c>
    </row>
    <row r="1314" spans="1:5">
      <c r="A1314" s="64" t="s">
        <v>6</v>
      </c>
      <c r="B1314" s="65">
        <v>43711</v>
      </c>
      <c r="C1314" s="66" t="s">
        <v>217</v>
      </c>
      <c r="D1314" s="3" t="s">
        <v>9</v>
      </c>
      <c r="E1314" s="64">
        <v>1</v>
      </c>
    </row>
    <row r="1315" spans="1:5">
      <c r="A1315" s="64" t="s">
        <v>6</v>
      </c>
      <c r="B1315" s="65">
        <v>43712</v>
      </c>
      <c r="C1315" s="66" t="s">
        <v>218</v>
      </c>
      <c r="D1315" s="3" t="s">
        <v>9</v>
      </c>
      <c r="E1315" s="64">
        <v>1</v>
      </c>
    </row>
    <row r="1316" spans="1:5">
      <c r="A1316" s="64" t="s">
        <v>6</v>
      </c>
      <c r="B1316" s="65">
        <v>43713</v>
      </c>
      <c r="C1316" s="66" t="s">
        <v>219</v>
      </c>
      <c r="D1316" s="3" t="s">
        <v>9</v>
      </c>
      <c r="E1316" s="64">
        <v>1</v>
      </c>
    </row>
    <row r="1317" spans="1:5">
      <c r="A1317" s="64" t="s">
        <v>6</v>
      </c>
      <c r="B1317" s="65">
        <v>43714</v>
      </c>
      <c r="C1317" s="66" t="s">
        <v>220</v>
      </c>
      <c r="D1317" s="3" t="s">
        <v>9</v>
      </c>
      <c r="E1317" s="64">
        <v>1</v>
      </c>
    </row>
    <row r="1318" spans="1:5">
      <c r="A1318" s="64" t="s">
        <v>6</v>
      </c>
      <c r="B1318" s="65">
        <v>43715</v>
      </c>
      <c r="C1318" s="66" t="s">
        <v>221</v>
      </c>
      <c r="D1318" s="3" t="s">
        <v>9</v>
      </c>
      <c r="E1318" s="64">
        <v>1</v>
      </c>
    </row>
    <row r="1319" spans="1:5">
      <c r="A1319" s="64" t="s">
        <v>6</v>
      </c>
      <c r="B1319" s="65">
        <v>43716</v>
      </c>
      <c r="C1319" s="66" t="s">
        <v>222</v>
      </c>
      <c r="D1319" s="3" t="s">
        <v>9</v>
      </c>
      <c r="E1319" s="64">
        <v>1</v>
      </c>
    </row>
    <row r="1320" spans="1:5">
      <c r="A1320" s="64" t="s">
        <v>6</v>
      </c>
      <c r="B1320" s="65">
        <v>43717</v>
      </c>
      <c r="C1320" s="66" t="s">
        <v>216</v>
      </c>
      <c r="D1320" s="3" t="s">
        <v>9</v>
      </c>
      <c r="E1320" s="64">
        <v>1</v>
      </c>
    </row>
    <row r="1321" spans="1:5">
      <c r="A1321" s="64" t="s">
        <v>6</v>
      </c>
      <c r="B1321" s="65">
        <v>43718</v>
      </c>
      <c r="C1321" s="66" t="s">
        <v>217</v>
      </c>
      <c r="D1321" s="3" t="s">
        <v>9</v>
      </c>
      <c r="E1321" s="64">
        <v>1</v>
      </c>
    </row>
    <row r="1322" spans="1:5">
      <c r="A1322" s="64" t="s">
        <v>6</v>
      </c>
      <c r="B1322" s="65">
        <v>43719</v>
      </c>
      <c r="C1322" s="66" t="s">
        <v>218</v>
      </c>
      <c r="D1322" s="3" t="s">
        <v>9</v>
      </c>
      <c r="E1322" s="64">
        <v>1</v>
      </c>
    </row>
    <row r="1323" spans="1:5">
      <c r="A1323" s="64" t="s">
        <v>6</v>
      </c>
      <c r="B1323" s="65">
        <v>43720</v>
      </c>
      <c r="C1323" s="66" t="s">
        <v>219</v>
      </c>
      <c r="D1323" s="3" t="s">
        <v>9</v>
      </c>
      <c r="E1323" s="64">
        <v>1</v>
      </c>
    </row>
    <row r="1324" spans="1:5">
      <c r="A1324" s="64" t="s">
        <v>6</v>
      </c>
      <c r="B1324" s="65">
        <v>43721</v>
      </c>
      <c r="C1324" s="66" t="s">
        <v>220</v>
      </c>
      <c r="D1324" s="3" t="s">
        <v>9</v>
      </c>
      <c r="E1324" s="64">
        <v>1</v>
      </c>
    </row>
    <row r="1325" spans="1:5">
      <c r="A1325" s="64" t="s">
        <v>6</v>
      </c>
      <c r="B1325" s="65">
        <v>43722</v>
      </c>
      <c r="C1325" s="66" t="s">
        <v>221</v>
      </c>
      <c r="D1325" s="3" t="s">
        <v>9</v>
      </c>
      <c r="E1325" s="64">
        <v>1</v>
      </c>
    </row>
    <row r="1326" spans="1:5">
      <c r="A1326" s="64" t="s">
        <v>6</v>
      </c>
      <c r="B1326" s="65">
        <v>43723</v>
      </c>
      <c r="C1326" s="66" t="s">
        <v>222</v>
      </c>
      <c r="D1326" s="3" t="s">
        <v>9</v>
      </c>
      <c r="E1326" s="64">
        <v>1</v>
      </c>
    </row>
    <row r="1327" spans="1:5">
      <c r="A1327" s="64" t="s">
        <v>6</v>
      </c>
      <c r="B1327" s="65">
        <v>43724</v>
      </c>
      <c r="C1327" s="66" t="s">
        <v>216</v>
      </c>
      <c r="D1327" s="3" t="s">
        <v>9</v>
      </c>
      <c r="E1327" s="64">
        <v>1</v>
      </c>
    </row>
    <row r="1328" spans="1:5">
      <c r="A1328" s="64" t="s">
        <v>6</v>
      </c>
      <c r="B1328" s="65">
        <v>43725</v>
      </c>
      <c r="C1328" s="66" t="s">
        <v>217</v>
      </c>
      <c r="D1328" s="3" t="s">
        <v>9</v>
      </c>
      <c r="E1328" s="64">
        <v>1</v>
      </c>
    </row>
    <row r="1329" spans="1:5">
      <c r="A1329" s="64" t="s">
        <v>6</v>
      </c>
      <c r="B1329" s="65">
        <v>43726</v>
      </c>
      <c r="C1329" s="66" t="s">
        <v>218</v>
      </c>
      <c r="D1329" s="3" t="s">
        <v>9</v>
      </c>
      <c r="E1329" s="64">
        <v>1</v>
      </c>
    </row>
    <row r="1330" spans="1:5">
      <c r="A1330" s="64" t="s">
        <v>6</v>
      </c>
      <c r="B1330" s="65">
        <v>43727</v>
      </c>
      <c r="C1330" s="66" t="s">
        <v>219</v>
      </c>
      <c r="D1330" s="3" t="s">
        <v>9</v>
      </c>
      <c r="E1330" s="64">
        <v>1</v>
      </c>
    </row>
    <row r="1331" spans="1:5">
      <c r="A1331" s="64" t="s">
        <v>6</v>
      </c>
      <c r="B1331" s="65">
        <v>43728</v>
      </c>
      <c r="C1331" s="66" t="s">
        <v>220</v>
      </c>
      <c r="D1331" s="3" t="s">
        <v>9</v>
      </c>
      <c r="E1331" s="64">
        <v>1</v>
      </c>
    </row>
    <row r="1332" spans="1:5">
      <c r="A1332" s="64" t="s">
        <v>6</v>
      </c>
      <c r="B1332" s="65">
        <v>43729</v>
      </c>
      <c r="C1332" s="66" t="s">
        <v>221</v>
      </c>
      <c r="D1332" s="3" t="s">
        <v>9</v>
      </c>
      <c r="E1332" s="64">
        <v>1</v>
      </c>
    </row>
    <row r="1333" spans="1:5">
      <c r="A1333" s="64" t="s">
        <v>6</v>
      </c>
      <c r="B1333" s="65">
        <v>43730</v>
      </c>
      <c r="C1333" s="66" t="s">
        <v>222</v>
      </c>
      <c r="D1333" s="3" t="s">
        <v>9</v>
      </c>
      <c r="E1333" s="64">
        <v>1</v>
      </c>
    </row>
    <row r="1334" spans="1:5">
      <c r="A1334" s="64" t="s">
        <v>6</v>
      </c>
      <c r="B1334" s="65">
        <v>43731</v>
      </c>
      <c r="C1334" s="66" t="s">
        <v>216</v>
      </c>
      <c r="D1334" s="3" t="s">
        <v>9</v>
      </c>
      <c r="E1334" s="64">
        <v>1</v>
      </c>
    </row>
    <row r="1335" spans="1:5">
      <c r="A1335" s="64" t="s">
        <v>6</v>
      </c>
      <c r="B1335" s="65">
        <v>43732</v>
      </c>
      <c r="C1335" s="66" t="s">
        <v>217</v>
      </c>
      <c r="D1335" s="3" t="s">
        <v>9</v>
      </c>
      <c r="E1335" s="64">
        <v>1</v>
      </c>
    </row>
    <row r="1336" spans="1:5">
      <c r="A1336" s="64" t="s">
        <v>6</v>
      </c>
      <c r="B1336" s="65">
        <v>43733</v>
      </c>
      <c r="C1336" s="66" t="s">
        <v>218</v>
      </c>
      <c r="D1336" s="3" t="s">
        <v>9</v>
      </c>
      <c r="E1336" s="64">
        <v>1</v>
      </c>
    </row>
    <row r="1337" spans="1:5">
      <c r="A1337" s="64" t="s">
        <v>6</v>
      </c>
      <c r="B1337" s="65">
        <v>43734</v>
      </c>
      <c r="C1337" s="66" t="s">
        <v>219</v>
      </c>
      <c r="D1337" s="3" t="s">
        <v>9</v>
      </c>
      <c r="E1337" s="64">
        <v>1</v>
      </c>
    </row>
    <row r="1338" spans="1:5">
      <c r="A1338" s="64" t="s">
        <v>6</v>
      </c>
      <c r="B1338" s="65">
        <v>43735</v>
      </c>
      <c r="C1338" s="66" t="s">
        <v>220</v>
      </c>
      <c r="D1338" s="3" t="s">
        <v>9</v>
      </c>
      <c r="E1338" s="64">
        <v>1</v>
      </c>
    </row>
    <row r="1339" spans="1:5">
      <c r="A1339" s="64" t="s">
        <v>6</v>
      </c>
      <c r="B1339" s="65">
        <v>43736</v>
      </c>
      <c r="C1339" s="66" t="s">
        <v>221</v>
      </c>
      <c r="D1339" s="3" t="s">
        <v>9</v>
      </c>
      <c r="E1339" s="64">
        <v>1</v>
      </c>
    </row>
    <row r="1340" spans="1:5">
      <c r="A1340" s="64" t="s">
        <v>6</v>
      </c>
      <c r="B1340" s="65">
        <v>43737</v>
      </c>
      <c r="C1340" s="66" t="s">
        <v>222</v>
      </c>
      <c r="D1340" s="3" t="s">
        <v>9</v>
      </c>
      <c r="E1340" s="64">
        <v>1</v>
      </c>
    </row>
    <row r="1341" spans="1:5">
      <c r="A1341" s="64" t="s">
        <v>6</v>
      </c>
      <c r="B1341" s="65">
        <v>43738</v>
      </c>
      <c r="C1341" s="66" t="s">
        <v>216</v>
      </c>
      <c r="D1341" s="3" t="s">
        <v>9</v>
      </c>
      <c r="E1341" s="64">
        <v>1</v>
      </c>
    </row>
    <row r="1342" spans="1:5">
      <c r="A1342" s="64" t="s">
        <v>6</v>
      </c>
      <c r="B1342" s="65">
        <v>43739</v>
      </c>
      <c r="C1342" s="66" t="s">
        <v>217</v>
      </c>
      <c r="D1342" s="3" t="s">
        <v>9</v>
      </c>
      <c r="E1342" s="64">
        <v>1</v>
      </c>
    </row>
    <row r="1343" spans="1:5">
      <c r="A1343" s="64" t="s">
        <v>6</v>
      </c>
      <c r="B1343" s="65">
        <v>43740</v>
      </c>
      <c r="C1343" s="66" t="s">
        <v>218</v>
      </c>
      <c r="D1343" s="3" t="s">
        <v>9</v>
      </c>
      <c r="E1343" s="64">
        <v>1</v>
      </c>
    </row>
    <row r="1344" spans="1:5">
      <c r="A1344" s="64" t="s">
        <v>6</v>
      </c>
      <c r="B1344" s="65">
        <v>43741</v>
      </c>
      <c r="C1344" s="66" t="s">
        <v>219</v>
      </c>
      <c r="D1344" s="3" t="s">
        <v>9</v>
      </c>
      <c r="E1344" s="64">
        <v>1</v>
      </c>
    </row>
    <row r="1345" spans="1:5">
      <c r="A1345" s="64" t="s">
        <v>6</v>
      </c>
      <c r="B1345" s="65">
        <v>43742</v>
      </c>
      <c r="C1345" s="66" t="s">
        <v>220</v>
      </c>
      <c r="D1345" s="3" t="s">
        <v>9</v>
      </c>
      <c r="E1345" s="64">
        <v>1</v>
      </c>
    </row>
    <row r="1346" spans="1:5">
      <c r="A1346" s="64" t="s">
        <v>6</v>
      </c>
      <c r="B1346" s="65">
        <v>43743</v>
      </c>
      <c r="C1346" s="66" t="s">
        <v>221</v>
      </c>
      <c r="D1346" s="3" t="s">
        <v>9</v>
      </c>
      <c r="E1346" s="64">
        <v>1</v>
      </c>
    </row>
    <row r="1347" spans="1:5">
      <c r="A1347" s="64" t="s">
        <v>6</v>
      </c>
      <c r="B1347" s="65">
        <v>43744</v>
      </c>
      <c r="C1347" s="66" t="s">
        <v>222</v>
      </c>
      <c r="D1347" s="3" t="s">
        <v>9</v>
      </c>
      <c r="E1347" s="64">
        <v>1</v>
      </c>
    </row>
    <row r="1348" spans="1:5">
      <c r="A1348" s="64" t="s">
        <v>6</v>
      </c>
      <c r="B1348" s="65">
        <v>43745</v>
      </c>
      <c r="C1348" s="66" t="s">
        <v>216</v>
      </c>
      <c r="D1348" s="3" t="s">
        <v>9</v>
      </c>
      <c r="E1348" s="64">
        <v>1</v>
      </c>
    </row>
    <row r="1349" spans="1:5">
      <c r="A1349" s="64" t="s">
        <v>6</v>
      </c>
      <c r="B1349" s="65">
        <v>43746</v>
      </c>
      <c r="C1349" s="66" t="s">
        <v>217</v>
      </c>
      <c r="D1349" s="3" t="s">
        <v>9</v>
      </c>
      <c r="E1349" s="64">
        <v>1</v>
      </c>
    </row>
    <row r="1350" spans="1:5">
      <c r="A1350" s="64" t="s">
        <v>6</v>
      </c>
      <c r="B1350" s="65">
        <v>43747</v>
      </c>
      <c r="C1350" s="66" t="s">
        <v>218</v>
      </c>
      <c r="D1350" s="3" t="s">
        <v>9</v>
      </c>
      <c r="E1350" s="64">
        <v>1</v>
      </c>
    </row>
    <row r="1351" spans="1:5">
      <c r="A1351" s="64" t="s">
        <v>6</v>
      </c>
      <c r="B1351" s="65">
        <v>43748</v>
      </c>
      <c r="C1351" s="66" t="s">
        <v>219</v>
      </c>
      <c r="D1351" s="3" t="s">
        <v>9</v>
      </c>
      <c r="E1351" s="64">
        <v>1</v>
      </c>
    </row>
    <row r="1352" spans="1:5">
      <c r="A1352" s="64" t="s">
        <v>6</v>
      </c>
      <c r="B1352" s="65">
        <v>43749</v>
      </c>
      <c r="C1352" s="66" t="s">
        <v>220</v>
      </c>
      <c r="D1352" s="3" t="s">
        <v>9</v>
      </c>
      <c r="E1352" s="64">
        <v>1</v>
      </c>
    </row>
    <row r="1353" spans="1:5">
      <c r="A1353" s="64" t="s">
        <v>6</v>
      </c>
      <c r="B1353" s="65">
        <v>43750</v>
      </c>
      <c r="C1353" s="66" t="s">
        <v>221</v>
      </c>
      <c r="D1353" s="3" t="s">
        <v>9</v>
      </c>
      <c r="E1353" s="64">
        <v>1</v>
      </c>
    </row>
    <row r="1354" spans="1:5">
      <c r="A1354" s="64" t="s">
        <v>6</v>
      </c>
      <c r="B1354" s="65">
        <v>43751</v>
      </c>
      <c r="C1354" s="66" t="s">
        <v>222</v>
      </c>
      <c r="D1354" s="3" t="s">
        <v>9</v>
      </c>
      <c r="E1354" s="64">
        <v>1</v>
      </c>
    </row>
    <row r="1355" spans="1:5">
      <c r="A1355" s="64" t="s">
        <v>6</v>
      </c>
      <c r="B1355" s="65">
        <v>43752</v>
      </c>
      <c r="C1355" s="66" t="s">
        <v>216</v>
      </c>
      <c r="D1355" s="3" t="s">
        <v>9</v>
      </c>
      <c r="E1355" s="64">
        <v>1</v>
      </c>
    </row>
    <row r="1356" spans="1:5">
      <c r="A1356" s="64" t="s">
        <v>6</v>
      </c>
      <c r="B1356" s="65">
        <v>43753</v>
      </c>
      <c r="C1356" s="66" t="s">
        <v>217</v>
      </c>
      <c r="D1356" s="3" t="s">
        <v>9</v>
      </c>
      <c r="E1356" s="64">
        <v>1</v>
      </c>
    </row>
    <row r="1357" spans="1:5">
      <c r="A1357" s="64" t="s">
        <v>6</v>
      </c>
      <c r="B1357" s="65">
        <v>43754</v>
      </c>
      <c r="C1357" s="66" t="s">
        <v>218</v>
      </c>
      <c r="D1357" s="3" t="s">
        <v>9</v>
      </c>
      <c r="E1357" s="64">
        <v>1</v>
      </c>
    </row>
    <row r="1358" spans="1:5">
      <c r="A1358" s="64" t="s">
        <v>6</v>
      </c>
      <c r="B1358" s="65">
        <v>43755</v>
      </c>
      <c r="C1358" s="66" t="s">
        <v>219</v>
      </c>
      <c r="D1358" s="3" t="s">
        <v>9</v>
      </c>
      <c r="E1358" s="64">
        <v>1</v>
      </c>
    </row>
    <row r="1359" spans="1:5">
      <c r="A1359" s="64" t="s">
        <v>6</v>
      </c>
      <c r="B1359" s="65">
        <v>43756</v>
      </c>
      <c r="C1359" s="66" t="s">
        <v>220</v>
      </c>
      <c r="D1359" s="3" t="s">
        <v>9</v>
      </c>
      <c r="E1359" s="64">
        <v>1</v>
      </c>
    </row>
    <row r="1360" spans="1:5">
      <c r="A1360" s="64" t="s">
        <v>6</v>
      </c>
      <c r="B1360" s="65">
        <v>43757</v>
      </c>
      <c r="C1360" s="66" t="s">
        <v>221</v>
      </c>
      <c r="D1360" s="3" t="s">
        <v>9</v>
      </c>
      <c r="E1360" s="64">
        <v>1</v>
      </c>
    </row>
    <row r="1361" spans="1:5">
      <c r="A1361" s="64" t="s">
        <v>6</v>
      </c>
      <c r="B1361" s="65">
        <v>43758</v>
      </c>
      <c r="C1361" s="66" t="s">
        <v>222</v>
      </c>
      <c r="D1361" s="3" t="s">
        <v>9</v>
      </c>
      <c r="E1361" s="64">
        <v>1</v>
      </c>
    </row>
    <row r="1362" spans="1:5">
      <c r="A1362" s="64" t="s">
        <v>6</v>
      </c>
      <c r="B1362" s="65">
        <v>43759</v>
      </c>
      <c r="C1362" s="66" t="s">
        <v>216</v>
      </c>
      <c r="D1362" s="3" t="s">
        <v>9</v>
      </c>
      <c r="E1362" s="64">
        <v>1</v>
      </c>
    </row>
    <row r="1363" spans="1:5">
      <c r="A1363" s="64" t="s">
        <v>6</v>
      </c>
      <c r="B1363" s="65">
        <v>43760</v>
      </c>
      <c r="C1363" s="66" t="s">
        <v>217</v>
      </c>
      <c r="D1363" s="3" t="s">
        <v>9</v>
      </c>
      <c r="E1363" s="64">
        <v>1</v>
      </c>
    </row>
    <row r="1364" spans="1:5">
      <c r="A1364" s="64" t="s">
        <v>6</v>
      </c>
      <c r="B1364" s="65">
        <v>43761</v>
      </c>
      <c r="C1364" s="66" t="s">
        <v>218</v>
      </c>
      <c r="D1364" s="3" t="s">
        <v>9</v>
      </c>
      <c r="E1364" s="64">
        <v>1</v>
      </c>
    </row>
    <row r="1365" spans="1:5">
      <c r="A1365" s="64" t="s">
        <v>6</v>
      </c>
      <c r="B1365" s="65">
        <v>43762</v>
      </c>
      <c r="C1365" s="66" t="s">
        <v>219</v>
      </c>
      <c r="D1365" s="3" t="s">
        <v>9</v>
      </c>
      <c r="E1365" s="64">
        <v>1</v>
      </c>
    </row>
    <row r="1366" spans="1:5">
      <c r="A1366" s="64" t="s">
        <v>6</v>
      </c>
      <c r="B1366" s="65">
        <v>43763</v>
      </c>
      <c r="C1366" s="66" t="s">
        <v>220</v>
      </c>
      <c r="D1366" s="3" t="s">
        <v>9</v>
      </c>
      <c r="E1366" s="64">
        <v>1</v>
      </c>
    </row>
    <row r="1367" spans="1:5">
      <c r="A1367" s="64" t="s">
        <v>6</v>
      </c>
      <c r="B1367" s="65">
        <v>43764</v>
      </c>
      <c r="C1367" s="66" t="s">
        <v>221</v>
      </c>
      <c r="D1367" s="3" t="s">
        <v>9</v>
      </c>
      <c r="E1367" s="64">
        <v>1</v>
      </c>
    </row>
    <row r="1368" spans="1:5">
      <c r="A1368" s="64" t="s">
        <v>6</v>
      </c>
      <c r="B1368" s="65">
        <v>43765</v>
      </c>
      <c r="C1368" s="66" t="s">
        <v>222</v>
      </c>
      <c r="D1368" s="3" t="s">
        <v>9</v>
      </c>
      <c r="E1368" s="64">
        <v>1</v>
      </c>
    </row>
    <row r="1369" spans="1:5">
      <c r="A1369" s="64" t="s">
        <v>6</v>
      </c>
      <c r="B1369" s="65">
        <v>43766</v>
      </c>
      <c r="C1369" s="66" t="s">
        <v>216</v>
      </c>
      <c r="D1369" s="3" t="s">
        <v>9</v>
      </c>
      <c r="E1369" s="64">
        <v>1</v>
      </c>
    </row>
    <row r="1370" spans="1:5">
      <c r="A1370" s="64" t="s">
        <v>6</v>
      </c>
      <c r="B1370" s="65">
        <v>43767</v>
      </c>
      <c r="C1370" s="66" t="s">
        <v>217</v>
      </c>
      <c r="D1370" s="3" t="s">
        <v>9</v>
      </c>
      <c r="E1370" s="64">
        <v>1</v>
      </c>
    </row>
    <row r="1371" spans="1:5">
      <c r="A1371" s="64" t="s">
        <v>6</v>
      </c>
      <c r="B1371" s="65">
        <v>43768</v>
      </c>
      <c r="C1371" s="66" t="s">
        <v>218</v>
      </c>
      <c r="D1371" s="3" t="s">
        <v>9</v>
      </c>
      <c r="E1371" s="64">
        <v>1</v>
      </c>
    </row>
    <row r="1372" spans="1:5">
      <c r="A1372" s="64" t="s">
        <v>6</v>
      </c>
      <c r="B1372" s="65">
        <v>43769</v>
      </c>
      <c r="C1372" s="66" t="s">
        <v>219</v>
      </c>
      <c r="D1372" s="3" t="s">
        <v>9</v>
      </c>
      <c r="E1372" s="64">
        <v>1</v>
      </c>
    </row>
    <row r="1373" spans="1:5">
      <c r="A1373" s="64" t="s">
        <v>6</v>
      </c>
      <c r="B1373" s="65">
        <v>43770</v>
      </c>
      <c r="C1373" s="66" t="s">
        <v>220</v>
      </c>
      <c r="D1373" s="3" t="s">
        <v>9</v>
      </c>
      <c r="E1373" s="64">
        <v>1</v>
      </c>
    </row>
    <row r="1374" spans="1:5">
      <c r="A1374" s="64" t="s">
        <v>6</v>
      </c>
      <c r="B1374" s="65">
        <v>43771</v>
      </c>
      <c r="C1374" s="66" t="s">
        <v>221</v>
      </c>
      <c r="D1374" s="3" t="s">
        <v>9</v>
      </c>
      <c r="E1374" s="64">
        <v>1</v>
      </c>
    </row>
    <row r="1375" spans="1:5">
      <c r="A1375" s="64" t="s">
        <v>6</v>
      </c>
      <c r="B1375" s="65">
        <v>43772</v>
      </c>
      <c r="C1375" s="66" t="s">
        <v>222</v>
      </c>
      <c r="D1375" s="3" t="s">
        <v>9</v>
      </c>
      <c r="E1375" s="64">
        <v>1</v>
      </c>
    </row>
    <row r="1376" spans="1:5">
      <c r="A1376" s="64" t="s">
        <v>6</v>
      </c>
      <c r="B1376" s="65">
        <v>43773</v>
      </c>
      <c r="C1376" s="66" t="s">
        <v>216</v>
      </c>
      <c r="D1376" s="3" t="s">
        <v>9</v>
      </c>
      <c r="E1376" s="64">
        <v>1</v>
      </c>
    </row>
    <row r="1377" spans="1:5">
      <c r="A1377" s="64" t="s">
        <v>6</v>
      </c>
      <c r="B1377" s="65">
        <v>43774</v>
      </c>
      <c r="C1377" s="66" t="s">
        <v>217</v>
      </c>
      <c r="D1377" s="3" t="s">
        <v>9</v>
      </c>
      <c r="E1377" s="64">
        <v>1</v>
      </c>
    </row>
    <row r="1378" spans="1:5">
      <c r="A1378" s="64" t="s">
        <v>6</v>
      </c>
      <c r="B1378" s="65">
        <v>43775</v>
      </c>
      <c r="C1378" s="66" t="s">
        <v>218</v>
      </c>
      <c r="D1378" s="3" t="s">
        <v>9</v>
      </c>
      <c r="E1378" s="64">
        <v>1</v>
      </c>
    </row>
    <row r="1379" spans="1:5">
      <c r="A1379" s="64" t="s">
        <v>6</v>
      </c>
      <c r="B1379" s="65">
        <v>43776</v>
      </c>
      <c r="C1379" s="66" t="s">
        <v>219</v>
      </c>
      <c r="D1379" s="3" t="s">
        <v>9</v>
      </c>
      <c r="E1379" s="64">
        <v>1</v>
      </c>
    </row>
    <row r="1380" spans="1:5">
      <c r="A1380" s="64" t="s">
        <v>6</v>
      </c>
      <c r="B1380" s="65">
        <v>43777</v>
      </c>
      <c r="C1380" s="66" t="s">
        <v>220</v>
      </c>
      <c r="D1380" s="3" t="s">
        <v>9</v>
      </c>
      <c r="E1380" s="64">
        <v>1</v>
      </c>
    </row>
    <row r="1381" spans="1:5">
      <c r="A1381" s="64" t="s">
        <v>6</v>
      </c>
      <c r="B1381" s="65">
        <v>43778</v>
      </c>
      <c r="C1381" s="66" t="s">
        <v>221</v>
      </c>
      <c r="D1381" s="3" t="s">
        <v>9</v>
      </c>
      <c r="E1381" s="64">
        <v>1</v>
      </c>
    </row>
    <row r="1382" spans="1:5">
      <c r="A1382" s="64" t="s">
        <v>6</v>
      </c>
      <c r="B1382" s="65">
        <v>43779</v>
      </c>
      <c r="C1382" s="66" t="s">
        <v>222</v>
      </c>
      <c r="D1382" s="3" t="s">
        <v>9</v>
      </c>
      <c r="E1382" s="64">
        <v>1</v>
      </c>
    </row>
    <row r="1383" spans="1:5">
      <c r="A1383" s="64" t="s">
        <v>6</v>
      </c>
      <c r="B1383" s="65">
        <v>43780</v>
      </c>
      <c r="C1383" s="66" t="s">
        <v>216</v>
      </c>
      <c r="D1383" s="3" t="s">
        <v>9</v>
      </c>
      <c r="E1383" s="64">
        <v>1</v>
      </c>
    </row>
    <row r="1384" spans="1:5">
      <c r="A1384" s="64" t="s">
        <v>6</v>
      </c>
      <c r="B1384" s="65">
        <v>43781</v>
      </c>
      <c r="C1384" s="66" t="s">
        <v>217</v>
      </c>
      <c r="D1384" s="3" t="s">
        <v>9</v>
      </c>
      <c r="E1384" s="64">
        <v>1</v>
      </c>
    </row>
    <row r="1385" spans="1:5">
      <c r="A1385" s="64" t="s">
        <v>6</v>
      </c>
      <c r="B1385" s="65">
        <v>43782</v>
      </c>
      <c r="C1385" s="66" t="s">
        <v>218</v>
      </c>
      <c r="D1385" s="3" t="s">
        <v>9</v>
      </c>
      <c r="E1385" s="64">
        <v>1</v>
      </c>
    </row>
    <row r="1386" spans="1:5">
      <c r="A1386" s="64" t="s">
        <v>6</v>
      </c>
      <c r="B1386" s="65">
        <v>43783</v>
      </c>
      <c r="C1386" s="66" t="s">
        <v>219</v>
      </c>
      <c r="D1386" s="3" t="s">
        <v>9</v>
      </c>
      <c r="E1386" s="64">
        <v>1</v>
      </c>
    </row>
    <row r="1387" spans="1:5">
      <c r="A1387" s="64" t="s">
        <v>6</v>
      </c>
      <c r="B1387" s="65">
        <v>43784</v>
      </c>
      <c r="C1387" s="66" t="s">
        <v>220</v>
      </c>
      <c r="D1387" s="3" t="s">
        <v>9</v>
      </c>
      <c r="E1387" s="64">
        <v>1</v>
      </c>
    </row>
    <row r="1388" spans="1:5">
      <c r="A1388" s="64" t="s">
        <v>6</v>
      </c>
      <c r="B1388" s="65">
        <v>43785</v>
      </c>
      <c r="C1388" s="66" t="s">
        <v>221</v>
      </c>
      <c r="D1388" s="3" t="s">
        <v>9</v>
      </c>
      <c r="E1388" s="64">
        <v>1</v>
      </c>
    </row>
    <row r="1389" spans="1:5">
      <c r="A1389" s="64" t="s">
        <v>6</v>
      </c>
      <c r="B1389" s="65">
        <v>43786</v>
      </c>
      <c r="C1389" s="66" t="s">
        <v>222</v>
      </c>
      <c r="D1389" s="3" t="s">
        <v>9</v>
      </c>
      <c r="E1389" s="64">
        <v>1</v>
      </c>
    </row>
    <row r="1390" spans="1:5">
      <c r="A1390" s="64" t="s">
        <v>6</v>
      </c>
      <c r="B1390" s="65">
        <v>43787</v>
      </c>
      <c r="C1390" s="66" t="s">
        <v>216</v>
      </c>
      <c r="D1390" s="3" t="s">
        <v>9</v>
      </c>
      <c r="E1390" s="64">
        <v>1</v>
      </c>
    </row>
    <row r="1391" spans="1:5">
      <c r="A1391" s="64" t="s">
        <v>6</v>
      </c>
      <c r="B1391" s="65">
        <v>43788</v>
      </c>
      <c r="C1391" s="66" t="s">
        <v>217</v>
      </c>
      <c r="D1391" s="3" t="s">
        <v>9</v>
      </c>
      <c r="E1391" s="64">
        <v>1</v>
      </c>
    </row>
    <row r="1392" spans="1:5">
      <c r="A1392" s="64" t="s">
        <v>6</v>
      </c>
      <c r="B1392" s="65">
        <v>43789</v>
      </c>
      <c r="C1392" s="66" t="s">
        <v>218</v>
      </c>
      <c r="D1392" s="3" t="s">
        <v>9</v>
      </c>
      <c r="E1392" s="64">
        <v>1</v>
      </c>
    </row>
    <row r="1393" spans="1:5">
      <c r="A1393" s="64" t="s">
        <v>6</v>
      </c>
      <c r="B1393" s="65">
        <v>43790</v>
      </c>
      <c r="C1393" s="66" t="s">
        <v>219</v>
      </c>
      <c r="D1393" s="3" t="s">
        <v>9</v>
      </c>
      <c r="E1393" s="64">
        <v>1</v>
      </c>
    </row>
    <row r="1394" spans="1:5">
      <c r="A1394" s="64" t="s">
        <v>6</v>
      </c>
      <c r="B1394" s="65">
        <v>43791</v>
      </c>
      <c r="C1394" s="66" t="s">
        <v>220</v>
      </c>
      <c r="D1394" s="3" t="s">
        <v>9</v>
      </c>
      <c r="E1394" s="64">
        <v>1</v>
      </c>
    </row>
    <row r="1395" spans="1:5">
      <c r="A1395" s="64" t="s">
        <v>6</v>
      </c>
      <c r="B1395" s="65">
        <v>43792</v>
      </c>
      <c r="C1395" s="66" t="s">
        <v>221</v>
      </c>
      <c r="D1395" s="3" t="s">
        <v>9</v>
      </c>
      <c r="E1395" s="64">
        <v>1</v>
      </c>
    </row>
    <row r="1396" spans="1:5">
      <c r="A1396" s="64" t="s">
        <v>6</v>
      </c>
      <c r="B1396" s="65">
        <v>43793</v>
      </c>
      <c r="C1396" s="66" t="s">
        <v>222</v>
      </c>
      <c r="D1396" s="3" t="s">
        <v>9</v>
      </c>
      <c r="E1396" s="64">
        <v>1</v>
      </c>
    </row>
    <row r="1397" spans="1:5">
      <c r="A1397" s="64" t="s">
        <v>6</v>
      </c>
      <c r="B1397" s="65">
        <v>43794</v>
      </c>
      <c r="C1397" s="66" t="s">
        <v>216</v>
      </c>
      <c r="D1397" s="3" t="s">
        <v>9</v>
      </c>
      <c r="E1397" s="64">
        <v>1</v>
      </c>
    </row>
    <row r="1398" spans="1:5">
      <c r="A1398" s="64" t="s">
        <v>6</v>
      </c>
      <c r="B1398" s="65">
        <v>43795</v>
      </c>
      <c r="C1398" s="66" t="s">
        <v>217</v>
      </c>
      <c r="D1398" s="3" t="s">
        <v>9</v>
      </c>
      <c r="E1398" s="64">
        <v>1</v>
      </c>
    </row>
    <row r="1399" spans="1:5">
      <c r="A1399" s="64" t="s">
        <v>6</v>
      </c>
      <c r="B1399" s="65">
        <v>43796</v>
      </c>
      <c r="C1399" s="66" t="s">
        <v>218</v>
      </c>
      <c r="D1399" s="3" t="s">
        <v>9</v>
      </c>
      <c r="E1399" s="64">
        <v>1</v>
      </c>
    </row>
    <row r="1400" spans="1:5">
      <c r="A1400" s="64" t="s">
        <v>6</v>
      </c>
      <c r="B1400" s="65">
        <v>43797</v>
      </c>
      <c r="C1400" s="66" t="s">
        <v>219</v>
      </c>
      <c r="D1400" s="3" t="s">
        <v>9</v>
      </c>
      <c r="E1400" s="64">
        <v>1</v>
      </c>
    </row>
    <row r="1401" spans="1:5">
      <c r="A1401" s="64" t="s">
        <v>6</v>
      </c>
      <c r="B1401" s="65">
        <v>43798</v>
      </c>
      <c r="C1401" s="66" t="s">
        <v>220</v>
      </c>
      <c r="D1401" s="3" t="s">
        <v>9</v>
      </c>
      <c r="E1401" s="64">
        <v>1</v>
      </c>
    </row>
    <row r="1402" spans="1:5">
      <c r="A1402" s="64" t="s">
        <v>6</v>
      </c>
      <c r="B1402" s="65">
        <v>43799</v>
      </c>
      <c r="C1402" s="66" t="s">
        <v>221</v>
      </c>
      <c r="D1402" s="3" t="s">
        <v>9</v>
      </c>
      <c r="E1402" s="64">
        <v>1</v>
      </c>
    </row>
    <row r="1403" spans="1:5">
      <c r="A1403" s="64" t="s">
        <v>6</v>
      </c>
      <c r="B1403" s="65">
        <v>43800</v>
      </c>
      <c r="C1403" s="66" t="s">
        <v>222</v>
      </c>
      <c r="D1403" s="3" t="s">
        <v>9</v>
      </c>
      <c r="E1403" s="64">
        <v>1</v>
      </c>
    </row>
    <row r="1404" spans="1:5">
      <c r="A1404" s="64" t="s">
        <v>6</v>
      </c>
      <c r="B1404" s="65">
        <v>43801</v>
      </c>
      <c r="C1404" s="66" t="s">
        <v>216</v>
      </c>
      <c r="D1404" s="3" t="s">
        <v>9</v>
      </c>
      <c r="E1404" s="64">
        <v>1</v>
      </c>
    </row>
    <row r="1405" spans="1:5">
      <c r="A1405" s="64" t="s">
        <v>6</v>
      </c>
      <c r="B1405" s="65">
        <v>43802</v>
      </c>
      <c r="C1405" s="66" t="s">
        <v>217</v>
      </c>
      <c r="D1405" s="3" t="s">
        <v>9</v>
      </c>
      <c r="E1405" s="64">
        <v>1</v>
      </c>
    </row>
    <row r="1406" spans="1:5">
      <c r="A1406" s="64" t="s">
        <v>6</v>
      </c>
      <c r="B1406" s="65">
        <v>43803</v>
      </c>
      <c r="C1406" s="66" t="s">
        <v>218</v>
      </c>
      <c r="D1406" s="3" t="s">
        <v>9</v>
      </c>
      <c r="E1406" s="64">
        <v>1</v>
      </c>
    </row>
    <row r="1407" spans="1:5">
      <c r="A1407" s="64" t="s">
        <v>6</v>
      </c>
      <c r="B1407" s="65">
        <v>43804</v>
      </c>
      <c r="C1407" s="66" t="s">
        <v>219</v>
      </c>
      <c r="D1407" s="3" t="s">
        <v>9</v>
      </c>
      <c r="E1407" s="64">
        <v>1</v>
      </c>
    </row>
    <row r="1408" spans="1:5">
      <c r="A1408" s="64" t="s">
        <v>6</v>
      </c>
      <c r="B1408" s="65">
        <v>43805</v>
      </c>
      <c r="C1408" s="66" t="s">
        <v>220</v>
      </c>
      <c r="D1408" s="3" t="s">
        <v>9</v>
      </c>
      <c r="E1408" s="64">
        <v>1</v>
      </c>
    </row>
    <row r="1409" spans="1:5">
      <c r="A1409" s="64" t="s">
        <v>6</v>
      </c>
      <c r="B1409" s="65">
        <v>43806</v>
      </c>
      <c r="C1409" s="66" t="s">
        <v>221</v>
      </c>
      <c r="D1409" s="3" t="s">
        <v>9</v>
      </c>
      <c r="E1409" s="64">
        <v>1</v>
      </c>
    </row>
    <row r="1410" spans="1:5">
      <c r="A1410" s="64" t="s">
        <v>6</v>
      </c>
      <c r="B1410" s="65">
        <v>43807</v>
      </c>
      <c r="C1410" s="66" t="s">
        <v>222</v>
      </c>
      <c r="D1410" s="3" t="s">
        <v>9</v>
      </c>
      <c r="E1410" s="64">
        <v>1</v>
      </c>
    </row>
    <row r="1411" spans="1:5">
      <c r="A1411" s="64" t="s">
        <v>6</v>
      </c>
      <c r="B1411" s="65">
        <v>43808</v>
      </c>
      <c r="C1411" s="66" t="s">
        <v>216</v>
      </c>
      <c r="D1411" s="3" t="s">
        <v>9</v>
      </c>
      <c r="E1411" s="64">
        <v>1</v>
      </c>
    </row>
    <row r="1412" spans="1:5">
      <c r="A1412" s="64" t="s">
        <v>6</v>
      </c>
      <c r="B1412" s="65">
        <v>43809</v>
      </c>
      <c r="C1412" s="66" t="s">
        <v>217</v>
      </c>
      <c r="D1412" s="3" t="s">
        <v>9</v>
      </c>
      <c r="E1412" s="64">
        <v>1</v>
      </c>
    </row>
    <row r="1413" spans="1:5">
      <c r="A1413" s="64" t="s">
        <v>6</v>
      </c>
      <c r="B1413" s="65">
        <v>43810</v>
      </c>
      <c r="C1413" s="66" t="s">
        <v>218</v>
      </c>
      <c r="D1413" s="3" t="s">
        <v>9</v>
      </c>
      <c r="E1413" s="64">
        <v>1</v>
      </c>
    </row>
    <row r="1414" spans="1:5">
      <c r="A1414" s="64" t="s">
        <v>6</v>
      </c>
      <c r="B1414" s="65">
        <v>43811</v>
      </c>
      <c r="C1414" s="66" t="s">
        <v>219</v>
      </c>
      <c r="D1414" s="3" t="s">
        <v>9</v>
      </c>
      <c r="E1414" s="64">
        <v>1</v>
      </c>
    </row>
    <row r="1415" spans="1:5">
      <c r="A1415" s="64" t="s">
        <v>6</v>
      </c>
      <c r="B1415" s="65">
        <v>43812</v>
      </c>
      <c r="C1415" s="66" t="s">
        <v>220</v>
      </c>
      <c r="D1415" s="3" t="s">
        <v>9</v>
      </c>
      <c r="E1415" s="64">
        <v>1</v>
      </c>
    </row>
    <row r="1416" spans="1:5">
      <c r="A1416" s="64" t="s">
        <v>6</v>
      </c>
      <c r="B1416" s="65">
        <v>43813</v>
      </c>
      <c r="C1416" s="66" t="s">
        <v>221</v>
      </c>
      <c r="D1416" s="3" t="s">
        <v>9</v>
      </c>
      <c r="E1416" s="64">
        <v>1</v>
      </c>
    </row>
    <row r="1417" spans="1:5">
      <c r="A1417" s="64" t="s">
        <v>6</v>
      </c>
      <c r="B1417" s="65">
        <v>43814</v>
      </c>
      <c r="C1417" s="66" t="s">
        <v>222</v>
      </c>
      <c r="D1417" s="3" t="s">
        <v>9</v>
      </c>
      <c r="E1417" s="64">
        <v>1</v>
      </c>
    </row>
    <row r="1418" spans="1:5">
      <c r="A1418" s="64" t="s">
        <v>6</v>
      </c>
      <c r="B1418" s="65">
        <v>43815</v>
      </c>
      <c r="C1418" s="66" t="s">
        <v>216</v>
      </c>
      <c r="D1418" s="3" t="s">
        <v>9</v>
      </c>
      <c r="E1418" s="64">
        <v>1</v>
      </c>
    </row>
    <row r="1419" spans="1:5">
      <c r="A1419" s="64" t="s">
        <v>6</v>
      </c>
      <c r="B1419" s="65">
        <v>43816</v>
      </c>
      <c r="C1419" s="66" t="s">
        <v>217</v>
      </c>
      <c r="D1419" s="3" t="s">
        <v>9</v>
      </c>
      <c r="E1419" s="64">
        <v>1</v>
      </c>
    </row>
    <row r="1420" spans="1:5">
      <c r="A1420" s="64" t="s">
        <v>6</v>
      </c>
      <c r="B1420" s="65">
        <v>43817</v>
      </c>
      <c r="C1420" s="66" t="s">
        <v>218</v>
      </c>
      <c r="D1420" s="3" t="s">
        <v>9</v>
      </c>
      <c r="E1420" s="64">
        <v>1</v>
      </c>
    </row>
    <row r="1421" spans="1:5">
      <c r="A1421" s="64" t="s">
        <v>6</v>
      </c>
      <c r="B1421" s="65">
        <v>43818</v>
      </c>
      <c r="C1421" s="66" t="s">
        <v>219</v>
      </c>
      <c r="D1421" s="3" t="s">
        <v>9</v>
      </c>
      <c r="E1421" s="64">
        <v>1</v>
      </c>
    </row>
    <row r="1422" spans="1:5">
      <c r="A1422" s="64" t="s">
        <v>6</v>
      </c>
      <c r="B1422" s="65">
        <v>43819</v>
      </c>
      <c r="C1422" s="66" t="s">
        <v>220</v>
      </c>
      <c r="D1422" s="3" t="s">
        <v>9</v>
      </c>
      <c r="E1422" s="64">
        <v>1</v>
      </c>
    </row>
    <row r="1423" spans="1:5">
      <c r="A1423" s="64" t="s">
        <v>6</v>
      </c>
      <c r="B1423" s="65">
        <v>43820</v>
      </c>
      <c r="C1423" s="66" t="s">
        <v>221</v>
      </c>
      <c r="D1423" s="3" t="s">
        <v>9</v>
      </c>
      <c r="E1423" s="64">
        <v>1</v>
      </c>
    </row>
    <row r="1424" spans="1:5">
      <c r="A1424" s="64" t="s">
        <v>6</v>
      </c>
      <c r="B1424" s="65">
        <v>43821</v>
      </c>
      <c r="C1424" s="66" t="s">
        <v>222</v>
      </c>
      <c r="D1424" s="3" t="s">
        <v>9</v>
      </c>
      <c r="E1424" s="64">
        <v>1</v>
      </c>
    </row>
    <row r="1425" spans="1:5">
      <c r="A1425" s="64" t="s">
        <v>6</v>
      </c>
      <c r="B1425" s="65">
        <v>43822</v>
      </c>
      <c r="C1425" s="66" t="s">
        <v>216</v>
      </c>
      <c r="D1425" s="3" t="s">
        <v>9</v>
      </c>
      <c r="E1425" s="64">
        <v>1</v>
      </c>
    </row>
    <row r="1426" spans="1:5">
      <c r="A1426" s="64" t="s">
        <v>6</v>
      </c>
      <c r="B1426" s="65">
        <v>43823</v>
      </c>
      <c r="C1426" s="66" t="s">
        <v>217</v>
      </c>
      <c r="D1426" s="3" t="s">
        <v>9</v>
      </c>
      <c r="E1426" s="64">
        <v>1</v>
      </c>
    </row>
    <row r="1427" spans="1:5">
      <c r="A1427" s="64" t="s">
        <v>6</v>
      </c>
      <c r="B1427" s="65">
        <v>43824</v>
      </c>
      <c r="C1427" s="66" t="s">
        <v>218</v>
      </c>
      <c r="D1427" s="3" t="s">
        <v>9</v>
      </c>
      <c r="E1427" s="64">
        <v>1</v>
      </c>
    </row>
    <row r="1428" spans="1:5">
      <c r="A1428" s="64" t="s">
        <v>6</v>
      </c>
      <c r="B1428" s="65">
        <v>43825</v>
      </c>
      <c r="C1428" s="66" t="s">
        <v>219</v>
      </c>
      <c r="D1428" s="3" t="s">
        <v>9</v>
      </c>
      <c r="E1428" s="64">
        <v>1</v>
      </c>
    </row>
    <row r="1429" spans="1:5">
      <c r="A1429" s="64" t="s">
        <v>6</v>
      </c>
      <c r="B1429" s="65">
        <v>43826</v>
      </c>
      <c r="C1429" s="66" t="s">
        <v>220</v>
      </c>
      <c r="D1429" s="3" t="s">
        <v>9</v>
      </c>
      <c r="E1429" s="64">
        <v>1</v>
      </c>
    </row>
    <row r="1430" spans="1:5">
      <c r="A1430" s="64" t="s">
        <v>6</v>
      </c>
      <c r="B1430" s="65">
        <v>43827</v>
      </c>
      <c r="C1430" s="66" t="s">
        <v>221</v>
      </c>
      <c r="D1430" s="3" t="s">
        <v>9</v>
      </c>
      <c r="E1430" s="64">
        <v>1</v>
      </c>
    </row>
    <row r="1431" spans="1:5">
      <c r="A1431" s="64" t="s">
        <v>6</v>
      </c>
      <c r="B1431" s="65">
        <v>43828</v>
      </c>
      <c r="C1431" s="66" t="s">
        <v>222</v>
      </c>
      <c r="D1431" s="3" t="s">
        <v>9</v>
      </c>
      <c r="E1431" s="64">
        <v>1</v>
      </c>
    </row>
    <row r="1432" spans="1:5">
      <c r="A1432" s="64" t="s">
        <v>6</v>
      </c>
      <c r="B1432" s="65">
        <v>43829</v>
      </c>
      <c r="C1432" s="66" t="s">
        <v>216</v>
      </c>
      <c r="D1432" s="3" t="s">
        <v>9</v>
      </c>
      <c r="E1432" s="64">
        <v>1</v>
      </c>
    </row>
    <row r="1433" spans="1:5">
      <c r="A1433" s="64" t="s">
        <v>6</v>
      </c>
      <c r="B1433" s="65">
        <v>43830</v>
      </c>
      <c r="C1433" s="66" t="s">
        <v>217</v>
      </c>
      <c r="D1433" s="3" t="s">
        <v>9</v>
      </c>
      <c r="E1433" s="64">
        <v>1</v>
      </c>
    </row>
    <row r="1434" spans="1:5">
      <c r="A1434" s="64" t="s">
        <v>6</v>
      </c>
      <c r="B1434" s="65">
        <v>43831</v>
      </c>
      <c r="C1434" s="66" t="s">
        <v>218</v>
      </c>
      <c r="D1434" s="3" t="s">
        <v>9</v>
      </c>
      <c r="E1434" s="64">
        <v>1</v>
      </c>
    </row>
    <row r="1435" spans="1:5">
      <c r="A1435" s="64" t="s">
        <v>6</v>
      </c>
      <c r="B1435" s="65">
        <v>43832</v>
      </c>
      <c r="C1435" s="66" t="s">
        <v>219</v>
      </c>
      <c r="D1435" s="3" t="s">
        <v>9</v>
      </c>
      <c r="E1435" s="64">
        <v>1</v>
      </c>
    </row>
    <row r="1436" spans="1:5">
      <c r="A1436" s="64" t="s">
        <v>6</v>
      </c>
      <c r="B1436" s="65">
        <v>43833</v>
      </c>
      <c r="C1436" s="66" t="s">
        <v>220</v>
      </c>
      <c r="D1436" s="3" t="s">
        <v>9</v>
      </c>
      <c r="E1436" s="64">
        <v>1</v>
      </c>
    </row>
    <row r="1437" spans="1:5">
      <c r="A1437" s="64" t="s">
        <v>6</v>
      </c>
      <c r="B1437" s="65">
        <v>43834</v>
      </c>
      <c r="C1437" s="66" t="s">
        <v>221</v>
      </c>
      <c r="D1437" s="3" t="s">
        <v>9</v>
      </c>
      <c r="E1437" s="64">
        <v>1</v>
      </c>
    </row>
    <row r="1438" spans="1:5">
      <c r="A1438" s="64" t="s">
        <v>6</v>
      </c>
      <c r="B1438" s="65">
        <v>43835</v>
      </c>
      <c r="C1438" s="66" t="s">
        <v>222</v>
      </c>
      <c r="D1438" s="3" t="s">
        <v>9</v>
      </c>
      <c r="E1438" s="64">
        <v>1</v>
      </c>
    </row>
    <row r="1439" spans="1:5">
      <c r="A1439" s="64" t="s">
        <v>6</v>
      </c>
      <c r="B1439" s="65">
        <v>43836</v>
      </c>
      <c r="C1439" s="66" t="s">
        <v>216</v>
      </c>
      <c r="D1439" s="3" t="s">
        <v>9</v>
      </c>
      <c r="E1439" s="64">
        <v>1</v>
      </c>
    </row>
    <row r="1440" spans="1:5">
      <c r="A1440" s="64" t="s">
        <v>6</v>
      </c>
      <c r="B1440" s="65">
        <v>43837</v>
      </c>
      <c r="C1440" s="66" t="s">
        <v>217</v>
      </c>
      <c r="D1440" s="3" t="s">
        <v>9</v>
      </c>
      <c r="E1440" s="64">
        <v>1</v>
      </c>
    </row>
    <row r="1441" spans="1:5">
      <c r="A1441" s="64" t="s">
        <v>6</v>
      </c>
      <c r="B1441" s="65">
        <v>43838</v>
      </c>
      <c r="C1441" s="66" t="s">
        <v>218</v>
      </c>
      <c r="D1441" s="3" t="s">
        <v>9</v>
      </c>
      <c r="E1441" s="64">
        <v>1</v>
      </c>
    </row>
    <row r="1442" spans="1:5">
      <c r="A1442" s="64" t="s">
        <v>6</v>
      </c>
      <c r="B1442" s="65">
        <v>43839</v>
      </c>
      <c r="C1442" s="66" t="s">
        <v>219</v>
      </c>
      <c r="D1442" s="3" t="s">
        <v>9</v>
      </c>
      <c r="E1442" s="64">
        <v>1</v>
      </c>
    </row>
    <row r="1443" spans="1:5">
      <c r="A1443" s="64" t="s">
        <v>6</v>
      </c>
      <c r="B1443" s="65">
        <v>43840</v>
      </c>
      <c r="C1443" s="66" t="s">
        <v>220</v>
      </c>
      <c r="D1443" s="3" t="s">
        <v>9</v>
      </c>
      <c r="E1443" s="64">
        <v>1</v>
      </c>
    </row>
    <row r="1444" spans="1:5">
      <c r="A1444" s="64" t="s">
        <v>6</v>
      </c>
      <c r="B1444" s="65">
        <v>43536</v>
      </c>
      <c r="C1444" s="66" t="s">
        <v>217</v>
      </c>
      <c r="D1444" s="3" t="s">
        <v>10</v>
      </c>
      <c r="E1444" s="64">
        <v>1</v>
      </c>
    </row>
    <row r="1445" spans="1:5">
      <c r="A1445" s="64" t="s">
        <v>6</v>
      </c>
      <c r="B1445" s="65">
        <v>43537</v>
      </c>
      <c r="C1445" s="66" t="s">
        <v>218</v>
      </c>
      <c r="D1445" s="3" t="s">
        <v>10</v>
      </c>
      <c r="E1445" s="64">
        <v>1</v>
      </c>
    </row>
    <row r="1446" spans="1:5">
      <c r="A1446" s="64" t="s">
        <v>6</v>
      </c>
      <c r="B1446" s="65">
        <v>43538</v>
      </c>
      <c r="C1446" s="66" t="s">
        <v>219</v>
      </c>
      <c r="D1446" s="3" t="s">
        <v>10</v>
      </c>
      <c r="E1446" s="64">
        <v>1</v>
      </c>
    </row>
    <row r="1447" spans="1:5">
      <c r="A1447" s="64" t="s">
        <v>6</v>
      </c>
      <c r="B1447" s="65">
        <v>43539</v>
      </c>
      <c r="C1447" s="66" t="s">
        <v>220</v>
      </c>
      <c r="D1447" s="3" t="s">
        <v>10</v>
      </c>
      <c r="E1447" s="64">
        <v>1</v>
      </c>
    </row>
    <row r="1448" spans="1:5">
      <c r="A1448" s="64" t="s">
        <v>6</v>
      </c>
      <c r="B1448" s="65">
        <v>43540</v>
      </c>
      <c r="C1448" s="66" t="s">
        <v>221</v>
      </c>
      <c r="D1448" s="3" t="s">
        <v>10</v>
      </c>
      <c r="E1448" s="64">
        <v>1</v>
      </c>
    </row>
    <row r="1449" spans="1:5">
      <c r="A1449" s="64" t="s">
        <v>6</v>
      </c>
      <c r="B1449" s="65">
        <v>43541</v>
      </c>
      <c r="C1449" s="66" t="s">
        <v>222</v>
      </c>
      <c r="D1449" s="3" t="s">
        <v>10</v>
      </c>
      <c r="E1449" s="64">
        <v>1</v>
      </c>
    </row>
    <row r="1450" spans="1:5">
      <c r="A1450" s="64" t="s">
        <v>6</v>
      </c>
      <c r="B1450" s="65">
        <v>43542</v>
      </c>
      <c r="C1450" s="66" t="s">
        <v>216</v>
      </c>
      <c r="D1450" s="3" t="s">
        <v>10</v>
      </c>
      <c r="E1450" s="64">
        <v>1</v>
      </c>
    </row>
    <row r="1451" spans="1:5">
      <c r="A1451" s="64" t="s">
        <v>6</v>
      </c>
      <c r="B1451" s="65">
        <v>43543</v>
      </c>
      <c r="C1451" s="66" t="s">
        <v>217</v>
      </c>
      <c r="D1451" s="3" t="s">
        <v>10</v>
      </c>
      <c r="E1451" s="64">
        <v>1</v>
      </c>
    </row>
    <row r="1452" spans="1:5">
      <c r="A1452" s="64" t="s">
        <v>6</v>
      </c>
      <c r="B1452" s="65">
        <v>43544</v>
      </c>
      <c r="C1452" s="66" t="s">
        <v>218</v>
      </c>
      <c r="D1452" s="3" t="s">
        <v>10</v>
      </c>
      <c r="E1452" s="64">
        <v>1</v>
      </c>
    </row>
    <row r="1453" spans="1:5">
      <c r="A1453" s="64" t="s">
        <v>6</v>
      </c>
      <c r="B1453" s="65">
        <v>43545</v>
      </c>
      <c r="C1453" s="66" t="s">
        <v>219</v>
      </c>
      <c r="D1453" s="3" t="s">
        <v>10</v>
      </c>
      <c r="E1453" s="64">
        <v>1</v>
      </c>
    </row>
    <row r="1454" spans="1:5">
      <c r="A1454" s="64" t="s">
        <v>6</v>
      </c>
      <c r="B1454" s="65">
        <v>43546</v>
      </c>
      <c r="C1454" s="66" t="s">
        <v>220</v>
      </c>
      <c r="D1454" s="3" t="s">
        <v>10</v>
      </c>
      <c r="E1454" s="64">
        <v>1</v>
      </c>
    </row>
    <row r="1455" spans="1:5">
      <c r="A1455" s="64" t="s">
        <v>6</v>
      </c>
      <c r="B1455" s="65">
        <v>43547</v>
      </c>
      <c r="C1455" s="66" t="s">
        <v>221</v>
      </c>
      <c r="D1455" s="3" t="s">
        <v>10</v>
      </c>
      <c r="E1455" s="64">
        <v>1</v>
      </c>
    </row>
    <row r="1456" spans="1:5">
      <c r="A1456" s="64" t="s">
        <v>6</v>
      </c>
      <c r="B1456" s="65">
        <v>43548</v>
      </c>
      <c r="C1456" s="66" t="s">
        <v>222</v>
      </c>
      <c r="D1456" s="3" t="s">
        <v>10</v>
      </c>
      <c r="E1456" s="64">
        <v>1</v>
      </c>
    </row>
    <row r="1457" spans="1:5">
      <c r="A1457" s="64" t="s">
        <v>6</v>
      </c>
      <c r="B1457" s="65">
        <v>43549</v>
      </c>
      <c r="C1457" s="66" t="s">
        <v>216</v>
      </c>
      <c r="D1457" s="3" t="s">
        <v>10</v>
      </c>
      <c r="E1457" s="64">
        <v>1</v>
      </c>
    </row>
    <row r="1458" spans="1:5">
      <c r="A1458" s="64" t="s">
        <v>6</v>
      </c>
      <c r="B1458" s="65">
        <v>43550</v>
      </c>
      <c r="C1458" s="66" t="s">
        <v>217</v>
      </c>
      <c r="D1458" s="3" t="s">
        <v>10</v>
      </c>
      <c r="E1458" s="64">
        <v>1</v>
      </c>
    </row>
    <row r="1459" spans="1:5">
      <c r="A1459" s="64" t="s">
        <v>6</v>
      </c>
      <c r="B1459" s="65">
        <v>43551</v>
      </c>
      <c r="C1459" s="66" t="s">
        <v>218</v>
      </c>
      <c r="D1459" s="3" t="s">
        <v>10</v>
      </c>
      <c r="E1459" s="64">
        <v>1</v>
      </c>
    </row>
    <row r="1460" spans="1:5">
      <c r="A1460" s="64" t="s">
        <v>6</v>
      </c>
      <c r="B1460" s="65">
        <v>43552</v>
      </c>
      <c r="C1460" s="66" t="s">
        <v>219</v>
      </c>
      <c r="D1460" s="3" t="s">
        <v>10</v>
      </c>
      <c r="E1460" s="64">
        <v>1</v>
      </c>
    </row>
    <row r="1461" spans="1:5">
      <c r="A1461" s="64" t="s">
        <v>6</v>
      </c>
      <c r="B1461" s="65">
        <v>43553</v>
      </c>
      <c r="C1461" s="66" t="s">
        <v>220</v>
      </c>
      <c r="D1461" s="3" t="s">
        <v>10</v>
      </c>
      <c r="E1461" s="64">
        <v>1</v>
      </c>
    </row>
    <row r="1462" spans="1:5">
      <c r="A1462" s="64" t="s">
        <v>6</v>
      </c>
      <c r="B1462" s="65">
        <v>43554</v>
      </c>
      <c r="C1462" s="66" t="s">
        <v>221</v>
      </c>
      <c r="D1462" s="3" t="s">
        <v>10</v>
      </c>
      <c r="E1462" s="64">
        <v>1</v>
      </c>
    </row>
    <row r="1463" spans="1:5">
      <c r="A1463" s="64" t="s">
        <v>6</v>
      </c>
      <c r="B1463" s="65">
        <v>43555</v>
      </c>
      <c r="C1463" s="66" t="s">
        <v>222</v>
      </c>
      <c r="D1463" s="3" t="s">
        <v>10</v>
      </c>
      <c r="E1463" s="64">
        <v>1</v>
      </c>
    </row>
    <row r="1464" spans="1:5">
      <c r="A1464" s="64" t="s">
        <v>6</v>
      </c>
      <c r="B1464" s="65">
        <v>43556</v>
      </c>
      <c r="C1464" s="66" t="s">
        <v>216</v>
      </c>
      <c r="D1464" s="3" t="s">
        <v>10</v>
      </c>
      <c r="E1464" s="64">
        <v>1</v>
      </c>
    </row>
    <row r="1465" spans="1:5">
      <c r="A1465" s="64" t="s">
        <v>6</v>
      </c>
      <c r="B1465" s="65">
        <v>43557</v>
      </c>
      <c r="C1465" s="66" t="s">
        <v>217</v>
      </c>
      <c r="D1465" s="3" t="s">
        <v>10</v>
      </c>
      <c r="E1465" s="64">
        <v>1</v>
      </c>
    </row>
    <row r="1466" spans="1:5">
      <c r="A1466" s="64" t="s">
        <v>6</v>
      </c>
      <c r="B1466" s="65">
        <v>43558</v>
      </c>
      <c r="C1466" s="66" t="s">
        <v>218</v>
      </c>
      <c r="D1466" s="3" t="s">
        <v>10</v>
      </c>
      <c r="E1466" s="64">
        <v>1</v>
      </c>
    </row>
    <row r="1467" spans="1:5">
      <c r="A1467" s="64" t="s">
        <v>6</v>
      </c>
      <c r="B1467" s="65">
        <v>43559</v>
      </c>
      <c r="C1467" s="66" t="s">
        <v>219</v>
      </c>
      <c r="D1467" s="3" t="s">
        <v>10</v>
      </c>
      <c r="E1467" s="64">
        <v>1</v>
      </c>
    </row>
    <row r="1468" spans="1:5">
      <c r="A1468" s="64" t="s">
        <v>6</v>
      </c>
      <c r="B1468" s="65">
        <v>43560</v>
      </c>
      <c r="C1468" s="66" t="s">
        <v>220</v>
      </c>
      <c r="D1468" s="3" t="s">
        <v>10</v>
      </c>
      <c r="E1468" s="64">
        <v>1</v>
      </c>
    </row>
    <row r="1469" spans="1:5">
      <c r="A1469" s="64" t="s">
        <v>6</v>
      </c>
      <c r="B1469" s="65">
        <v>43561</v>
      </c>
      <c r="C1469" s="66" t="s">
        <v>221</v>
      </c>
      <c r="D1469" s="3" t="s">
        <v>10</v>
      </c>
      <c r="E1469" s="64">
        <v>1</v>
      </c>
    </row>
    <row r="1470" spans="1:5">
      <c r="A1470" s="64" t="s">
        <v>6</v>
      </c>
      <c r="B1470" s="65">
        <v>43562</v>
      </c>
      <c r="C1470" s="66" t="s">
        <v>222</v>
      </c>
      <c r="D1470" s="3" t="s">
        <v>10</v>
      </c>
      <c r="E1470" s="64">
        <v>1</v>
      </c>
    </row>
    <row r="1471" spans="1:5">
      <c r="A1471" s="64" t="s">
        <v>6</v>
      </c>
      <c r="B1471" s="65">
        <v>43563</v>
      </c>
      <c r="C1471" s="66" t="s">
        <v>216</v>
      </c>
      <c r="D1471" s="3" t="s">
        <v>10</v>
      </c>
      <c r="E1471" s="64">
        <v>1</v>
      </c>
    </row>
    <row r="1472" spans="1:5">
      <c r="A1472" s="64" t="s">
        <v>6</v>
      </c>
      <c r="B1472" s="65">
        <v>43564</v>
      </c>
      <c r="C1472" s="66" t="s">
        <v>217</v>
      </c>
      <c r="D1472" s="3" t="s">
        <v>10</v>
      </c>
      <c r="E1472" s="64">
        <v>1</v>
      </c>
    </row>
    <row r="1473" spans="1:5">
      <c r="A1473" s="64" t="s">
        <v>6</v>
      </c>
      <c r="B1473" s="65">
        <v>43565</v>
      </c>
      <c r="C1473" s="66" t="s">
        <v>218</v>
      </c>
      <c r="D1473" s="3" t="s">
        <v>10</v>
      </c>
      <c r="E1473" s="64">
        <v>1</v>
      </c>
    </row>
    <row r="1474" spans="1:5">
      <c r="A1474" s="64" t="s">
        <v>6</v>
      </c>
      <c r="B1474" s="65">
        <v>43566</v>
      </c>
      <c r="C1474" s="66" t="s">
        <v>219</v>
      </c>
      <c r="D1474" s="3" t="s">
        <v>10</v>
      </c>
      <c r="E1474" s="64">
        <v>1</v>
      </c>
    </row>
    <row r="1475" spans="1:5">
      <c r="A1475" s="64" t="s">
        <v>6</v>
      </c>
      <c r="B1475" s="65">
        <v>43567</v>
      </c>
      <c r="C1475" s="66" t="s">
        <v>220</v>
      </c>
      <c r="D1475" s="3" t="s">
        <v>10</v>
      </c>
      <c r="E1475" s="64">
        <v>1</v>
      </c>
    </row>
    <row r="1476" spans="1:5">
      <c r="A1476" s="64" t="s">
        <v>6</v>
      </c>
      <c r="B1476" s="65">
        <v>43568</v>
      </c>
      <c r="C1476" s="66" t="s">
        <v>221</v>
      </c>
      <c r="D1476" s="3" t="s">
        <v>10</v>
      </c>
      <c r="E1476" s="64">
        <v>1</v>
      </c>
    </row>
    <row r="1477" spans="1:5">
      <c r="A1477" s="64" t="s">
        <v>6</v>
      </c>
      <c r="B1477" s="65">
        <v>43569</v>
      </c>
      <c r="C1477" s="66" t="s">
        <v>222</v>
      </c>
      <c r="D1477" s="3" t="s">
        <v>10</v>
      </c>
      <c r="E1477" s="64">
        <v>1</v>
      </c>
    </row>
    <row r="1478" spans="1:5">
      <c r="A1478" s="64" t="s">
        <v>6</v>
      </c>
      <c r="B1478" s="65">
        <v>43570</v>
      </c>
      <c r="C1478" s="66" t="s">
        <v>216</v>
      </c>
      <c r="D1478" s="3" t="s">
        <v>10</v>
      </c>
      <c r="E1478" s="64">
        <v>1</v>
      </c>
    </row>
    <row r="1479" spans="1:5">
      <c r="A1479" s="64" t="s">
        <v>6</v>
      </c>
      <c r="B1479" s="65">
        <v>43571</v>
      </c>
      <c r="C1479" s="66" t="s">
        <v>217</v>
      </c>
      <c r="D1479" s="3" t="s">
        <v>10</v>
      </c>
      <c r="E1479" s="64">
        <v>1</v>
      </c>
    </row>
    <row r="1480" spans="1:5">
      <c r="A1480" s="64" t="s">
        <v>6</v>
      </c>
      <c r="B1480" s="65">
        <v>43572</v>
      </c>
      <c r="C1480" s="66" t="s">
        <v>218</v>
      </c>
      <c r="D1480" s="3" t="s">
        <v>10</v>
      </c>
      <c r="E1480" s="64">
        <v>1</v>
      </c>
    </row>
    <row r="1481" spans="1:5">
      <c r="A1481" s="64" t="s">
        <v>6</v>
      </c>
      <c r="B1481" s="65">
        <v>43573</v>
      </c>
      <c r="C1481" s="66" t="s">
        <v>219</v>
      </c>
      <c r="D1481" s="3" t="s">
        <v>10</v>
      </c>
      <c r="E1481" s="64">
        <v>1</v>
      </c>
    </row>
    <row r="1482" spans="1:5">
      <c r="A1482" s="64" t="s">
        <v>6</v>
      </c>
      <c r="B1482" s="65">
        <v>43574</v>
      </c>
      <c r="C1482" s="66" t="s">
        <v>220</v>
      </c>
      <c r="D1482" s="3" t="s">
        <v>10</v>
      </c>
      <c r="E1482" s="64">
        <v>1</v>
      </c>
    </row>
    <row r="1483" spans="1:5">
      <c r="A1483" s="64" t="s">
        <v>6</v>
      </c>
      <c r="B1483" s="65">
        <v>43575</v>
      </c>
      <c r="C1483" s="66" t="s">
        <v>221</v>
      </c>
      <c r="D1483" s="3" t="s">
        <v>10</v>
      </c>
      <c r="E1483" s="64">
        <v>1</v>
      </c>
    </row>
    <row r="1484" spans="1:5">
      <c r="A1484" s="64" t="s">
        <v>6</v>
      </c>
      <c r="B1484" s="65">
        <v>43576</v>
      </c>
      <c r="C1484" s="66" t="s">
        <v>222</v>
      </c>
      <c r="D1484" s="3" t="s">
        <v>10</v>
      </c>
      <c r="E1484" s="64">
        <v>1</v>
      </c>
    </row>
    <row r="1485" spans="1:5">
      <c r="A1485" s="64" t="s">
        <v>6</v>
      </c>
      <c r="B1485" s="65">
        <v>43577</v>
      </c>
      <c r="C1485" s="66" t="s">
        <v>216</v>
      </c>
      <c r="D1485" s="3" t="s">
        <v>10</v>
      </c>
      <c r="E1485" s="64">
        <v>1</v>
      </c>
    </row>
    <row r="1486" spans="1:5">
      <c r="A1486" s="64" t="s">
        <v>6</v>
      </c>
      <c r="B1486" s="65">
        <v>43578</v>
      </c>
      <c r="C1486" s="66" t="s">
        <v>217</v>
      </c>
      <c r="D1486" s="3" t="s">
        <v>10</v>
      </c>
      <c r="E1486" s="64">
        <v>1</v>
      </c>
    </row>
    <row r="1487" spans="1:5">
      <c r="A1487" s="64" t="s">
        <v>6</v>
      </c>
      <c r="B1487" s="65">
        <v>43579</v>
      </c>
      <c r="C1487" s="66" t="s">
        <v>218</v>
      </c>
      <c r="D1487" s="3" t="s">
        <v>10</v>
      </c>
      <c r="E1487" s="64">
        <v>1</v>
      </c>
    </row>
    <row r="1488" spans="1:5">
      <c r="A1488" s="64" t="s">
        <v>6</v>
      </c>
      <c r="B1488" s="65">
        <v>43580</v>
      </c>
      <c r="C1488" s="66" t="s">
        <v>219</v>
      </c>
      <c r="D1488" s="3" t="s">
        <v>10</v>
      </c>
      <c r="E1488" s="64">
        <v>1</v>
      </c>
    </row>
    <row r="1489" spans="1:5">
      <c r="A1489" s="64" t="s">
        <v>6</v>
      </c>
      <c r="B1489" s="65">
        <v>43581</v>
      </c>
      <c r="C1489" s="66" t="s">
        <v>220</v>
      </c>
      <c r="D1489" s="3" t="s">
        <v>10</v>
      </c>
      <c r="E1489" s="64">
        <v>1</v>
      </c>
    </row>
    <row r="1490" spans="1:5">
      <c r="A1490" s="64" t="s">
        <v>6</v>
      </c>
      <c r="B1490" s="65">
        <v>43582</v>
      </c>
      <c r="C1490" s="66" t="s">
        <v>221</v>
      </c>
      <c r="D1490" s="3" t="s">
        <v>10</v>
      </c>
      <c r="E1490" s="64">
        <v>1</v>
      </c>
    </row>
    <row r="1491" spans="1:5">
      <c r="A1491" s="64" t="s">
        <v>6</v>
      </c>
      <c r="B1491" s="65">
        <v>43583</v>
      </c>
      <c r="C1491" s="66" t="s">
        <v>222</v>
      </c>
      <c r="D1491" s="3" t="s">
        <v>10</v>
      </c>
      <c r="E1491" s="64">
        <v>1</v>
      </c>
    </row>
    <row r="1492" spans="1:5">
      <c r="A1492" s="64" t="s">
        <v>6</v>
      </c>
      <c r="B1492" s="65">
        <v>43584</v>
      </c>
      <c r="C1492" s="66" t="s">
        <v>216</v>
      </c>
      <c r="D1492" s="3" t="s">
        <v>10</v>
      </c>
      <c r="E1492" s="64">
        <v>1</v>
      </c>
    </row>
    <row r="1493" spans="1:5">
      <c r="A1493" s="64" t="s">
        <v>6</v>
      </c>
      <c r="B1493" s="65">
        <v>43585</v>
      </c>
      <c r="C1493" s="66" t="s">
        <v>217</v>
      </c>
      <c r="D1493" s="3" t="s">
        <v>10</v>
      </c>
      <c r="E1493" s="64">
        <v>1</v>
      </c>
    </row>
    <row r="1494" spans="1:5">
      <c r="A1494" s="64" t="s">
        <v>6</v>
      </c>
      <c r="B1494" s="65">
        <v>43586</v>
      </c>
      <c r="C1494" s="66" t="s">
        <v>218</v>
      </c>
      <c r="D1494" s="3" t="s">
        <v>10</v>
      </c>
      <c r="E1494" s="64">
        <v>1</v>
      </c>
    </row>
    <row r="1495" spans="1:5">
      <c r="A1495" s="64" t="s">
        <v>6</v>
      </c>
      <c r="B1495" s="65">
        <v>43587</v>
      </c>
      <c r="C1495" s="66" t="s">
        <v>219</v>
      </c>
      <c r="D1495" s="3" t="s">
        <v>10</v>
      </c>
      <c r="E1495" s="64">
        <v>1</v>
      </c>
    </row>
    <row r="1496" spans="1:5">
      <c r="A1496" s="64" t="s">
        <v>6</v>
      </c>
      <c r="B1496" s="65">
        <v>43588</v>
      </c>
      <c r="C1496" s="66" t="s">
        <v>220</v>
      </c>
      <c r="D1496" s="3" t="s">
        <v>10</v>
      </c>
      <c r="E1496" s="64">
        <v>1</v>
      </c>
    </row>
    <row r="1497" spans="1:5">
      <c r="A1497" s="64" t="s">
        <v>6</v>
      </c>
      <c r="B1497" s="65">
        <v>43589</v>
      </c>
      <c r="C1497" s="66" t="s">
        <v>221</v>
      </c>
      <c r="D1497" s="3" t="s">
        <v>10</v>
      </c>
      <c r="E1497" s="64">
        <v>1</v>
      </c>
    </row>
    <row r="1498" spans="1:5">
      <c r="A1498" s="64" t="s">
        <v>6</v>
      </c>
      <c r="B1498" s="65">
        <v>43590</v>
      </c>
      <c r="C1498" s="66" t="s">
        <v>222</v>
      </c>
      <c r="D1498" s="3" t="s">
        <v>10</v>
      </c>
      <c r="E1498" s="64">
        <v>1</v>
      </c>
    </row>
    <row r="1499" spans="1:5">
      <c r="A1499" s="64" t="s">
        <v>6</v>
      </c>
      <c r="B1499" s="65">
        <v>43591</v>
      </c>
      <c r="C1499" s="66" t="s">
        <v>216</v>
      </c>
      <c r="D1499" s="3" t="s">
        <v>10</v>
      </c>
      <c r="E1499" s="64">
        <v>1</v>
      </c>
    </row>
    <row r="1500" spans="1:5">
      <c r="A1500" s="64" t="s">
        <v>6</v>
      </c>
      <c r="B1500" s="65">
        <v>43592</v>
      </c>
      <c r="C1500" s="66" t="s">
        <v>217</v>
      </c>
      <c r="D1500" s="3" t="s">
        <v>10</v>
      </c>
      <c r="E1500" s="64">
        <v>1</v>
      </c>
    </row>
    <row r="1501" spans="1:5">
      <c r="A1501" s="64" t="s">
        <v>6</v>
      </c>
      <c r="B1501" s="65">
        <v>43593</v>
      </c>
      <c r="C1501" s="66" t="s">
        <v>218</v>
      </c>
      <c r="D1501" s="3" t="s">
        <v>10</v>
      </c>
      <c r="E1501" s="64">
        <v>1</v>
      </c>
    </row>
    <row r="1502" spans="1:5">
      <c r="A1502" s="64" t="s">
        <v>6</v>
      </c>
      <c r="B1502" s="65">
        <v>43594</v>
      </c>
      <c r="C1502" s="66" t="s">
        <v>219</v>
      </c>
      <c r="D1502" s="3" t="s">
        <v>10</v>
      </c>
      <c r="E1502" s="64">
        <v>1</v>
      </c>
    </row>
    <row r="1503" spans="1:5">
      <c r="A1503" s="64" t="s">
        <v>6</v>
      </c>
      <c r="B1503" s="65">
        <v>43595</v>
      </c>
      <c r="C1503" s="66" t="s">
        <v>220</v>
      </c>
      <c r="D1503" s="3" t="s">
        <v>10</v>
      </c>
      <c r="E1503" s="64">
        <v>1</v>
      </c>
    </row>
    <row r="1504" spans="1:5">
      <c r="A1504" s="64" t="s">
        <v>6</v>
      </c>
      <c r="B1504" s="65">
        <v>43542</v>
      </c>
      <c r="C1504" s="66" t="s">
        <v>216</v>
      </c>
      <c r="D1504" s="3" t="s">
        <v>11</v>
      </c>
      <c r="E1504" s="64">
        <v>1</v>
      </c>
    </row>
    <row r="1505" spans="1:5">
      <c r="A1505" s="64" t="s">
        <v>6</v>
      </c>
      <c r="B1505" s="65">
        <v>43543</v>
      </c>
      <c r="C1505" s="66" t="s">
        <v>217</v>
      </c>
      <c r="D1505" s="3" t="s">
        <v>11</v>
      </c>
      <c r="E1505" s="64">
        <v>1</v>
      </c>
    </row>
    <row r="1506" spans="1:5">
      <c r="A1506" s="64" t="s">
        <v>6</v>
      </c>
      <c r="B1506" s="65">
        <v>43544</v>
      </c>
      <c r="C1506" s="66" t="s">
        <v>218</v>
      </c>
      <c r="D1506" s="3" t="s">
        <v>11</v>
      </c>
      <c r="E1506" s="64">
        <v>1</v>
      </c>
    </row>
    <row r="1507" spans="1:5">
      <c r="A1507" s="64" t="s">
        <v>6</v>
      </c>
      <c r="B1507" s="65">
        <v>43545</v>
      </c>
      <c r="C1507" s="66" t="s">
        <v>219</v>
      </c>
      <c r="D1507" s="3" t="s">
        <v>11</v>
      </c>
      <c r="E1507" s="64">
        <v>1</v>
      </c>
    </row>
    <row r="1508" spans="1:5">
      <c r="A1508" s="64" t="s">
        <v>6</v>
      </c>
      <c r="B1508" s="65">
        <v>43546</v>
      </c>
      <c r="C1508" s="66" t="s">
        <v>220</v>
      </c>
      <c r="D1508" s="3" t="s">
        <v>11</v>
      </c>
      <c r="E1508" s="64">
        <v>1</v>
      </c>
    </row>
    <row r="1509" spans="1:5">
      <c r="A1509" s="64" t="s">
        <v>6</v>
      </c>
      <c r="B1509" s="65">
        <v>43547</v>
      </c>
      <c r="C1509" s="66" t="s">
        <v>221</v>
      </c>
      <c r="D1509" s="3" t="s">
        <v>11</v>
      </c>
      <c r="E1509" s="64">
        <v>1</v>
      </c>
    </row>
    <row r="1510" spans="1:5">
      <c r="A1510" s="64" t="s">
        <v>6</v>
      </c>
      <c r="B1510" s="65">
        <v>43548</v>
      </c>
      <c r="C1510" s="66" t="s">
        <v>222</v>
      </c>
      <c r="D1510" s="3" t="s">
        <v>11</v>
      </c>
      <c r="E1510" s="64">
        <v>1</v>
      </c>
    </row>
    <row r="1511" spans="1:5">
      <c r="A1511" s="64" t="s">
        <v>6</v>
      </c>
      <c r="B1511" s="65">
        <v>43549</v>
      </c>
      <c r="C1511" s="66" t="s">
        <v>216</v>
      </c>
      <c r="D1511" s="3" t="s">
        <v>11</v>
      </c>
      <c r="E1511" s="64">
        <v>1</v>
      </c>
    </row>
    <row r="1512" spans="1:5">
      <c r="A1512" s="64" t="s">
        <v>6</v>
      </c>
      <c r="B1512" s="65">
        <v>43550</v>
      </c>
      <c r="C1512" s="66" t="s">
        <v>217</v>
      </c>
      <c r="D1512" s="3" t="s">
        <v>11</v>
      </c>
      <c r="E1512" s="64">
        <v>1</v>
      </c>
    </row>
    <row r="1513" spans="1:5">
      <c r="A1513" s="64" t="s">
        <v>6</v>
      </c>
      <c r="B1513" s="65">
        <v>43551</v>
      </c>
      <c r="C1513" s="66" t="s">
        <v>218</v>
      </c>
      <c r="D1513" s="3" t="s">
        <v>11</v>
      </c>
      <c r="E1513" s="64">
        <v>1</v>
      </c>
    </row>
    <row r="1514" spans="1:5">
      <c r="A1514" s="64" t="s">
        <v>6</v>
      </c>
      <c r="B1514" s="65">
        <v>43552</v>
      </c>
      <c r="C1514" s="66" t="s">
        <v>219</v>
      </c>
      <c r="D1514" s="3" t="s">
        <v>11</v>
      </c>
      <c r="E1514" s="64">
        <v>1</v>
      </c>
    </row>
    <row r="1515" spans="1:5">
      <c r="A1515" s="64" t="s">
        <v>6</v>
      </c>
      <c r="B1515" s="65">
        <v>43553</v>
      </c>
      <c r="C1515" s="66" t="s">
        <v>220</v>
      </c>
      <c r="D1515" s="3" t="s">
        <v>11</v>
      </c>
      <c r="E1515" s="64">
        <v>1</v>
      </c>
    </row>
    <row r="1516" spans="1:5">
      <c r="A1516" s="64" t="s">
        <v>6</v>
      </c>
      <c r="B1516" s="65">
        <v>43554</v>
      </c>
      <c r="C1516" s="66" t="s">
        <v>221</v>
      </c>
      <c r="D1516" s="3" t="s">
        <v>11</v>
      </c>
      <c r="E1516" s="64">
        <v>1</v>
      </c>
    </row>
    <row r="1517" spans="1:5">
      <c r="A1517" s="64" t="s">
        <v>6</v>
      </c>
      <c r="B1517" s="65">
        <v>43555</v>
      </c>
      <c r="C1517" s="66" t="s">
        <v>222</v>
      </c>
      <c r="D1517" s="3" t="s">
        <v>11</v>
      </c>
      <c r="E1517" s="64">
        <v>1</v>
      </c>
    </row>
    <row r="1518" spans="1:5">
      <c r="A1518" s="64" t="s">
        <v>6</v>
      </c>
      <c r="B1518" s="65">
        <v>43556</v>
      </c>
      <c r="C1518" s="66" t="s">
        <v>216</v>
      </c>
      <c r="D1518" s="3" t="s">
        <v>11</v>
      </c>
      <c r="E1518" s="64">
        <v>1</v>
      </c>
    </row>
    <row r="1519" spans="1:5">
      <c r="A1519" s="64" t="s">
        <v>6</v>
      </c>
      <c r="B1519" s="65">
        <v>43557</v>
      </c>
      <c r="C1519" s="66" t="s">
        <v>217</v>
      </c>
      <c r="D1519" s="3" t="s">
        <v>11</v>
      </c>
      <c r="E1519" s="64">
        <v>1</v>
      </c>
    </row>
    <row r="1520" spans="1:5">
      <c r="A1520" s="64" t="s">
        <v>6</v>
      </c>
      <c r="B1520" s="65">
        <v>43558</v>
      </c>
      <c r="C1520" s="66" t="s">
        <v>218</v>
      </c>
      <c r="D1520" s="3" t="s">
        <v>11</v>
      </c>
      <c r="E1520" s="64">
        <v>1</v>
      </c>
    </row>
    <row r="1521" spans="1:5">
      <c r="A1521" s="64" t="s">
        <v>6</v>
      </c>
      <c r="B1521" s="65">
        <v>43559</v>
      </c>
      <c r="C1521" s="66" t="s">
        <v>219</v>
      </c>
      <c r="D1521" s="3" t="s">
        <v>11</v>
      </c>
      <c r="E1521" s="64">
        <v>1</v>
      </c>
    </row>
    <row r="1522" spans="1:5">
      <c r="A1522" s="64" t="s">
        <v>6</v>
      </c>
      <c r="B1522" s="65">
        <v>43560</v>
      </c>
      <c r="C1522" s="66" t="s">
        <v>220</v>
      </c>
      <c r="D1522" s="3" t="s">
        <v>11</v>
      </c>
      <c r="E1522" s="64">
        <v>1</v>
      </c>
    </row>
    <row r="1523" spans="1:5">
      <c r="A1523" s="64" t="s">
        <v>6</v>
      </c>
      <c r="B1523" s="65">
        <v>43561</v>
      </c>
      <c r="C1523" s="66" t="s">
        <v>221</v>
      </c>
      <c r="D1523" s="3" t="s">
        <v>11</v>
      </c>
      <c r="E1523" s="64">
        <v>1</v>
      </c>
    </row>
    <row r="1524" spans="1:5">
      <c r="A1524" s="64" t="s">
        <v>6</v>
      </c>
      <c r="B1524" s="65">
        <v>43562</v>
      </c>
      <c r="C1524" s="66" t="s">
        <v>222</v>
      </c>
      <c r="D1524" s="3" t="s">
        <v>11</v>
      </c>
      <c r="E1524" s="64">
        <v>1</v>
      </c>
    </row>
    <row r="1525" spans="1:5">
      <c r="A1525" s="64" t="s">
        <v>6</v>
      </c>
      <c r="B1525" s="65">
        <v>43563</v>
      </c>
      <c r="C1525" s="66" t="s">
        <v>216</v>
      </c>
      <c r="D1525" s="3" t="s">
        <v>11</v>
      </c>
      <c r="E1525" s="64">
        <v>1</v>
      </c>
    </row>
    <row r="1526" spans="1:5">
      <c r="A1526" s="64" t="s">
        <v>6</v>
      </c>
      <c r="B1526" s="65">
        <v>43564</v>
      </c>
      <c r="C1526" s="66" t="s">
        <v>217</v>
      </c>
      <c r="D1526" s="3" t="s">
        <v>11</v>
      </c>
      <c r="E1526" s="64">
        <v>1</v>
      </c>
    </row>
    <row r="1527" spans="1:5">
      <c r="A1527" s="64" t="s">
        <v>6</v>
      </c>
      <c r="B1527" s="65">
        <v>43565</v>
      </c>
      <c r="C1527" s="66" t="s">
        <v>218</v>
      </c>
      <c r="D1527" s="3" t="s">
        <v>11</v>
      </c>
      <c r="E1527" s="64">
        <v>1</v>
      </c>
    </row>
    <row r="1528" spans="1:5">
      <c r="A1528" s="64" t="s">
        <v>6</v>
      </c>
      <c r="B1528" s="65">
        <v>43566</v>
      </c>
      <c r="C1528" s="66" t="s">
        <v>219</v>
      </c>
      <c r="D1528" s="3" t="s">
        <v>11</v>
      </c>
      <c r="E1528" s="64">
        <v>1</v>
      </c>
    </row>
    <row r="1529" spans="1:5">
      <c r="A1529" s="64" t="s">
        <v>6</v>
      </c>
      <c r="B1529" s="65">
        <v>43567</v>
      </c>
      <c r="C1529" s="66" t="s">
        <v>220</v>
      </c>
      <c r="D1529" s="3" t="s">
        <v>11</v>
      </c>
      <c r="E1529" s="64">
        <v>1</v>
      </c>
    </row>
    <row r="1530" spans="1:5">
      <c r="A1530" s="64" t="s">
        <v>6</v>
      </c>
      <c r="B1530" s="65">
        <v>43568</v>
      </c>
      <c r="C1530" s="66" t="s">
        <v>221</v>
      </c>
      <c r="D1530" s="3" t="s">
        <v>11</v>
      </c>
      <c r="E1530" s="64">
        <v>1</v>
      </c>
    </row>
    <row r="1531" spans="1:5">
      <c r="A1531" s="64" t="s">
        <v>6</v>
      </c>
      <c r="B1531" s="65">
        <v>43569</v>
      </c>
      <c r="C1531" s="66" t="s">
        <v>222</v>
      </c>
      <c r="D1531" s="3" t="s">
        <v>11</v>
      </c>
      <c r="E1531" s="64">
        <v>1</v>
      </c>
    </row>
    <row r="1532" spans="1:5">
      <c r="A1532" s="64" t="s">
        <v>6</v>
      </c>
      <c r="B1532" s="65">
        <v>43570</v>
      </c>
      <c r="C1532" s="66" t="s">
        <v>216</v>
      </c>
      <c r="D1532" s="3" t="s">
        <v>11</v>
      </c>
      <c r="E1532" s="64">
        <v>1</v>
      </c>
    </row>
    <row r="1533" spans="1:5">
      <c r="A1533" s="64" t="s">
        <v>6</v>
      </c>
      <c r="B1533" s="65">
        <v>43571</v>
      </c>
      <c r="C1533" s="66" t="s">
        <v>217</v>
      </c>
      <c r="D1533" s="3" t="s">
        <v>11</v>
      </c>
      <c r="E1533" s="64">
        <v>1</v>
      </c>
    </row>
    <row r="1534" spans="1:5">
      <c r="A1534" s="64" t="s">
        <v>6</v>
      </c>
      <c r="B1534" s="65">
        <v>43572</v>
      </c>
      <c r="C1534" s="66" t="s">
        <v>218</v>
      </c>
      <c r="D1534" s="3" t="s">
        <v>11</v>
      </c>
      <c r="E1534" s="64">
        <v>1</v>
      </c>
    </row>
    <row r="1535" spans="1:5">
      <c r="A1535" s="64" t="s">
        <v>6</v>
      </c>
      <c r="B1535" s="65">
        <v>43573</v>
      </c>
      <c r="C1535" s="66" t="s">
        <v>219</v>
      </c>
      <c r="D1535" s="3" t="s">
        <v>11</v>
      </c>
      <c r="E1535" s="64">
        <v>1</v>
      </c>
    </row>
    <row r="1536" spans="1:5">
      <c r="A1536" s="64" t="s">
        <v>6</v>
      </c>
      <c r="B1536" s="65">
        <v>43574</v>
      </c>
      <c r="C1536" s="66" t="s">
        <v>220</v>
      </c>
      <c r="D1536" s="3" t="s">
        <v>11</v>
      </c>
      <c r="E1536" s="64">
        <v>1</v>
      </c>
    </row>
    <row r="1537" spans="1:5">
      <c r="A1537" s="64" t="s">
        <v>6</v>
      </c>
      <c r="B1537" s="65">
        <v>43575</v>
      </c>
      <c r="C1537" s="66" t="s">
        <v>221</v>
      </c>
      <c r="D1537" s="3" t="s">
        <v>11</v>
      </c>
      <c r="E1537" s="64">
        <v>1</v>
      </c>
    </row>
    <row r="1538" spans="1:5">
      <c r="A1538" s="64" t="s">
        <v>6</v>
      </c>
      <c r="B1538" s="65">
        <v>43576</v>
      </c>
      <c r="C1538" s="66" t="s">
        <v>222</v>
      </c>
      <c r="D1538" s="3" t="s">
        <v>11</v>
      </c>
      <c r="E1538" s="64">
        <v>1</v>
      </c>
    </row>
    <row r="1539" spans="1:5">
      <c r="A1539" s="64" t="s">
        <v>6</v>
      </c>
      <c r="B1539" s="65">
        <v>43577</v>
      </c>
      <c r="C1539" s="66" t="s">
        <v>216</v>
      </c>
      <c r="D1539" s="3" t="s">
        <v>11</v>
      </c>
      <c r="E1539" s="64">
        <v>1</v>
      </c>
    </row>
    <row r="1540" spans="1:5">
      <c r="A1540" s="64" t="s">
        <v>6</v>
      </c>
      <c r="B1540" s="65">
        <v>43578</v>
      </c>
      <c r="C1540" s="66" t="s">
        <v>217</v>
      </c>
      <c r="D1540" s="3" t="s">
        <v>11</v>
      </c>
      <c r="E1540" s="64">
        <v>1</v>
      </c>
    </row>
    <row r="1541" spans="1:5">
      <c r="A1541" s="64" t="s">
        <v>6</v>
      </c>
      <c r="B1541" s="65">
        <v>43579</v>
      </c>
      <c r="C1541" s="66" t="s">
        <v>218</v>
      </c>
      <c r="D1541" s="3" t="s">
        <v>11</v>
      </c>
      <c r="E1541" s="64">
        <v>1</v>
      </c>
    </row>
    <row r="1542" spans="1:5">
      <c r="A1542" s="64" t="s">
        <v>6</v>
      </c>
      <c r="B1542" s="65">
        <v>43580</v>
      </c>
      <c r="C1542" s="66" t="s">
        <v>219</v>
      </c>
      <c r="D1542" s="3" t="s">
        <v>11</v>
      </c>
      <c r="E1542" s="64">
        <v>1</v>
      </c>
    </row>
    <row r="1543" spans="1:5">
      <c r="A1543" s="64" t="s">
        <v>6</v>
      </c>
      <c r="B1543" s="65">
        <v>43581</v>
      </c>
      <c r="C1543" s="66" t="s">
        <v>220</v>
      </c>
      <c r="D1543" s="3" t="s">
        <v>11</v>
      </c>
      <c r="E1543" s="64">
        <v>1</v>
      </c>
    </row>
    <row r="1544" spans="1:5">
      <c r="A1544" s="64" t="s">
        <v>6</v>
      </c>
      <c r="B1544" s="65">
        <v>43582</v>
      </c>
      <c r="C1544" s="66" t="s">
        <v>221</v>
      </c>
      <c r="D1544" s="3" t="s">
        <v>11</v>
      </c>
      <c r="E1544" s="64">
        <v>1</v>
      </c>
    </row>
    <row r="1545" spans="1:5">
      <c r="A1545" s="64" t="s">
        <v>6</v>
      </c>
      <c r="B1545" s="65">
        <v>43583</v>
      </c>
      <c r="C1545" s="66" t="s">
        <v>222</v>
      </c>
      <c r="D1545" s="3" t="s">
        <v>11</v>
      </c>
      <c r="E1545" s="64">
        <v>1</v>
      </c>
    </row>
    <row r="1546" spans="1:5">
      <c r="A1546" s="64" t="s">
        <v>6</v>
      </c>
      <c r="B1546" s="65">
        <v>43584</v>
      </c>
      <c r="C1546" s="66" t="s">
        <v>216</v>
      </c>
      <c r="D1546" s="3" t="s">
        <v>11</v>
      </c>
      <c r="E1546" s="64">
        <v>1</v>
      </c>
    </row>
    <row r="1547" spans="1:5">
      <c r="A1547" s="64" t="s">
        <v>6</v>
      </c>
      <c r="B1547" s="65">
        <v>43585</v>
      </c>
      <c r="C1547" s="66" t="s">
        <v>217</v>
      </c>
      <c r="D1547" s="3" t="s">
        <v>11</v>
      </c>
      <c r="E1547" s="64">
        <v>1</v>
      </c>
    </row>
    <row r="1548" spans="1:5">
      <c r="A1548" s="64" t="s">
        <v>6</v>
      </c>
      <c r="B1548" s="65">
        <v>43586</v>
      </c>
      <c r="C1548" s="66" t="s">
        <v>218</v>
      </c>
      <c r="D1548" s="3" t="s">
        <v>11</v>
      </c>
      <c r="E1548" s="64">
        <v>1</v>
      </c>
    </row>
    <row r="1549" spans="1:5">
      <c r="A1549" s="64" t="s">
        <v>6</v>
      </c>
      <c r="B1549" s="65">
        <v>43587</v>
      </c>
      <c r="C1549" s="66" t="s">
        <v>219</v>
      </c>
      <c r="D1549" s="3" t="s">
        <v>11</v>
      </c>
      <c r="E1549" s="64">
        <v>1</v>
      </c>
    </row>
    <row r="1550" spans="1:5">
      <c r="A1550" s="64" t="s">
        <v>6</v>
      </c>
      <c r="B1550" s="65">
        <v>43588</v>
      </c>
      <c r="C1550" s="66" t="s">
        <v>220</v>
      </c>
      <c r="D1550" s="3" t="s">
        <v>11</v>
      </c>
      <c r="E1550" s="64">
        <v>1</v>
      </c>
    </row>
    <row r="1551" spans="1:5">
      <c r="A1551" s="64" t="s">
        <v>6</v>
      </c>
      <c r="B1551" s="65">
        <v>43589</v>
      </c>
      <c r="C1551" s="66" t="s">
        <v>221</v>
      </c>
      <c r="D1551" s="3" t="s">
        <v>11</v>
      </c>
      <c r="E1551" s="64">
        <v>1</v>
      </c>
    </row>
    <row r="1552" spans="1:5">
      <c r="A1552" s="64" t="s">
        <v>6</v>
      </c>
      <c r="B1552" s="65">
        <v>43590</v>
      </c>
      <c r="C1552" s="66" t="s">
        <v>222</v>
      </c>
      <c r="D1552" s="3" t="s">
        <v>11</v>
      </c>
      <c r="E1552" s="64">
        <v>1</v>
      </c>
    </row>
    <row r="1553" spans="1:5">
      <c r="A1553" s="64" t="s">
        <v>6</v>
      </c>
      <c r="B1553" s="65">
        <v>43591</v>
      </c>
      <c r="C1553" s="66" t="s">
        <v>216</v>
      </c>
      <c r="D1553" s="3" t="s">
        <v>11</v>
      </c>
      <c r="E1553" s="64">
        <v>1</v>
      </c>
    </row>
    <row r="1554" spans="1:5">
      <c r="A1554" s="64" t="s">
        <v>6</v>
      </c>
      <c r="B1554" s="65">
        <v>43592</v>
      </c>
      <c r="C1554" s="66" t="s">
        <v>217</v>
      </c>
      <c r="D1554" s="3" t="s">
        <v>11</v>
      </c>
      <c r="E1554" s="64">
        <v>1</v>
      </c>
    </row>
    <row r="1555" spans="1:5">
      <c r="A1555" s="64" t="s">
        <v>6</v>
      </c>
      <c r="B1555" s="65">
        <v>43593</v>
      </c>
      <c r="C1555" s="66" t="s">
        <v>218</v>
      </c>
      <c r="D1555" s="3" t="s">
        <v>11</v>
      </c>
      <c r="E1555" s="64">
        <v>1</v>
      </c>
    </row>
    <row r="1556" spans="1:5">
      <c r="A1556" s="64" t="s">
        <v>6</v>
      </c>
      <c r="B1556" s="65">
        <v>43594</v>
      </c>
      <c r="C1556" s="66" t="s">
        <v>219</v>
      </c>
      <c r="D1556" s="3" t="s">
        <v>11</v>
      </c>
      <c r="E1556" s="64">
        <v>1</v>
      </c>
    </row>
    <row r="1557" spans="1:5">
      <c r="A1557" s="64" t="s">
        <v>6</v>
      </c>
      <c r="B1557" s="65">
        <v>43595</v>
      </c>
      <c r="C1557" s="66" t="s">
        <v>220</v>
      </c>
      <c r="D1557" s="3" t="s">
        <v>11</v>
      </c>
      <c r="E1557" s="64">
        <v>1</v>
      </c>
    </row>
    <row r="1558" spans="1:5">
      <c r="A1558" s="64" t="s">
        <v>6</v>
      </c>
      <c r="B1558" s="65">
        <v>43596</v>
      </c>
      <c r="C1558" s="66" t="s">
        <v>221</v>
      </c>
      <c r="D1558" s="3" t="s">
        <v>11</v>
      </c>
      <c r="E1558" s="64">
        <v>1</v>
      </c>
    </row>
    <row r="1559" spans="1:5">
      <c r="A1559" s="64" t="s">
        <v>6</v>
      </c>
      <c r="B1559" s="65">
        <v>43597</v>
      </c>
      <c r="C1559" s="66" t="s">
        <v>222</v>
      </c>
      <c r="D1559" s="3" t="s">
        <v>11</v>
      </c>
      <c r="E1559" s="64">
        <v>1</v>
      </c>
    </row>
    <row r="1560" spans="1:5">
      <c r="A1560" s="64" t="s">
        <v>6</v>
      </c>
      <c r="B1560" s="65">
        <v>43598</v>
      </c>
      <c r="C1560" s="66" t="s">
        <v>216</v>
      </c>
      <c r="D1560" s="3" t="s">
        <v>11</v>
      </c>
      <c r="E1560" s="64">
        <v>1</v>
      </c>
    </row>
    <row r="1561" spans="1:5">
      <c r="A1561" s="64" t="s">
        <v>6</v>
      </c>
      <c r="B1561" s="65">
        <v>43599</v>
      </c>
      <c r="C1561" s="66" t="s">
        <v>217</v>
      </c>
      <c r="D1561" s="3" t="s">
        <v>11</v>
      </c>
      <c r="E1561" s="64">
        <v>1</v>
      </c>
    </row>
    <row r="1562" spans="1:5">
      <c r="A1562" s="64" t="s">
        <v>6</v>
      </c>
      <c r="B1562" s="65">
        <v>43600</v>
      </c>
      <c r="C1562" s="66" t="s">
        <v>218</v>
      </c>
      <c r="D1562" s="3" t="s">
        <v>11</v>
      </c>
      <c r="E1562" s="64">
        <v>1</v>
      </c>
    </row>
    <row r="1563" spans="1:5">
      <c r="A1563" s="64" t="s">
        <v>6</v>
      </c>
      <c r="B1563" s="65">
        <v>43601</v>
      </c>
      <c r="C1563" s="66" t="s">
        <v>219</v>
      </c>
      <c r="D1563" s="3" t="s">
        <v>11</v>
      </c>
      <c r="E1563" s="64">
        <v>1</v>
      </c>
    </row>
    <row r="1564" spans="1:5">
      <c r="A1564" s="64" t="s">
        <v>6</v>
      </c>
      <c r="B1564" s="65">
        <v>43602</v>
      </c>
      <c r="C1564" s="66" t="s">
        <v>220</v>
      </c>
      <c r="D1564" s="3" t="s">
        <v>11</v>
      </c>
      <c r="E1564" s="64">
        <v>1</v>
      </c>
    </row>
    <row r="1565" spans="1:5">
      <c r="A1565" s="64" t="s">
        <v>6</v>
      </c>
      <c r="B1565" s="65">
        <v>43603</v>
      </c>
      <c r="C1565" s="66" t="s">
        <v>221</v>
      </c>
      <c r="D1565" s="3" t="s">
        <v>11</v>
      </c>
      <c r="E1565" s="64">
        <v>1</v>
      </c>
    </row>
    <row r="1566" spans="1:5">
      <c r="A1566" s="64" t="s">
        <v>6</v>
      </c>
      <c r="B1566" s="65">
        <v>43604</v>
      </c>
      <c r="C1566" s="66" t="s">
        <v>222</v>
      </c>
      <c r="D1566" s="3" t="s">
        <v>11</v>
      </c>
      <c r="E1566" s="64">
        <v>1</v>
      </c>
    </row>
    <row r="1567" spans="1:5">
      <c r="A1567" s="64" t="s">
        <v>6</v>
      </c>
      <c r="B1567" s="65">
        <v>43605</v>
      </c>
      <c r="C1567" s="66" t="s">
        <v>216</v>
      </c>
      <c r="D1567" s="3" t="s">
        <v>11</v>
      </c>
      <c r="E1567" s="64">
        <v>1</v>
      </c>
    </row>
    <row r="1568" spans="1:5">
      <c r="A1568" s="64" t="s">
        <v>6</v>
      </c>
      <c r="B1568" s="65">
        <v>43606</v>
      </c>
      <c r="C1568" s="66" t="s">
        <v>217</v>
      </c>
      <c r="D1568" s="3" t="s">
        <v>11</v>
      </c>
      <c r="E1568" s="64">
        <v>1</v>
      </c>
    </row>
    <row r="1569" spans="1:5">
      <c r="A1569" s="64" t="s">
        <v>6</v>
      </c>
      <c r="B1569" s="65">
        <v>43607</v>
      </c>
      <c r="C1569" s="66" t="s">
        <v>218</v>
      </c>
      <c r="D1569" s="3" t="s">
        <v>11</v>
      </c>
      <c r="E1569" s="64">
        <v>1</v>
      </c>
    </row>
    <row r="1570" spans="1:5">
      <c r="A1570" s="64" t="s">
        <v>6</v>
      </c>
      <c r="B1570" s="65">
        <v>43608</v>
      </c>
      <c r="C1570" s="66" t="s">
        <v>219</v>
      </c>
      <c r="D1570" s="3" t="s">
        <v>11</v>
      </c>
      <c r="E1570" s="64">
        <v>1</v>
      </c>
    </row>
    <row r="1571" spans="1:5">
      <c r="A1571" s="64" t="s">
        <v>6</v>
      </c>
      <c r="B1571" s="65">
        <v>43609</v>
      </c>
      <c r="C1571" s="66" t="s">
        <v>220</v>
      </c>
      <c r="D1571" s="3" t="s">
        <v>11</v>
      </c>
      <c r="E1571" s="64">
        <v>1</v>
      </c>
    </row>
    <row r="1572" spans="1:5">
      <c r="A1572" s="64" t="s">
        <v>6</v>
      </c>
      <c r="B1572" s="65">
        <v>43610</v>
      </c>
      <c r="C1572" s="66" t="s">
        <v>221</v>
      </c>
      <c r="D1572" s="3" t="s">
        <v>11</v>
      </c>
      <c r="E1572" s="64">
        <v>1</v>
      </c>
    </row>
    <row r="1573" spans="1:5">
      <c r="A1573" s="64" t="s">
        <v>6</v>
      </c>
      <c r="B1573" s="65">
        <v>43611</v>
      </c>
      <c r="C1573" s="66" t="s">
        <v>222</v>
      </c>
      <c r="D1573" s="3" t="s">
        <v>11</v>
      </c>
      <c r="E1573" s="64">
        <v>1</v>
      </c>
    </row>
    <row r="1574" spans="1:5">
      <c r="A1574" s="64" t="s">
        <v>6</v>
      </c>
      <c r="B1574" s="65">
        <v>43612</v>
      </c>
      <c r="C1574" s="66" t="s">
        <v>216</v>
      </c>
      <c r="D1574" s="3" t="s">
        <v>11</v>
      </c>
      <c r="E1574" s="64">
        <v>1</v>
      </c>
    </row>
    <row r="1575" spans="1:5">
      <c r="A1575" s="64" t="s">
        <v>6</v>
      </c>
      <c r="B1575" s="65">
        <v>43613</v>
      </c>
      <c r="C1575" s="66" t="s">
        <v>217</v>
      </c>
      <c r="D1575" s="3" t="s">
        <v>11</v>
      </c>
      <c r="E1575" s="64">
        <v>1</v>
      </c>
    </row>
    <row r="1576" spans="1:5">
      <c r="A1576" s="64" t="s">
        <v>6</v>
      </c>
      <c r="B1576" s="65">
        <v>43614</v>
      </c>
      <c r="C1576" s="66" t="s">
        <v>218</v>
      </c>
      <c r="D1576" s="3" t="s">
        <v>11</v>
      </c>
      <c r="E1576" s="64">
        <v>1</v>
      </c>
    </row>
    <row r="1577" spans="1:5">
      <c r="A1577" s="64" t="s">
        <v>6</v>
      </c>
      <c r="B1577" s="65">
        <v>43615</v>
      </c>
      <c r="C1577" s="66" t="s">
        <v>219</v>
      </c>
      <c r="D1577" s="3" t="s">
        <v>11</v>
      </c>
      <c r="E1577" s="64">
        <v>1</v>
      </c>
    </row>
    <row r="1578" spans="1:5">
      <c r="A1578" s="64" t="s">
        <v>6</v>
      </c>
      <c r="B1578" s="65">
        <v>43616</v>
      </c>
      <c r="C1578" s="66" t="s">
        <v>220</v>
      </c>
      <c r="D1578" s="3" t="s">
        <v>11</v>
      </c>
      <c r="E1578" s="64">
        <v>1</v>
      </c>
    </row>
    <row r="1579" spans="1:5">
      <c r="A1579" s="64" t="s">
        <v>6</v>
      </c>
      <c r="B1579" s="65">
        <v>43617</v>
      </c>
      <c r="C1579" s="66" t="s">
        <v>221</v>
      </c>
      <c r="D1579" s="3" t="s">
        <v>11</v>
      </c>
      <c r="E1579" s="64">
        <v>1</v>
      </c>
    </row>
    <row r="1580" spans="1:5">
      <c r="A1580" s="64" t="s">
        <v>6</v>
      </c>
      <c r="B1580" s="65">
        <v>43618</v>
      </c>
      <c r="C1580" s="66" t="s">
        <v>222</v>
      </c>
      <c r="D1580" s="3" t="s">
        <v>11</v>
      </c>
      <c r="E1580" s="64">
        <v>1</v>
      </c>
    </row>
    <row r="1581" spans="1:5">
      <c r="A1581" s="64" t="s">
        <v>6</v>
      </c>
      <c r="B1581" s="65">
        <v>43619</v>
      </c>
      <c r="C1581" s="66" t="s">
        <v>216</v>
      </c>
      <c r="D1581" s="3" t="s">
        <v>11</v>
      </c>
      <c r="E1581" s="64">
        <v>1</v>
      </c>
    </row>
    <row r="1582" spans="1:5">
      <c r="A1582" s="64" t="s">
        <v>6</v>
      </c>
      <c r="B1582" s="65">
        <v>43620</v>
      </c>
      <c r="C1582" s="66" t="s">
        <v>217</v>
      </c>
      <c r="D1582" s="3" t="s">
        <v>11</v>
      </c>
      <c r="E1582" s="64">
        <v>1</v>
      </c>
    </row>
    <row r="1583" spans="1:5">
      <c r="A1583" s="64" t="s">
        <v>6</v>
      </c>
      <c r="B1583" s="65">
        <v>43621</v>
      </c>
      <c r="C1583" s="66" t="s">
        <v>218</v>
      </c>
      <c r="D1583" s="3" t="s">
        <v>11</v>
      </c>
      <c r="E1583" s="64">
        <v>1</v>
      </c>
    </row>
    <row r="1584" spans="1:5">
      <c r="A1584" s="64" t="s">
        <v>6</v>
      </c>
      <c r="B1584" s="65">
        <v>43622</v>
      </c>
      <c r="C1584" s="66" t="s">
        <v>219</v>
      </c>
      <c r="D1584" s="3" t="s">
        <v>11</v>
      </c>
      <c r="E1584" s="64">
        <v>1</v>
      </c>
    </row>
    <row r="1585" spans="1:5">
      <c r="A1585" s="64" t="s">
        <v>6</v>
      </c>
      <c r="B1585" s="65">
        <v>43623</v>
      </c>
      <c r="C1585" s="66" t="s">
        <v>220</v>
      </c>
      <c r="D1585" s="3" t="s">
        <v>11</v>
      </c>
      <c r="E1585" s="64">
        <v>1</v>
      </c>
    </row>
    <row r="1586" spans="1:5">
      <c r="A1586" s="64" t="s">
        <v>6</v>
      </c>
      <c r="B1586" s="65">
        <v>43624</v>
      </c>
      <c r="C1586" s="66" t="s">
        <v>221</v>
      </c>
      <c r="D1586" s="3" t="s">
        <v>11</v>
      </c>
      <c r="E1586" s="64">
        <v>1</v>
      </c>
    </row>
    <row r="1587" spans="1:5">
      <c r="A1587" s="64" t="s">
        <v>6</v>
      </c>
      <c r="B1587" s="65">
        <v>43625</v>
      </c>
      <c r="C1587" s="66" t="s">
        <v>222</v>
      </c>
      <c r="D1587" s="3" t="s">
        <v>11</v>
      </c>
      <c r="E1587" s="64">
        <v>1</v>
      </c>
    </row>
    <row r="1588" spans="1:5">
      <c r="A1588" s="64" t="s">
        <v>6</v>
      </c>
      <c r="B1588" s="65">
        <v>43626</v>
      </c>
      <c r="C1588" s="66" t="s">
        <v>216</v>
      </c>
      <c r="D1588" s="3" t="s">
        <v>11</v>
      </c>
      <c r="E1588" s="64">
        <v>1</v>
      </c>
    </row>
    <row r="1589" spans="1:5">
      <c r="A1589" s="64" t="s">
        <v>6</v>
      </c>
      <c r="B1589" s="65">
        <v>43627</v>
      </c>
      <c r="C1589" s="66" t="s">
        <v>217</v>
      </c>
      <c r="D1589" s="3" t="s">
        <v>11</v>
      </c>
      <c r="E1589" s="64">
        <v>1</v>
      </c>
    </row>
    <row r="1590" spans="1:5">
      <c r="A1590" s="64" t="s">
        <v>6</v>
      </c>
      <c r="B1590" s="65">
        <v>43628</v>
      </c>
      <c r="C1590" s="66" t="s">
        <v>218</v>
      </c>
      <c r="D1590" s="3" t="s">
        <v>11</v>
      </c>
      <c r="E1590" s="64">
        <v>1</v>
      </c>
    </row>
    <row r="1591" spans="1:5">
      <c r="A1591" s="64" t="s">
        <v>6</v>
      </c>
      <c r="B1591" s="65">
        <v>43629</v>
      </c>
      <c r="C1591" s="66" t="s">
        <v>219</v>
      </c>
      <c r="D1591" s="3" t="s">
        <v>11</v>
      </c>
      <c r="E1591" s="64">
        <v>1</v>
      </c>
    </row>
    <row r="1592" spans="1:5">
      <c r="A1592" s="64" t="s">
        <v>6</v>
      </c>
      <c r="B1592" s="65">
        <v>43630</v>
      </c>
      <c r="C1592" s="66" t="s">
        <v>220</v>
      </c>
      <c r="D1592" s="3" t="s">
        <v>11</v>
      </c>
      <c r="E1592" s="64">
        <v>1</v>
      </c>
    </row>
    <row r="1593" spans="1:5">
      <c r="A1593" s="64" t="s">
        <v>6</v>
      </c>
      <c r="B1593" s="65">
        <v>43631</v>
      </c>
      <c r="C1593" s="66" t="s">
        <v>221</v>
      </c>
      <c r="D1593" s="3" t="s">
        <v>11</v>
      </c>
      <c r="E1593" s="64">
        <v>1</v>
      </c>
    </row>
    <row r="1594" spans="1:5">
      <c r="A1594" s="64" t="s">
        <v>6</v>
      </c>
      <c r="B1594" s="65">
        <v>43632</v>
      </c>
      <c r="C1594" s="66" t="s">
        <v>222</v>
      </c>
      <c r="D1594" s="3" t="s">
        <v>11</v>
      </c>
      <c r="E1594" s="64">
        <v>1</v>
      </c>
    </row>
    <row r="1595" spans="1:5">
      <c r="A1595" s="64" t="s">
        <v>6</v>
      </c>
      <c r="B1595" s="65">
        <v>43633</v>
      </c>
      <c r="C1595" s="66" t="s">
        <v>216</v>
      </c>
      <c r="D1595" s="3" t="s">
        <v>11</v>
      </c>
      <c r="E1595" s="64">
        <v>1</v>
      </c>
    </row>
    <row r="1596" spans="1:5">
      <c r="A1596" s="64" t="s">
        <v>6</v>
      </c>
      <c r="B1596" s="65">
        <v>43634</v>
      </c>
      <c r="C1596" s="66" t="s">
        <v>217</v>
      </c>
      <c r="D1596" s="3" t="s">
        <v>11</v>
      </c>
      <c r="E1596" s="64">
        <v>1</v>
      </c>
    </row>
    <row r="1597" spans="1:5">
      <c r="A1597" s="64" t="s">
        <v>6</v>
      </c>
      <c r="B1597" s="65">
        <v>43635</v>
      </c>
      <c r="C1597" s="66" t="s">
        <v>218</v>
      </c>
      <c r="D1597" s="3" t="s">
        <v>11</v>
      </c>
      <c r="E1597" s="64">
        <v>1</v>
      </c>
    </row>
    <row r="1598" spans="1:5">
      <c r="A1598" s="64" t="s">
        <v>6</v>
      </c>
      <c r="B1598" s="65">
        <v>43636</v>
      </c>
      <c r="C1598" s="66" t="s">
        <v>219</v>
      </c>
      <c r="D1598" s="3" t="s">
        <v>11</v>
      </c>
      <c r="E1598" s="64">
        <v>1</v>
      </c>
    </row>
    <row r="1599" spans="1:5">
      <c r="A1599" s="64" t="s">
        <v>6</v>
      </c>
      <c r="B1599" s="65">
        <v>43637</v>
      </c>
      <c r="C1599" s="66" t="s">
        <v>220</v>
      </c>
      <c r="D1599" s="3" t="s">
        <v>11</v>
      </c>
      <c r="E1599" s="64">
        <v>1</v>
      </c>
    </row>
    <row r="1600" spans="1:5">
      <c r="A1600" s="64" t="s">
        <v>6</v>
      </c>
      <c r="B1600" s="65">
        <v>43638</v>
      </c>
      <c r="C1600" s="66" t="s">
        <v>221</v>
      </c>
      <c r="D1600" s="3" t="s">
        <v>11</v>
      </c>
      <c r="E1600" s="64">
        <v>1</v>
      </c>
    </row>
    <row r="1601" spans="1:5">
      <c r="A1601" s="64" t="s">
        <v>6</v>
      </c>
      <c r="B1601" s="65">
        <v>43639</v>
      </c>
      <c r="C1601" s="66" t="s">
        <v>222</v>
      </c>
      <c r="D1601" s="3" t="s">
        <v>11</v>
      </c>
      <c r="E1601" s="64">
        <v>1</v>
      </c>
    </row>
    <row r="1602" spans="1:5">
      <c r="A1602" s="64" t="s">
        <v>6</v>
      </c>
      <c r="B1602" s="65">
        <v>43640</v>
      </c>
      <c r="C1602" s="66" t="s">
        <v>216</v>
      </c>
      <c r="D1602" s="3" t="s">
        <v>11</v>
      </c>
      <c r="E1602" s="64">
        <v>1</v>
      </c>
    </row>
    <row r="1603" spans="1:5">
      <c r="A1603" s="64" t="s">
        <v>6</v>
      </c>
      <c r="B1603" s="65">
        <v>43641</v>
      </c>
      <c r="C1603" s="66" t="s">
        <v>217</v>
      </c>
      <c r="D1603" s="3" t="s">
        <v>11</v>
      </c>
      <c r="E1603" s="64">
        <v>1</v>
      </c>
    </row>
    <row r="1604" spans="1:5">
      <c r="A1604" s="64" t="s">
        <v>6</v>
      </c>
      <c r="B1604" s="65">
        <v>43642</v>
      </c>
      <c r="C1604" s="66" t="s">
        <v>218</v>
      </c>
      <c r="D1604" s="3" t="s">
        <v>11</v>
      </c>
      <c r="E1604" s="64">
        <v>1</v>
      </c>
    </row>
    <row r="1605" spans="1:5">
      <c r="A1605" s="64" t="s">
        <v>6</v>
      </c>
      <c r="B1605" s="65">
        <v>43643</v>
      </c>
      <c r="C1605" s="66" t="s">
        <v>219</v>
      </c>
      <c r="D1605" s="3" t="s">
        <v>11</v>
      </c>
      <c r="E1605" s="64">
        <v>1</v>
      </c>
    </row>
    <row r="1606" spans="1:5">
      <c r="A1606" s="64" t="s">
        <v>6</v>
      </c>
      <c r="B1606" s="65">
        <v>43644</v>
      </c>
      <c r="C1606" s="66" t="s">
        <v>220</v>
      </c>
      <c r="D1606" s="3" t="s">
        <v>11</v>
      </c>
      <c r="E1606" s="64">
        <v>1</v>
      </c>
    </row>
    <row r="1607" spans="1:5">
      <c r="A1607" s="64" t="s">
        <v>6</v>
      </c>
      <c r="B1607" s="65">
        <v>43645</v>
      </c>
      <c r="C1607" s="66" t="s">
        <v>221</v>
      </c>
      <c r="D1607" s="3" t="s">
        <v>11</v>
      </c>
      <c r="E1607" s="64">
        <v>1</v>
      </c>
    </row>
    <row r="1608" spans="1:5">
      <c r="A1608" s="64" t="s">
        <v>6</v>
      </c>
      <c r="B1608" s="65">
        <v>43646</v>
      </c>
      <c r="C1608" s="66" t="s">
        <v>222</v>
      </c>
      <c r="D1608" s="3" t="s">
        <v>11</v>
      </c>
      <c r="E1608" s="64">
        <v>1</v>
      </c>
    </row>
    <row r="1609" spans="1:5">
      <c r="A1609" s="64" t="s">
        <v>6</v>
      </c>
      <c r="B1609" s="65">
        <v>43647</v>
      </c>
      <c r="C1609" s="66" t="s">
        <v>216</v>
      </c>
      <c r="D1609" s="3" t="s">
        <v>11</v>
      </c>
      <c r="E1609" s="64">
        <v>1</v>
      </c>
    </row>
    <row r="1610" spans="1:5">
      <c r="A1610" s="64" t="s">
        <v>6</v>
      </c>
      <c r="B1610" s="65">
        <v>43648</v>
      </c>
      <c r="C1610" s="66" t="s">
        <v>217</v>
      </c>
      <c r="D1610" s="3" t="s">
        <v>11</v>
      </c>
      <c r="E1610" s="64">
        <v>1</v>
      </c>
    </row>
    <row r="1611" spans="1:5">
      <c r="A1611" s="64" t="s">
        <v>6</v>
      </c>
      <c r="B1611" s="65">
        <v>43649</v>
      </c>
      <c r="C1611" s="66" t="s">
        <v>218</v>
      </c>
      <c r="D1611" s="3" t="s">
        <v>11</v>
      </c>
      <c r="E1611" s="64">
        <v>1</v>
      </c>
    </row>
    <row r="1612" spans="1:5">
      <c r="A1612" s="64" t="s">
        <v>6</v>
      </c>
      <c r="B1612" s="65">
        <v>43650</v>
      </c>
      <c r="C1612" s="66" t="s">
        <v>219</v>
      </c>
      <c r="D1612" s="3" t="s">
        <v>11</v>
      </c>
      <c r="E1612" s="64">
        <v>1</v>
      </c>
    </row>
    <row r="1613" spans="1:5">
      <c r="A1613" s="64" t="s">
        <v>6</v>
      </c>
      <c r="B1613" s="65">
        <v>43651</v>
      </c>
      <c r="C1613" s="66" t="s">
        <v>220</v>
      </c>
      <c r="D1613" s="3" t="s">
        <v>11</v>
      </c>
      <c r="E1613" s="64">
        <v>1</v>
      </c>
    </row>
    <row r="1614" spans="1:5">
      <c r="A1614" s="64" t="s">
        <v>6</v>
      </c>
      <c r="B1614" s="65">
        <v>43652</v>
      </c>
      <c r="C1614" s="66" t="s">
        <v>221</v>
      </c>
      <c r="D1614" s="3" t="s">
        <v>11</v>
      </c>
      <c r="E1614" s="64">
        <v>1</v>
      </c>
    </row>
    <row r="1615" spans="1:5">
      <c r="A1615" s="64" t="s">
        <v>6</v>
      </c>
      <c r="B1615" s="65">
        <v>43653</v>
      </c>
      <c r="C1615" s="66" t="s">
        <v>222</v>
      </c>
      <c r="D1615" s="3" t="s">
        <v>11</v>
      </c>
      <c r="E1615" s="64">
        <v>1</v>
      </c>
    </row>
    <row r="1616" spans="1:5">
      <c r="A1616" s="64" t="s">
        <v>6</v>
      </c>
      <c r="B1616" s="65">
        <v>43654</v>
      </c>
      <c r="C1616" s="66" t="s">
        <v>216</v>
      </c>
      <c r="D1616" s="3" t="s">
        <v>11</v>
      </c>
      <c r="E1616" s="64">
        <v>1</v>
      </c>
    </row>
    <row r="1617" spans="1:5">
      <c r="A1617" s="64" t="s">
        <v>6</v>
      </c>
      <c r="B1617" s="65">
        <v>43655</v>
      </c>
      <c r="C1617" s="66" t="s">
        <v>217</v>
      </c>
      <c r="D1617" s="3" t="s">
        <v>11</v>
      </c>
      <c r="E1617" s="64">
        <v>1</v>
      </c>
    </row>
    <row r="1618" spans="1:5">
      <c r="A1618" s="64" t="s">
        <v>6</v>
      </c>
      <c r="B1618" s="65">
        <v>43656</v>
      </c>
      <c r="C1618" s="66" t="s">
        <v>218</v>
      </c>
      <c r="D1618" s="3" t="s">
        <v>11</v>
      </c>
      <c r="E1618" s="64">
        <v>1</v>
      </c>
    </row>
    <row r="1619" spans="1:5">
      <c r="A1619" s="64" t="s">
        <v>6</v>
      </c>
      <c r="B1619" s="65">
        <v>43657</v>
      </c>
      <c r="C1619" s="66" t="s">
        <v>219</v>
      </c>
      <c r="D1619" s="3" t="s">
        <v>11</v>
      </c>
      <c r="E1619" s="64">
        <v>1</v>
      </c>
    </row>
    <row r="1620" spans="1:5">
      <c r="A1620" s="64" t="s">
        <v>6</v>
      </c>
      <c r="B1620" s="65">
        <v>43658</v>
      </c>
      <c r="C1620" s="66" t="s">
        <v>220</v>
      </c>
      <c r="D1620" s="3" t="s">
        <v>11</v>
      </c>
      <c r="E1620" s="64">
        <v>1</v>
      </c>
    </row>
    <row r="1621" spans="1:5">
      <c r="A1621" s="64" t="s">
        <v>6</v>
      </c>
      <c r="B1621" s="65">
        <v>43659</v>
      </c>
      <c r="C1621" s="66" t="s">
        <v>221</v>
      </c>
      <c r="D1621" s="3" t="s">
        <v>11</v>
      </c>
      <c r="E1621" s="64">
        <v>1</v>
      </c>
    </row>
    <row r="1622" spans="1:5">
      <c r="A1622" s="64" t="s">
        <v>6</v>
      </c>
      <c r="B1622" s="65">
        <v>43660</v>
      </c>
      <c r="C1622" s="66" t="s">
        <v>222</v>
      </c>
      <c r="D1622" s="3" t="s">
        <v>11</v>
      </c>
      <c r="E1622" s="64">
        <v>1</v>
      </c>
    </row>
    <row r="1623" spans="1:5">
      <c r="A1623" s="64" t="s">
        <v>6</v>
      </c>
      <c r="B1623" s="65">
        <v>43661</v>
      </c>
      <c r="C1623" s="66" t="s">
        <v>216</v>
      </c>
      <c r="D1623" s="3" t="s">
        <v>11</v>
      </c>
      <c r="E1623" s="64">
        <v>1</v>
      </c>
    </row>
    <row r="1624" spans="1:5">
      <c r="A1624" s="64" t="s">
        <v>6</v>
      </c>
      <c r="B1624" s="65">
        <v>43662</v>
      </c>
      <c r="C1624" s="66" t="s">
        <v>217</v>
      </c>
      <c r="D1624" s="3" t="s">
        <v>11</v>
      </c>
      <c r="E1624" s="64">
        <v>1</v>
      </c>
    </row>
    <row r="1625" spans="1:5">
      <c r="A1625" s="64" t="s">
        <v>6</v>
      </c>
      <c r="B1625" s="65">
        <v>43663</v>
      </c>
      <c r="C1625" s="66" t="s">
        <v>218</v>
      </c>
      <c r="D1625" s="3" t="s">
        <v>11</v>
      </c>
      <c r="E1625" s="64">
        <v>1</v>
      </c>
    </row>
    <row r="1626" spans="1:5">
      <c r="A1626" s="64" t="s">
        <v>6</v>
      </c>
      <c r="B1626" s="65">
        <v>43664</v>
      </c>
      <c r="C1626" s="66" t="s">
        <v>219</v>
      </c>
      <c r="D1626" s="3" t="s">
        <v>11</v>
      </c>
      <c r="E1626" s="64">
        <v>1</v>
      </c>
    </row>
    <row r="1627" spans="1:5">
      <c r="A1627" s="64" t="s">
        <v>6</v>
      </c>
      <c r="B1627" s="65">
        <v>43665</v>
      </c>
      <c r="C1627" s="66" t="s">
        <v>220</v>
      </c>
      <c r="D1627" s="3" t="s">
        <v>11</v>
      </c>
      <c r="E1627" s="64">
        <v>1</v>
      </c>
    </row>
    <row r="1628" spans="1:5">
      <c r="A1628" s="64" t="s">
        <v>6</v>
      </c>
      <c r="B1628" s="65">
        <v>43666</v>
      </c>
      <c r="C1628" s="66" t="s">
        <v>221</v>
      </c>
      <c r="D1628" s="3" t="s">
        <v>11</v>
      </c>
      <c r="E1628" s="64">
        <v>1</v>
      </c>
    </row>
    <row r="1629" spans="1:5">
      <c r="A1629" s="64" t="s">
        <v>6</v>
      </c>
      <c r="B1629" s="65">
        <v>43667</v>
      </c>
      <c r="C1629" s="66" t="s">
        <v>222</v>
      </c>
      <c r="D1629" s="3" t="s">
        <v>11</v>
      </c>
      <c r="E1629" s="64">
        <v>1</v>
      </c>
    </row>
    <row r="1630" spans="1:5">
      <c r="A1630" s="64" t="s">
        <v>6</v>
      </c>
      <c r="B1630" s="65">
        <v>43668</v>
      </c>
      <c r="C1630" s="66" t="s">
        <v>216</v>
      </c>
      <c r="D1630" s="3" t="s">
        <v>11</v>
      </c>
      <c r="E1630" s="64">
        <v>1</v>
      </c>
    </row>
    <row r="1631" spans="1:5">
      <c r="A1631" s="64" t="s">
        <v>6</v>
      </c>
      <c r="B1631" s="65">
        <v>43669</v>
      </c>
      <c r="C1631" s="66" t="s">
        <v>217</v>
      </c>
      <c r="D1631" s="3" t="s">
        <v>11</v>
      </c>
      <c r="E1631" s="64">
        <v>1</v>
      </c>
    </row>
    <row r="1632" spans="1:5">
      <c r="A1632" s="64" t="s">
        <v>6</v>
      </c>
      <c r="B1632" s="65">
        <v>43670</v>
      </c>
      <c r="C1632" s="66" t="s">
        <v>218</v>
      </c>
      <c r="D1632" s="3" t="s">
        <v>11</v>
      </c>
      <c r="E1632" s="64">
        <v>1</v>
      </c>
    </row>
    <row r="1633" spans="1:5">
      <c r="A1633" s="64" t="s">
        <v>6</v>
      </c>
      <c r="B1633" s="65">
        <v>43671</v>
      </c>
      <c r="C1633" s="66" t="s">
        <v>219</v>
      </c>
      <c r="D1633" s="3" t="s">
        <v>11</v>
      </c>
      <c r="E1633" s="64">
        <v>1</v>
      </c>
    </row>
    <row r="1634" spans="1:5">
      <c r="A1634" s="64" t="s">
        <v>6</v>
      </c>
      <c r="B1634" s="65">
        <v>43672</v>
      </c>
      <c r="C1634" s="66" t="s">
        <v>220</v>
      </c>
      <c r="D1634" s="3" t="s">
        <v>11</v>
      </c>
      <c r="E1634" s="64">
        <v>1</v>
      </c>
    </row>
    <row r="1635" spans="1:5">
      <c r="A1635" s="64" t="s">
        <v>6</v>
      </c>
      <c r="B1635" s="65">
        <v>43673</v>
      </c>
      <c r="C1635" s="66" t="s">
        <v>221</v>
      </c>
      <c r="D1635" s="3" t="s">
        <v>11</v>
      </c>
      <c r="E1635" s="64">
        <v>1</v>
      </c>
    </row>
    <row r="1636" spans="1:5">
      <c r="A1636" s="64" t="s">
        <v>6</v>
      </c>
      <c r="B1636" s="65">
        <v>43674</v>
      </c>
      <c r="C1636" s="66" t="s">
        <v>222</v>
      </c>
      <c r="D1636" s="3" t="s">
        <v>11</v>
      </c>
      <c r="E1636" s="64">
        <v>1</v>
      </c>
    </row>
    <row r="1637" spans="1:5">
      <c r="A1637" s="64" t="s">
        <v>6</v>
      </c>
      <c r="B1637" s="65">
        <v>43675</v>
      </c>
      <c r="C1637" s="66" t="s">
        <v>216</v>
      </c>
      <c r="D1637" s="3" t="s">
        <v>11</v>
      </c>
      <c r="E1637" s="64">
        <v>1</v>
      </c>
    </row>
    <row r="1638" spans="1:5">
      <c r="A1638" s="64" t="s">
        <v>6</v>
      </c>
      <c r="B1638" s="65">
        <v>43676</v>
      </c>
      <c r="C1638" s="66" t="s">
        <v>217</v>
      </c>
      <c r="D1638" s="3" t="s">
        <v>11</v>
      </c>
      <c r="E1638" s="64">
        <v>1</v>
      </c>
    </row>
    <row r="1639" spans="1:5">
      <c r="A1639" s="64" t="s">
        <v>6</v>
      </c>
      <c r="B1639" s="65">
        <v>43677</v>
      </c>
      <c r="C1639" s="66" t="s">
        <v>218</v>
      </c>
      <c r="D1639" s="3" t="s">
        <v>11</v>
      </c>
      <c r="E1639" s="64">
        <v>1</v>
      </c>
    </row>
    <row r="1640" spans="1:5">
      <c r="A1640" s="64" t="s">
        <v>6</v>
      </c>
      <c r="B1640" s="65">
        <v>43678</v>
      </c>
      <c r="C1640" s="66" t="s">
        <v>219</v>
      </c>
      <c r="D1640" s="3" t="s">
        <v>11</v>
      </c>
      <c r="E1640" s="64">
        <v>1</v>
      </c>
    </row>
    <row r="1641" spans="1:5">
      <c r="A1641" s="64" t="s">
        <v>6</v>
      </c>
      <c r="B1641" s="65">
        <v>43679</v>
      </c>
      <c r="C1641" s="66" t="s">
        <v>220</v>
      </c>
      <c r="D1641" s="3" t="s">
        <v>11</v>
      </c>
      <c r="E1641" s="64">
        <v>1</v>
      </c>
    </row>
    <row r="1642" spans="1:5">
      <c r="A1642" s="64" t="s">
        <v>6</v>
      </c>
      <c r="B1642" s="65">
        <v>43680</v>
      </c>
      <c r="C1642" s="66" t="s">
        <v>221</v>
      </c>
      <c r="D1642" s="3" t="s">
        <v>11</v>
      </c>
      <c r="E1642" s="64">
        <v>1</v>
      </c>
    </row>
    <row r="1643" spans="1:5">
      <c r="A1643" s="64" t="s">
        <v>6</v>
      </c>
      <c r="B1643" s="65">
        <v>43681</v>
      </c>
      <c r="C1643" s="66" t="s">
        <v>222</v>
      </c>
      <c r="D1643" s="3" t="s">
        <v>11</v>
      </c>
      <c r="E1643" s="64">
        <v>1</v>
      </c>
    </row>
    <row r="1644" spans="1:5">
      <c r="A1644" s="64" t="s">
        <v>6</v>
      </c>
      <c r="B1644" s="65">
        <v>43682</v>
      </c>
      <c r="C1644" s="66" t="s">
        <v>216</v>
      </c>
      <c r="D1644" s="3" t="s">
        <v>11</v>
      </c>
      <c r="E1644" s="64">
        <v>1</v>
      </c>
    </row>
    <row r="1645" spans="1:5">
      <c r="A1645" s="64" t="s">
        <v>6</v>
      </c>
      <c r="B1645" s="65">
        <v>43683</v>
      </c>
      <c r="C1645" s="66" t="s">
        <v>217</v>
      </c>
      <c r="D1645" s="3" t="s">
        <v>11</v>
      </c>
      <c r="E1645" s="64">
        <v>1</v>
      </c>
    </row>
    <row r="1646" spans="1:5">
      <c r="A1646" s="64" t="s">
        <v>6</v>
      </c>
      <c r="B1646" s="65">
        <v>43684</v>
      </c>
      <c r="C1646" s="66" t="s">
        <v>218</v>
      </c>
      <c r="D1646" s="3" t="s">
        <v>11</v>
      </c>
      <c r="E1646" s="64">
        <v>1</v>
      </c>
    </row>
    <row r="1647" spans="1:5">
      <c r="A1647" s="64" t="s">
        <v>6</v>
      </c>
      <c r="B1647" s="65">
        <v>43685</v>
      </c>
      <c r="C1647" s="66" t="s">
        <v>219</v>
      </c>
      <c r="D1647" s="3" t="s">
        <v>11</v>
      </c>
      <c r="E1647" s="64">
        <v>1</v>
      </c>
    </row>
    <row r="1648" spans="1:5">
      <c r="A1648" s="64" t="s">
        <v>6</v>
      </c>
      <c r="B1648" s="65">
        <v>43686</v>
      </c>
      <c r="C1648" s="66" t="s">
        <v>220</v>
      </c>
      <c r="D1648" s="3" t="s">
        <v>11</v>
      </c>
      <c r="E1648" s="64">
        <v>1</v>
      </c>
    </row>
    <row r="1649" spans="1:5">
      <c r="A1649" s="64" t="s">
        <v>6</v>
      </c>
      <c r="B1649" s="65">
        <v>43687</v>
      </c>
      <c r="C1649" s="66" t="s">
        <v>221</v>
      </c>
      <c r="D1649" s="3" t="s">
        <v>11</v>
      </c>
      <c r="E1649" s="64">
        <v>1</v>
      </c>
    </row>
    <row r="1650" spans="1:5">
      <c r="A1650" s="64" t="s">
        <v>6</v>
      </c>
      <c r="B1650" s="65">
        <v>43688</v>
      </c>
      <c r="C1650" s="66" t="s">
        <v>222</v>
      </c>
      <c r="D1650" s="3" t="s">
        <v>11</v>
      </c>
      <c r="E1650" s="64">
        <v>1</v>
      </c>
    </row>
    <row r="1651" spans="1:5">
      <c r="A1651" s="64" t="s">
        <v>6</v>
      </c>
      <c r="B1651" s="65">
        <v>43689</v>
      </c>
      <c r="C1651" s="66" t="s">
        <v>216</v>
      </c>
      <c r="D1651" s="3" t="s">
        <v>11</v>
      </c>
      <c r="E1651" s="64">
        <v>1</v>
      </c>
    </row>
    <row r="1652" spans="1:5">
      <c r="A1652" s="64" t="s">
        <v>6</v>
      </c>
      <c r="B1652" s="65">
        <v>43690</v>
      </c>
      <c r="C1652" s="66" t="s">
        <v>217</v>
      </c>
      <c r="D1652" s="3" t="s">
        <v>11</v>
      </c>
      <c r="E1652" s="64">
        <v>1</v>
      </c>
    </row>
    <row r="1653" spans="1:5">
      <c r="A1653" s="64" t="s">
        <v>6</v>
      </c>
      <c r="B1653" s="65">
        <v>43691</v>
      </c>
      <c r="C1653" s="66" t="s">
        <v>218</v>
      </c>
      <c r="D1653" s="3" t="s">
        <v>11</v>
      </c>
      <c r="E1653" s="64">
        <v>1</v>
      </c>
    </row>
    <row r="1654" spans="1:5">
      <c r="A1654" s="64" t="s">
        <v>6</v>
      </c>
      <c r="B1654" s="65">
        <v>43692</v>
      </c>
      <c r="C1654" s="66" t="s">
        <v>219</v>
      </c>
      <c r="D1654" s="3" t="s">
        <v>11</v>
      </c>
      <c r="E1654" s="64">
        <v>1</v>
      </c>
    </row>
    <row r="1655" spans="1:5">
      <c r="A1655" s="64" t="s">
        <v>6</v>
      </c>
      <c r="B1655" s="65">
        <v>43693</v>
      </c>
      <c r="C1655" s="66" t="s">
        <v>220</v>
      </c>
      <c r="D1655" s="3" t="s">
        <v>11</v>
      </c>
      <c r="E1655" s="64">
        <v>1</v>
      </c>
    </row>
    <row r="1656" spans="1:5">
      <c r="A1656" s="64" t="s">
        <v>6</v>
      </c>
      <c r="B1656" s="65">
        <v>43694</v>
      </c>
      <c r="C1656" s="66" t="s">
        <v>221</v>
      </c>
      <c r="D1656" s="3" t="s">
        <v>11</v>
      </c>
      <c r="E1656" s="64">
        <v>1</v>
      </c>
    </row>
    <row r="1657" spans="1:5">
      <c r="A1657" s="64" t="s">
        <v>6</v>
      </c>
      <c r="B1657" s="65">
        <v>43695</v>
      </c>
      <c r="C1657" s="66" t="s">
        <v>222</v>
      </c>
      <c r="D1657" s="3" t="s">
        <v>11</v>
      </c>
      <c r="E1657" s="64">
        <v>1</v>
      </c>
    </row>
    <row r="1658" spans="1:5">
      <c r="A1658" s="64" t="s">
        <v>6</v>
      </c>
      <c r="B1658" s="65">
        <v>43696</v>
      </c>
      <c r="C1658" s="66" t="s">
        <v>216</v>
      </c>
      <c r="D1658" s="3" t="s">
        <v>11</v>
      </c>
      <c r="E1658" s="64">
        <v>1</v>
      </c>
    </row>
    <row r="1659" spans="1:5">
      <c r="A1659" s="64" t="s">
        <v>6</v>
      </c>
      <c r="B1659" s="65">
        <v>43697</v>
      </c>
      <c r="C1659" s="66" t="s">
        <v>217</v>
      </c>
      <c r="D1659" s="3" t="s">
        <v>11</v>
      </c>
      <c r="E1659" s="64">
        <v>1</v>
      </c>
    </row>
    <row r="1660" spans="1:5">
      <c r="A1660" s="64" t="s">
        <v>6</v>
      </c>
      <c r="B1660" s="65">
        <v>43698</v>
      </c>
      <c r="C1660" s="66" t="s">
        <v>218</v>
      </c>
      <c r="D1660" s="3" t="s">
        <v>11</v>
      </c>
      <c r="E1660" s="64">
        <v>1</v>
      </c>
    </row>
    <row r="1661" spans="1:5">
      <c r="A1661" s="64" t="s">
        <v>6</v>
      </c>
      <c r="B1661" s="65">
        <v>43699</v>
      </c>
      <c r="C1661" s="66" t="s">
        <v>219</v>
      </c>
      <c r="D1661" s="3" t="s">
        <v>11</v>
      </c>
      <c r="E1661" s="64">
        <v>1</v>
      </c>
    </row>
    <row r="1662" spans="1:5">
      <c r="A1662" s="64" t="s">
        <v>6</v>
      </c>
      <c r="B1662" s="65">
        <v>43700</v>
      </c>
      <c r="C1662" s="66" t="s">
        <v>220</v>
      </c>
      <c r="D1662" s="3" t="s">
        <v>11</v>
      </c>
      <c r="E1662" s="64">
        <v>1</v>
      </c>
    </row>
    <row r="1663" spans="1:5">
      <c r="A1663" s="64" t="s">
        <v>6</v>
      </c>
      <c r="B1663" s="65">
        <v>43701</v>
      </c>
      <c r="C1663" s="66" t="s">
        <v>221</v>
      </c>
      <c r="D1663" s="3" t="s">
        <v>11</v>
      </c>
      <c r="E1663" s="64">
        <v>1</v>
      </c>
    </row>
    <row r="1664" spans="1:5">
      <c r="A1664" s="64" t="s">
        <v>6</v>
      </c>
      <c r="B1664" s="65">
        <v>43702</v>
      </c>
      <c r="C1664" s="66" t="s">
        <v>222</v>
      </c>
      <c r="D1664" s="3" t="s">
        <v>11</v>
      </c>
      <c r="E1664" s="64">
        <v>1</v>
      </c>
    </row>
    <row r="1665" spans="1:5">
      <c r="A1665" s="64" t="s">
        <v>6</v>
      </c>
      <c r="B1665" s="65">
        <v>43703</v>
      </c>
      <c r="C1665" s="66" t="s">
        <v>216</v>
      </c>
      <c r="D1665" s="3" t="s">
        <v>11</v>
      </c>
      <c r="E1665" s="64">
        <v>1</v>
      </c>
    </row>
    <row r="1666" spans="1:5">
      <c r="A1666" s="64" t="s">
        <v>6</v>
      </c>
      <c r="B1666" s="65">
        <v>43704</v>
      </c>
      <c r="C1666" s="66" t="s">
        <v>217</v>
      </c>
      <c r="D1666" s="3" t="s">
        <v>11</v>
      </c>
      <c r="E1666" s="64">
        <v>1</v>
      </c>
    </row>
    <row r="1667" spans="1:5">
      <c r="A1667" s="64" t="s">
        <v>6</v>
      </c>
      <c r="B1667" s="65">
        <v>43705</v>
      </c>
      <c r="C1667" s="66" t="s">
        <v>218</v>
      </c>
      <c r="D1667" s="3" t="s">
        <v>11</v>
      </c>
      <c r="E1667" s="64">
        <v>1</v>
      </c>
    </row>
    <row r="1668" spans="1:5">
      <c r="A1668" s="64" t="s">
        <v>6</v>
      </c>
      <c r="B1668" s="65">
        <v>43706</v>
      </c>
      <c r="C1668" s="66" t="s">
        <v>219</v>
      </c>
      <c r="D1668" s="3" t="s">
        <v>11</v>
      </c>
      <c r="E1668" s="64">
        <v>1</v>
      </c>
    </row>
    <row r="1669" spans="1:5">
      <c r="A1669" s="64" t="s">
        <v>6</v>
      </c>
      <c r="B1669" s="65">
        <v>43707</v>
      </c>
      <c r="C1669" s="66" t="s">
        <v>220</v>
      </c>
      <c r="D1669" s="3" t="s">
        <v>11</v>
      </c>
      <c r="E1669" s="64">
        <v>1</v>
      </c>
    </row>
    <row r="1670" spans="1:5">
      <c r="A1670" s="64" t="s">
        <v>6</v>
      </c>
      <c r="B1670" s="65">
        <v>43708</v>
      </c>
      <c r="C1670" s="66" t="s">
        <v>221</v>
      </c>
      <c r="D1670" s="3" t="s">
        <v>11</v>
      </c>
      <c r="E1670" s="64">
        <v>1</v>
      </c>
    </row>
    <row r="1671" spans="1:5">
      <c r="A1671" s="64" t="s">
        <v>6</v>
      </c>
      <c r="B1671" s="65">
        <v>43709</v>
      </c>
      <c r="C1671" s="66" t="s">
        <v>222</v>
      </c>
      <c r="D1671" s="3" t="s">
        <v>11</v>
      </c>
      <c r="E1671" s="64">
        <v>1</v>
      </c>
    </row>
    <row r="1672" spans="1:5">
      <c r="A1672" s="64" t="s">
        <v>6</v>
      </c>
      <c r="B1672" s="65">
        <v>43710</v>
      </c>
      <c r="C1672" s="66" t="s">
        <v>216</v>
      </c>
      <c r="D1672" s="3" t="s">
        <v>11</v>
      </c>
      <c r="E1672" s="64">
        <v>1</v>
      </c>
    </row>
    <row r="1673" spans="1:5">
      <c r="A1673" s="64" t="s">
        <v>6</v>
      </c>
      <c r="B1673" s="65">
        <v>43711</v>
      </c>
      <c r="C1673" s="66" t="s">
        <v>217</v>
      </c>
      <c r="D1673" s="3" t="s">
        <v>11</v>
      </c>
      <c r="E1673" s="64">
        <v>1</v>
      </c>
    </row>
    <row r="1674" spans="1:5">
      <c r="A1674" s="64" t="s">
        <v>6</v>
      </c>
      <c r="B1674" s="65">
        <v>43712</v>
      </c>
      <c r="C1674" s="66" t="s">
        <v>218</v>
      </c>
      <c r="D1674" s="3" t="s">
        <v>11</v>
      </c>
      <c r="E1674" s="64">
        <v>1</v>
      </c>
    </row>
    <row r="1675" spans="1:5">
      <c r="A1675" s="64" t="s">
        <v>6</v>
      </c>
      <c r="B1675" s="65">
        <v>43713</v>
      </c>
      <c r="C1675" s="66" t="s">
        <v>219</v>
      </c>
      <c r="D1675" s="3" t="s">
        <v>11</v>
      </c>
      <c r="E1675" s="64">
        <v>1</v>
      </c>
    </row>
    <row r="1676" spans="1:5">
      <c r="A1676" s="64" t="s">
        <v>6</v>
      </c>
      <c r="B1676" s="65">
        <v>43714</v>
      </c>
      <c r="C1676" s="66" t="s">
        <v>220</v>
      </c>
      <c r="D1676" s="3" t="s">
        <v>11</v>
      </c>
      <c r="E1676" s="64">
        <v>1</v>
      </c>
    </row>
    <row r="1677" spans="1:5">
      <c r="A1677" s="64" t="s">
        <v>6</v>
      </c>
      <c r="B1677" s="65">
        <v>43715</v>
      </c>
      <c r="C1677" s="66" t="s">
        <v>221</v>
      </c>
      <c r="D1677" s="3" t="s">
        <v>11</v>
      </c>
      <c r="E1677" s="64">
        <v>1</v>
      </c>
    </row>
    <row r="1678" spans="1:5">
      <c r="A1678" s="64" t="s">
        <v>6</v>
      </c>
      <c r="B1678" s="65">
        <v>43716</v>
      </c>
      <c r="C1678" s="66" t="s">
        <v>222</v>
      </c>
      <c r="D1678" s="3" t="s">
        <v>11</v>
      </c>
      <c r="E1678" s="64">
        <v>1</v>
      </c>
    </row>
    <row r="1679" spans="1:5">
      <c r="A1679" s="64" t="s">
        <v>6</v>
      </c>
      <c r="B1679" s="65">
        <v>43717</v>
      </c>
      <c r="C1679" s="66" t="s">
        <v>216</v>
      </c>
      <c r="D1679" s="3" t="s">
        <v>11</v>
      </c>
      <c r="E1679" s="64">
        <v>1</v>
      </c>
    </row>
    <row r="1680" spans="1:5">
      <c r="A1680" s="64" t="s">
        <v>6</v>
      </c>
      <c r="B1680" s="65">
        <v>43718</v>
      </c>
      <c r="C1680" s="66" t="s">
        <v>217</v>
      </c>
      <c r="D1680" s="3" t="s">
        <v>11</v>
      </c>
      <c r="E1680" s="64">
        <v>1</v>
      </c>
    </row>
    <row r="1681" spans="1:5">
      <c r="A1681" s="64" t="s">
        <v>6</v>
      </c>
      <c r="B1681" s="65">
        <v>43719</v>
      </c>
      <c r="C1681" s="66" t="s">
        <v>218</v>
      </c>
      <c r="D1681" s="3" t="s">
        <v>11</v>
      </c>
      <c r="E1681" s="64">
        <v>1</v>
      </c>
    </row>
    <row r="1682" spans="1:5">
      <c r="A1682" s="64" t="s">
        <v>6</v>
      </c>
      <c r="B1682" s="65">
        <v>43720</v>
      </c>
      <c r="C1682" s="66" t="s">
        <v>219</v>
      </c>
      <c r="D1682" s="3" t="s">
        <v>11</v>
      </c>
      <c r="E1682" s="64">
        <v>1</v>
      </c>
    </row>
    <row r="1683" spans="1:5">
      <c r="A1683" s="64" t="s">
        <v>6</v>
      </c>
      <c r="B1683" s="65">
        <v>43721</v>
      </c>
      <c r="C1683" s="66" t="s">
        <v>220</v>
      </c>
      <c r="D1683" s="3" t="s">
        <v>11</v>
      </c>
      <c r="E1683" s="64">
        <v>1</v>
      </c>
    </row>
    <row r="1684" spans="1:5">
      <c r="A1684" s="64" t="s">
        <v>6</v>
      </c>
      <c r="B1684" s="65">
        <v>43722</v>
      </c>
      <c r="C1684" s="66" t="s">
        <v>221</v>
      </c>
      <c r="D1684" s="3" t="s">
        <v>11</v>
      </c>
      <c r="E1684" s="64">
        <v>1</v>
      </c>
    </row>
    <row r="1685" spans="1:5">
      <c r="A1685" s="64" t="s">
        <v>6</v>
      </c>
      <c r="B1685" s="65">
        <v>43723</v>
      </c>
      <c r="C1685" s="66" t="s">
        <v>222</v>
      </c>
      <c r="D1685" s="3" t="s">
        <v>11</v>
      </c>
      <c r="E1685" s="64">
        <v>1</v>
      </c>
    </row>
    <row r="1686" spans="1:5">
      <c r="A1686" s="64" t="s">
        <v>6</v>
      </c>
      <c r="B1686" s="65">
        <v>43724</v>
      </c>
      <c r="C1686" s="66" t="s">
        <v>216</v>
      </c>
      <c r="D1686" s="3" t="s">
        <v>11</v>
      </c>
      <c r="E1686" s="64">
        <v>1</v>
      </c>
    </row>
    <row r="1687" spans="1:5">
      <c r="A1687" s="64" t="s">
        <v>6</v>
      </c>
      <c r="B1687" s="65">
        <v>43725</v>
      </c>
      <c r="C1687" s="66" t="s">
        <v>217</v>
      </c>
      <c r="D1687" s="3" t="s">
        <v>11</v>
      </c>
      <c r="E1687" s="64">
        <v>1</v>
      </c>
    </row>
    <row r="1688" spans="1:5">
      <c r="A1688" s="64" t="s">
        <v>6</v>
      </c>
      <c r="B1688" s="65">
        <v>43726</v>
      </c>
      <c r="C1688" s="66" t="s">
        <v>218</v>
      </c>
      <c r="D1688" s="3" t="s">
        <v>11</v>
      </c>
      <c r="E1688" s="64">
        <v>1</v>
      </c>
    </row>
    <row r="1689" spans="1:5">
      <c r="A1689" s="64" t="s">
        <v>6</v>
      </c>
      <c r="B1689" s="65">
        <v>43727</v>
      </c>
      <c r="C1689" s="66" t="s">
        <v>219</v>
      </c>
      <c r="D1689" s="3" t="s">
        <v>11</v>
      </c>
      <c r="E1689" s="64">
        <v>1</v>
      </c>
    </row>
    <row r="1690" spans="1:5">
      <c r="A1690" s="64" t="s">
        <v>6</v>
      </c>
      <c r="B1690" s="65">
        <v>43728</v>
      </c>
      <c r="C1690" s="66" t="s">
        <v>220</v>
      </c>
      <c r="D1690" s="3" t="s">
        <v>11</v>
      </c>
      <c r="E1690" s="64">
        <v>1</v>
      </c>
    </row>
    <row r="1691" spans="1:5">
      <c r="A1691" s="64" t="s">
        <v>6</v>
      </c>
      <c r="B1691" s="65">
        <v>43729</v>
      </c>
      <c r="C1691" s="66" t="s">
        <v>221</v>
      </c>
      <c r="D1691" s="3" t="s">
        <v>11</v>
      </c>
      <c r="E1691" s="64">
        <v>1</v>
      </c>
    </row>
    <row r="1692" spans="1:5">
      <c r="A1692" s="64" t="s">
        <v>6</v>
      </c>
      <c r="B1692" s="65">
        <v>43730</v>
      </c>
      <c r="C1692" s="66" t="s">
        <v>222</v>
      </c>
      <c r="D1692" s="3" t="s">
        <v>11</v>
      </c>
      <c r="E1692" s="64">
        <v>1</v>
      </c>
    </row>
    <row r="1693" spans="1:5">
      <c r="A1693" s="64" t="s">
        <v>6</v>
      </c>
      <c r="B1693" s="65">
        <v>43731</v>
      </c>
      <c r="C1693" s="66" t="s">
        <v>216</v>
      </c>
      <c r="D1693" s="3" t="s">
        <v>11</v>
      </c>
      <c r="E1693" s="64">
        <v>1</v>
      </c>
    </row>
    <row r="1694" spans="1:5">
      <c r="A1694" s="64" t="s">
        <v>6</v>
      </c>
      <c r="B1694" s="65">
        <v>43732</v>
      </c>
      <c r="C1694" s="66" t="s">
        <v>217</v>
      </c>
      <c r="D1694" s="3" t="s">
        <v>11</v>
      </c>
      <c r="E1694" s="64">
        <v>1</v>
      </c>
    </row>
    <row r="1695" spans="1:5">
      <c r="A1695" s="64" t="s">
        <v>6</v>
      </c>
      <c r="B1695" s="65">
        <v>43733</v>
      </c>
      <c r="C1695" s="66" t="s">
        <v>218</v>
      </c>
      <c r="D1695" s="3" t="s">
        <v>11</v>
      </c>
      <c r="E1695" s="64">
        <v>1</v>
      </c>
    </row>
    <row r="1696" spans="1:5">
      <c r="A1696" s="64" t="s">
        <v>6</v>
      </c>
      <c r="B1696" s="65">
        <v>43734</v>
      </c>
      <c r="C1696" s="66" t="s">
        <v>219</v>
      </c>
      <c r="D1696" s="3" t="s">
        <v>11</v>
      </c>
      <c r="E1696" s="64">
        <v>1</v>
      </c>
    </row>
    <row r="1697" spans="1:5">
      <c r="A1697" s="64" t="s">
        <v>6</v>
      </c>
      <c r="B1697" s="65">
        <v>43735</v>
      </c>
      <c r="C1697" s="66" t="s">
        <v>220</v>
      </c>
      <c r="D1697" s="3" t="s">
        <v>11</v>
      </c>
      <c r="E1697" s="64">
        <v>1</v>
      </c>
    </row>
    <row r="1698" spans="1:5">
      <c r="A1698" s="64" t="s">
        <v>6</v>
      </c>
      <c r="B1698" s="65">
        <v>43736</v>
      </c>
      <c r="C1698" s="66" t="s">
        <v>221</v>
      </c>
      <c r="D1698" s="3" t="s">
        <v>11</v>
      </c>
      <c r="E1698" s="64">
        <v>1</v>
      </c>
    </row>
    <row r="1699" spans="1:5">
      <c r="A1699" s="64" t="s">
        <v>6</v>
      </c>
      <c r="B1699" s="65">
        <v>43737</v>
      </c>
      <c r="C1699" s="66" t="s">
        <v>222</v>
      </c>
      <c r="D1699" s="3" t="s">
        <v>11</v>
      </c>
      <c r="E1699" s="64">
        <v>1</v>
      </c>
    </row>
    <row r="1700" spans="1:5">
      <c r="A1700" s="64" t="s">
        <v>6</v>
      </c>
      <c r="B1700" s="65">
        <v>43738</v>
      </c>
      <c r="C1700" s="66" t="s">
        <v>216</v>
      </c>
      <c r="D1700" s="3" t="s">
        <v>11</v>
      </c>
      <c r="E1700" s="64">
        <v>1</v>
      </c>
    </row>
    <row r="1701" spans="1:5">
      <c r="A1701" s="64" t="s">
        <v>6</v>
      </c>
      <c r="B1701" s="65">
        <v>43739</v>
      </c>
      <c r="C1701" s="66" t="s">
        <v>217</v>
      </c>
      <c r="D1701" s="3" t="s">
        <v>11</v>
      </c>
      <c r="E1701" s="64">
        <v>1</v>
      </c>
    </row>
    <row r="1702" spans="1:5">
      <c r="A1702" s="64" t="s">
        <v>6</v>
      </c>
      <c r="B1702" s="65">
        <v>43740</v>
      </c>
      <c r="C1702" s="66" t="s">
        <v>218</v>
      </c>
      <c r="D1702" s="3" t="s">
        <v>11</v>
      </c>
      <c r="E1702" s="64">
        <v>1</v>
      </c>
    </row>
    <row r="1703" spans="1:5">
      <c r="A1703" s="64" t="s">
        <v>6</v>
      </c>
      <c r="B1703" s="65">
        <v>43741</v>
      </c>
      <c r="C1703" s="66" t="s">
        <v>219</v>
      </c>
      <c r="D1703" s="3" t="s">
        <v>11</v>
      </c>
      <c r="E1703" s="64">
        <v>1</v>
      </c>
    </row>
    <row r="1704" spans="1:5">
      <c r="A1704" s="64" t="s">
        <v>6</v>
      </c>
      <c r="B1704" s="65">
        <v>43742</v>
      </c>
      <c r="C1704" s="66" t="s">
        <v>220</v>
      </c>
      <c r="D1704" s="3" t="s">
        <v>11</v>
      </c>
      <c r="E1704" s="64">
        <v>1</v>
      </c>
    </row>
    <row r="1705" spans="1:5">
      <c r="A1705" s="64" t="s">
        <v>6</v>
      </c>
      <c r="B1705" s="65">
        <v>43743</v>
      </c>
      <c r="C1705" s="66" t="s">
        <v>221</v>
      </c>
      <c r="D1705" s="3" t="s">
        <v>11</v>
      </c>
      <c r="E1705" s="64">
        <v>1</v>
      </c>
    </row>
    <row r="1706" spans="1:5">
      <c r="A1706" s="64" t="s">
        <v>6</v>
      </c>
      <c r="B1706" s="65">
        <v>43744</v>
      </c>
      <c r="C1706" s="66" t="s">
        <v>222</v>
      </c>
      <c r="D1706" s="3" t="s">
        <v>11</v>
      </c>
      <c r="E1706" s="64">
        <v>1</v>
      </c>
    </row>
    <row r="1707" spans="1:5">
      <c r="A1707" s="64" t="s">
        <v>6</v>
      </c>
      <c r="B1707" s="65">
        <v>43745</v>
      </c>
      <c r="C1707" s="66" t="s">
        <v>216</v>
      </c>
      <c r="D1707" s="3" t="s">
        <v>11</v>
      </c>
      <c r="E1707" s="64">
        <v>1</v>
      </c>
    </row>
    <row r="1708" spans="1:5">
      <c r="A1708" s="64" t="s">
        <v>6</v>
      </c>
      <c r="B1708" s="65">
        <v>43746</v>
      </c>
      <c r="C1708" s="66" t="s">
        <v>217</v>
      </c>
      <c r="D1708" s="3" t="s">
        <v>11</v>
      </c>
      <c r="E1708" s="64">
        <v>1</v>
      </c>
    </row>
    <row r="1709" spans="1:5">
      <c r="A1709" s="64" t="s">
        <v>6</v>
      </c>
      <c r="B1709" s="65">
        <v>43747</v>
      </c>
      <c r="C1709" s="66" t="s">
        <v>218</v>
      </c>
      <c r="D1709" s="3" t="s">
        <v>11</v>
      </c>
      <c r="E1709" s="64">
        <v>1</v>
      </c>
    </row>
    <row r="1710" spans="1:5">
      <c r="A1710" s="64" t="s">
        <v>6</v>
      </c>
      <c r="B1710" s="65">
        <v>43748</v>
      </c>
      <c r="C1710" s="66" t="s">
        <v>219</v>
      </c>
      <c r="D1710" s="3" t="s">
        <v>11</v>
      </c>
      <c r="E1710" s="64">
        <v>1</v>
      </c>
    </row>
    <row r="1711" spans="1:5">
      <c r="A1711" s="64" t="s">
        <v>6</v>
      </c>
      <c r="B1711" s="65">
        <v>43749</v>
      </c>
      <c r="C1711" s="66" t="s">
        <v>220</v>
      </c>
      <c r="D1711" s="3" t="s">
        <v>11</v>
      </c>
      <c r="E1711" s="64">
        <v>1</v>
      </c>
    </row>
    <row r="1712" spans="1:5">
      <c r="A1712" s="64" t="s">
        <v>6</v>
      </c>
      <c r="B1712" s="65">
        <v>43750</v>
      </c>
      <c r="C1712" s="66" t="s">
        <v>221</v>
      </c>
      <c r="D1712" s="3" t="s">
        <v>11</v>
      </c>
      <c r="E1712" s="64">
        <v>1</v>
      </c>
    </row>
    <row r="1713" spans="1:5">
      <c r="A1713" s="64" t="s">
        <v>6</v>
      </c>
      <c r="B1713" s="65">
        <v>43751</v>
      </c>
      <c r="C1713" s="66" t="s">
        <v>222</v>
      </c>
      <c r="D1713" s="3" t="s">
        <v>11</v>
      </c>
      <c r="E1713" s="64">
        <v>1</v>
      </c>
    </row>
    <row r="1714" spans="1:5">
      <c r="A1714" s="64" t="s">
        <v>6</v>
      </c>
      <c r="B1714" s="65">
        <v>43752</v>
      </c>
      <c r="C1714" s="66" t="s">
        <v>216</v>
      </c>
      <c r="D1714" s="3" t="s">
        <v>11</v>
      </c>
      <c r="E1714" s="64">
        <v>1</v>
      </c>
    </row>
    <row r="1715" spans="1:5">
      <c r="A1715" s="64" t="s">
        <v>6</v>
      </c>
      <c r="B1715" s="65">
        <v>43753</v>
      </c>
      <c r="C1715" s="66" t="s">
        <v>217</v>
      </c>
      <c r="D1715" s="3" t="s">
        <v>11</v>
      </c>
      <c r="E1715" s="64">
        <v>1</v>
      </c>
    </row>
    <row r="1716" spans="1:5">
      <c r="A1716" s="64" t="s">
        <v>6</v>
      </c>
      <c r="B1716" s="65">
        <v>43754</v>
      </c>
      <c r="C1716" s="66" t="s">
        <v>218</v>
      </c>
      <c r="D1716" s="3" t="s">
        <v>11</v>
      </c>
      <c r="E1716" s="64">
        <v>1</v>
      </c>
    </row>
    <row r="1717" spans="1:5">
      <c r="A1717" s="64" t="s">
        <v>6</v>
      </c>
      <c r="B1717" s="65">
        <v>43755</v>
      </c>
      <c r="C1717" s="66" t="s">
        <v>219</v>
      </c>
      <c r="D1717" s="3" t="s">
        <v>11</v>
      </c>
      <c r="E1717" s="64">
        <v>1</v>
      </c>
    </row>
    <row r="1718" spans="1:5">
      <c r="A1718" s="64" t="s">
        <v>6</v>
      </c>
      <c r="B1718" s="65">
        <v>43756</v>
      </c>
      <c r="C1718" s="66" t="s">
        <v>220</v>
      </c>
      <c r="D1718" s="3" t="s">
        <v>11</v>
      </c>
      <c r="E1718" s="64">
        <v>1</v>
      </c>
    </row>
    <row r="1719" spans="1:5">
      <c r="A1719" s="64" t="s">
        <v>6</v>
      </c>
      <c r="B1719" s="65">
        <v>43757</v>
      </c>
      <c r="C1719" s="66" t="s">
        <v>221</v>
      </c>
      <c r="D1719" s="3" t="s">
        <v>11</v>
      </c>
      <c r="E1719" s="64">
        <v>1</v>
      </c>
    </row>
    <row r="1720" spans="1:5">
      <c r="A1720" s="64" t="s">
        <v>6</v>
      </c>
      <c r="B1720" s="65">
        <v>43758</v>
      </c>
      <c r="C1720" s="66" t="s">
        <v>222</v>
      </c>
      <c r="D1720" s="3" t="s">
        <v>11</v>
      </c>
      <c r="E1720" s="64">
        <v>1</v>
      </c>
    </row>
    <row r="1721" spans="1:5">
      <c r="A1721" s="64" t="s">
        <v>6</v>
      </c>
      <c r="B1721" s="65">
        <v>43759</v>
      </c>
      <c r="C1721" s="66" t="s">
        <v>216</v>
      </c>
      <c r="D1721" s="3" t="s">
        <v>11</v>
      </c>
      <c r="E1721" s="64">
        <v>1</v>
      </c>
    </row>
    <row r="1722" spans="1:5">
      <c r="A1722" s="64" t="s">
        <v>6</v>
      </c>
      <c r="B1722" s="65">
        <v>43760</v>
      </c>
      <c r="C1722" s="66" t="s">
        <v>217</v>
      </c>
      <c r="D1722" s="3" t="s">
        <v>11</v>
      </c>
      <c r="E1722" s="64">
        <v>1</v>
      </c>
    </row>
    <row r="1723" spans="1:5">
      <c r="A1723" s="64" t="s">
        <v>6</v>
      </c>
      <c r="B1723" s="65">
        <v>43761</v>
      </c>
      <c r="C1723" s="66" t="s">
        <v>218</v>
      </c>
      <c r="D1723" s="3" t="s">
        <v>11</v>
      </c>
      <c r="E1723" s="64">
        <v>1</v>
      </c>
    </row>
    <row r="1724" spans="1:5">
      <c r="A1724" s="64" t="s">
        <v>6</v>
      </c>
      <c r="B1724" s="65">
        <v>43762</v>
      </c>
      <c r="C1724" s="66" t="s">
        <v>219</v>
      </c>
      <c r="D1724" s="3" t="s">
        <v>11</v>
      </c>
      <c r="E1724" s="64">
        <v>1</v>
      </c>
    </row>
    <row r="1725" spans="1:5">
      <c r="A1725" s="64" t="s">
        <v>6</v>
      </c>
      <c r="B1725" s="65">
        <v>43763</v>
      </c>
      <c r="C1725" s="66" t="s">
        <v>220</v>
      </c>
      <c r="D1725" s="3" t="s">
        <v>11</v>
      </c>
      <c r="E1725" s="64">
        <v>1</v>
      </c>
    </row>
    <row r="1726" spans="1:5">
      <c r="A1726" s="64" t="s">
        <v>6</v>
      </c>
      <c r="B1726" s="65">
        <v>43764</v>
      </c>
      <c r="C1726" s="66" t="s">
        <v>221</v>
      </c>
      <c r="D1726" s="3" t="s">
        <v>11</v>
      </c>
      <c r="E1726" s="64">
        <v>1</v>
      </c>
    </row>
    <row r="1727" spans="1:5">
      <c r="A1727" s="64" t="s">
        <v>6</v>
      </c>
      <c r="B1727" s="65">
        <v>43765</v>
      </c>
      <c r="C1727" s="66" t="s">
        <v>222</v>
      </c>
      <c r="D1727" s="3" t="s">
        <v>11</v>
      </c>
      <c r="E1727" s="64">
        <v>1</v>
      </c>
    </row>
    <row r="1728" spans="1:5">
      <c r="A1728" s="64" t="s">
        <v>6</v>
      </c>
      <c r="B1728" s="65">
        <v>43766</v>
      </c>
      <c r="C1728" s="66" t="s">
        <v>216</v>
      </c>
      <c r="D1728" s="3" t="s">
        <v>11</v>
      </c>
      <c r="E1728" s="64">
        <v>1</v>
      </c>
    </row>
    <row r="1729" spans="1:5">
      <c r="A1729" s="64" t="s">
        <v>6</v>
      </c>
      <c r="B1729" s="65">
        <v>43767</v>
      </c>
      <c r="C1729" s="66" t="s">
        <v>217</v>
      </c>
      <c r="D1729" s="3" t="s">
        <v>11</v>
      </c>
      <c r="E1729" s="64">
        <v>1</v>
      </c>
    </row>
    <row r="1730" spans="1:5">
      <c r="A1730" s="64" t="s">
        <v>6</v>
      </c>
      <c r="B1730" s="65">
        <v>43768</v>
      </c>
      <c r="C1730" s="66" t="s">
        <v>218</v>
      </c>
      <c r="D1730" s="3" t="s">
        <v>11</v>
      </c>
      <c r="E1730" s="64">
        <v>1</v>
      </c>
    </row>
    <row r="1731" spans="1:5">
      <c r="A1731" s="64" t="s">
        <v>6</v>
      </c>
      <c r="B1731" s="65">
        <v>43769</v>
      </c>
      <c r="C1731" s="66" t="s">
        <v>219</v>
      </c>
      <c r="D1731" s="3" t="s">
        <v>11</v>
      </c>
      <c r="E1731" s="64">
        <v>1</v>
      </c>
    </row>
    <row r="1732" spans="1:5">
      <c r="A1732" s="64" t="s">
        <v>6</v>
      </c>
      <c r="B1732" s="65">
        <v>43770</v>
      </c>
      <c r="C1732" s="66" t="s">
        <v>220</v>
      </c>
      <c r="D1732" s="3" t="s">
        <v>11</v>
      </c>
      <c r="E1732" s="64">
        <v>1</v>
      </c>
    </row>
    <row r="1733" spans="1:5">
      <c r="A1733" s="64" t="s">
        <v>6</v>
      </c>
      <c r="B1733" s="65">
        <v>43771</v>
      </c>
      <c r="C1733" s="66" t="s">
        <v>221</v>
      </c>
      <c r="D1733" s="3" t="s">
        <v>11</v>
      </c>
      <c r="E1733" s="64">
        <v>1</v>
      </c>
    </row>
    <row r="1734" spans="1:5">
      <c r="A1734" s="64" t="s">
        <v>6</v>
      </c>
      <c r="B1734" s="65">
        <v>43772</v>
      </c>
      <c r="C1734" s="66" t="s">
        <v>222</v>
      </c>
      <c r="D1734" s="3" t="s">
        <v>11</v>
      </c>
      <c r="E1734" s="64">
        <v>1</v>
      </c>
    </row>
    <row r="1735" spans="1:5">
      <c r="A1735" s="64" t="s">
        <v>6</v>
      </c>
      <c r="B1735" s="65">
        <v>43773</v>
      </c>
      <c r="C1735" s="66" t="s">
        <v>216</v>
      </c>
      <c r="D1735" s="3" t="s">
        <v>11</v>
      </c>
      <c r="E1735" s="64">
        <v>1</v>
      </c>
    </row>
    <row r="1736" spans="1:5">
      <c r="A1736" s="64" t="s">
        <v>6</v>
      </c>
      <c r="B1736" s="65">
        <v>43774</v>
      </c>
      <c r="C1736" s="66" t="s">
        <v>217</v>
      </c>
      <c r="D1736" s="3" t="s">
        <v>11</v>
      </c>
      <c r="E1736" s="64">
        <v>1</v>
      </c>
    </row>
    <row r="1737" spans="1:5">
      <c r="A1737" s="64" t="s">
        <v>6</v>
      </c>
      <c r="B1737" s="65">
        <v>43775</v>
      </c>
      <c r="C1737" s="66" t="s">
        <v>218</v>
      </c>
      <c r="D1737" s="3" t="s">
        <v>11</v>
      </c>
      <c r="E1737" s="64">
        <v>1</v>
      </c>
    </row>
    <row r="1738" spans="1:5">
      <c r="A1738" s="64" t="s">
        <v>6</v>
      </c>
      <c r="B1738" s="65">
        <v>43776</v>
      </c>
      <c r="C1738" s="66" t="s">
        <v>219</v>
      </c>
      <c r="D1738" s="3" t="s">
        <v>11</v>
      </c>
      <c r="E1738" s="64">
        <v>1</v>
      </c>
    </row>
    <row r="1739" spans="1:5">
      <c r="A1739" s="64" t="s">
        <v>6</v>
      </c>
      <c r="B1739" s="65">
        <v>43777</v>
      </c>
      <c r="C1739" s="66" t="s">
        <v>220</v>
      </c>
      <c r="D1739" s="3" t="s">
        <v>11</v>
      </c>
      <c r="E1739" s="64">
        <v>1</v>
      </c>
    </row>
    <row r="1740" spans="1:5">
      <c r="A1740" s="64" t="s">
        <v>6</v>
      </c>
      <c r="B1740" s="65">
        <v>43778</v>
      </c>
      <c r="C1740" s="66" t="s">
        <v>221</v>
      </c>
      <c r="D1740" s="3" t="s">
        <v>11</v>
      </c>
      <c r="E1740" s="64">
        <v>1</v>
      </c>
    </row>
    <row r="1741" spans="1:5">
      <c r="A1741" s="64" t="s">
        <v>6</v>
      </c>
      <c r="B1741" s="65">
        <v>43779</v>
      </c>
      <c r="C1741" s="66" t="s">
        <v>222</v>
      </c>
      <c r="D1741" s="3" t="s">
        <v>11</v>
      </c>
      <c r="E1741" s="64">
        <v>1</v>
      </c>
    </row>
    <row r="1742" spans="1:5">
      <c r="A1742" s="64" t="s">
        <v>12</v>
      </c>
      <c r="B1742" s="65">
        <v>43199</v>
      </c>
      <c r="C1742" s="66" t="s">
        <v>216</v>
      </c>
      <c r="D1742" s="3" t="s">
        <v>13</v>
      </c>
      <c r="E1742" s="64">
        <v>1</v>
      </c>
    </row>
    <row r="1743" spans="1:5">
      <c r="A1743" s="64" t="s">
        <v>12</v>
      </c>
      <c r="B1743" s="65">
        <v>43200</v>
      </c>
      <c r="C1743" s="66" t="s">
        <v>217</v>
      </c>
      <c r="D1743" s="3" t="s">
        <v>13</v>
      </c>
      <c r="E1743" s="64">
        <v>1</v>
      </c>
    </row>
    <row r="1744" spans="1:5">
      <c r="A1744" s="64" t="s">
        <v>12</v>
      </c>
      <c r="B1744" s="65">
        <v>43201</v>
      </c>
      <c r="C1744" s="66" t="s">
        <v>218</v>
      </c>
      <c r="D1744" s="3" t="s">
        <v>13</v>
      </c>
      <c r="E1744" s="64">
        <v>1</v>
      </c>
    </row>
    <row r="1745" spans="1:5">
      <c r="A1745" s="64" t="s">
        <v>12</v>
      </c>
      <c r="B1745" s="65">
        <v>43202</v>
      </c>
      <c r="C1745" s="66" t="s">
        <v>219</v>
      </c>
      <c r="D1745" s="3" t="s">
        <v>13</v>
      </c>
      <c r="E1745" s="64">
        <v>1</v>
      </c>
    </row>
    <row r="1746" spans="1:5">
      <c r="A1746" s="64" t="s">
        <v>12</v>
      </c>
      <c r="B1746" s="65">
        <v>43203</v>
      </c>
      <c r="C1746" s="66" t="s">
        <v>220</v>
      </c>
      <c r="D1746" s="3" t="s">
        <v>13</v>
      </c>
      <c r="E1746" s="64">
        <v>1</v>
      </c>
    </row>
    <row r="1747" spans="1:5">
      <c r="A1747" s="64" t="s">
        <v>12</v>
      </c>
      <c r="B1747" s="65">
        <v>43206</v>
      </c>
      <c r="C1747" s="66" t="s">
        <v>216</v>
      </c>
      <c r="D1747" s="3" t="s">
        <v>13</v>
      </c>
      <c r="E1747" s="64">
        <v>1</v>
      </c>
    </row>
    <row r="1748" spans="1:5">
      <c r="A1748" s="64" t="s">
        <v>12</v>
      </c>
      <c r="B1748" s="65">
        <v>43207</v>
      </c>
      <c r="C1748" s="66" t="s">
        <v>217</v>
      </c>
      <c r="D1748" s="3" t="s">
        <v>13</v>
      </c>
      <c r="E1748" s="64">
        <v>1</v>
      </c>
    </row>
    <row r="1749" spans="1:5">
      <c r="A1749" s="64" t="s">
        <v>12</v>
      </c>
      <c r="B1749" s="65">
        <v>43208</v>
      </c>
      <c r="C1749" s="66" t="s">
        <v>218</v>
      </c>
      <c r="D1749" s="3" t="s">
        <v>13</v>
      </c>
      <c r="E1749" s="64">
        <v>1</v>
      </c>
    </row>
    <row r="1750" spans="1:5">
      <c r="A1750" s="64" t="s">
        <v>12</v>
      </c>
      <c r="B1750" s="65">
        <v>43209</v>
      </c>
      <c r="C1750" s="66" t="s">
        <v>219</v>
      </c>
      <c r="D1750" s="3" t="s">
        <v>13</v>
      </c>
      <c r="E1750" s="64">
        <v>1</v>
      </c>
    </row>
    <row r="1751" spans="1:5">
      <c r="A1751" s="64" t="s">
        <v>12</v>
      </c>
      <c r="B1751" s="65">
        <v>43210</v>
      </c>
      <c r="C1751" s="66" t="s">
        <v>220</v>
      </c>
      <c r="D1751" s="3" t="s">
        <v>13</v>
      </c>
      <c r="E1751" s="64">
        <v>1</v>
      </c>
    </row>
    <row r="1752" spans="1:5">
      <c r="A1752" s="64" t="s">
        <v>12</v>
      </c>
      <c r="B1752" s="65">
        <v>43213</v>
      </c>
      <c r="C1752" s="66" t="s">
        <v>216</v>
      </c>
      <c r="D1752" s="3" t="s">
        <v>13</v>
      </c>
      <c r="E1752" s="64">
        <v>1</v>
      </c>
    </row>
    <row r="1753" spans="1:5">
      <c r="A1753" s="64" t="s">
        <v>12</v>
      </c>
      <c r="B1753" s="65">
        <v>43214</v>
      </c>
      <c r="C1753" s="66" t="s">
        <v>217</v>
      </c>
      <c r="D1753" s="3" t="s">
        <v>13</v>
      </c>
      <c r="E1753" s="64">
        <v>1</v>
      </c>
    </row>
    <row r="1754" spans="1:5">
      <c r="A1754" s="64" t="s">
        <v>12</v>
      </c>
      <c r="B1754" s="65">
        <v>43215</v>
      </c>
      <c r="C1754" s="66" t="s">
        <v>218</v>
      </c>
      <c r="D1754" s="3" t="s">
        <v>13</v>
      </c>
      <c r="E1754" s="64">
        <v>1</v>
      </c>
    </row>
    <row r="1755" spans="1:5">
      <c r="A1755" s="64" t="s">
        <v>12</v>
      </c>
      <c r="B1755" s="65">
        <v>43216</v>
      </c>
      <c r="C1755" s="66" t="s">
        <v>219</v>
      </c>
      <c r="D1755" s="3" t="s">
        <v>13</v>
      </c>
      <c r="E1755" s="64">
        <v>1</v>
      </c>
    </row>
    <row r="1756" spans="1:5">
      <c r="A1756" s="64" t="s">
        <v>12</v>
      </c>
      <c r="B1756" s="65">
        <v>43217</v>
      </c>
      <c r="C1756" s="66" t="s">
        <v>220</v>
      </c>
      <c r="D1756" s="3" t="s">
        <v>13</v>
      </c>
      <c r="E1756" s="64">
        <v>1</v>
      </c>
    </row>
    <row r="1757" spans="1:5">
      <c r="A1757" s="64" t="s">
        <v>12</v>
      </c>
      <c r="B1757" s="65">
        <v>43220</v>
      </c>
      <c r="C1757" s="66" t="s">
        <v>216</v>
      </c>
      <c r="D1757" s="3" t="s">
        <v>13</v>
      </c>
      <c r="E1757" s="64">
        <v>1</v>
      </c>
    </row>
    <row r="1758" spans="1:5">
      <c r="A1758" s="64" t="s">
        <v>12</v>
      </c>
      <c r="B1758" s="65">
        <v>43221</v>
      </c>
      <c r="C1758" s="66" t="s">
        <v>217</v>
      </c>
      <c r="D1758" s="3" t="s">
        <v>13</v>
      </c>
      <c r="E1758" s="64">
        <v>1</v>
      </c>
    </row>
    <row r="1759" spans="1:5">
      <c r="A1759" s="64" t="s">
        <v>12</v>
      </c>
      <c r="B1759" s="65">
        <v>43222</v>
      </c>
      <c r="C1759" s="66" t="s">
        <v>218</v>
      </c>
      <c r="D1759" s="3" t="s">
        <v>13</v>
      </c>
      <c r="E1759" s="64">
        <v>1</v>
      </c>
    </row>
    <row r="1760" spans="1:5">
      <c r="A1760" s="64" t="s">
        <v>12</v>
      </c>
      <c r="B1760" s="65">
        <v>43223</v>
      </c>
      <c r="C1760" s="66" t="s">
        <v>219</v>
      </c>
      <c r="D1760" s="3" t="s">
        <v>13</v>
      </c>
      <c r="E1760" s="64">
        <v>1</v>
      </c>
    </row>
    <row r="1761" spans="1:5">
      <c r="A1761" s="64" t="s">
        <v>12</v>
      </c>
      <c r="B1761" s="65">
        <v>43224</v>
      </c>
      <c r="C1761" s="66" t="s">
        <v>220</v>
      </c>
      <c r="D1761" s="3" t="s">
        <v>13</v>
      </c>
      <c r="E1761" s="64">
        <v>1</v>
      </c>
    </row>
    <row r="1762" spans="1:5">
      <c r="A1762" s="64" t="s">
        <v>12</v>
      </c>
      <c r="B1762" s="65">
        <v>43227</v>
      </c>
      <c r="C1762" s="66" t="s">
        <v>216</v>
      </c>
      <c r="D1762" s="3" t="s">
        <v>13</v>
      </c>
      <c r="E1762" s="64">
        <v>1</v>
      </c>
    </row>
    <row r="1763" spans="1:5">
      <c r="A1763" s="64" t="s">
        <v>12</v>
      </c>
      <c r="B1763" s="65">
        <v>43228</v>
      </c>
      <c r="C1763" s="66" t="s">
        <v>217</v>
      </c>
      <c r="D1763" s="3" t="s">
        <v>13</v>
      </c>
      <c r="E1763" s="64">
        <v>1</v>
      </c>
    </row>
    <row r="1764" spans="1:5">
      <c r="A1764" s="64" t="s">
        <v>12</v>
      </c>
      <c r="B1764" s="65">
        <v>43229</v>
      </c>
      <c r="C1764" s="66" t="s">
        <v>218</v>
      </c>
      <c r="D1764" s="3" t="s">
        <v>13</v>
      </c>
      <c r="E1764" s="64">
        <v>1</v>
      </c>
    </row>
    <row r="1765" spans="1:5">
      <c r="A1765" s="64" t="s">
        <v>12</v>
      </c>
      <c r="B1765" s="65">
        <v>43230</v>
      </c>
      <c r="C1765" s="66" t="s">
        <v>219</v>
      </c>
      <c r="D1765" s="3" t="s">
        <v>13</v>
      </c>
      <c r="E1765" s="64">
        <v>1</v>
      </c>
    </row>
    <row r="1766" spans="1:5">
      <c r="A1766" s="64" t="s">
        <v>12</v>
      </c>
      <c r="B1766" s="65">
        <v>43231</v>
      </c>
      <c r="C1766" s="66" t="s">
        <v>220</v>
      </c>
      <c r="D1766" s="3" t="s">
        <v>13</v>
      </c>
      <c r="E1766" s="64">
        <v>1</v>
      </c>
    </row>
    <row r="1767" spans="1:5">
      <c r="A1767" s="64" t="s">
        <v>12</v>
      </c>
      <c r="B1767" s="65">
        <v>43234</v>
      </c>
      <c r="C1767" s="66" t="s">
        <v>216</v>
      </c>
      <c r="D1767" s="3" t="s">
        <v>13</v>
      </c>
      <c r="E1767" s="64">
        <v>1</v>
      </c>
    </row>
    <row r="1768" spans="1:5">
      <c r="A1768" s="64" t="s">
        <v>12</v>
      </c>
      <c r="B1768" s="65">
        <v>43235</v>
      </c>
      <c r="C1768" s="66" t="s">
        <v>217</v>
      </c>
      <c r="D1768" s="3" t="s">
        <v>13</v>
      </c>
      <c r="E1768" s="64">
        <v>1</v>
      </c>
    </row>
    <row r="1769" spans="1:5">
      <c r="A1769" s="64" t="s">
        <v>12</v>
      </c>
      <c r="B1769" s="65">
        <v>43236</v>
      </c>
      <c r="C1769" s="66" t="s">
        <v>218</v>
      </c>
      <c r="D1769" s="3" t="s">
        <v>13</v>
      </c>
      <c r="E1769" s="64">
        <v>1</v>
      </c>
    </row>
    <row r="1770" spans="1:5">
      <c r="A1770" s="64" t="s">
        <v>12</v>
      </c>
      <c r="B1770" s="65">
        <v>43237</v>
      </c>
      <c r="C1770" s="66" t="s">
        <v>219</v>
      </c>
      <c r="D1770" s="3" t="s">
        <v>13</v>
      </c>
      <c r="E1770" s="64">
        <v>1</v>
      </c>
    </row>
    <row r="1771" spans="1:5">
      <c r="A1771" s="64" t="s">
        <v>12</v>
      </c>
      <c r="B1771" s="65">
        <v>43238</v>
      </c>
      <c r="C1771" s="66" t="s">
        <v>220</v>
      </c>
      <c r="D1771" s="3" t="s">
        <v>13</v>
      </c>
      <c r="E1771" s="64">
        <v>1</v>
      </c>
    </row>
    <row r="1772" spans="1:5">
      <c r="A1772" s="64" t="s">
        <v>12</v>
      </c>
      <c r="B1772" s="65">
        <v>43241</v>
      </c>
      <c r="C1772" s="66" t="s">
        <v>216</v>
      </c>
      <c r="D1772" s="3" t="s">
        <v>13</v>
      </c>
      <c r="E1772" s="64">
        <v>1</v>
      </c>
    </row>
    <row r="1773" spans="1:5">
      <c r="A1773" s="64" t="s">
        <v>12</v>
      </c>
      <c r="B1773" s="65">
        <v>43242</v>
      </c>
      <c r="C1773" s="66" t="s">
        <v>217</v>
      </c>
      <c r="D1773" s="3" t="s">
        <v>13</v>
      </c>
      <c r="E1773" s="64">
        <v>1</v>
      </c>
    </row>
    <row r="1774" spans="1:5">
      <c r="A1774" s="64" t="s">
        <v>12</v>
      </c>
      <c r="B1774" s="65">
        <v>43243</v>
      </c>
      <c r="C1774" s="66" t="s">
        <v>218</v>
      </c>
      <c r="D1774" s="3" t="s">
        <v>13</v>
      </c>
      <c r="E1774" s="64">
        <v>1</v>
      </c>
    </row>
    <row r="1775" spans="1:5">
      <c r="A1775" s="64" t="s">
        <v>12</v>
      </c>
      <c r="B1775" s="65">
        <v>43244</v>
      </c>
      <c r="C1775" s="66" t="s">
        <v>219</v>
      </c>
      <c r="D1775" s="3" t="s">
        <v>13</v>
      </c>
      <c r="E1775" s="64">
        <v>1</v>
      </c>
    </row>
    <row r="1776" spans="1:5">
      <c r="A1776" s="64" t="s">
        <v>12</v>
      </c>
      <c r="B1776" s="65">
        <v>43245</v>
      </c>
      <c r="C1776" s="66" t="s">
        <v>220</v>
      </c>
      <c r="D1776" s="3" t="s">
        <v>13</v>
      </c>
      <c r="E1776" s="64">
        <v>1</v>
      </c>
    </row>
    <row r="1777" spans="1:5">
      <c r="A1777" s="64" t="s">
        <v>12</v>
      </c>
      <c r="B1777" s="65">
        <v>43248</v>
      </c>
      <c r="C1777" s="66" t="s">
        <v>216</v>
      </c>
      <c r="D1777" s="3" t="s">
        <v>13</v>
      </c>
      <c r="E1777" s="64">
        <v>1</v>
      </c>
    </row>
    <row r="1778" spans="1:5">
      <c r="A1778" s="64" t="s">
        <v>12</v>
      </c>
      <c r="B1778" s="65">
        <v>43249</v>
      </c>
      <c r="C1778" s="66" t="s">
        <v>217</v>
      </c>
      <c r="D1778" s="3" t="s">
        <v>13</v>
      </c>
      <c r="E1778" s="64">
        <v>1</v>
      </c>
    </row>
    <row r="1779" spans="1:5">
      <c r="A1779" s="64" t="s">
        <v>12</v>
      </c>
      <c r="B1779" s="65">
        <v>43250</v>
      </c>
      <c r="C1779" s="66" t="s">
        <v>218</v>
      </c>
      <c r="D1779" s="3" t="s">
        <v>13</v>
      </c>
      <c r="E1779" s="64">
        <v>1</v>
      </c>
    </row>
    <row r="1780" spans="1:5">
      <c r="A1780" s="64" t="s">
        <v>12</v>
      </c>
      <c r="B1780" s="65">
        <v>43251</v>
      </c>
      <c r="C1780" s="66" t="s">
        <v>219</v>
      </c>
      <c r="D1780" s="3" t="s">
        <v>13</v>
      </c>
      <c r="E1780" s="64">
        <v>1</v>
      </c>
    </row>
    <row r="1781" spans="1:5">
      <c r="A1781" s="64" t="s">
        <v>12</v>
      </c>
      <c r="B1781" s="65">
        <v>43252</v>
      </c>
      <c r="C1781" s="66" t="s">
        <v>220</v>
      </c>
      <c r="D1781" s="3" t="s">
        <v>13</v>
      </c>
      <c r="E1781" s="64">
        <v>1</v>
      </c>
    </row>
    <row r="1782" spans="1:5">
      <c r="A1782" s="64" t="s">
        <v>12</v>
      </c>
      <c r="B1782" s="65">
        <v>43255</v>
      </c>
      <c r="C1782" s="66" t="s">
        <v>216</v>
      </c>
      <c r="D1782" s="3" t="s">
        <v>13</v>
      </c>
      <c r="E1782" s="64">
        <v>1</v>
      </c>
    </row>
    <row r="1783" spans="1:5">
      <c r="A1783" s="64" t="s">
        <v>12</v>
      </c>
      <c r="B1783" s="65">
        <v>43256</v>
      </c>
      <c r="C1783" s="66" t="s">
        <v>217</v>
      </c>
      <c r="D1783" s="3" t="s">
        <v>13</v>
      </c>
      <c r="E1783" s="64">
        <v>1</v>
      </c>
    </row>
    <row r="1784" spans="1:5">
      <c r="A1784" s="64" t="s">
        <v>12</v>
      </c>
      <c r="B1784" s="65">
        <v>43257</v>
      </c>
      <c r="C1784" s="66" t="s">
        <v>218</v>
      </c>
      <c r="D1784" s="3" t="s">
        <v>13</v>
      </c>
      <c r="E1784" s="64">
        <v>1</v>
      </c>
    </row>
    <row r="1785" spans="1:5">
      <c r="A1785" s="64" t="s">
        <v>12</v>
      </c>
      <c r="B1785" s="65">
        <v>43258</v>
      </c>
      <c r="C1785" s="66" t="s">
        <v>219</v>
      </c>
      <c r="D1785" s="3" t="s">
        <v>13</v>
      </c>
      <c r="E1785" s="64">
        <v>1</v>
      </c>
    </row>
    <row r="1786" spans="1:5">
      <c r="A1786" s="64" t="s">
        <v>12</v>
      </c>
      <c r="B1786" s="65">
        <v>43259</v>
      </c>
      <c r="C1786" s="66" t="s">
        <v>220</v>
      </c>
      <c r="D1786" s="3" t="s">
        <v>13</v>
      </c>
      <c r="E1786" s="64">
        <v>1</v>
      </c>
    </row>
    <row r="1787" spans="1:5">
      <c r="A1787" s="64" t="s">
        <v>12</v>
      </c>
      <c r="B1787" s="65">
        <v>43262</v>
      </c>
      <c r="C1787" s="66" t="s">
        <v>216</v>
      </c>
      <c r="D1787" s="3" t="s">
        <v>13</v>
      </c>
      <c r="E1787" s="64">
        <v>1</v>
      </c>
    </row>
    <row r="1788" spans="1:5">
      <c r="A1788" s="64" t="s">
        <v>12</v>
      </c>
      <c r="B1788" s="65">
        <v>43263</v>
      </c>
      <c r="C1788" s="66" t="s">
        <v>217</v>
      </c>
      <c r="D1788" s="3" t="s">
        <v>13</v>
      </c>
      <c r="E1788" s="64">
        <v>1</v>
      </c>
    </row>
    <row r="1789" spans="1:5">
      <c r="A1789" s="64" t="s">
        <v>12</v>
      </c>
      <c r="B1789" s="65">
        <v>43264</v>
      </c>
      <c r="C1789" s="66" t="s">
        <v>218</v>
      </c>
      <c r="D1789" s="3" t="s">
        <v>13</v>
      </c>
      <c r="E1789" s="64">
        <v>1</v>
      </c>
    </row>
    <row r="1790" spans="1:5">
      <c r="A1790" s="64" t="s">
        <v>12</v>
      </c>
      <c r="B1790" s="65">
        <v>43265</v>
      </c>
      <c r="C1790" s="66" t="s">
        <v>219</v>
      </c>
      <c r="D1790" s="3" t="s">
        <v>13</v>
      </c>
      <c r="E1790" s="64">
        <v>1</v>
      </c>
    </row>
    <row r="1791" spans="1:5">
      <c r="A1791" s="64" t="s">
        <v>12</v>
      </c>
      <c r="B1791" s="65">
        <v>43266</v>
      </c>
      <c r="C1791" s="66" t="s">
        <v>220</v>
      </c>
      <c r="D1791" s="3" t="s">
        <v>13</v>
      </c>
      <c r="E1791" s="64">
        <v>1</v>
      </c>
    </row>
    <row r="1792" spans="1:5">
      <c r="A1792" s="64" t="s">
        <v>12</v>
      </c>
      <c r="B1792" s="65">
        <v>43269</v>
      </c>
      <c r="C1792" s="66" t="s">
        <v>216</v>
      </c>
      <c r="D1792" s="3" t="s">
        <v>13</v>
      </c>
      <c r="E1792" s="64">
        <v>1</v>
      </c>
    </row>
    <row r="1793" spans="1:5">
      <c r="A1793" s="64" t="s">
        <v>12</v>
      </c>
      <c r="B1793" s="65">
        <v>43270</v>
      </c>
      <c r="C1793" s="66" t="s">
        <v>217</v>
      </c>
      <c r="D1793" s="3" t="s">
        <v>13</v>
      </c>
      <c r="E1793" s="64">
        <v>1</v>
      </c>
    </row>
    <row r="1794" spans="1:5">
      <c r="A1794" s="64" t="s">
        <v>12</v>
      </c>
      <c r="B1794" s="65">
        <v>43271</v>
      </c>
      <c r="C1794" s="66" t="s">
        <v>218</v>
      </c>
      <c r="D1794" s="3" t="s">
        <v>13</v>
      </c>
      <c r="E1794" s="64">
        <v>1</v>
      </c>
    </row>
    <row r="1795" spans="1:5">
      <c r="A1795" s="64" t="s">
        <v>12</v>
      </c>
      <c r="B1795" s="65">
        <v>43272</v>
      </c>
      <c r="C1795" s="66" t="s">
        <v>219</v>
      </c>
      <c r="D1795" s="3" t="s">
        <v>13</v>
      </c>
      <c r="E1795" s="64">
        <v>1</v>
      </c>
    </row>
    <row r="1796" spans="1:5">
      <c r="A1796" s="64" t="s">
        <v>12</v>
      </c>
      <c r="B1796" s="65">
        <v>43273</v>
      </c>
      <c r="C1796" s="66" t="s">
        <v>220</v>
      </c>
      <c r="D1796" s="3" t="s">
        <v>13</v>
      </c>
      <c r="E1796" s="64">
        <v>1</v>
      </c>
    </row>
    <row r="1797" spans="1:5">
      <c r="A1797" s="64" t="s">
        <v>12</v>
      </c>
      <c r="B1797" s="65">
        <v>43276</v>
      </c>
      <c r="C1797" s="66" t="s">
        <v>216</v>
      </c>
      <c r="D1797" s="3" t="s">
        <v>13</v>
      </c>
      <c r="E1797" s="64">
        <v>1</v>
      </c>
    </row>
    <row r="1798" spans="1:5">
      <c r="A1798" s="64" t="s">
        <v>12</v>
      </c>
      <c r="B1798" s="65">
        <v>43277</v>
      </c>
      <c r="C1798" s="66" t="s">
        <v>217</v>
      </c>
      <c r="D1798" s="3" t="s">
        <v>13</v>
      </c>
      <c r="E1798" s="64">
        <v>1</v>
      </c>
    </row>
    <row r="1799" spans="1:5">
      <c r="A1799" s="64" t="s">
        <v>12</v>
      </c>
      <c r="B1799" s="65">
        <v>43278</v>
      </c>
      <c r="C1799" s="66" t="s">
        <v>218</v>
      </c>
      <c r="D1799" s="3" t="s">
        <v>13</v>
      </c>
      <c r="E1799" s="64">
        <v>1</v>
      </c>
    </row>
    <row r="1800" spans="1:5">
      <c r="A1800" s="64" t="s">
        <v>12</v>
      </c>
      <c r="B1800" s="65">
        <v>43279</v>
      </c>
      <c r="C1800" s="66" t="s">
        <v>219</v>
      </c>
      <c r="D1800" s="3" t="s">
        <v>13</v>
      </c>
      <c r="E1800" s="64">
        <v>1</v>
      </c>
    </row>
    <row r="1801" spans="1:5">
      <c r="A1801" s="64" t="s">
        <v>12</v>
      </c>
      <c r="B1801" s="65">
        <v>43280</v>
      </c>
      <c r="C1801" s="66" t="s">
        <v>220</v>
      </c>
      <c r="D1801" s="3" t="s">
        <v>13</v>
      </c>
      <c r="E1801" s="64">
        <v>1</v>
      </c>
    </row>
    <row r="1802" spans="1:5">
      <c r="A1802" s="64" t="s">
        <v>12</v>
      </c>
      <c r="B1802" s="65">
        <v>43283</v>
      </c>
      <c r="C1802" s="66" t="s">
        <v>216</v>
      </c>
      <c r="D1802" s="3" t="s">
        <v>13</v>
      </c>
      <c r="E1802" s="64">
        <v>1</v>
      </c>
    </row>
    <row r="1803" spans="1:5">
      <c r="A1803" s="64" t="s">
        <v>12</v>
      </c>
      <c r="B1803" s="65">
        <v>43284</v>
      </c>
      <c r="C1803" s="66" t="s">
        <v>217</v>
      </c>
      <c r="D1803" s="3" t="s">
        <v>13</v>
      </c>
      <c r="E1803" s="64">
        <v>1</v>
      </c>
    </row>
    <row r="1804" spans="1:5">
      <c r="A1804" s="64" t="s">
        <v>12</v>
      </c>
      <c r="B1804" s="65">
        <v>43285</v>
      </c>
      <c r="C1804" s="66" t="s">
        <v>218</v>
      </c>
      <c r="D1804" s="3" t="s">
        <v>13</v>
      </c>
      <c r="E1804" s="64">
        <v>1</v>
      </c>
    </row>
    <row r="1805" spans="1:5">
      <c r="A1805" s="64" t="s">
        <v>12</v>
      </c>
      <c r="B1805" s="65">
        <v>43286</v>
      </c>
      <c r="C1805" s="66" t="s">
        <v>219</v>
      </c>
      <c r="D1805" s="3" t="s">
        <v>13</v>
      </c>
      <c r="E1805" s="64">
        <v>1</v>
      </c>
    </row>
    <row r="1806" spans="1:5">
      <c r="A1806" s="64" t="s">
        <v>12</v>
      </c>
      <c r="B1806" s="65">
        <v>43287</v>
      </c>
      <c r="C1806" s="66" t="s">
        <v>220</v>
      </c>
      <c r="D1806" s="3" t="s">
        <v>13</v>
      </c>
      <c r="E1806" s="64">
        <v>1</v>
      </c>
    </row>
    <row r="1807" spans="1:5">
      <c r="A1807" s="64" t="s">
        <v>12</v>
      </c>
      <c r="B1807" s="65">
        <v>43290</v>
      </c>
      <c r="C1807" s="66" t="s">
        <v>216</v>
      </c>
      <c r="D1807" s="3" t="s">
        <v>13</v>
      </c>
      <c r="E1807" s="64">
        <v>1</v>
      </c>
    </row>
    <row r="1808" spans="1:5">
      <c r="A1808" s="64" t="s">
        <v>12</v>
      </c>
      <c r="B1808" s="65">
        <v>43291</v>
      </c>
      <c r="C1808" s="66" t="s">
        <v>217</v>
      </c>
      <c r="D1808" s="3" t="s">
        <v>13</v>
      </c>
      <c r="E1808" s="64">
        <v>1</v>
      </c>
    </row>
    <row r="1809" spans="1:5">
      <c r="A1809" s="64" t="s">
        <v>12</v>
      </c>
      <c r="B1809" s="65">
        <v>43292</v>
      </c>
      <c r="C1809" s="66" t="s">
        <v>218</v>
      </c>
      <c r="D1809" s="3" t="s">
        <v>13</v>
      </c>
      <c r="E1809" s="64">
        <v>1</v>
      </c>
    </row>
    <row r="1810" spans="1:5">
      <c r="A1810" s="64" t="s">
        <v>12</v>
      </c>
      <c r="B1810" s="65">
        <v>43293</v>
      </c>
      <c r="C1810" s="66" t="s">
        <v>219</v>
      </c>
      <c r="D1810" s="3" t="s">
        <v>13</v>
      </c>
      <c r="E1810" s="64">
        <v>1</v>
      </c>
    </row>
    <row r="1811" spans="1:5">
      <c r="A1811" s="64" t="s">
        <v>12</v>
      </c>
      <c r="B1811" s="65">
        <v>43294</v>
      </c>
      <c r="C1811" s="66" t="s">
        <v>220</v>
      </c>
      <c r="D1811" s="3" t="s">
        <v>13</v>
      </c>
      <c r="E1811" s="64">
        <v>1</v>
      </c>
    </row>
    <row r="1812" spans="1:5">
      <c r="A1812" s="64" t="s">
        <v>12</v>
      </c>
      <c r="B1812" s="65">
        <v>43297</v>
      </c>
      <c r="C1812" s="66" t="s">
        <v>216</v>
      </c>
      <c r="D1812" s="3" t="s">
        <v>13</v>
      </c>
      <c r="E1812" s="64">
        <v>1</v>
      </c>
    </row>
    <row r="1813" spans="1:5">
      <c r="A1813" s="64" t="s">
        <v>12</v>
      </c>
      <c r="B1813" s="65">
        <v>43298</v>
      </c>
      <c r="C1813" s="66" t="s">
        <v>217</v>
      </c>
      <c r="D1813" s="3" t="s">
        <v>13</v>
      </c>
      <c r="E1813" s="64">
        <v>1</v>
      </c>
    </row>
    <row r="1814" spans="1:5">
      <c r="A1814" s="64" t="s">
        <v>12</v>
      </c>
      <c r="B1814" s="65">
        <v>43299</v>
      </c>
      <c r="C1814" s="66" t="s">
        <v>218</v>
      </c>
      <c r="D1814" s="3" t="s">
        <v>13</v>
      </c>
      <c r="E1814" s="64">
        <v>1</v>
      </c>
    </row>
    <row r="1815" spans="1:5">
      <c r="A1815" s="64" t="s">
        <v>12</v>
      </c>
      <c r="B1815" s="65">
        <v>43300</v>
      </c>
      <c r="C1815" s="66" t="s">
        <v>219</v>
      </c>
      <c r="D1815" s="3" t="s">
        <v>13</v>
      </c>
      <c r="E1815" s="64">
        <v>1</v>
      </c>
    </row>
    <row r="1816" spans="1:5">
      <c r="A1816" s="64" t="s">
        <v>12</v>
      </c>
      <c r="B1816" s="65">
        <v>43301</v>
      </c>
      <c r="C1816" s="66" t="s">
        <v>220</v>
      </c>
      <c r="D1816" s="3" t="s">
        <v>13</v>
      </c>
      <c r="E1816" s="64">
        <v>1</v>
      </c>
    </row>
    <row r="1817" spans="1:5">
      <c r="A1817" s="64" t="s">
        <v>12</v>
      </c>
      <c r="B1817" s="65">
        <v>43304</v>
      </c>
      <c r="C1817" s="66" t="s">
        <v>216</v>
      </c>
      <c r="D1817" s="3" t="s">
        <v>13</v>
      </c>
      <c r="E1817" s="64">
        <v>1</v>
      </c>
    </row>
    <row r="1818" spans="1:5">
      <c r="A1818" s="64" t="s">
        <v>12</v>
      </c>
      <c r="B1818" s="65">
        <v>43305</v>
      </c>
      <c r="C1818" s="66" t="s">
        <v>217</v>
      </c>
      <c r="D1818" s="3" t="s">
        <v>13</v>
      </c>
      <c r="E1818" s="64">
        <v>1</v>
      </c>
    </row>
    <row r="1819" spans="1:5">
      <c r="A1819" s="64" t="s">
        <v>12</v>
      </c>
      <c r="B1819" s="65">
        <v>43306</v>
      </c>
      <c r="C1819" s="66" t="s">
        <v>218</v>
      </c>
      <c r="D1819" s="3" t="s">
        <v>13</v>
      </c>
      <c r="E1819" s="64">
        <v>1</v>
      </c>
    </row>
    <row r="1820" spans="1:5">
      <c r="A1820" s="64" t="s">
        <v>12</v>
      </c>
      <c r="B1820" s="65">
        <v>43307</v>
      </c>
      <c r="C1820" s="66" t="s">
        <v>219</v>
      </c>
      <c r="D1820" s="3" t="s">
        <v>13</v>
      </c>
      <c r="E1820" s="64">
        <v>1</v>
      </c>
    </row>
    <row r="1821" spans="1:5">
      <c r="A1821" s="64" t="s">
        <v>12</v>
      </c>
      <c r="B1821" s="65">
        <v>43308</v>
      </c>
      <c r="C1821" s="66" t="s">
        <v>220</v>
      </c>
      <c r="D1821" s="3" t="s">
        <v>13</v>
      </c>
      <c r="E1821" s="64">
        <v>1</v>
      </c>
    </row>
    <row r="1822" spans="1:5">
      <c r="A1822" s="64" t="s">
        <v>12</v>
      </c>
      <c r="B1822" s="65">
        <v>43311</v>
      </c>
      <c r="C1822" s="66" t="s">
        <v>216</v>
      </c>
      <c r="D1822" s="3" t="s">
        <v>13</v>
      </c>
      <c r="E1822" s="64">
        <v>1</v>
      </c>
    </row>
    <row r="1823" spans="1:5">
      <c r="A1823" s="64" t="s">
        <v>12</v>
      </c>
      <c r="B1823" s="65">
        <v>43312</v>
      </c>
      <c r="C1823" s="66" t="s">
        <v>217</v>
      </c>
      <c r="D1823" s="3" t="s">
        <v>13</v>
      </c>
      <c r="E1823" s="64">
        <v>1</v>
      </c>
    </row>
    <row r="1824" spans="1:5">
      <c r="A1824" s="64" t="s">
        <v>12</v>
      </c>
      <c r="B1824" s="65">
        <v>43313</v>
      </c>
      <c r="C1824" s="66" t="s">
        <v>218</v>
      </c>
      <c r="D1824" s="3" t="s">
        <v>13</v>
      </c>
      <c r="E1824" s="64">
        <v>1</v>
      </c>
    </row>
    <row r="1825" spans="1:5">
      <c r="A1825" s="64" t="s">
        <v>12</v>
      </c>
      <c r="B1825" s="65">
        <v>43314</v>
      </c>
      <c r="C1825" s="66" t="s">
        <v>219</v>
      </c>
      <c r="D1825" s="3" t="s">
        <v>13</v>
      </c>
      <c r="E1825" s="64">
        <v>1</v>
      </c>
    </row>
    <row r="1826" spans="1:5">
      <c r="A1826" s="64" t="s">
        <v>12</v>
      </c>
      <c r="B1826" s="65">
        <v>43315</v>
      </c>
      <c r="C1826" s="66" t="s">
        <v>220</v>
      </c>
      <c r="D1826" s="3" t="s">
        <v>13</v>
      </c>
      <c r="E1826" s="64">
        <v>1</v>
      </c>
    </row>
    <row r="1827" spans="1:5">
      <c r="A1827" s="64" t="s">
        <v>12</v>
      </c>
      <c r="B1827" s="65">
        <v>43318</v>
      </c>
      <c r="C1827" s="66" t="s">
        <v>216</v>
      </c>
      <c r="D1827" s="3" t="s">
        <v>13</v>
      </c>
      <c r="E1827" s="64">
        <v>1</v>
      </c>
    </row>
    <row r="1828" spans="1:5">
      <c r="A1828" s="64" t="s">
        <v>12</v>
      </c>
      <c r="B1828" s="65">
        <v>43319</v>
      </c>
      <c r="C1828" s="66" t="s">
        <v>217</v>
      </c>
      <c r="D1828" s="3" t="s">
        <v>13</v>
      </c>
      <c r="E1828" s="64">
        <v>1</v>
      </c>
    </row>
    <row r="1829" spans="1:5">
      <c r="A1829" s="64" t="s">
        <v>12</v>
      </c>
      <c r="B1829" s="65">
        <v>43320</v>
      </c>
      <c r="C1829" s="66" t="s">
        <v>218</v>
      </c>
      <c r="D1829" s="3" t="s">
        <v>13</v>
      </c>
      <c r="E1829" s="64">
        <v>1</v>
      </c>
    </row>
    <row r="1830" spans="1:5">
      <c r="A1830" s="64" t="s">
        <v>12</v>
      </c>
      <c r="B1830" s="65">
        <v>43321</v>
      </c>
      <c r="C1830" s="66" t="s">
        <v>219</v>
      </c>
      <c r="D1830" s="3" t="s">
        <v>13</v>
      </c>
      <c r="E1830" s="64">
        <v>1</v>
      </c>
    </row>
    <row r="1831" spans="1:5">
      <c r="A1831" s="64" t="s">
        <v>12</v>
      </c>
      <c r="B1831" s="65">
        <v>43322</v>
      </c>
      <c r="C1831" s="66" t="s">
        <v>220</v>
      </c>
      <c r="D1831" s="3" t="s">
        <v>13</v>
      </c>
      <c r="E1831" s="64">
        <v>1</v>
      </c>
    </row>
    <row r="1832" spans="1:5">
      <c r="A1832" s="64" t="s">
        <v>12</v>
      </c>
      <c r="B1832" s="65">
        <v>43325</v>
      </c>
      <c r="C1832" s="66" t="s">
        <v>216</v>
      </c>
      <c r="D1832" s="3" t="s">
        <v>13</v>
      </c>
      <c r="E1832" s="64">
        <v>1</v>
      </c>
    </row>
    <row r="1833" spans="1:5">
      <c r="A1833" s="64" t="s">
        <v>12</v>
      </c>
      <c r="B1833" s="65">
        <v>43326</v>
      </c>
      <c r="C1833" s="66" t="s">
        <v>217</v>
      </c>
      <c r="D1833" s="3" t="s">
        <v>13</v>
      </c>
      <c r="E1833" s="64">
        <v>1</v>
      </c>
    </row>
    <row r="1834" spans="1:5">
      <c r="A1834" s="64" t="s">
        <v>12</v>
      </c>
      <c r="B1834" s="65">
        <v>43327</v>
      </c>
      <c r="C1834" s="66" t="s">
        <v>218</v>
      </c>
      <c r="D1834" s="3" t="s">
        <v>13</v>
      </c>
      <c r="E1834" s="64">
        <v>1</v>
      </c>
    </row>
    <row r="1835" spans="1:5">
      <c r="A1835" s="64" t="s">
        <v>12</v>
      </c>
      <c r="B1835" s="65">
        <v>43328</v>
      </c>
      <c r="C1835" s="66" t="s">
        <v>219</v>
      </c>
      <c r="D1835" s="3" t="s">
        <v>13</v>
      </c>
      <c r="E1835" s="64">
        <v>1</v>
      </c>
    </row>
    <row r="1836" spans="1:5">
      <c r="A1836" s="64" t="s">
        <v>12</v>
      </c>
      <c r="B1836" s="65">
        <v>43329</v>
      </c>
      <c r="C1836" s="66" t="s">
        <v>220</v>
      </c>
      <c r="D1836" s="3" t="s">
        <v>13</v>
      </c>
      <c r="E1836" s="64">
        <v>1</v>
      </c>
    </row>
    <row r="1837" spans="1:5">
      <c r="A1837" s="64" t="s">
        <v>12</v>
      </c>
      <c r="B1837" s="65">
        <v>43332</v>
      </c>
      <c r="C1837" s="66" t="s">
        <v>216</v>
      </c>
      <c r="D1837" s="3" t="s">
        <v>13</v>
      </c>
      <c r="E1837" s="64">
        <v>1</v>
      </c>
    </row>
    <row r="1838" spans="1:5">
      <c r="A1838" s="64" t="s">
        <v>12</v>
      </c>
      <c r="B1838" s="65">
        <v>43333</v>
      </c>
      <c r="C1838" s="66" t="s">
        <v>217</v>
      </c>
      <c r="D1838" s="3" t="s">
        <v>13</v>
      </c>
      <c r="E1838" s="64">
        <v>1</v>
      </c>
    </row>
    <row r="1839" spans="1:5">
      <c r="A1839" s="64" t="s">
        <v>12</v>
      </c>
      <c r="B1839" s="65">
        <v>43334</v>
      </c>
      <c r="C1839" s="66" t="s">
        <v>218</v>
      </c>
      <c r="D1839" s="3" t="s">
        <v>13</v>
      </c>
      <c r="E1839" s="64">
        <v>1</v>
      </c>
    </row>
    <row r="1840" spans="1:5">
      <c r="A1840" s="64" t="s">
        <v>12</v>
      </c>
      <c r="B1840" s="65">
        <v>43335</v>
      </c>
      <c r="C1840" s="66" t="s">
        <v>219</v>
      </c>
      <c r="D1840" s="3" t="s">
        <v>13</v>
      </c>
      <c r="E1840" s="64">
        <v>1</v>
      </c>
    </row>
    <row r="1841" spans="1:5">
      <c r="A1841" s="64" t="s">
        <v>12</v>
      </c>
      <c r="B1841" s="65">
        <v>43336</v>
      </c>
      <c r="C1841" s="66" t="s">
        <v>220</v>
      </c>
      <c r="D1841" s="3" t="s">
        <v>13</v>
      </c>
      <c r="E1841" s="64">
        <v>1</v>
      </c>
    </row>
    <row r="1842" spans="1:5">
      <c r="A1842" s="64" t="s">
        <v>12</v>
      </c>
      <c r="B1842" s="65">
        <v>43339</v>
      </c>
      <c r="C1842" s="66" t="s">
        <v>216</v>
      </c>
      <c r="D1842" s="3" t="s">
        <v>13</v>
      </c>
      <c r="E1842" s="64">
        <v>1</v>
      </c>
    </row>
    <row r="1843" spans="1:5">
      <c r="A1843" s="64" t="s">
        <v>12</v>
      </c>
      <c r="B1843" s="65">
        <v>43340</v>
      </c>
      <c r="C1843" s="66" t="s">
        <v>217</v>
      </c>
      <c r="D1843" s="3" t="s">
        <v>13</v>
      </c>
      <c r="E1843" s="64">
        <v>1</v>
      </c>
    </row>
    <row r="1844" spans="1:5">
      <c r="A1844" s="64" t="s">
        <v>12</v>
      </c>
      <c r="B1844" s="65">
        <v>43341</v>
      </c>
      <c r="C1844" s="66" t="s">
        <v>218</v>
      </c>
      <c r="D1844" s="3" t="s">
        <v>13</v>
      </c>
      <c r="E1844" s="64">
        <v>1</v>
      </c>
    </row>
    <row r="1845" spans="1:5">
      <c r="A1845" s="64" t="s">
        <v>12</v>
      </c>
      <c r="B1845" s="65">
        <v>43342</v>
      </c>
      <c r="C1845" s="66" t="s">
        <v>219</v>
      </c>
      <c r="D1845" s="3" t="s">
        <v>13</v>
      </c>
      <c r="E1845" s="64">
        <v>1</v>
      </c>
    </row>
    <row r="1846" spans="1:5">
      <c r="A1846" s="64" t="s">
        <v>12</v>
      </c>
      <c r="B1846" s="65">
        <v>43343</v>
      </c>
      <c r="C1846" s="66" t="s">
        <v>220</v>
      </c>
      <c r="D1846" s="3" t="s">
        <v>13</v>
      </c>
      <c r="E1846" s="64">
        <v>1</v>
      </c>
    </row>
    <row r="1847" spans="1:5">
      <c r="A1847" s="64" t="s">
        <v>12</v>
      </c>
      <c r="B1847" s="65">
        <v>43346</v>
      </c>
      <c r="C1847" s="66" t="s">
        <v>216</v>
      </c>
      <c r="D1847" s="3" t="s">
        <v>13</v>
      </c>
      <c r="E1847" s="64">
        <v>1</v>
      </c>
    </row>
    <row r="1848" spans="1:5">
      <c r="A1848" s="64" t="s">
        <v>12</v>
      </c>
      <c r="B1848" s="65">
        <v>43347</v>
      </c>
      <c r="C1848" s="66" t="s">
        <v>217</v>
      </c>
      <c r="D1848" s="3" t="s">
        <v>13</v>
      </c>
      <c r="E1848" s="64">
        <v>1</v>
      </c>
    </row>
    <row r="1849" spans="1:5">
      <c r="A1849" s="64" t="s">
        <v>12</v>
      </c>
      <c r="B1849" s="65">
        <v>43348</v>
      </c>
      <c r="C1849" s="66" t="s">
        <v>218</v>
      </c>
      <c r="D1849" s="3" t="s">
        <v>13</v>
      </c>
      <c r="E1849" s="64">
        <v>1</v>
      </c>
    </row>
    <row r="1850" spans="1:5">
      <c r="A1850" s="64" t="s">
        <v>12</v>
      </c>
      <c r="B1850" s="65">
        <v>43349</v>
      </c>
      <c r="C1850" s="66" t="s">
        <v>219</v>
      </c>
      <c r="D1850" s="3" t="s">
        <v>13</v>
      </c>
      <c r="E1850" s="64">
        <v>1</v>
      </c>
    </row>
    <row r="1851" spans="1:5">
      <c r="A1851" s="64" t="s">
        <v>12</v>
      </c>
      <c r="B1851" s="65">
        <v>43350</v>
      </c>
      <c r="C1851" s="66" t="s">
        <v>220</v>
      </c>
      <c r="D1851" s="3" t="s">
        <v>13</v>
      </c>
      <c r="E1851" s="64">
        <v>1</v>
      </c>
    </row>
    <row r="1852" spans="1:5">
      <c r="A1852" s="64" t="s">
        <v>12</v>
      </c>
      <c r="B1852" s="65">
        <v>43353</v>
      </c>
      <c r="C1852" s="66" t="s">
        <v>216</v>
      </c>
      <c r="D1852" s="3" t="s">
        <v>13</v>
      </c>
      <c r="E1852" s="64">
        <v>1</v>
      </c>
    </row>
    <row r="1853" spans="1:5">
      <c r="A1853" s="64" t="s">
        <v>12</v>
      </c>
      <c r="B1853" s="65">
        <v>43354</v>
      </c>
      <c r="C1853" s="66" t="s">
        <v>217</v>
      </c>
      <c r="D1853" s="3" t="s">
        <v>13</v>
      </c>
      <c r="E1853" s="64">
        <v>1</v>
      </c>
    </row>
    <row r="1854" spans="1:5">
      <c r="A1854" s="64" t="s">
        <v>12</v>
      </c>
      <c r="B1854" s="65">
        <v>43355</v>
      </c>
      <c r="C1854" s="66" t="s">
        <v>218</v>
      </c>
      <c r="D1854" s="3" t="s">
        <v>13</v>
      </c>
      <c r="E1854" s="64">
        <v>1</v>
      </c>
    </row>
    <row r="1855" spans="1:5">
      <c r="A1855" s="64" t="s">
        <v>12</v>
      </c>
      <c r="B1855" s="65">
        <v>43356</v>
      </c>
      <c r="C1855" s="66" t="s">
        <v>219</v>
      </c>
      <c r="D1855" s="3" t="s">
        <v>13</v>
      </c>
      <c r="E1855" s="64">
        <v>1</v>
      </c>
    </row>
    <row r="1856" spans="1:5">
      <c r="A1856" s="64" t="s">
        <v>12</v>
      </c>
      <c r="B1856" s="65">
        <v>43357</v>
      </c>
      <c r="C1856" s="66" t="s">
        <v>220</v>
      </c>
      <c r="D1856" s="3" t="s">
        <v>13</v>
      </c>
      <c r="E1856" s="64">
        <v>1</v>
      </c>
    </row>
    <row r="1857" spans="1:5">
      <c r="A1857" s="64" t="s">
        <v>12</v>
      </c>
      <c r="B1857" s="65">
        <v>43360</v>
      </c>
      <c r="C1857" s="66" t="s">
        <v>216</v>
      </c>
      <c r="D1857" s="3" t="s">
        <v>13</v>
      </c>
      <c r="E1857" s="64">
        <v>1</v>
      </c>
    </row>
    <row r="1858" spans="1:5">
      <c r="A1858" s="64" t="s">
        <v>12</v>
      </c>
      <c r="B1858" s="65">
        <v>43361</v>
      </c>
      <c r="C1858" s="66" t="s">
        <v>217</v>
      </c>
      <c r="D1858" s="3" t="s">
        <v>13</v>
      </c>
      <c r="E1858" s="64">
        <v>1</v>
      </c>
    </row>
    <row r="1859" spans="1:5">
      <c r="A1859" s="64" t="s">
        <v>12</v>
      </c>
      <c r="B1859" s="65">
        <v>43362</v>
      </c>
      <c r="C1859" s="66" t="s">
        <v>218</v>
      </c>
      <c r="D1859" s="3" t="s">
        <v>13</v>
      </c>
      <c r="E1859" s="64">
        <v>1</v>
      </c>
    </row>
    <row r="1860" spans="1:5">
      <c r="A1860" s="64" t="s">
        <v>12</v>
      </c>
      <c r="B1860" s="65">
        <v>43363</v>
      </c>
      <c r="C1860" s="66" t="s">
        <v>219</v>
      </c>
      <c r="D1860" s="3" t="s">
        <v>13</v>
      </c>
      <c r="E1860" s="64">
        <v>1</v>
      </c>
    </row>
    <row r="1861" spans="1:5">
      <c r="A1861" s="64" t="s">
        <v>12</v>
      </c>
      <c r="B1861" s="65">
        <v>43364</v>
      </c>
      <c r="C1861" s="66" t="s">
        <v>220</v>
      </c>
      <c r="D1861" s="3" t="s">
        <v>13</v>
      </c>
      <c r="E1861" s="64">
        <v>1</v>
      </c>
    </row>
    <row r="1862" spans="1:5">
      <c r="A1862" s="64" t="s">
        <v>12</v>
      </c>
      <c r="B1862" s="65">
        <v>43367</v>
      </c>
      <c r="C1862" s="66" t="s">
        <v>216</v>
      </c>
      <c r="D1862" s="3" t="s">
        <v>13</v>
      </c>
      <c r="E1862" s="64">
        <v>1</v>
      </c>
    </row>
    <row r="1863" spans="1:5">
      <c r="A1863" s="64" t="s">
        <v>12</v>
      </c>
      <c r="B1863" s="65">
        <v>43368</v>
      </c>
      <c r="C1863" s="66" t="s">
        <v>217</v>
      </c>
      <c r="D1863" s="3" t="s">
        <v>13</v>
      </c>
      <c r="E1863" s="64">
        <v>1</v>
      </c>
    </row>
    <row r="1864" spans="1:5">
      <c r="A1864" s="64" t="s">
        <v>12</v>
      </c>
      <c r="B1864" s="65">
        <v>43369</v>
      </c>
      <c r="C1864" s="66" t="s">
        <v>218</v>
      </c>
      <c r="D1864" s="3" t="s">
        <v>13</v>
      </c>
      <c r="E1864" s="64">
        <v>1</v>
      </c>
    </row>
    <row r="1865" spans="1:5">
      <c r="A1865" s="64" t="s">
        <v>12</v>
      </c>
      <c r="B1865" s="65">
        <v>43370</v>
      </c>
      <c r="C1865" s="66" t="s">
        <v>219</v>
      </c>
      <c r="D1865" s="3" t="s">
        <v>13</v>
      </c>
      <c r="E1865" s="64">
        <v>1</v>
      </c>
    </row>
    <row r="1866" spans="1:5">
      <c r="A1866" s="64" t="s">
        <v>12</v>
      </c>
      <c r="B1866" s="65">
        <v>43371</v>
      </c>
      <c r="C1866" s="66" t="s">
        <v>220</v>
      </c>
      <c r="D1866" s="3" t="s">
        <v>13</v>
      </c>
      <c r="E1866" s="64">
        <v>1</v>
      </c>
    </row>
    <row r="1867" spans="1:5">
      <c r="A1867" s="64" t="s">
        <v>12</v>
      </c>
      <c r="B1867" s="65">
        <v>43374</v>
      </c>
      <c r="C1867" s="66" t="s">
        <v>216</v>
      </c>
      <c r="D1867" s="3" t="s">
        <v>13</v>
      </c>
      <c r="E1867" s="64">
        <v>1</v>
      </c>
    </row>
    <row r="1868" spans="1:5">
      <c r="A1868" s="64" t="s">
        <v>12</v>
      </c>
      <c r="B1868" s="65">
        <v>43375</v>
      </c>
      <c r="C1868" s="66" t="s">
        <v>217</v>
      </c>
      <c r="D1868" s="3" t="s">
        <v>13</v>
      </c>
      <c r="E1868" s="64">
        <v>1</v>
      </c>
    </row>
    <row r="1869" spans="1:5">
      <c r="A1869" s="64" t="s">
        <v>12</v>
      </c>
      <c r="B1869" s="65">
        <v>43376</v>
      </c>
      <c r="C1869" s="66" t="s">
        <v>218</v>
      </c>
      <c r="D1869" s="3" t="s">
        <v>13</v>
      </c>
      <c r="E1869" s="64">
        <v>1</v>
      </c>
    </row>
    <row r="1870" spans="1:5">
      <c r="A1870" s="64" t="s">
        <v>12</v>
      </c>
      <c r="B1870" s="65">
        <v>43377</v>
      </c>
      <c r="C1870" s="66" t="s">
        <v>219</v>
      </c>
      <c r="D1870" s="3" t="s">
        <v>13</v>
      </c>
      <c r="E1870" s="64">
        <v>1</v>
      </c>
    </row>
    <row r="1871" spans="1:5">
      <c r="A1871" s="64" t="s">
        <v>12</v>
      </c>
      <c r="B1871" s="65">
        <v>43378</v>
      </c>
      <c r="C1871" s="66" t="s">
        <v>220</v>
      </c>
      <c r="D1871" s="3" t="s">
        <v>13</v>
      </c>
      <c r="E1871" s="64">
        <v>1</v>
      </c>
    </row>
    <row r="1872" spans="1:5">
      <c r="A1872" s="64" t="s">
        <v>12</v>
      </c>
      <c r="B1872" s="65">
        <v>43381</v>
      </c>
      <c r="C1872" s="66" t="s">
        <v>216</v>
      </c>
      <c r="D1872" s="3" t="s">
        <v>13</v>
      </c>
      <c r="E1872" s="64">
        <v>1</v>
      </c>
    </row>
    <row r="1873" spans="1:5">
      <c r="A1873" s="64" t="s">
        <v>12</v>
      </c>
      <c r="B1873" s="65">
        <v>43382</v>
      </c>
      <c r="C1873" s="66" t="s">
        <v>217</v>
      </c>
      <c r="D1873" s="3" t="s">
        <v>13</v>
      </c>
      <c r="E1873" s="64">
        <v>1</v>
      </c>
    </row>
    <row r="1874" spans="1:5">
      <c r="A1874" s="64" t="s">
        <v>12</v>
      </c>
      <c r="B1874" s="65">
        <v>43383</v>
      </c>
      <c r="C1874" s="66" t="s">
        <v>218</v>
      </c>
      <c r="D1874" s="3" t="s">
        <v>13</v>
      </c>
      <c r="E1874" s="64">
        <v>1</v>
      </c>
    </row>
    <row r="1875" spans="1:5">
      <c r="A1875" s="64" t="s">
        <v>12</v>
      </c>
      <c r="B1875" s="65">
        <v>43384</v>
      </c>
      <c r="C1875" s="66" t="s">
        <v>219</v>
      </c>
      <c r="D1875" s="3" t="s">
        <v>13</v>
      </c>
      <c r="E1875" s="64">
        <v>1</v>
      </c>
    </row>
    <row r="1876" spans="1:5">
      <c r="A1876" s="64" t="s">
        <v>12</v>
      </c>
      <c r="B1876" s="65">
        <v>43385</v>
      </c>
      <c r="C1876" s="66" t="s">
        <v>220</v>
      </c>
      <c r="D1876" s="3" t="s">
        <v>13</v>
      </c>
      <c r="E1876" s="64">
        <v>1</v>
      </c>
    </row>
    <row r="1877" spans="1:5">
      <c r="A1877" s="64" t="s">
        <v>12</v>
      </c>
      <c r="B1877" s="65">
        <v>43388</v>
      </c>
      <c r="C1877" s="66" t="s">
        <v>216</v>
      </c>
      <c r="D1877" s="3" t="s">
        <v>13</v>
      </c>
      <c r="E1877" s="64">
        <v>1</v>
      </c>
    </row>
    <row r="1878" spans="1:5">
      <c r="A1878" s="64" t="s">
        <v>12</v>
      </c>
      <c r="B1878" s="65">
        <v>43389</v>
      </c>
      <c r="C1878" s="66" t="s">
        <v>217</v>
      </c>
      <c r="D1878" s="3" t="s">
        <v>13</v>
      </c>
      <c r="E1878" s="64">
        <v>1</v>
      </c>
    </row>
    <row r="1879" spans="1:5">
      <c r="A1879" s="64" t="s">
        <v>12</v>
      </c>
      <c r="B1879" s="65">
        <v>43390</v>
      </c>
      <c r="C1879" s="66" t="s">
        <v>218</v>
      </c>
      <c r="D1879" s="3" t="s">
        <v>13</v>
      </c>
      <c r="E1879" s="64">
        <v>1</v>
      </c>
    </row>
    <row r="1880" spans="1:5">
      <c r="A1880" s="64" t="s">
        <v>12</v>
      </c>
      <c r="B1880" s="65">
        <v>43391</v>
      </c>
      <c r="C1880" s="66" t="s">
        <v>219</v>
      </c>
      <c r="D1880" s="3" t="s">
        <v>13</v>
      </c>
      <c r="E1880" s="64">
        <v>1</v>
      </c>
    </row>
    <row r="1881" spans="1:5">
      <c r="A1881" s="64" t="s">
        <v>12</v>
      </c>
      <c r="B1881" s="65">
        <v>43392</v>
      </c>
      <c r="C1881" s="66" t="s">
        <v>220</v>
      </c>
      <c r="D1881" s="3" t="s">
        <v>13</v>
      </c>
      <c r="E1881" s="64">
        <v>1</v>
      </c>
    </row>
    <row r="1882" spans="1:5">
      <c r="A1882" s="64" t="s">
        <v>12</v>
      </c>
      <c r="B1882" s="65">
        <v>43395</v>
      </c>
      <c r="C1882" s="66" t="s">
        <v>216</v>
      </c>
      <c r="D1882" s="3" t="s">
        <v>13</v>
      </c>
      <c r="E1882" s="64">
        <v>1</v>
      </c>
    </row>
    <row r="1883" spans="1:5">
      <c r="A1883" s="64" t="s">
        <v>12</v>
      </c>
      <c r="B1883" s="65">
        <v>43396</v>
      </c>
      <c r="C1883" s="66" t="s">
        <v>217</v>
      </c>
      <c r="D1883" s="3" t="s">
        <v>13</v>
      </c>
      <c r="E1883" s="64">
        <v>1</v>
      </c>
    </row>
    <row r="1884" spans="1:5">
      <c r="A1884" s="64" t="s">
        <v>12</v>
      </c>
      <c r="B1884" s="65">
        <v>43397</v>
      </c>
      <c r="C1884" s="66" t="s">
        <v>218</v>
      </c>
      <c r="D1884" s="3" t="s">
        <v>13</v>
      </c>
      <c r="E1884" s="64">
        <v>1</v>
      </c>
    </row>
    <row r="1885" spans="1:5">
      <c r="A1885" s="64" t="s">
        <v>12</v>
      </c>
      <c r="B1885" s="65">
        <v>43398</v>
      </c>
      <c r="C1885" s="66" t="s">
        <v>219</v>
      </c>
      <c r="D1885" s="3" t="s">
        <v>13</v>
      </c>
      <c r="E1885" s="64">
        <v>1</v>
      </c>
    </row>
    <row r="1886" spans="1:5">
      <c r="A1886" s="64" t="s">
        <v>12</v>
      </c>
      <c r="B1886" s="65">
        <v>43399</v>
      </c>
      <c r="C1886" s="66" t="s">
        <v>220</v>
      </c>
      <c r="D1886" s="3" t="s">
        <v>13</v>
      </c>
      <c r="E1886" s="64">
        <v>1</v>
      </c>
    </row>
    <row r="1887" spans="1:5">
      <c r="A1887" s="64" t="s">
        <v>12</v>
      </c>
      <c r="B1887" s="65">
        <v>43402</v>
      </c>
      <c r="C1887" s="66" t="s">
        <v>216</v>
      </c>
      <c r="D1887" s="3" t="s">
        <v>13</v>
      </c>
      <c r="E1887" s="64">
        <v>1</v>
      </c>
    </row>
    <row r="1888" spans="1:5">
      <c r="A1888" s="64" t="s">
        <v>12</v>
      </c>
      <c r="B1888" s="65">
        <v>43403</v>
      </c>
      <c r="C1888" s="66" t="s">
        <v>217</v>
      </c>
      <c r="D1888" s="3" t="s">
        <v>13</v>
      </c>
      <c r="E1888" s="64">
        <v>1</v>
      </c>
    </row>
    <row r="1889" spans="1:5">
      <c r="A1889" s="64" t="s">
        <v>12</v>
      </c>
      <c r="B1889" s="65">
        <v>43404</v>
      </c>
      <c r="C1889" s="66" t="s">
        <v>218</v>
      </c>
      <c r="D1889" s="3" t="s">
        <v>13</v>
      </c>
      <c r="E1889" s="64">
        <v>1</v>
      </c>
    </row>
    <row r="1890" spans="1:5">
      <c r="A1890" s="64" t="s">
        <v>12</v>
      </c>
      <c r="B1890" s="65">
        <v>43405</v>
      </c>
      <c r="C1890" s="66" t="s">
        <v>219</v>
      </c>
      <c r="D1890" s="3" t="s">
        <v>13</v>
      </c>
      <c r="E1890" s="64">
        <v>1</v>
      </c>
    </row>
    <row r="1891" spans="1:5">
      <c r="A1891" s="64" t="s">
        <v>12</v>
      </c>
      <c r="B1891" s="65">
        <v>43406</v>
      </c>
      <c r="C1891" s="66" t="s">
        <v>220</v>
      </c>
      <c r="D1891" s="3" t="s">
        <v>13</v>
      </c>
      <c r="E1891" s="64">
        <v>1</v>
      </c>
    </row>
    <row r="1892" spans="1:5">
      <c r="A1892" s="64" t="s">
        <v>12</v>
      </c>
      <c r="B1892" s="65">
        <v>43409</v>
      </c>
      <c r="C1892" s="66" t="s">
        <v>216</v>
      </c>
      <c r="D1892" s="3" t="s">
        <v>13</v>
      </c>
      <c r="E1892" s="64">
        <v>1</v>
      </c>
    </row>
    <row r="1893" spans="1:5">
      <c r="A1893" s="64" t="s">
        <v>12</v>
      </c>
      <c r="B1893" s="65">
        <v>43410</v>
      </c>
      <c r="C1893" s="66" t="s">
        <v>217</v>
      </c>
      <c r="D1893" s="3" t="s">
        <v>13</v>
      </c>
      <c r="E1893" s="64">
        <v>1</v>
      </c>
    </row>
    <row r="1894" spans="1:5">
      <c r="A1894" s="64" t="s">
        <v>12</v>
      </c>
      <c r="B1894" s="65">
        <v>43411</v>
      </c>
      <c r="C1894" s="66" t="s">
        <v>218</v>
      </c>
      <c r="D1894" s="3" t="s">
        <v>13</v>
      </c>
      <c r="E1894" s="64">
        <v>1</v>
      </c>
    </row>
    <row r="1895" spans="1:5">
      <c r="A1895" s="64" t="s">
        <v>12</v>
      </c>
      <c r="B1895" s="65">
        <v>43412</v>
      </c>
      <c r="C1895" s="66" t="s">
        <v>219</v>
      </c>
      <c r="D1895" s="3" t="s">
        <v>13</v>
      </c>
      <c r="E1895" s="64">
        <v>1</v>
      </c>
    </row>
    <row r="1896" spans="1:5">
      <c r="A1896" s="64" t="s">
        <v>12</v>
      </c>
      <c r="B1896" s="65">
        <v>43413</v>
      </c>
      <c r="C1896" s="66" t="s">
        <v>220</v>
      </c>
      <c r="D1896" s="3" t="s">
        <v>13</v>
      </c>
      <c r="E1896" s="64">
        <v>1</v>
      </c>
    </row>
    <row r="1897" spans="1:5">
      <c r="A1897" s="64" t="s">
        <v>12</v>
      </c>
      <c r="B1897" s="65">
        <v>43416</v>
      </c>
      <c r="C1897" s="66" t="s">
        <v>216</v>
      </c>
      <c r="D1897" s="3" t="s">
        <v>13</v>
      </c>
      <c r="E1897" s="64">
        <v>1</v>
      </c>
    </row>
    <row r="1898" spans="1:5">
      <c r="A1898" s="64" t="s">
        <v>12</v>
      </c>
      <c r="B1898" s="65">
        <v>43417</v>
      </c>
      <c r="C1898" s="66" t="s">
        <v>217</v>
      </c>
      <c r="D1898" s="3" t="s">
        <v>13</v>
      </c>
      <c r="E1898" s="64">
        <v>1</v>
      </c>
    </row>
    <row r="1899" spans="1:5">
      <c r="A1899" s="64" t="s">
        <v>12</v>
      </c>
      <c r="B1899" s="65">
        <v>43418</v>
      </c>
      <c r="C1899" s="66" t="s">
        <v>218</v>
      </c>
      <c r="D1899" s="3" t="s">
        <v>13</v>
      </c>
      <c r="E1899" s="64">
        <v>1</v>
      </c>
    </row>
    <row r="1900" spans="1:5">
      <c r="A1900" s="64" t="s">
        <v>12</v>
      </c>
      <c r="B1900" s="65">
        <v>43419</v>
      </c>
      <c r="C1900" s="66" t="s">
        <v>219</v>
      </c>
      <c r="D1900" s="3" t="s">
        <v>13</v>
      </c>
      <c r="E1900" s="64">
        <v>1</v>
      </c>
    </row>
    <row r="1901" spans="1:5">
      <c r="A1901" s="64" t="s">
        <v>12</v>
      </c>
      <c r="B1901" s="65">
        <v>43420</v>
      </c>
      <c r="C1901" s="66" t="s">
        <v>220</v>
      </c>
      <c r="D1901" s="3" t="s">
        <v>13</v>
      </c>
      <c r="E1901" s="64">
        <v>1</v>
      </c>
    </row>
    <row r="1902" spans="1:5">
      <c r="A1902" s="64" t="s">
        <v>12</v>
      </c>
      <c r="B1902" s="65">
        <v>43423</v>
      </c>
      <c r="C1902" s="66" t="s">
        <v>216</v>
      </c>
      <c r="D1902" s="3" t="s">
        <v>13</v>
      </c>
      <c r="E1902" s="64">
        <v>1</v>
      </c>
    </row>
    <row r="1903" spans="1:5">
      <c r="A1903" s="64" t="s">
        <v>12</v>
      </c>
      <c r="B1903" s="65">
        <v>43424</v>
      </c>
      <c r="C1903" s="66" t="s">
        <v>217</v>
      </c>
      <c r="D1903" s="3" t="s">
        <v>13</v>
      </c>
      <c r="E1903" s="64">
        <v>1</v>
      </c>
    </row>
    <row r="1904" spans="1:5">
      <c r="A1904" s="64" t="s">
        <v>12</v>
      </c>
      <c r="B1904" s="65">
        <v>43425</v>
      </c>
      <c r="C1904" s="66" t="s">
        <v>218</v>
      </c>
      <c r="D1904" s="3" t="s">
        <v>13</v>
      </c>
      <c r="E1904" s="64">
        <v>1</v>
      </c>
    </row>
    <row r="1905" spans="1:5">
      <c r="A1905" s="64" t="s">
        <v>12</v>
      </c>
      <c r="B1905" s="65">
        <v>43426</v>
      </c>
      <c r="C1905" s="66" t="s">
        <v>219</v>
      </c>
      <c r="D1905" s="3" t="s">
        <v>13</v>
      </c>
      <c r="E1905" s="64">
        <v>1</v>
      </c>
    </row>
    <row r="1906" spans="1:5">
      <c r="A1906" s="64" t="s">
        <v>12</v>
      </c>
      <c r="B1906" s="65">
        <v>43427</v>
      </c>
      <c r="C1906" s="66" t="s">
        <v>220</v>
      </c>
      <c r="D1906" s="3" t="s">
        <v>13</v>
      </c>
      <c r="E1906" s="64">
        <v>1</v>
      </c>
    </row>
    <row r="1907" spans="1:5">
      <c r="A1907" s="64" t="s">
        <v>12</v>
      </c>
      <c r="B1907" s="65">
        <v>43430</v>
      </c>
      <c r="C1907" s="66" t="s">
        <v>216</v>
      </c>
      <c r="D1907" s="3" t="s">
        <v>13</v>
      </c>
      <c r="E1907" s="64">
        <v>1</v>
      </c>
    </row>
    <row r="1908" spans="1:5">
      <c r="A1908" s="64" t="s">
        <v>12</v>
      </c>
      <c r="B1908" s="65">
        <v>43431</v>
      </c>
      <c r="C1908" s="66" t="s">
        <v>217</v>
      </c>
      <c r="D1908" s="3" t="s">
        <v>13</v>
      </c>
      <c r="E1908" s="64">
        <v>1</v>
      </c>
    </row>
    <row r="1909" spans="1:5">
      <c r="A1909" s="64" t="s">
        <v>12</v>
      </c>
      <c r="B1909" s="65">
        <v>43432</v>
      </c>
      <c r="C1909" s="66" t="s">
        <v>218</v>
      </c>
      <c r="D1909" s="3" t="s">
        <v>13</v>
      </c>
      <c r="E1909" s="64">
        <v>1</v>
      </c>
    </row>
    <row r="1910" spans="1:5">
      <c r="A1910" s="64" t="s">
        <v>12</v>
      </c>
      <c r="B1910" s="65">
        <v>43433</v>
      </c>
      <c r="C1910" s="66" t="s">
        <v>219</v>
      </c>
      <c r="D1910" s="3" t="s">
        <v>13</v>
      </c>
      <c r="E1910" s="64">
        <v>1</v>
      </c>
    </row>
    <row r="1911" spans="1:5">
      <c r="A1911" s="64" t="s">
        <v>12</v>
      </c>
      <c r="B1911" s="65">
        <v>43434</v>
      </c>
      <c r="C1911" s="66" t="s">
        <v>220</v>
      </c>
      <c r="D1911" s="3" t="s">
        <v>13</v>
      </c>
      <c r="E1911" s="64">
        <v>1</v>
      </c>
    </row>
    <row r="1912" spans="1:5">
      <c r="A1912" s="64" t="s">
        <v>12</v>
      </c>
      <c r="B1912" s="65">
        <v>43437</v>
      </c>
      <c r="C1912" s="66" t="s">
        <v>216</v>
      </c>
      <c r="D1912" s="3" t="s">
        <v>13</v>
      </c>
      <c r="E1912" s="64">
        <v>1</v>
      </c>
    </row>
    <row r="1913" spans="1:5">
      <c r="A1913" s="64" t="s">
        <v>12</v>
      </c>
      <c r="B1913" s="65">
        <v>43438</v>
      </c>
      <c r="C1913" s="66" t="s">
        <v>217</v>
      </c>
      <c r="D1913" s="3" t="s">
        <v>13</v>
      </c>
      <c r="E1913" s="64">
        <v>1</v>
      </c>
    </row>
    <row r="1914" spans="1:5">
      <c r="A1914" s="64" t="s">
        <v>12</v>
      </c>
      <c r="B1914" s="65">
        <v>43439</v>
      </c>
      <c r="C1914" s="66" t="s">
        <v>218</v>
      </c>
      <c r="D1914" s="3" t="s">
        <v>13</v>
      </c>
      <c r="E1914" s="64">
        <v>1</v>
      </c>
    </row>
    <row r="1915" spans="1:5">
      <c r="A1915" s="64" t="s">
        <v>12</v>
      </c>
      <c r="B1915" s="65">
        <v>43440</v>
      </c>
      <c r="C1915" s="66" t="s">
        <v>219</v>
      </c>
      <c r="D1915" s="3" t="s">
        <v>13</v>
      </c>
      <c r="E1915" s="64">
        <v>1</v>
      </c>
    </row>
    <row r="1916" spans="1:5">
      <c r="A1916" s="64" t="s">
        <v>12</v>
      </c>
      <c r="B1916" s="65">
        <v>43441</v>
      </c>
      <c r="C1916" s="66" t="s">
        <v>220</v>
      </c>
      <c r="D1916" s="3" t="s">
        <v>13</v>
      </c>
      <c r="E1916" s="64">
        <v>1</v>
      </c>
    </row>
    <row r="1917" spans="1:5">
      <c r="A1917" s="64" t="s">
        <v>12</v>
      </c>
      <c r="B1917" s="65">
        <v>43444</v>
      </c>
      <c r="C1917" s="66" t="s">
        <v>216</v>
      </c>
      <c r="D1917" s="3" t="s">
        <v>13</v>
      </c>
      <c r="E1917" s="64">
        <v>1</v>
      </c>
    </row>
    <row r="1918" spans="1:5">
      <c r="A1918" s="64" t="s">
        <v>12</v>
      </c>
      <c r="B1918" s="65">
        <v>43445</v>
      </c>
      <c r="C1918" s="66" t="s">
        <v>217</v>
      </c>
      <c r="D1918" s="3" t="s">
        <v>13</v>
      </c>
      <c r="E1918" s="64">
        <v>1</v>
      </c>
    </row>
    <row r="1919" spans="1:5">
      <c r="A1919" s="64" t="s">
        <v>12</v>
      </c>
      <c r="B1919" s="65">
        <v>43446</v>
      </c>
      <c r="C1919" s="66" t="s">
        <v>218</v>
      </c>
      <c r="D1919" s="3" t="s">
        <v>13</v>
      </c>
      <c r="E1919" s="64">
        <v>1</v>
      </c>
    </row>
    <row r="1920" spans="1:5">
      <c r="A1920" s="64" t="s">
        <v>12</v>
      </c>
      <c r="B1920" s="65">
        <v>43447</v>
      </c>
      <c r="C1920" s="66" t="s">
        <v>219</v>
      </c>
      <c r="D1920" s="3" t="s">
        <v>13</v>
      </c>
      <c r="E1920" s="64">
        <v>1</v>
      </c>
    </row>
    <row r="1921" spans="1:5">
      <c r="A1921" s="64" t="s">
        <v>12</v>
      </c>
      <c r="B1921" s="65">
        <v>43448</v>
      </c>
      <c r="C1921" s="66" t="s">
        <v>220</v>
      </c>
      <c r="D1921" s="3" t="s">
        <v>13</v>
      </c>
      <c r="E1921" s="64">
        <v>1</v>
      </c>
    </row>
    <row r="1922" spans="1:5">
      <c r="A1922" s="64" t="s">
        <v>12</v>
      </c>
      <c r="B1922" s="65">
        <v>43451</v>
      </c>
      <c r="C1922" s="66" t="s">
        <v>216</v>
      </c>
      <c r="D1922" s="3" t="s">
        <v>13</v>
      </c>
      <c r="E1922" s="64">
        <v>1</v>
      </c>
    </row>
    <row r="1923" spans="1:5">
      <c r="A1923" s="64" t="s">
        <v>12</v>
      </c>
      <c r="B1923" s="65">
        <v>43452</v>
      </c>
      <c r="C1923" s="66" t="s">
        <v>217</v>
      </c>
      <c r="D1923" s="3" t="s">
        <v>13</v>
      </c>
      <c r="E1923" s="64">
        <v>1</v>
      </c>
    </row>
    <row r="1924" spans="1:5">
      <c r="A1924" s="64" t="s">
        <v>12</v>
      </c>
      <c r="B1924" s="65">
        <v>43453</v>
      </c>
      <c r="C1924" s="66" t="s">
        <v>218</v>
      </c>
      <c r="D1924" s="3" t="s">
        <v>13</v>
      </c>
      <c r="E1924" s="64">
        <v>1</v>
      </c>
    </row>
    <row r="1925" spans="1:5">
      <c r="A1925" s="64" t="s">
        <v>12</v>
      </c>
      <c r="B1925" s="65">
        <v>43454</v>
      </c>
      <c r="C1925" s="66" t="s">
        <v>219</v>
      </c>
      <c r="D1925" s="3" t="s">
        <v>13</v>
      </c>
      <c r="E1925" s="64">
        <v>1</v>
      </c>
    </row>
    <row r="1926" spans="1:5">
      <c r="A1926" s="64" t="s">
        <v>12</v>
      </c>
      <c r="B1926" s="65">
        <v>43455</v>
      </c>
      <c r="C1926" s="66" t="s">
        <v>220</v>
      </c>
      <c r="D1926" s="3" t="s">
        <v>13</v>
      </c>
      <c r="E1926" s="64">
        <v>1</v>
      </c>
    </row>
    <row r="1927" spans="1:5">
      <c r="A1927" s="64" t="s">
        <v>12</v>
      </c>
      <c r="B1927" s="65">
        <v>43458</v>
      </c>
      <c r="C1927" s="66" t="s">
        <v>216</v>
      </c>
      <c r="D1927" s="3" t="s">
        <v>13</v>
      </c>
      <c r="E1927" s="64">
        <v>1</v>
      </c>
    </row>
    <row r="1928" spans="1:5">
      <c r="A1928" s="64" t="s">
        <v>12</v>
      </c>
      <c r="B1928" s="65">
        <v>43459</v>
      </c>
      <c r="C1928" s="66" t="s">
        <v>217</v>
      </c>
      <c r="D1928" s="3" t="s">
        <v>13</v>
      </c>
      <c r="E1928" s="64">
        <v>1</v>
      </c>
    </row>
    <row r="1929" spans="1:5">
      <c r="A1929" s="64" t="s">
        <v>12</v>
      </c>
      <c r="B1929" s="65">
        <v>43460</v>
      </c>
      <c r="C1929" s="66" t="s">
        <v>218</v>
      </c>
      <c r="D1929" s="3" t="s">
        <v>13</v>
      </c>
      <c r="E1929" s="64">
        <v>1</v>
      </c>
    </row>
    <row r="1930" spans="1:5">
      <c r="A1930" s="64" t="s">
        <v>12</v>
      </c>
      <c r="B1930" s="65">
        <v>43461</v>
      </c>
      <c r="C1930" s="66" t="s">
        <v>219</v>
      </c>
      <c r="D1930" s="3" t="s">
        <v>13</v>
      </c>
      <c r="E1930" s="64">
        <v>1</v>
      </c>
    </row>
    <row r="1931" spans="1:5">
      <c r="A1931" s="64" t="s">
        <v>12</v>
      </c>
      <c r="B1931" s="65">
        <v>43462</v>
      </c>
      <c r="C1931" s="66" t="s">
        <v>220</v>
      </c>
      <c r="D1931" s="3" t="s">
        <v>13</v>
      </c>
      <c r="E1931" s="64">
        <v>1</v>
      </c>
    </row>
    <row r="1932" spans="1:5">
      <c r="A1932" s="64" t="s">
        <v>12</v>
      </c>
      <c r="B1932" s="65">
        <v>43465</v>
      </c>
      <c r="C1932" s="66" t="s">
        <v>216</v>
      </c>
      <c r="D1932" s="3" t="s">
        <v>13</v>
      </c>
      <c r="E1932" s="64">
        <v>1</v>
      </c>
    </row>
    <row r="1933" spans="1:5">
      <c r="A1933" s="64" t="s">
        <v>12</v>
      </c>
      <c r="B1933" s="65">
        <v>43466</v>
      </c>
      <c r="C1933" s="66" t="s">
        <v>217</v>
      </c>
      <c r="D1933" s="3" t="s">
        <v>13</v>
      </c>
      <c r="E1933" s="64">
        <v>1</v>
      </c>
    </row>
    <row r="1934" spans="1:5">
      <c r="A1934" s="64" t="s">
        <v>12</v>
      </c>
      <c r="B1934" s="65">
        <v>43467</v>
      </c>
      <c r="C1934" s="66" t="s">
        <v>218</v>
      </c>
      <c r="D1934" s="3" t="s">
        <v>13</v>
      </c>
      <c r="E1934" s="64">
        <v>1</v>
      </c>
    </row>
    <row r="1935" spans="1:5">
      <c r="A1935" s="64" t="s">
        <v>12</v>
      </c>
      <c r="B1935" s="65">
        <v>43468</v>
      </c>
      <c r="C1935" s="66" t="s">
        <v>219</v>
      </c>
      <c r="D1935" s="3" t="s">
        <v>13</v>
      </c>
      <c r="E1935" s="64">
        <v>1</v>
      </c>
    </row>
    <row r="1936" spans="1:5">
      <c r="A1936" s="64" t="s">
        <v>12</v>
      </c>
      <c r="B1936" s="65">
        <v>43469</v>
      </c>
      <c r="C1936" s="66" t="s">
        <v>220</v>
      </c>
      <c r="D1936" s="3" t="s">
        <v>13</v>
      </c>
      <c r="E1936" s="64">
        <v>1</v>
      </c>
    </row>
    <row r="1937" spans="1:5">
      <c r="A1937" s="64" t="s">
        <v>12</v>
      </c>
      <c r="B1937" s="65">
        <v>43472</v>
      </c>
      <c r="C1937" s="66" t="s">
        <v>216</v>
      </c>
      <c r="D1937" s="3" t="s">
        <v>13</v>
      </c>
      <c r="E1937" s="64">
        <v>1</v>
      </c>
    </row>
    <row r="1938" spans="1:5">
      <c r="A1938" s="64" t="s">
        <v>12</v>
      </c>
      <c r="B1938" s="65">
        <v>43473</v>
      </c>
      <c r="C1938" s="66" t="s">
        <v>217</v>
      </c>
      <c r="D1938" s="3" t="s">
        <v>13</v>
      </c>
      <c r="E1938" s="64">
        <v>1</v>
      </c>
    </row>
    <row r="1939" spans="1:5">
      <c r="A1939" s="64" t="s">
        <v>12</v>
      </c>
      <c r="B1939" s="65">
        <v>43474</v>
      </c>
      <c r="C1939" s="66" t="s">
        <v>218</v>
      </c>
      <c r="D1939" s="3" t="s">
        <v>13</v>
      </c>
      <c r="E1939" s="64">
        <v>1</v>
      </c>
    </row>
    <row r="1940" spans="1:5">
      <c r="A1940" s="64" t="s">
        <v>12</v>
      </c>
      <c r="B1940" s="65">
        <v>43475</v>
      </c>
      <c r="C1940" s="66" t="s">
        <v>219</v>
      </c>
      <c r="D1940" s="3" t="s">
        <v>13</v>
      </c>
      <c r="E1940" s="64">
        <v>1</v>
      </c>
    </row>
    <row r="1941" spans="1:5">
      <c r="A1941" s="64" t="s">
        <v>12</v>
      </c>
      <c r="B1941" s="65">
        <v>43476</v>
      </c>
      <c r="C1941" s="66" t="s">
        <v>220</v>
      </c>
      <c r="D1941" s="3" t="s">
        <v>13</v>
      </c>
      <c r="E1941" s="64">
        <v>1</v>
      </c>
    </row>
    <row r="1942" spans="1:5">
      <c r="A1942" s="64" t="s">
        <v>12</v>
      </c>
      <c r="B1942" s="65">
        <v>43479</v>
      </c>
      <c r="C1942" s="66" t="s">
        <v>216</v>
      </c>
      <c r="D1942" s="3" t="s">
        <v>13</v>
      </c>
      <c r="E1942" s="64">
        <v>1</v>
      </c>
    </row>
    <row r="1943" spans="1:5">
      <c r="A1943" s="64" t="s">
        <v>12</v>
      </c>
      <c r="B1943" s="65">
        <v>43480</v>
      </c>
      <c r="C1943" s="66" t="s">
        <v>217</v>
      </c>
      <c r="D1943" s="3" t="s">
        <v>13</v>
      </c>
      <c r="E1943" s="64">
        <v>1</v>
      </c>
    </row>
    <row r="1944" spans="1:5">
      <c r="A1944" s="64" t="s">
        <v>12</v>
      </c>
      <c r="B1944" s="65">
        <v>43481</v>
      </c>
      <c r="C1944" s="66" t="s">
        <v>218</v>
      </c>
      <c r="D1944" s="3" t="s">
        <v>13</v>
      </c>
      <c r="E1944" s="64">
        <v>1</v>
      </c>
    </row>
    <row r="1945" spans="1:5">
      <c r="A1945" s="64" t="s">
        <v>12</v>
      </c>
      <c r="B1945" s="65">
        <v>43482</v>
      </c>
      <c r="C1945" s="66" t="s">
        <v>219</v>
      </c>
      <c r="D1945" s="3" t="s">
        <v>13</v>
      </c>
      <c r="E1945" s="64">
        <v>1</v>
      </c>
    </row>
    <row r="1946" spans="1:5">
      <c r="A1946" s="64" t="s">
        <v>12</v>
      </c>
      <c r="B1946" s="65">
        <v>43483</v>
      </c>
      <c r="C1946" s="66" t="s">
        <v>220</v>
      </c>
      <c r="D1946" s="3" t="s">
        <v>13</v>
      </c>
      <c r="E1946" s="64">
        <v>1</v>
      </c>
    </row>
    <row r="1947" spans="1:5">
      <c r="A1947" s="64" t="s">
        <v>12</v>
      </c>
      <c r="B1947" s="65">
        <v>43486</v>
      </c>
      <c r="C1947" s="66" t="s">
        <v>216</v>
      </c>
      <c r="D1947" s="3" t="s">
        <v>13</v>
      </c>
      <c r="E1947" s="64">
        <v>1</v>
      </c>
    </row>
    <row r="1948" spans="1:5">
      <c r="A1948" s="64" t="s">
        <v>12</v>
      </c>
      <c r="B1948" s="65">
        <v>43487</v>
      </c>
      <c r="C1948" s="66" t="s">
        <v>217</v>
      </c>
      <c r="D1948" s="3" t="s">
        <v>13</v>
      </c>
      <c r="E1948" s="64">
        <v>1</v>
      </c>
    </row>
    <row r="1949" spans="1:5">
      <c r="A1949" s="64" t="s">
        <v>12</v>
      </c>
      <c r="B1949" s="65">
        <v>43488</v>
      </c>
      <c r="C1949" s="66" t="s">
        <v>218</v>
      </c>
      <c r="D1949" s="3" t="s">
        <v>13</v>
      </c>
      <c r="E1949" s="64">
        <v>1</v>
      </c>
    </row>
    <row r="1950" spans="1:5">
      <c r="A1950" s="64" t="s">
        <v>12</v>
      </c>
      <c r="B1950" s="65">
        <v>43489</v>
      </c>
      <c r="C1950" s="66" t="s">
        <v>219</v>
      </c>
      <c r="D1950" s="3" t="s">
        <v>13</v>
      </c>
      <c r="E1950" s="64">
        <v>1</v>
      </c>
    </row>
    <row r="1951" spans="1:5">
      <c r="A1951" s="64" t="s">
        <v>12</v>
      </c>
      <c r="B1951" s="65">
        <v>43490</v>
      </c>
      <c r="C1951" s="66" t="s">
        <v>220</v>
      </c>
      <c r="D1951" s="3" t="s">
        <v>13</v>
      </c>
      <c r="E1951" s="64">
        <v>1</v>
      </c>
    </row>
    <row r="1952" spans="1:5">
      <c r="A1952" s="64" t="s">
        <v>12</v>
      </c>
      <c r="B1952" s="65">
        <v>43493</v>
      </c>
      <c r="C1952" s="66" t="s">
        <v>216</v>
      </c>
      <c r="D1952" s="3" t="s">
        <v>13</v>
      </c>
      <c r="E1952" s="64">
        <v>1</v>
      </c>
    </row>
    <row r="1953" spans="1:5">
      <c r="A1953" s="64" t="s">
        <v>12</v>
      </c>
      <c r="B1953" s="65">
        <v>43494</v>
      </c>
      <c r="C1953" s="66" t="s">
        <v>217</v>
      </c>
      <c r="D1953" s="3" t="s">
        <v>13</v>
      </c>
      <c r="E1953" s="64">
        <v>1</v>
      </c>
    </row>
    <row r="1954" spans="1:5">
      <c r="A1954" s="64" t="s">
        <v>12</v>
      </c>
      <c r="B1954" s="65">
        <v>43495</v>
      </c>
      <c r="C1954" s="66" t="s">
        <v>218</v>
      </c>
      <c r="D1954" s="3" t="s">
        <v>13</v>
      </c>
      <c r="E1954" s="64">
        <v>1</v>
      </c>
    </row>
    <row r="1955" spans="1:5">
      <c r="A1955" s="64" t="s">
        <v>12</v>
      </c>
      <c r="B1955" s="65">
        <v>43496</v>
      </c>
      <c r="C1955" s="66" t="s">
        <v>219</v>
      </c>
      <c r="D1955" s="3" t="s">
        <v>13</v>
      </c>
      <c r="E1955" s="64">
        <v>1</v>
      </c>
    </row>
    <row r="1956" spans="1:5">
      <c r="A1956" s="64" t="s">
        <v>12</v>
      </c>
      <c r="B1956" s="65">
        <v>43497</v>
      </c>
      <c r="C1956" s="66" t="s">
        <v>220</v>
      </c>
      <c r="D1956" s="3" t="s">
        <v>13</v>
      </c>
      <c r="E1956" s="64">
        <v>1</v>
      </c>
    </row>
    <row r="1957" spans="1:5">
      <c r="A1957" s="64" t="s">
        <v>12</v>
      </c>
      <c r="B1957" s="65">
        <v>43500</v>
      </c>
      <c r="C1957" s="66" t="s">
        <v>216</v>
      </c>
      <c r="D1957" s="3" t="s">
        <v>13</v>
      </c>
      <c r="E1957" s="64">
        <v>1</v>
      </c>
    </row>
    <row r="1958" spans="1:5">
      <c r="A1958" s="64" t="s">
        <v>12</v>
      </c>
      <c r="B1958" s="65">
        <v>43501</v>
      </c>
      <c r="C1958" s="66" t="s">
        <v>217</v>
      </c>
      <c r="D1958" s="3" t="s">
        <v>13</v>
      </c>
      <c r="E1958" s="64">
        <v>1</v>
      </c>
    </row>
    <row r="1959" spans="1:5">
      <c r="A1959" s="64" t="s">
        <v>12</v>
      </c>
      <c r="B1959" s="65">
        <v>43502</v>
      </c>
      <c r="C1959" s="66" t="s">
        <v>218</v>
      </c>
      <c r="D1959" s="3" t="s">
        <v>13</v>
      </c>
      <c r="E1959" s="64">
        <v>1</v>
      </c>
    </row>
    <row r="1960" spans="1:5">
      <c r="A1960" s="64" t="s">
        <v>12</v>
      </c>
      <c r="B1960" s="65">
        <v>43503</v>
      </c>
      <c r="C1960" s="66" t="s">
        <v>219</v>
      </c>
      <c r="D1960" s="3" t="s">
        <v>13</v>
      </c>
      <c r="E1960" s="64">
        <v>1</v>
      </c>
    </row>
    <row r="1961" spans="1:5">
      <c r="A1961" s="64" t="s">
        <v>12</v>
      </c>
      <c r="B1961" s="65">
        <v>43504</v>
      </c>
      <c r="C1961" s="66" t="s">
        <v>220</v>
      </c>
      <c r="D1961" s="3" t="s">
        <v>13</v>
      </c>
      <c r="E1961" s="64">
        <v>1</v>
      </c>
    </row>
    <row r="1962" spans="1:5">
      <c r="A1962" s="64" t="s">
        <v>12</v>
      </c>
      <c r="B1962" s="65">
        <v>43507</v>
      </c>
      <c r="C1962" s="66" t="s">
        <v>216</v>
      </c>
      <c r="D1962" s="3" t="s">
        <v>13</v>
      </c>
      <c r="E1962" s="64">
        <v>1</v>
      </c>
    </row>
    <row r="1963" spans="1:5">
      <c r="A1963" s="64" t="s">
        <v>12</v>
      </c>
      <c r="B1963" s="65">
        <v>43508</v>
      </c>
      <c r="C1963" s="66" t="s">
        <v>217</v>
      </c>
      <c r="D1963" s="3" t="s">
        <v>13</v>
      </c>
      <c r="E1963" s="64">
        <v>1</v>
      </c>
    </row>
    <row r="1964" spans="1:5">
      <c r="A1964" s="64" t="s">
        <v>12</v>
      </c>
      <c r="B1964" s="65">
        <v>43509</v>
      </c>
      <c r="C1964" s="66" t="s">
        <v>218</v>
      </c>
      <c r="D1964" s="3" t="s">
        <v>13</v>
      </c>
      <c r="E1964" s="64">
        <v>1</v>
      </c>
    </row>
    <row r="1965" spans="1:5">
      <c r="A1965" s="64" t="s">
        <v>12</v>
      </c>
      <c r="B1965" s="65">
        <v>43510</v>
      </c>
      <c r="C1965" s="66" t="s">
        <v>219</v>
      </c>
      <c r="D1965" s="3" t="s">
        <v>13</v>
      </c>
      <c r="E1965" s="64">
        <v>1</v>
      </c>
    </row>
    <row r="1966" spans="1:5">
      <c r="A1966" s="64" t="s">
        <v>12</v>
      </c>
      <c r="B1966" s="65">
        <v>43511</v>
      </c>
      <c r="C1966" s="66" t="s">
        <v>220</v>
      </c>
      <c r="D1966" s="3" t="s">
        <v>13</v>
      </c>
      <c r="E1966" s="64">
        <v>1</v>
      </c>
    </row>
    <row r="1967" spans="1:5">
      <c r="A1967" s="64" t="s">
        <v>12</v>
      </c>
      <c r="B1967" s="65">
        <v>43514</v>
      </c>
      <c r="C1967" s="66" t="s">
        <v>216</v>
      </c>
      <c r="D1967" s="3" t="s">
        <v>13</v>
      </c>
      <c r="E1967" s="64">
        <v>1</v>
      </c>
    </row>
    <row r="1968" spans="1:5">
      <c r="A1968" s="64" t="s">
        <v>12</v>
      </c>
      <c r="B1968" s="65">
        <v>43515</v>
      </c>
      <c r="C1968" s="66" t="s">
        <v>217</v>
      </c>
      <c r="D1968" s="3" t="s">
        <v>13</v>
      </c>
      <c r="E1968" s="64">
        <v>1</v>
      </c>
    </row>
    <row r="1969" spans="1:5">
      <c r="A1969" s="64" t="s">
        <v>12</v>
      </c>
      <c r="B1969" s="65">
        <v>43516</v>
      </c>
      <c r="C1969" s="66" t="s">
        <v>218</v>
      </c>
      <c r="D1969" s="3" t="s">
        <v>13</v>
      </c>
      <c r="E1969" s="64">
        <v>1</v>
      </c>
    </row>
    <row r="1970" spans="1:5">
      <c r="A1970" s="64" t="s">
        <v>12</v>
      </c>
      <c r="B1970" s="65">
        <v>43517</v>
      </c>
      <c r="C1970" s="66" t="s">
        <v>219</v>
      </c>
      <c r="D1970" s="3" t="s">
        <v>13</v>
      </c>
      <c r="E1970" s="64">
        <v>1</v>
      </c>
    </row>
    <row r="1971" spans="1:5">
      <c r="A1971" s="64" t="s">
        <v>12</v>
      </c>
      <c r="B1971" s="65">
        <v>43518</v>
      </c>
      <c r="C1971" s="66" t="s">
        <v>220</v>
      </c>
      <c r="D1971" s="3" t="s">
        <v>13</v>
      </c>
      <c r="E1971" s="64">
        <v>1</v>
      </c>
    </row>
    <row r="1972" spans="1:5">
      <c r="A1972" s="64" t="s">
        <v>12</v>
      </c>
      <c r="B1972" s="65">
        <v>43248</v>
      </c>
      <c r="C1972" s="66" t="s">
        <v>216</v>
      </c>
      <c r="D1972" s="3" t="s">
        <v>14</v>
      </c>
      <c r="E1972" s="64">
        <v>1</v>
      </c>
    </row>
    <row r="1973" spans="1:5">
      <c r="A1973" s="64" t="s">
        <v>12</v>
      </c>
      <c r="B1973" s="65">
        <v>43249</v>
      </c>
      <c r="C1973" s="66" t="s">
        <v>217</v>
      </c>
      <c r="D1973" s="3" t="s">
        <v>14</v>
      </c>
      <c r="E1973" s="64">
        <v>1</v>
      </c>
    </row>
    <row r="1974" spans="1:5">
      <c r="A1974" s="64" t="s">
        <v>12</v>
      </c>
      <c r="B1974" s="65">
        <v>43250</v>
      </c>
      <c r="C1974" s="66" t="s">
        <v>218</v>
      </c>
      <c r="D1974" s="3" t="s">
        <v>14</v>
      </c>
      <c r="E1974" s="64">
        <v>1</v>
      </c>
    </row>
    <row r="1975" spans="1:5">
      <c r="A1975" s="64" t="s">
        <v>12</v>
      </c>
      <c r="B1975" s="65">
        <v>43251</v>
      </c>
      <c r="C1975" s="66" t="s">
        <v>219</v>
      </c>
      <c r="D1975" s="3" t="s">
        <v>14</v>
      </c>
      <c r="E1975" s="64">
        <v>1</v>
      </c>
    </row>
    <row r="1976" spans="1:5">
      <c r="A1976" s="64" t="s">
        <v>12</v>
      </c>
      <c r="B1976" s="65">
        <v>43252</v>
      </c>
      <c r="C1976" s="66" t="s">
        <v>220</v>
      </c>
      <c r="D1976" s="3" t="s">
        <v>14</v>
      </c>
      <c r="E1976" s="64">
        <v>1</v>
      </c>
    </row>
    <row r="1977" spans="1:5">
      <c r="A1977" s="64" t="s">
        <v>12</v>
      </c>
      <c r="B1977" s="65">
        <v>43253</v>
      </c>
      <c r="C1977" s="66" t="s">
        <v>221</v>
      </c>
      <c r="D1977" s="3" t="s">
        <v>14</v>
      </c>
      <c r="E1977" s="64">
        <v>1</v>
      </c>
    </row>
    <row r="1978" spans="1:5">
      <c r="A1978" s="64" t="s">
        <v>12</v>
      </c>
      <c r="B1978" s="65">
        <v>43254</v>
      </c>
      <c r="C1978" s="66" t="s">
        <v>222</v>
      </c>
      <c r="D1978" s="3" t="s">
        <v>14</v>
      </c>
      <c r="E1978" s="64">
        <v>1</v>
      </c>
    </row>
    <row r="1979" spans="1:5">
      <c r="A1979" s="64" t="s">
        <v>12</v>
      </c>
      <c r="B1979" s="65">
        <v>43255</v>
      </c>
      <c r="C1979" s="66" t="s">
        <v>216</v>
      </c>
      <c r="D1979" s="3" t="s">
        <v>14</v>
      </c>
      <c r="E1979" s="64">
        <v>1</v>
      </c>
    </row>
    <row r="1980" spans="1:5">
      <c r="A1980" s="64" t="s">
        <v>12</v>
      </c>
      <c r="B1980" s="65">
        <v>43256</v>
      </c>
      <c r="C1980" s="66" t="s">
        <v>217</v>
      </c>
      <c r="D1980" s="3" t="s">
        <v>14</v>
      </c>
      <c r="E1980" s="64">
        <v>1</v>
      </c>
    </row>
    <row r="1981" spans="1:5">
      <c r="A1981" s="64" t="s">
        <v>12</v>
      </c>
      <c r="B1981" s="65">
        <v>43257</v>
      </c>
      <c r="C1981" s="66" t="s">
        <v>218</v>
      </c>
      <c r="D1981" s="3" t="s">
        <v>14</v>
      </c>
      <c r="E1981" s="64">
        <v>1</v>
      </c>
    </row>
    <row r="1982" spans="1:5">
      <c r="A1982" s="64" t="s">
        <v>12</v>
      </c>
      <c r="B1982" s="65">
        <v>43258</v>
      </c>
      <c r="C1982" s="66" t="s">
        <v>219</v>
      </c>
      <c r="D1982" s="3" t="s">
        <v>14</v>
      </c>
      <c r="E1982" s="64">
        <v>1</v>
      </c>
    </row>
    <row r="1983" spans="1:5">
      <c r="A1983" s="64" t="s">
        <v>12</v>
      </c>
      <c r="B1983" s="65">
        <v>43259</v>
      </c>
      <c r="C1983" s="66" t="s">
        <v>220</v>
      </c>
      <c r="D1983" s="3" t="s">
        <v>14</v>
      </c>
      <c r="E1983" s="64">
        <v>1</v>
      </c>
    </row>
    <row r="1984" spans="1:5">
      <c r="A1984" s="64" t="s">
        <v>12</v>
      </c>
      <c r="B1984" s="65">
        <v>43260</v>
      </c>
      <c r="C1984" s="66" t="s">
        <v>221</v>
      </c>
      <c r="D1984" s="3" t="s">
        <v>14</v>
      </c>
      <c r="E1984" s="64">
        <v>1</v>
      </c>
    </row>
    <row r="1985" spans="1:5">
      <c r="A1985" s="64" t="s">
        <v>12</v>
      </c>
      <c r="B1985" s="65">
        <v>43261</v>
      </c>
      <c r="C1985" s="66" t="s">
        <v>222</v>
      </c>
      <c r="D1985" s="3" t="s">
        <v>14</v>
      </c>
      <c r="E1985" s="64">
        <v>1</v>
      </c>
    </row>
    <row r="1986" spans="1:5">
      <c r="A1986" s="64" t="s">
        <v>12</v>
      </c>
      <c r="B1986" s="65">
        <v>43262</v>
      </c>
      <c r="C1986" s="66" t="s">
        <v>216</v>
      </c>
      <c r="D1986" s="3" t="s">
        <v>14</v>
      </c>
      <c r="E1986" s="64">
        <v>1</v>
      </c>
    </row>
    <row r="1987" spans="1:5">
      <c r="A1987" s="64" t="s">
        <v>12</v>
      </c>
      <c r="B1987" s="65">
        <v>43263</v>
      </c>
      <c r="C1987" s="66" t="s">
        <v>217</v>
      </c>
      <c r="D1987" s="3" t="s">
        <v>14</v>
      </c>
      <c r="E1987" s="64">
        <v>1</v>
      </c>
    </row>
    <row r="1988" spans="1:5">
      <c r="A1988" s="64" t="s">
        <v>12</v>
      </c>
      <c r="B1988" s="65">
        <v>43264</v>
      </c>
      <c r="C1988" s="66" t="s">
        <v>218</v>
      </c>
      <c r="D1988" s="3" t="s">
        <v>14</v>
      </c>
      <c r="E1988" s="64">
        <v>1</v>
      </c>
    </row>
    <row r="1989" spans="1:5">
      <c r="A1989" s="64" t="s">
        <v>12</v>
      </c>
      <c r="B1989" s="65">
        <v>43265</v>
      </c>
      <c r="C1989" s="66" t="s">
        <v>219</v>
      </c>
      <c r="D1989" s="3" t="s">
        <v>14</v>
      </c>
      <c r="E1989" s="64">
        <v>1</v>
      </c>
    </row>
    <row r="1990" spans="1:5">
      <c r="A1990" s="64" t="s">
        <v>12</v>
      </c>
      <c r="B1990" s="65">
        <v>43266</v>
      </c>
      <c r="C1990" s="66" t="s">
        <v>220</v>
      </c>
      <c r="D1990" s="3" t="s">
        <v>14</v>
      </c>
      <c r="E1990" s="64">
        <v>1</v>
      </c>
    </row>
    <row r="1991" spans="1:5">
      <c r="A1991" s="64" t="s">
        <v>12</v>
      </c>
      <c r="B1991" s="65">
        <v>43267</v>
      </c>
      <c r="C1991" s="66" t="s">
        <v>221</v>
      </c>
      <c r="D1991" s="3" t="s">
        <v>14</v>
      </c>
      <c r="E1991" s="64">
        <v>1</v>
      </c>
    </row>
    <row r="1992" spans="1:5">
      <c r="A1992" s="64" t="s">
        <v>12</v>
      </c>
      <c r="B1992" s="65">
        <v>43268</v>
      </c>
      <c r="C1992" s="66" t="s">
        <v>222</v>
      </c>
      <c r="D1992" s="3" t="s">
        <v>14</v>
      </c>
      <c r="E1992" s="64">
        <v>1</v>
      </c>
    </row>
    <row r="1993" spans="1:5">
      <c r="A1993" s="64" t="s">
        <v>12</v>
      </c>
      <c r="B1993" s="65">
        <v>43269</v>
      </c>
      <c r="C1993" s="66" t="s">
        <v>216</v>
      </c>
      <c r="D1993" s="3" t="s">
        <v>14</v>
      </c>
      <c r="E1993" s="64">
        <v>1</v>
      </c>
    </row>
    <row r="1994" spans="1:5">
      <c r="A1994" s="64" t="s">
        <v>12</v>
      </c>
      <c r="B1994" s="65">
        <v>43270</v>
      </c>
      <c r="C1994" s="66" t="s">
        <v>217</v>
      </c>
      <c r="D1994" s="3" t="s">
        <v>14</v>
      </c>
      <c r="E1994" s="64">
        <v>1</v>
      </c>
    </row>
    <row r="1995" spans="1:5">
      <c r="A1995" s="64" t="s">
        <v>12</v>
      </c>
      <c r="B1995" s="65">
        <v>43271</v>
      </c>
      <c r="C1995" s="66" t="s">
        <v>218</v>
      </c>
      <c r="D1995" s="3" t="s">
        <v>14</v>
      </c>
      <c r="E1995" s="64">
        <v>1</v>
      </c>
    </row>
    <row r="1996" spans="1:5">
      <c r="A1996" s="64" t="s">
        <v>12</v>
      </c>
      <c r="B1996" s="65">
        <v>43272</v>
      </c>
      <c r="C1996" s="66" t="s">
        <v>219</v>
      </c>
      <c r="D1996" s="3" t="s">
        <v>14</v>
      </c>
      <c r="E1996" s="64">
        <v>1</v>
      </c>
    </row>
    <row r="1997" spans="1:5">
      <c r="A1997" s="64" t="s">
        <v>12</v>
      </c>
      <c r="B1997" s="65">
        <v>43273</v>
      </c>
      <c r="C1997" s="66" t="s">
        <v>220</v>
      </c>
      <c r="D1997" s="3" t="s">
        <v>14</v>
      </c>
      <c r="E1997" s="64">
        <v>1</v>
      </c>
    </row>
    <row r="1998" spans="1:5">
      <c r="A1998" s="64" t="s">
        <v>12</v>
      </c>
      <c r="B1998" s="65">
        <v>43274</v>
      </c>
      <c r="C1998" s="66" t="s">
        <v>221</v>
      </c>
      <c r="D1998" s="3" t="s">
        <v>14</v>
      </c>
      <c r="E1998" s="64">
        <v>1</v>
      </c>
    </row>
    <row r="1999" spans="1:5">
      <c r="A1999" s="64" t="s">
        <v>12</v>
      </c>
      <c r="B1999" s="65">
        <v>43275</v>
      </c>
      <c r="C1999" s="66" t="s">
        <v>222</v>
      </c>
      <c r="D1999" s="3" t="s">
        <v>14</v>
      </c>
      <c r="E1999" s="64">
        <v>1</v>
      </c>
    </row>
    <row r="2000" spans="1:5">
      <c r="A2000" s="64" t="s">
        <v>12</v>
      </c>
      <c r="B2000" s="65">
        <v>43276</v>
      </c>
      <c r="C2000" s="66" t="s">
        <v>216</v>
      </c>
      <c r="D2000" s="3" t="s">
        <v>14</v>
      </c>
      <c r="E2000" s="64">
        <v>1</v>
      </c>
    </row>
    <row r="2001" spans="1:5">
      <c r="A2001" s="64" t="s">
        <v>12</v>
      </c>
      <c r="B2001" s="65">
        <v>43277</v>
      </c>
      <c r="C2001" s="66" t="s">
        <v>217</v>
      </c>
      <c r="D2001" s="3" t="s">
        <v>14</v>
      </c>
      <c r="E2001" s="64">
        <v>1</v>
      </c>
    </row>
    <row r="2002" spans="1:5">
      <c r="A2002" s="64" t="s">
        <v>12</v>
      </c>
      <c r="B2002" s="65">
        <v>43278</v>
      </c>
      <c r="C2002" s="66" t="s">
        <v>218</v>
      </c>
      <c r="D2002" s="3" t="s">
        <v>14</v>
      </c>
      <c r="E2002" s="64">
        <v>1</v>
      </c>
    </row>
    <row r="2003" spans="1:5">
      <c r="A2003" s="64" t="s">
        <v>12</v>
      </c>
      <c r="B2003" s="65">
        <v>43279</v>
      </c>
      <c r="C2003" s="66" t="s">
        <v>219</v>
      </c>
      <c r="D2003" s="3" t="s">
        <v>14</v>
      </c>
      <c r="E2003" s="64">
        <v>1</v>
      </c>
    </row>
    <row r="2004" spans="1:5">
      <c r="A2004" s="64" t="s">
        <v>12</v>
      </c>
      <c r="B2004" s="65">
        <v>43280</v>
      </c>
      <c r="C2004" s="66" t="s">
        <v>220</v>
      </c>
      <c r="D2004" s="3" t="s">
        <v>14</v>
      </c>
      <c r="E2004" s="64">
        <v>1</v>
      </c>
    </row>
    <row r="2005" spans="1:5">
      <c r="A2005" s="64" t="s">
        <v>12</v>
      </c>
      <c r="B2005" s="65">
        <v>43281</v>
      </c>
      <c r="C2005" s="66" t="s">
        <v>221</v>
      </c>
      <c r="D2005" s="3" t="s">
        <v>14</v>
      </c>
      <c r="E2005" s="64">
        <v>1</v>
      </c>
    </row>
    <row r="2006" spans="1:5">
      <c r="A2006" s="64" t="s">
        <v>12</v>
      </c>
      <c r="B2006" s="65">
        <v>43282</v>
      </c>
      <c r="C2006" s="66" t="s">
        <v>222</v>
      </c>
      <c r="D2006" s="3" t="s">
        <v>14</v>
      </c>
      <c r="E2006" s="64">
        <v>1</v>
      </c>
    </row>
    <row r="2007" spans="1:5">
      <c r="A2007" s="64" t="s">
        <v>12</v>
      </c>
      <c r="B2007" s="65">
        <v>43283</v>
      </c>
      <c r="C2007" s="66" t="s">
        <v>216</v>
      </c>
      <c r="D2007" s="3" t="s">
        <v>14</v>
      </c>
      <c r="E2007" s="64">
        <v>1</v>
      </c>
    </row>
    <row r="2008" spans="1:5">
      <c r="A2008" s="64" t="s">
        <v>12</v>
      </c>
      <c r="B2008" s="65">
        <v>43284</v>
      </c>
      <c r="C2008" s="66" t="s">
        <v>217</v>
      </c>
      <c r="D2008" s="3" t="s">
        <v>14</v>
      </c>
      <c r="E2008" s="64">
        <v>1</v>
      </c>
    </row>
    <row r="2009" spans="1:5">
      <c r="A2009" s="64" t="s">
        <v>12</v>
      </c>
      <c r="B2009" s="65">
        <v>43285</v>
      </c>
      <c r="C2009" s="66" t="s">
        <v>218</v>
      </c>
      <c r="D2009" s="3" t="s">
        <v>14</v>
      </c>
      <c r="E2009" s="64">
        <v>1</v>
      </c>
    </row>
    <row r="2010" spans="1:5">
      <c r="A2010" s="64" t="s">
        <v>12</v>
      </c>
      <c r="B2010" s="65">
        <v>43286</v>
      </c>
      <c r="C2010" s="66" t="s">
        <v>219</v>
      </c>
      <c r="D2010" s="3" t="s">
        <v>14</v>
      </c>
      <c r="E2010" s="64">
        <v>1</v>
      </c>
    </row>
    <row r="2011" spans="1:5">
      <c r="A2011" s="64" t="s">
        <v>12</v>
      </c>
      <c r="B2011" s="65">
        <v>43287</v>
      </c>
      <c r="C2011" s="66" t="s">
        <v>220</v>
      </c>
      <c r="D2011" s="3" t="s">
        <v>14</v>
      </c>
      <c r="E2011" s="64">
        <v>1</v>
      </c>
    </row>
    <row r="2012" spans="1:5">
      <c r="A2012" s="64" t="s">
        <v>12</v>
      </c>
      <c r="B2012" s="65">
        <v>43288</v>
      </c>
      <c r="C2012" s="66" t="s">
        <v>221</v>
      </c>
      <c r="D2012" s="3" t="s">
        <v>14</v>
      </c>
      <c r="E2012" s="64">
        <v>1</v>
      </c>
    </row>
    <row r="2013" spans="1:5">
      <c r="A2013" s="64" t="s">
        <v>12</v>
      </c>
      <c r="B2013" s="65">
        <v>43289</v>
      </c>
      <c r="C2013" s="66" t="s">
        <v>222</v>
      </c>
      <c r="D2013" s="3" t="s">
        <v>14</v>
      </c>
      <c r="E2013" s="64">
        <v>1</v>
      </c>
    </row>
    <row r="2014" spans="1:5">
      <c r="A2014" s="64" t="s">
        <v>12</v>
      </c>
      <c r="B2014" s="65">
        <v>43290</v>
      </c>
      <c r="C2014" s="66" t="s">
        <v>216</v>
      </c>
      <c r="D2014" s="3" t="s">
        <v>14</v>
      </c>
      <c r="E2014" s="64">
        <v>1</v>
      </c>
    </row>
    <row r="2015" spans="1:5">
      <c r="A2015" s="64" t="s">
        <v>12</v>
      </c>
      <c r="B2015" s="65">
        <v>43291</v>
      </c>
      <c r="C2015" s="66" t="s">
        <v>217</v>
      </c>
      <c r="D2015" s="3" t="s">
        <v>14</v>
      </c>
      <c r="E2015" s="64">
        <v>1</v>
      </c>
    </row>
    <row r="2016" spans="1:5">
      <c r="A2016" s="64" t="s">
        <v>12</v>
      </c>
      <c r="B2016" s="65">
        <v>43292</v>
      </c>
      <c r="C2016" s="66" t="s">
        <v>218</v>
      </c>
      <c r="D2016" s="3" t="s">
        <v>14</v>
      </c>
      <c r="E2016" s="64">
        <v>1</v>
      </c>
    </row>
    <row r="2017" spans="1:5">
      <c r="A2017" s="64" t="s">
        <v>12</v>
      </c>
      <c r="B2017" s="65">
        <v>43293</v>
      </c>
      <c r="C2017" s="66" t="s">
        <v>219</v>
      </c>
      <c r="D2017" s="3" t="s">
        <v>14</v>
      </c>
      <c r="E2017" s="64">
        <v>1</v>
      </c>
    </row>
    <row r="2018" spans="1:5">
      <c r="A2018" s="64" t="s">
        <v>12</v>
      </c>
      <c r="B2018" s="65">
        <v>43294</v>
      </c>
      <c r="C2018" s="66" t="s">
        <v>220</v>
      </c>
      <c r="D2018" s="3" t="s">
        <v>14</v>
      </c>
      <c r="E2018" s="64">
        <v>1</v>
      </c>
    </row>
    <row r="2019" spans="1:5">
      <c r="A2019" s="64" t="s">
        <v>12</v>
      </c>
      <c r="B2019" s="65">
        <v>43295</v>
      </c>
      <c r="C2019" s="66" t="s">
        <v>221</v>
      </c>
      <c r="D2019" s="3" t="s">
        <v>14</v>
      </c>
      <c r="E2019" s="64">
        <v>1</v>
      </c>
    </row>
    <row r="2020" spans="1:5">
      <c r="A2020" s="64" t="s">
        <v>12</v>
      </c>
      <c r="B2020" s="65">
        <v>43296</v>
      </c>
      <c r="C2020" s="66" t="s">
        <v>222</v>
      </c>
      <c r="D2020" s="3" t="s">
        <v>14</v>
      </c>
      <c r="E2020" s="64">
        <v>1</v>
      </c>
    </row>
    <row r="2021" spans="1:5">
      <c r="A2021" s="64" t="s">
        <v>12</v>
      </c>
      <c r="B2021" s="65">
        <v>43297</v>
      </c>
      <c r="C2021" s="66" t="s">
        <v>216</v>
      </c>
      <c r="D2021" s="3" t="s">
        <v>14</v>
      </c>
      <c r="E2021" s="64">
        <v>1</v>
      </c>
    </row>
    <row r="2022" spans="1:5">
      <c r="A2022" s="64" t="s">
        <v>12</v>
      </c>
      <c r="B2022" s="65">
        <v>43298</v>
      </c>
      <c r="C2022" s="66" t="s">
        <v>217</v>
      </c>
      <c r="D2022" s="3" t="s">
        <v>14</v>
      </c>
      <c r="E2022" s="64">
        <v>1</v>
      </c>
    </row>
    <row r="2023" spans="1:5">
      <c r="A2023" s="64" t="s">
        <v>12</v>
      </c>
      <c r="B2023" s="65">
        <v>43299</v>
      </c>
      <c r="C2023" s="66" t="s">
        <v>218</v>
      </c>
      <c r="D2023" s="3" t="s">
        <v>14</v>
      </c>
      <c r="E2023" s="64">
        <v>1</v>
      </c>
    </row>
    <row r="2024" spans="1:5">
      <c r="A2024" s="64" t="s">
        <v>12</v>
      </c>
      <c r="B2024" s="65">
        <v>43300</v>
      </c>
      <c r="C2024" s="66" t="s">
        <v>219</v>
      </c>
      <c r="D2024" s="3" t="s">
        <v>14</v>
      </c>
      <c r="E2024" s="64">
        <v>1</v>
      </c>
    </row>
    <row r="2025" spans="1:5">
      <c r="A2025" s="64" t="s">
        <v>12</v>
      </c>
      <c r="B2025" s="65">
        <v>43301</v>
      </c>
      <c r="C2025" s="66" t="s">
        <v>220</v>
      </c>
      <c r="D2025" s="3" t="s">
        <v>14</v>
      </c>
      <c r="E2025" s="64">
        <v>1</v>
      </c>
    </row>
    <row r="2026" spans="1:5">
      <c r="A2026" s="64" t="s">
        <v>12</v>
      </c>
      <c r="B2026" s="65">
        <v>43302</v>
      </c>
      <c r="C2026" s="66" t="s">
        <v>221</v>
      </c>
      <c r="D2026" s="3" t="s">
        <v>14</v>
      </c>
      <c r="E2026" s="64">
        <v>1</v>
      </c>
    </row>
    <row r="2027" spans="1:5">
      <c r="A2027" s="64" t="s">
        <v>12</v>
      </c>
      <c r="B2027" s="65">
        <v>43303</v>
      </c>
      <c r="C2027" s="66" t="s">
        <v>222</v>
      </c>
      <c r="D2027" s="3" t="s">
        <v>14</v>
      </c>
      <c r="E2027" s="64">
        <v>1</v>
      </c>
    </row>
    <row r="2028" spans="1:5">
      <c r="A2028" s="64" t="s">
        <v>12</v>
      </c>
      <c r="B2028" s="65">
        <v>43304</v>
      </c>
      <c r="C2028" s="66" t="s">
        <v>216</v>
      </c>
      <c r="D2028" s="3" t="s">
        <v>14</v>
      </c>
      <c r="E2028" s="64">
        <v>1</v>
      </c>
    </row>
    <row r="2029" spans="1:5">
      <c r="A2029" s="64" t="s">
        <v>12</v>
      </c>
      <c r="B2029" s="65">
        <v>43305</v>
      </c>
      <c r="C2029" s="66" t="s">
        <v>217</v>
      </c>
      <c r="D2029" s="3" t="s">
        <v>14</v>
      </c>
      <c r="E2029" s="64">
        <v>1</v>
      </c>
    </row>
    <row r="2030" spans="1:5">
      <c r="A2030" s="64" t="s">
        <v>12</v>
      </c>
      <c r="B2030" s="65">
        <v>43306</v>
      </c>
      <c r="C2030" s="66" t="s">
        <v>218</v>
      </c>
      <c r="D2030" s="3" t="s">
        <v>14</v>
      </c>
      <c r="E2030" s="64">
        <v>1</v>
      </c>
    </row>
    <row r="2031" spans="1:5">
      <c r="A2031" s="64" t="s">
        <v>12</v>
      </c>
      <c r="B2031" s="65">
        <v>43307</v>
      </c>
      <c r="C2031" s="66" t="s">
        <v>219</v>
      </c>
      <c r="D2031" s="3" t="s">
        <v>14</v>
      </c>
      <c r="E2031" s="64">
        <v>1</v>
      </c>
    </row>
    <row r="2032" spans="1:5">
      <c r="A2032" s="64" t="s">
        <v>12</v>
      </c>
      <c r="B2032" s="65">
        <v>43308</v>
      </c>
      <c r="C2032" s="66" t="s">
        <v>220</v>
      </c>
      <c r="D2032" s="3" t="s">
        <v>14</v>
      </c>
      <c r="E2032" s="64">
        <v>1</v>
      </c>
    </row>
    <row r="2033" spans="1:5">
      <c r="A2033" s="64" t="s">
        <v>12</v>
      </c>
      <c r="B2033" s="65">
        <v>43309</v>
      </c>
      <c r="C2033" s="66" t="s">
        <v>221</v>
      </c>
      <c r="D2033" s="3" t="s">
        <v>14</v>
      </c>
      <c r="E2033" s="64">
        <v>1</v>
      </c>
    </row>
    <row r="2034" spans="1:5">
      <c r="A2034" s="64" t="s">
        <v>12</v>
      </c>
      <c r="B2034" s="65">
        <v>43310</v>
      </c>
      <c r="C2034" s="66" t="s">
        <v>222</v>
      </c>
      <c r="D2034" s="3" t="s">
        <v>14</v>
      </c>
      <c r="E2034" s="64">
        <v>1</v>
      </c>
    </row>
    <row r="2035" spans="1:5">
      <c r="A2035" s="64" t="s">
        <v>12</v>
      </c>
      <c r="B2035" s="65">
        <v>43311</v>
      </c>
      <c r="C2035" s="66" t="s">
        <v>216</v>
      </c>
      <c r="D2035" s="3" t="s">
        <v>14</v>
      </c>
      <c r="E2035" s="64">
        <v>1</v>
      </c>
    </row>
    <row r="2036" spans="1:5">
      <c r="A2036" s="64" t="s">
        <v>12</v>
      </c>
      <c r="B2036" s="65">
        <v>43312</v>
      </c>
      <c r="C2036" s="66" t="s">
        <v>217</v>
      </c>
      <c r="D2036" s="3" t="s">
        <v>14</v>
      </c>
      <c r="E2036" s="64">
        <v>1</v>
      </c>
    </row>
    <row r="2037" spans="1:5">
      <c r="A2037" s="64" t="s">
        <v>12</v>
      </c>
      <c r="B2037" s="65">
        <v>43313</v>
      </c>
      <c r="C2037" s="66" t="s">
        <v>218</v>
      </c>
      <c r="D2037" s="3" t="s">
        <v>14</v>
      </c>
      <c r="E2037" s="64">
        <v>1</v>
      </c>
    </row>
    <row r="2038" spans="1:5">
      <c r="A2038" s="64" t="s">
        <v>12</v>
      </c>
      <c r="B2038" s="65">
        <v>43314</v>
      </c>
      <c r="C2038" s="66" t="s">
        <v>219</v>
      </c>
      <c r="D2038" s="3" t="s">
        <v>14</v>
      </c>
      <c r="E2038" s="64">
        <v>1</v>
      </c>
    </row>
    <row r="2039" spans="1:5">
      <c r="A2039" s="64" t="s">
        <v>12</v>
      </c>
      <c r="B2039" s="65">
        <v>43315</v>
      </c>
      <c r="C2039" s="66" t="s">
        <v>220</v>
      </c>
      <c r="D2039" s="3" t="s">
        <v>14</v>
      </c>
      <c r="E2039" s="64">
        <v>1</v>
      </c>
    </row>
    <row r="2040" spans="1:5">
      <c r="A2040" s="64" t="s">
        <v>12</v>
      </c>
      <c r="B2040" s="65">
        <v>43316</v>
      </c>
      <c r="C2040" s="66" t="s">
        <v>221</v>
      </c>
      <c r="D2040" s="3" t="s">
        <v>14</v>
      </c>
      <c r="E2040" s="64">
        <v>1</v>
      </c>
    </row>
    <row r="2041" spans="1:5">
      <c r="A2041" s="64" t="s">
        <v>12</v>
      </c>
      <c r="B2041" s="65">
        <v>43317</v>
      </c>
      <c r="C2041" s="66" t="s">
        <v>222</v>
      </c>
      <c r="D2041" s="3" t="s">
        <v>14</v>
      </c>
      <c r="E2041" s="64">
        <v>1</v>
      </c>
    </row>
    <row r="2042" spans="1:5">
      <c r="A2042" s="64" t="s">
        <v>12</v>
      </c>
      <c r="B2042" s="65">
        <v>43318</v>
      </c>
      <c r="C2042" s="66" t="s">
        <v>216</v>
      </c>
      <c r="D2042" s="3" t="s">
        <v>14</v>
      </c>
      <c r="E2042" s="64">
        <v>1</v>
      </c>
    </row>
    <row r="2043" spans="1:5">
      <c r="A2043" s="64" t="s">
        <v>12</v>
      </c>
      <c r="B2043" s="65">
        <v>43319</v>
      </c>
      <c r="C2043" s="66" t="s">
        <v>217</v>
      </c>
      <c r="D2043" s="3" t="s">
        <v>14</v>
      </c>
      <c r="E2043" s="64">
        <v>1</v>
      </c>
    </row>
    <row r="2044" spans="1:5">
      <c r="A2044" s="64" t="s">
        <v>12</v>
      </c>
      <c r="B2044" s="65">
        <v>43320</v>
      </c>
      <c r="C2044" s="66" t="s">
        <v>218</v>
      </c>
      <c r="D2044" s="3" t="s">
        <v>14</v>
      </c>
      <c r="E2044" s="64">
        <v>1</v>
      </c>
    </row>
    <row r="2045" spans="1:5">
      <c r="A2045" s="64" t="s">
        <v>12</v>
      </c>
      <c r="B2045" s="65">
        <v>43321</v>
      </c>
      <c r="C2045" s="66" t="s">
        <v>219</v>
      </c>
      <c r="D2045" s="3" t="s">
        <v>14</v>
      </c>
      <c r="E2045" s="64">
        <v>1</v>
      </c>
    </row>
    <row r="2046" spans="1:5">
      <c r="A2046" s="64" t="s">
        <v>12</v>
      </c>
      <c r="B2046" s="65">
        <v>43322</v>
      </c>
      <c r="C2046" s="66" t="s">
        <v>220</v>
      </c>
      <c r="D2046" s="3" t="s">
        <v>14</v>
      </c>
      <c r="E2046" s="64">
        <v>1</v>
      </c>
    </row>
    <row r="2047" spans="1:5">
      <c r="A2047" s="64" t="s">
        <v>12</v>
      </c>
      <c r="B2047" s="65">
        <v>43323</v>
      </c>
      <c r="C2047" s="66" t="s">
        <v>221</v>
      </c>
      <c r="D2047" s="3" t="s">
        <v>14</v>
      </c>
      <c r="E2047" s="64">
        <v>1</v>
      </c>
    </row>
    <row r="2048" spans="1:5">
      <c r="A2048" s="64" t="s">
        <v>12</v>
      </c>
      <c r="B2048" s="65">
        <v>43324</v>
      </c>
      <c r="C2048" s="66" t="s">
        <v>222</v>
      </c>
      <c r="D2048" s="3" t="s">
        <v>14</v>
      </c>
      <c r="E2048" s="64">
        <v>1</v>
      </c>
    </row>
    <row r="2049" spans="1:5">
      <c r="A2049" s="64" t="s">
        <v>12</v>
      </c>
      <c r="B2049" s="65">
        <v>43325</v>
      </c>
      <c r="C2049" s="66" t="s">
        <v>216</v>
      </c>
      <c r="D2049" s="3" t="s">
        <v>14</v>
      </c>
      <c r="E2049" s="64">
        <v>1</v>
      </c>
    </row>
    <row r="2050" spans="1:5">
      <c r="A2050" s="64" t="s">
        <v>12</v>
      </c>
      <c r="B2050" s="65">
        <v>43326</v>
      </c>
      <c r="C2050" s="66" t="s">
        <v>217</v>
      </c>
      <c r="D2050" s="3" t="s">
        <v>14</v>
      </c>
      <c r="E2050" s="64">
        <v>1</v>
      </c>
    </row>
    <row r="2051" spans="1:5">
      <c r="A2051" s="64" t="s">
        <v>12</v>
      </c>
      <c r="B2051" s="65">
        <v>43327</v>
      </c>
      <c r="C2051" s="66" t="s">
        <v>218</v>
      </c>
      <c r="D2051" s="3" t="s">
        <v>14</v>
      </c>
      <c r="E2051" s="64">
        <v>1</v>
      </c>
    </row>
    <row r="2052" spans="1:5">
      <c r="A2052" s="64" t="s">
        <v>12</v>
      </c>
      <c r="B2052" s="65">
        <v>43328</v>
      </c>
      <c r="C2052" s="66" t="s">
        <v>219</v>
      </c>
      <c r="D2052" s="3" t="s">
        <v>14</v>
      </c>
      <c r="E2052" s="64">
        <v>1</v>
      </c>
    </row>
    <row r="2053" spans="1:5">
      <c r="A2053" s="64" t="s">
        <v>12</v>
      </c>
      <c r="B2053" s="65">
        <v>43329</v>
      </c>
      <c r="C2053" s="66" t="s">
        <v>220</v>
      </c>
      <c r="D2053" s="3" t="s">
        <v>14</v>
      </c>
      <c r="E2053" s="64">
        <v>1</v>
      </c>
    </row>
    <row r="2054" spans="1:5">
      <c r="A2054" s="64" t="s">
        <v>12</v>
      </c>
      <c r="B2054" s="65">
        <v>43330</v>
      </c>
      <c r="C2054" s="66" t="s">
        <v>221</v>
      </c>
      <c r="D2054" s="3" t="s">
        <v>14</v>
      </c>
      <c r="E2054" s="64">
        <v>1</v>
      </c>
    </row>
    <row r="2055" spans="1:5">
      <c r="A2055" s="64" t="s">
        <v>12</v>
      </c>
      <c r="B2055" s="65">
        <v>43331</v>
      </c>
      <c r="C2055" s="66" t="s">
        <v>222</v>
      </c>
      <c r="D2055" s="3" t="s">
        <v>14</v>
      </c>
      <c r="E2055" s="64">
        <v>1</v>
      </c>
    </row>
    <row r="2056" spans="1:5">
      <c r="A2056" s="64" t="s">
        <v>12</v>
      </c>
      <c r="B2056" s="65">
        <v>43332</v>
      </c>
      <c r="C2056" s="66" t="s">
        <v>216</v>
      </c>
      <c r="D2056" s="3" t="s">
        <v>14</v>
      </c>
      <c r="E2056" s="64">
        <v>1</v>
      </c>
    </row>
    <row r="2057" spans="1:5">
      <c r="A2057" s="64" t="s">
        <v>12</v>
      </c>
      <c r="B2057" s="65">
        <v>43333</v>
      </c>
      <c r="C2057" s="66" t="s">
        <v>217</v>
      </c>
      <c r="D2057" s="3" t="s">
        <v>14</v>
      </c>
      <c r="E2057" s="64">
        <v>1</v>
      </c>
    </row>
    <row r="2058" spans="1:5">
      <c r="A2058" s="64" t="s">
        <v>12</v>
      </c>
      <c r="B2058" s="65">
        <v>43334</v>
      </c>
      <c r="C2058" s="66" t="s">
        <v>218</v>
      </c>
      <c r="D2058" s="3" t="s">
        <v>14</v>
      </c>
      <c r="E2058" s="64">
        <v>1</v>
      </c>
    </row>
    <row r="2059" spans="1:5">
      <c r="A2059" s="64" t="s">
        <v>12</v>
      </c>
      <c r="B2059" s="65">
        <v>43335</v>
      </c>
      <c r="C2059" s="66" t="s">
        <v>219</v>
      </c>
      <c r="D2059" s="3" t="s">
        <v>14</v>
      </c>
      <c r="E2059" s="64">
        <v>1</v>
      </c>
    </row>
    <row r="2060" spans="1:5">
      <c r="A2060" s="64" t="s">
        <v>12</v>
      </c>
      <c r="B2060" s="65">
        <v>43336</v>
      </c>
      <c r="C2060" s="66" t="s">
        <v>220</v>
      </c>
      <c r="D2060" s="3" t="s">
        <v>14</v>
      </c>
      <c r="E2060" s="64">
        <v>1</v>
      </c>
    </row>
    <row r="2061" spans="1:5">
      <c r="A2061" s="64" t="s">
        <v>12</v>
      </c>
      <c r="B2061" s="65">
        <v>43337</v>
      </c>
      <c r="C2061" s="66" t="s">
        <v>221</v>
      </c>
      <c r="D2061" s="3" t="s">
        <v>14</v>
      </c>
      <c r="E2061" s="64">
        <v>1</v>
      </c>
    </row>
    <row r="2062" spans="1:5">
      <c r="A2062" s="64" t="s">
        <v>12</v>
      </c>
      <c r="B2062" s="65">
        <v>43338</v>
      </c>
      <c r="C2062" s="66" t="s">
        <v>222</v>
      </c>
      <c r="D2062" s="3" t="s">
        <v>14</v>
      </c>
      <c r="E2062" s="64">
        <v>1</v>
      </c>
    </row>
    <row r="2063" spans="1:5">
      <c r="A2063" s="64" t="s">
        <v>12</v>
      </c>
      <c r="B2063" s="65">
        <v>43339</v>
      </c>
      <c r="C2063" s="66" t="s">
        <v>216</v>
      </c>
      <c r="D2063" s="3" t="s">
        <v>14</v>
      </c>
      <c r="E2063" s="64">
        <v>1</v>
      </c>
    </row>
    <row r="2064" spans="1:5">
      <c r="A2064" s="64" t="s">
        <v>12</v>
      </c>
      <c r="B2064" s="65">
        <v>43340</v>
      </c>
      <c r="C2064" s="66" t="s">
        <v>217</v>
      </c>
      <c r="D2064" s="3" t="s">
        <v>14</v>
      </c>
      <c r="E2064" s="64">
        <v>1</v>
      </c>
    </row>
    <row r="2065" spans="1:5">
      <c r="A2065" s="64" t="s">
        <v>12</v>
      </c>
      <c r="B2065" s="65">
        <v>43341</v>
      </c>
      <c r="C2065" s="66" t="s">
        <v>218</v>
      </c>
      <c r="D2065" s="3" t="s">
        <v>14</v>
      </c>
      <c r="E2065" s="64">
        <v>1</v>
      </c>
    </row>
    <row r="2066" spans="1:5">
      <c r="A2066" s="64" t="s">
        <v>12</v>
      </c>
      <c r="B2066" s="65">
        <v>43342</v>
      </c>
      <c r="C2066" s="66" t="s">
        <v>219</v>
      </c>
      <c r="D2066" s="3" t="s">
        <v>14</v>
      </c>
      <c r="E2066" s="64">
        <v>1</v>
      </c>
    </row>
    <row r="2067" spans="1:5">
      <c r="A2067" s="64" t="s">
        <v>12</v>
      </c>
      <c r="B2067" s="65">
        <v>43343</v>
      </c>
      <c r="C2067" s="66" t="s">
        <v>220</v>
      </c>
      <c r="D2067" s="3" t="s">
        <v>14</v>
      </c>
      <c r="E2067" s="64">
        <v>1</v>
      </c>
    </row>
    <row r="2068" spans="1:5">
      <c r="A2068" s="64" t="s">
        <v>12</v>
      </c>
      <c r="B2068" s="65">
        <v>43344</v>
      </c>
      <c r="C2068" s="66" t="s">
        <v>221</v>
      </c>
      <c r="D2068" s="3" t="s">
        <v>14</v>
      </c>
      <c r="E2068" s="64">
        <v>1</v>
      </c>
    </row>
    <row r="2069" spans="1:5">
      <c r="A2069" s="64" t="s">
        <v>12</v>
      </c>
      <c r="B2069" s="65">
        <v>43345</v>
      </c>
      <c r="C2069" s="66" t="s">
        <v>222</v>
      </c>
      <c r="D2069" s="3" t="s">
        <v>14</v>
      </c>
      <c r="E2069" s="64">
        <v>1</v>
      </c>
    </row>
    <row r="2070" spans="1:5">
      <c r="A2070" s="64" t="s">
        <v>12</v>
      </c>
      <c r="B2070" s="65">
        <v>43346</v>
      </c>
      <c r="C2070" s="66" t="s">
        <v>216</v>
      </c>
      <c r="D2070" s="3" t="s">
        <v>14</v>
      </c>
      <c r="E2070" s="64">
        <v>1</v>
      </c>
    </row>
    <row r="2071" spans="1:5">
      <c r="A2071" s="64" t="s">
        <v>12</v>
      </c>
      <c r="B2071" s="65">
        <v>43347</v>
      </c>
      <c r="C2071" s="66" t="s">
        <v>217</v>
      </c>
      <c r="D2071" s="3" t="s">
        <v>14</v>
      </c>
      <c r="E2071" s="64">
        <v>1</v>
      </c>
    </row>
    <row r="2072" spans="1:5">
      <c r="A2072" s="64" t="s">
        <v>12</v>
      </c>
      <c r="B2072" s="65">
        <v>43348</v>
      </c>
      <c r="C2072" s="66" t="s">
        <v>218</v>
      </c>
      <c r="D2072" s="3" t="s">
        <v>14</v>
      </c>
      <c r="E2072" s="64">
        <v>1</v>
      </c>
    </row>
    <row r="2073" spans="1:5">
      <c r="A2073" s="64" t="s">
        <v>12</v>
      </c>
      <c r="B2073" s="65">
        <v>43349</v>
      </c>
      <c r="C2073" s="66" t="s">
        <v>219</v>
      </c>
      <c r="D2073" s="3" t="s">
        <v>14</v>
      </c>
      <c r="E2073" s="64">
        <v>1</v>
      </c>
    </row>
    <row r="2074" spans="1:5">
      <c r="A2074" s="64" t="s">
        <v>12</v>
      </c>
      <c r="B2074" s="65">
        <v>43350</v>
      </c>
      <c r="C2074" s="66" t="s">
        <v>220</v>
      </c>
      <c r="D2074" s="3" t="s">
        <v>14</v>
      </c>
      <c r="E2074" s="64">
        <v>1</v>
      </c>
    </row>
    <row r="2075" spans="1:5">
      <c r="A2075" s="64" t="s">
        <v>12</v>
      </c>
      <c r="B2075" s="65">
        <v>43351</v>
      </c>
      <c r="C2075" s="66" t="s">
        <v>221</v>
      </c>
      <c r="D2075" s="3" t="s">
        <v>14</v>
      </c>
      <c r="E2075" s="64">
        <v>1</v>
      </c>
    </row>
    <row r="2076" spans="1:5">
      <c r="A2076" s="64" t="s">
        <v>12</v>
      </c>
      <c r="B2076" s="65">
        <v>43352</v>
      </c>
      <c r="C2076" s="66" t="s">
        <v>222</v>
      </c>
      <c r="D2076" s="3" t="s">
        <v>14</v>
      </c>
      <c r="E2076" s="64">
        <v>1</v>
      </c>
    </row>
    <row r="2077" spans="1:5">
      <c r="A2077" s="64" t="s">
        <v>12</v>
      </c>
      <c r="B2077" s="65">
        <v>43353</v>
      </c>
      <c r="C2077" s="66" t="s">
        <v>216</v>
      </c>
      <c r="D2077" s="3" t="s">
        <v>14</v>
      </c>
      <c r="E2077" s="64">
        <v>1</v>
      </c>
    </row>
    <row r="2078" spans="1:5">
      <c r="A2078" s="64" t="s">
        <v>12</v>
      </c>
      <c r="B2078" s="65">
        <v>43354</v>
      </c>
      <c r="C2078" s="66" t="s">
        <v>217</v>
      </c>
      <c r="D2078" s="3" t="s">
        <v>14</v>
      </c>
      <c r="E2078" s="64">
        <v>1</v>
      </c>
    </row>
    <row r="2079" spans="1:5">
      <c r="A2079" s="64" t="s">
        <v>12</v>
      </c>
      <c r="B2079" s="65">
        <v>43355</v>
      </c>
      <c r="C2079" s="66" t="s">
        <v>218</v>
      </c>
      <c r="D2079" s="3" t="s">
        <v>14</v>
      </c>
      <c r="E2079" s="64">
        <v>1</v>
      </c>
    </row>
    <row r="2080" spans="1:5">
      <c r="A2080" s="64" t="s">
        <v>12</v>
      </c>
      <c r="B2080" s="65">
        <v>43356</v>
      </c>
      <c r="C2080" s="66" t="s">
        <v>219</v>
      </c>
      <c r="D2080" s="3" t="s">
        <v>14</v>
      </c>
      <c r="E2080" s="64">
        <v>1</v>
      </c>
    </row>
    <row r="2081" spans="1:5">
      <c r="A2081" s="64" t="s">
        <v>12</v>
      </c>
      <c r="B2081" s="65">
        <v>43357</v>
      </c>
      <c r="C2081" s="66" t="s">
        <v>220</v>
      </c>
      <c r="D2081" s="3" t="s">
        <v>14</v>
      </c>
      <c r="E2081" s="64">
        <v>1</v>
      </c>
    </row>
    <row r="2082" spans="1:5">
      <c r="A2082" s="64" t="s">
        <v>12</v>
      </c>
      <c r="B2082" s="65">
        <v>43358</v>
      </c>
      <c r="C2082" s="66" t="s">
        <v>221</v>
      </c>
      <c r="D2082" s="3" t="s">
        <v>14</v>
      </c>
      <c r="E2082" s="64">
        <v>1</v>
      </c>
    </row>
    <row r="2083" spans="1:5">
      <c r="A2083" s="64" t="s">
        <v>12</v>
      </c>
      <c r="B2083" s="65">
        <v>43359</v>
      </c>
      <c r="C2083" s="66" t="s">
        <v>222</v>
      </c>
      <c r="D2083" s="3" t="s">
        <v>14</v>
      </c>
      <c r="E2083" s="64">
        <v>1</v>
      </c>
    </row>
    <row r="2084" spans="1:5">
      <c r="A2084" s="64" t="s">
        <v>12</v>
      </c>
      <c r="B2084" s="65">
        <v>43360</v>
      </c>
      <c r="C2084" s="66" t="s">
        <v>216</v>
      </c>
      <c r="D2084" s="3" t="s">
        <v>14</v>
      </c>
      <c r="E2084" s="64">
        <v>1</v>
      </c>
    </row>
    <row r="2085" spans="1:5">
      <c r="A2085" s="64" t="s">
        <v>12</v>
      </c>
      <c r="B2085" s="65">
        <v>43361</v>
      </c>
      <c r="C2085" s="66" t="s">
        <v>217</v>
      </c>
      <c r="D2085" s="3" t="s">
        <v>14</v>
      </c>
      <c r="E2085" s="64">
        <v>1</v>
      </c>
    </row>
    <row r="2086" spans="1:5">
      <c r="A2086" s="64" t="s">
        <v>12</v>
      </c>
      <c r="B2086" s="65">
        <v>43362</v>
      </c>
      <c r="C2086" s="66" t="s">
        <v>218</v>
      </c>
      <c r="D2086" s="3" t="s">
        <v>14</v>
      </c>
      <c r="E2086" s="64">
        <v>1</v>
      </c>
    </row>
    <row r="2087" spans="1:5">
      <c r="A2087" s="64" t="s">
        <v>12</v>
      </c>
      <c r="B2087" s="65">
        <v>43363</v>
      </c>
      <c r="C2087" s="66" t="s">
        <v>219</v>
      </c>
      <c r="D2087" s="3" t="s">
        <v>14</v>
      </c>
      <c r="E2087" s="64">
        <v>1</v>
      </c>
    </row>
    <row r="2088" spans="1:5">
      <c r="A2088" s="64" t="s">
        <v>12</v>
      </c>
      <c r="B2088" s="65">
        <v>43364</v>
      </c>
      <c r="C2088" s="66" t="s">
        <v>220</v>
      </c>
      <c r="D2088" s="3" t="s">
        <v>14</v>
      </c>
      <c r="E2088" s="64">
        <v>1</v>
      </c>
    </row>
    <row r="2089" spans="1:5">
      <c r="A2089" s="64" t="s">
        <v>12</v>
      </c>
      <c r="B2089" s="65">
        <v>43365</v>
      </c>
      <c r="C2089" s="66" t="s">
        <v>221</v>
      </c>
      <c r="D2089" s="3" t="s">
        <v>14</v>
      </c>
      <c r="E2089" s="64">
        <v>1</v>
      </c>
    </row>
    <row r="2090" spans="1:5">
      <c r="A2090" s="64" t="s">
        <v>12</v>
      </c>
      <c r="B2090" s="65">
        <v>43366</v>
      </c>
      <c r="C2090" s="66" t="s">
        <v>222</v>
      </c>
      <c r="D2090" s="3" t="s">
        <v>14</v>
      </c>
      <c r="E2090" s="64">
        <v>1</v>
      </c>
    </row>
    <row r="2091" spans="1:5">
      <c r="A2091" s="64" t="s">
        <v>12</v>
      </c>
      <c r="B2091" s="65">
        <v>43367</v>
      </c>
      <c r="C2091" s="66" t="s">
        <v>216</v>
      </c>
      <c r="D2091" s="3" t="s">
        <v>14</v>
      </c>
      <c r="E2091" s="64">
        <v>1</v>
      </c>
    </row>
    <row r="2092" spans="1:5">
      <c r="A2092" s="64" t="s">
        <v>12</v>
      </c>
      <c r="B2092" s="65">
        <v>43368</v>
      </c>
      <c r="C2092" s="66" t="s">
        <v>217</v>
      </c>
      <c r="D2092" s="3" t="s">
        <v>14</v>
      </c>
      <c r="E2092" s="64">
        <v>1</v>
      </c>
    </row>
    <row r="2093" spans="1:5">
      <c r="A2093" s="64" t="s">
        <v>12</v>
      </c>
      <c r="B2093" s="65">
        <v>43369</v>
      </c>
      <c r="C2093" s="66" t="s">
        <v>218</v>
      </c>
      <c r="D2093" s="3" t="s">
        <v>14</v>
      </c>
      <c r="E2093" s="64">
        <v>1</v>
      </c>
    </row>
    <row r="2094" spans="1:5">
      <c r="A2094" s="64" t="s">
        <v>12</v>
      </c>
      <c r="B2094" s="65">
        <v>43370</v>
      </c>
      <c r="C2094" s="66" t="s">
        <v>219</v>
      </c>
      <c r="D2094" s="3" t="s">
        <v>14</v>
      </c>
      <c r="E2094" s="64">
        <v>1</v>
      </c>
    </row>
    <row r="2095" spans="1:5">
      <c r="A2095" s="64" t="s">
        <v>12</v>
      </c>
      <c r="B2095" s="65">
        <v>43371</v>
      </c>
      <c r="C2095" s="66" t="s">
        <v>220</v>
      </c>
      <c r="D2095" s="3" t="s">
        <v>14</v>
      </c>
      <c r="E2095" s="64">
        <v>1</v>
      </c>
    </row>
    <row r="2096" spans="1:5">
      <c r="A2096" s="64" t="s">
        <v>12</v>
      </c>
      <c r="B2096" s="65">
        <v>43372</v>
      </c>
      <c r="C2096" s="66" t="s">
        <v>221</v>
      </c>
      <c r="D2096" s="3" t="s">
        <v>14</v>
      </c>
      <c r="E2096" s="64">
        <v>1</v>
      </c>
    </row>
    <row r="2097" spans="1:5">
      <c r="A2097" s="64" t="s">
        <v>12</v>
      </c>
      <c r="B2097" s="65">
        <v>43373</v>
      </c>
      <c r="C2097" s="66" t="s">
        <v>222</v>
      </c>
      <c r="D2097" s="3" t="s">
        <v>14</v>
      </c>
      <c r="E2097" s="64">
        <v>1</v>
      </c>
    </row>
    <row r="2098" spans="1:5">
      <c r="A2098" s="64" t="s">
        <v>12</v>
      </c>
      <c r="B2098" s="65">
        <v>43374</v>
      </c>
      <c r="C2098" s="66" t="s">
        <v>216</v>
      </c>
      <c r="D2098" s="3" t="s">
        <v>14</v>
      </c>
      <c r="E2098" s="64">
        <v>1</v>
      </c>
    </row>
    <row r="2099" spans="1:5">
      <c r="A2099" s="64" t="s">
        <v>12</v>
      </c>
      <c r="B2099" s="65">
        <v>43375</v>
      </c>
      <c r="C2099" s="66" t="s">
        <v>217</v>
      </c>
      <c r="D2099" s="3" t="s">
        <v>14</v>
      </c>
      <c r="E2099" s="64">
        <v>1</v>
      </c>
    </row>
    <row r="2100" spans="1:5">
      <c r="A2100" s="64" t="s">
        <v>12</v>
      </c>
      <c r="B2100" s="65">
        <v>43376</v>
      </c>
      <c r="C2100" s="66" t="s">
        <v>218</v>
      </c>
      <c r="D2100" s="3" t="s">
        <v>14</v>
      </c>
      <c r="E2100" s="64">
        <v>1</v>
      </c>
    </row>
    <row r="2101" spans="1:5">
      <c r="A2101" s="64" t="s">
        <v>12</v>
      </c>
      <c r="B2101" s="65">
        <v>43377</v>
      </c>
      <c r="C2101" s="66" t="s">
        <v>219</v>
      </c>
      <c r="D2101" s="3" t="s">
        <v>14</v>
      </c>
      <c r="E2101" s="64">
        <v>1</v>
      </c>
    </row>
    <row r="2102" spans="1:5">
      <c r="A2102" s="64" t="s">
        <v>12</v>
      </c>
      <c r="B2102" s="65">
        <v>43378</v>
      </c>
      <c r="C2102" s="66" t="s">
        <v>220</v>
      </c>
      <c r="D2102" s="3" t="s">
        <v>14</v>
      </c>
      <c r="E2102" s="64">
        <v>1</v>
      </c>
    </row>
    <row r="2103" spans="1:5">
      <c r="A2103" s="64" t="s">
        <v>12</v>
      </c>
      <c r="B2103" s="65">
        <v>43379</v>
      </c>
      <c r="C2103" s="66" t="s">
        <v>221</v>
      </c>
      <c r="D2103" s="3" t="s">
        <v>14</v>
      </c>
      <c r="E2103" s="64">
        <v>1</v>
      </c>
    </row>
    <row r="2104" spans="1:5">
      <c r="A2104" s="64" t="s">
        <v>12</v>
      </c>
      <c r="B2104" s="65">
        <v>43380</v>
      </c>
      <c r="C2104" s="66" t="s">
        <v>222</v>
      </c>
      <c r="D2104" s="3" t="s">
        <v>14</v>
      </c>
      <c r="E2104" s="64">
        <v>1</v>
      </c>
    </row>
    <row r="2105" spans="1:5">
      <c r="A2105" s="64" t="s">
        <v>12</v>
      </c>
      <c r="B2105" s="65">
        <v>43381</v>
      </c>
      <c r="C2105" s="66" t="s">
        <v>216</v>
      </c>
      <c r="D2105" s="3" t="s">
        <v>14</v>
      </c>
      <c r="E2105" s="64">
        <v>1</v>
      </c>
    </row>
    <row r="2106" spans="1:5">
      <c r="A2106" s="64" t="s">
        <v>12</v>
      </c>
      <c r="B2106" s="65">
        <v>43382</v>
      </c>
      <c r="C2106" s="66" t="s">
        <v>217</v>
      </c>
      <c r="D2106" s="3" t="s">
        <v>14</v>
      </c>
      <c r="E2106" s="64">
        <v>1</v>
      </c>
    </row>
    <row r="2107" spans="1:5">
      <c r="A2107" s="64" t="s">
        <v>12</v>
      </c>
      <c r="B2107" s="65">
        <v>43383</v>
      </c>
      <c r="C2107" s="66" t="s">
        <v>218</v>
      </c>
      <c r="D2107" s="3" t="s">
        <v>14</v>
      </c>
      <c r="E2107" s="64">
        <v>1</v>
      </c>
    </row>
    <row r="2108" spans="1:5">
      <c r="A2108" s="64" t="s">
        <v>12</v>
      </c>
      <c r="B2108" s="65">
        <v>43384</v>
      </c>
      <c r="C2108" s="66" t="s">
        <v>219</v>
      </c>
      <c r="D2108" s="3" t="s">
        <v>14</v>
      </c>
      <c r="E2108" s="64">
        <v>1</v>
      </c>
    </row>
    <row r="2109" spans="1:5">
      <c r="A2109" s="64" t="s">
        <v>12</v>
      </c>
      <c r="B2109" s="65">
        <v>43385</v>
      </c>
      <c r="C2109" s="66" t="s">
        <v>220</v>
      </c>
      <c r="D2109" s="3" t="s">
        <v>14</v>
      </c>
      <c r="E2109" s="64">
        <v>1</v>
      </c>
    </row>
    <row r="2110" spans="1:5">
      <c r="A2110" s="64" t="s">
        <v>12</v>
      </c>
      <c r="B2110" s="65">
        <v>43386</v>
      </c>
      <c r="C2110" s="66" t="s">
        <v>221</v>
      </c>
      <c r="D2110" s="3" t="s">
        <v>14</v>
      </c>
      <c r="E2110" s="64">
        <v>1</v>
      </c>
    </row>
    <row r="2111" spans="1:5">
      <c r="A2111" s="64" t="s">
        <v>12</v>
      </c>
      <c r="B2111" s="65">
        <v>43387</v>
      </c>
      <c r="C2111" s="66" t="s">
        <v>222</v>
      </c>
      <c r="D2111" s="3" t="s">
        <v>14</v>
      </c>
      <c r="E2111" s="64">
        <v>1</v>
      </c>
    </row>
    <row r="2112" spans="1:5">
      <c r="A2112" s="64" t="s">
        <v>12</v>
      </c>
      <c r="B2112" s="65">
        <v>43388</v>
      </c>
      <c r="C2112" s="66" t="s">
        <v>216</v>
      </c>
      <c r="D2112" s="3" t="s">
        <v>14</v>
      </c>
      <c r="E2112" s="64">
        <v>1</v>
      </c>
    </row>
    <row r="2113" spans="1:5">
      <c r="A2113" s="64" t="s">
        <v>12</v>
      </c>
      <c r="B2113" s="65">
        <v>43389</v>
      </c>
      <c r="C2113" s="66" t="s">
        <v>217</v>
      </c>
      <c r="D2113" s="3" t="s">
        <v>14</v>
      </c>
      <c r="E2113" s="64">
        <v>1</v>
      </c>
    </row>
    <row r="2114" spans="1:5">
      <c r="A2114" s="64" t="s">
        <v>12</v>
      </c>
      <c r="B2114" s="65">
        <v>43390</v>
      </c>
      <c r="C2114" s="66" t="s">
        <v>218</v>
      </c>
      <c r="D2114" s="3" t="s">
        <v>14</v>
      </c>
      <c r="E2114" s="64">
        <v>1</v>
      </c>
    </row>
    <row r="2115" spans="1:5">
      <c r="A2115" s="64" t="s">
        <v>12</v>
      </c>
      <c r="B2115" s="65">
        <v>43391</v>
      </c>
      <c r="C2115" s="66" t="s">
        <v>219</v>
      </c>
      <c r="D2115" s="3" t="s">
        <v>14</v>
      </c>
      <c r="E2115" s="64">
        <v>1</v>
      </c>
    </row>
    <row r="2116" spans="1:5">
      <c r="A2116" s="64" t="s">
        <v>12</v>
      </c>
      <c r="B2116" s="65">
        <v>43392</v>
      </c>
      <c r="C2116" s="66" t="s">
        <v>220</v>
      </c>
      <c r="D2116" s="3" t="s">
        <v>14</v>
      </c>
      <c r="E2116" s="64">
        <v>1</v>
      </c>
    </row>
    <row r="2117" spans="1:5">
      <c r="A2117" s="64" t="s">
        <v>12</v>
      </c>
      <c r="B2117" s="65">
        <v>43393</v>
      </c>
      <c r="C2117" s="66" t="s">
        <v>221</v>
      </c>
      <c r="D2117" s="3" t="s">
        <v>14</v>
      </c>
      <c r="E2117" s="64">
        <v>1</v>
      </c>
    </row>
    <row r="2118" spans="1:5">
      <c r="A2118" s="64" t="s">
        <v>12</v>
      </c>
      <c r="B2118" s="65">
        <v>43394</v>
      </c>
      <c r="C2118" s="66" t="s">
        <v>222</v>
      </c>
      <c r="D2118" s="3" t="s">
        <v>14</v>
      </c>
      <c r="E2118" s="64">
        <v>1</v>
      </c>
    </row>
    <row r="2119" spans="1:5">
      <c r="A2119" s="64" t="s">
        <v>12</v>
      </c>
      <c r="B2119" s="65">
        <v>43395</v>
      </c>
      <c r="C2119" s="66" t="s">
        <v>216</v>
      </c>
      <c r="D2119" s="3" t="s">
        <v>14</v>
      </c>
      <c r="E2119" s="64">
        <v>1</v>
      </c>
    </row>
    <row r="2120" spans="1:5">
      <c r="A2120" s="64" t="s">
        <v>12</v>
      </c>
      <c r="B2120" s="65">
        <v>43396</v>
      </c>
      <c r="C2120" s="66" t="s">
        <v>217</v>
      </c>
      <c r="D2120" s="3" t="s">
        <v>14</v>
      </c>
      <c r="E2120" s="64">
        <v>1</v>
      </c>
    </row>
    <row r="2121" spans="1:5">
      <c r="A2121" s="64" t="s">
        <v>12</v>
      </c>
      <c r="B2121" s="65">
        <v>43397</v>
      </c>
      <c r="C2121" s="66" t="s">
        <v>218</v>
      </c>
      <c r="D2121" s="3" t="s">
        <v>14</v>
      </c>
      <c r="E2121" s="64">
        <v>1</v>
      </c>
    </row>
    <row r="2122" spans="1:5">
      <c r="A2122" s="64" t="s">
        <v>12</v>
      </c>
      <c r="B2122" s="65">
        <v>43398</v>
      </c>
      <c r="C2122" s="66" t="s">
        <v>219</v>
      </c>
      <c r="D2122" s="3" t="s">
        <v>14</v>
      </c>
      <c r="E2122" s="64">
        <v>1</v>
      </c>
    </row>
    <row r="2123" spans="1:5">
      <c r="A2123" s="64" t="s">
        <v>12</v>
      </c>
      <c r="B2123" s="65">
        <v>43399</v>
      </c>
      <c r="C2123" s="66" t="s">
        <v>220</v>
      </c>
      <c r="D2123" s="3" t="s">
        <v>14</v>
      </c>
      <c r="E2123" s="64">
        <v>1</v>
      </c>
    </row>
    <row r="2124" spans="1:5">
      <c r="A2124" s="64" t="s">
        <v>12</v>
      </c>
      <c r="B2124" s="65">
        <v>43400</v>
      </c>
      <c r="C2124" s="66" t="s">
        <v>221</v>
      </c>
      <c r="D2124" s="3" t="s">
        <v>14</v>
      </c>
      <c r="E2124" s="64">
        <v>1</v>
      </c>
    </row>
    <row r="2125" spans="1:5">
      <c r="A2125" s="64" t="s">
        <v>12</v>
      </c>
      <c r="B2125" s="65">
        <v>43401</v>
      </c>
      <c r="C2125" s="66" t="s">
        <v>222</v>
      </c>
      <c r="D2125" s="3" t="s">
        <v>14</v>
      </c>
      <c r="E2125" s="64">
        <v>1</v>
      </c>
    </row>
    <row r="2126" spans="1:5">
      <c r="A2126" s="64" t="s">
        <v>12</v>
      </c>
      <c r="B2126" s="65">
        <v>43402</v>
      </c>
      <c r="C2126" s="66" t="s">
        <v>216</v>
      </c>
      <c r="D2126" s="3" t="s">
        <v>14</v>
      </c>
      <c r="E2126" s="64">
        <v>1</v>
      </c>
    </row>
    <row r="2127" spans="1:5">
      <c r="A2127" s="64" t="s">
        <v>12</v>
      </c>
      <c r="B2127" s="65">
        <v>43403</v>
      </c>
      <c r="C2127" s="66" t="s">
        <v>217</v>
      </c>
      <c r="D2127" s="3" t="s">
        <v>14</v>
      </c>
      <c r="E2127" s="64">
        <v>1</v>
      </c>
    </row>
    <row r="2128" spans="1:5">
      <c r="A2128" s="64" t="s">
        <v>12</v>
      </c>
      <c r="B2128" s="65">
        <v>43404</v>
      </c>
      <c r="C2128" s="66" t="s">
        <v>218</v>
      </c>
      <c r="D2128" s="3" t="s">
        <v>14</v>
      </c>
      <c r="E2128" s="64">
        <v>1</v>
      </c>
    </row>
    <row r="2129" spans="1:5">
      <c r="A2129" s="64" t="s">
        <v>12</v>
      </c>
      <c r="B2129" s="65">
        <v>43405</v>
      </c>
      <c r="C2129" s="66" t="s">
        <v>219</v>
      </c>
      <c r="D2129" s="3" t="s">
        <v>14</v>
      </c>
      <c r="E2129" s="64">
        <v>1</v>
      </c>
    </row>
    <row r="2130" spans="1:5">
      <c r="A2130" s="64" t="s">
        <v>12</v>
      </c>
      <c r="B2130" s="65">
        <v>43406</v>
      </c>
      <c r="C2130" s="66" t="s">
        <v>220</v>
      </c>
      <c r="D2130" s="3" t="s">
        <v>14</v>
      </c>
      <c r="E2130" s="64">
        <v>1</v>
      </c>
    </row>
    <row r="2131" spans="1:5">
      <c r="A2131" s="64" t="s">
        <v>12</v>
      </c>
      <c r="B2131" s="65">
        <v>43407</v>
      </c>
      <c r="C2131" s="66" t="s">
        <v>221</v>
      </c>
      <c r="D2131" s="3" t="s">
        <v>14</v>
      </c>
      <c r="E2131" s="64">
        <v>1</v>
      </c>
    </row>
    <row r="2132" spans="1:5">
      <c r="A2132" s="64" t="s">
        <v>12</v>
      </c>
      <c r="B2132" s="65">
        <v>43408</v>
      </c>
      <c r="C2132" s="66" t="s">
        <v>222</v>
      </c>
      <c r="D2132" s="3" t="s">
        <v>14</v>
      </c>
      <c r="E2132" s="64">
        <v>1</v>
      </c>
    </row>
    <row r="2133" spans="1:5">
      <c r="A2133" s="64" t="s">
        <v>12</v>
      </c>
      <c r="B2133" s="65">
        <v>43409</v>
      </c>
      <c r="C2133" s="66" t="s">
        <v>216</v>
      </c>
      <c r="D2133" s="3" t="s">
        <v>14</v>
      </c>
      <c r="E2133" s="64">
        <v>1</v>
      </c>
    </row>
    <row r="2134" spans="1:5">
      <c r="A2134" s="64" t="s">
        <v>12</v>
      </c>
      <c r="B2134" s="65">
        <v>43410</v>
      </c>
      <c r="C2134" s="66" t="s">
        <v>217</v>
      </c>
      <c r="D2134" s="3" t="s">
        <v>14</v>
      </c>
      <c r="E2134" s="64">
        <v>1</v>
      </c>
    </row>
    <row r="2135" spans="1:5">
      <c r="A2135" s="64" t="s">
        <v>12</v>
      </c>
      <c r="B2135" s="65">
        <v>43411</v>
      </c>
      <c r="C2135" s="66" t="s">
        <v>218</v>
      </c>
      <c r="D2135" s="3" t="s">
        <v>14</v>
      </c>
      <c r="E2135" s="64">
        <v>1</v>
      </c>
    </row>
    <row r="2136" spans="1:5">
      <c r="A2136" s="64" t="s">
        <v>12</v>
      </c>
      <c r="B2136" s="65">
        <v>43412</v>
      </c>
      <c r="C2136" s="66" t="s">
        <v>219</v>
      </c>
      <c r="D2136" s="3" t="s">
        <v>14</v>
      </c>
      <c r="E2136" s="64">
        <v>1</v>
      </c>
    </row>
    <row r="2137" spans="1:5">
      <c r="A2137" s="64" t="s">
        <v>12</v>
      </c>
      <c r="B2137" s="65">
        <v>43413</v>
      </c>
      <c r="C2137" s="66" t="s">
        <v>220</v>
      </c>
      <c r="D2137" s="3" t="s">
        <v>14</v>
      </c>
      <c r="E2137" s="64">
        <v>1</v>
      </c>
    </row>
    <row r="2138" spans="1:5">
      <c r="A2138" s="64" t="s">
        <v>12</v>
      </c>
      <c r="B2138" s="65">
        <v>43414</v>
      </c>
      <c r="C2138" s="66" t="s">
        <v>221</v>
      </c>
      <c r="D2138" s="3" t="s">
        <v>14</v>
      </c>
      <c r="E2138" s="64">
        <v>1</v>
      </c>
    </row>
    <row r="2139" spans="1:5">
      <c r="A2139" s="64" t="s">
        <v>12</v>
      </c>
      <c r="B2139" s="65">
        <v>43415</v>
      </c>
      <c r="C2139" s="66" t="s">
        <v>222</v>
      </c>
      <c r="D2139" s="3" t="s">
        <v>14</v>
      </c>
      <c r="E2139" s="64">
        <v>1</v>
      </c>
    </row>
    <row r="2140" spans="1:5">
      <c r="A2140" s="64" t="s">
        <v>12</v>
      </c>
      <c r="B2140" s="65">
        <v>43416</v>
      </c>
      <c r="C2140" s="66" t="s">
        <v>216</v>
      </c>
      <c r="D2140" s="3" t="s">
        <v>14</v>
      </c>
      <c r="E2140" s="64">
        <v>1</v>
      </c>
    </row>
    <row r="2141" spans="1:5">
      <c r="A2141" s="64" t="s">
        <v>12</v>
      </c>
      <c r="B2141" s="65">
        <v>43417</v>
      </c>
      <c r="C2141" s="66" t="s">
        <v>217</v>
      </c>
      <c r="D2141" s="3" t="s">
        <v>14</v>
      </c>
      <c r="E2141" s="64">
        <v>1</v>
      </c>
    </row>
    <row r="2142" spans="1:5">
      <c r="A2142" s="64" t="s">
        <v>12</v>
      </c>
      <c r="B2142" s="65">
        <v>43418</v>
      </c>
      <c r="C2142" s="66" t="s">
        <v>218</v>
      </c>
      <c r="D2142" s="3" t="s">
        <v>14</v>
      </c>
      <c r="E2142" s="64">
        <v>1</v>
      </c>
    </row>
    <row r="2143" spans="1:5">
      <c r="A2143" s="64" t="s">
        <v>12</v>
      </c>
      <c r="B2143" s="65">
        <v>43419</v>
      </c>
      <c r="C2143" s="66" t="s">
        <v>219</v>
      </c>
      <c r="D2143" s="3" t="s">
        <v>14</v>
      </c>
      <c r="E2143" s="64">
        <v>1</v>
      </c>
    </row>
    <row r="2144" spans="1:5">
      <c r="A2144" s="64" t="s">
        <v>12</v>
      </c>
      <c r="B2144" s="65">
        <v>43420</v>
      </c>
      <c r="C2144" s="66" t="s">
        <v>220</v>
      </c>
      <c r="D2144" s="3" t="s">
        <v>14</v>
      </c>
      <c r="E2144" s="64">
        <v>1</v>
      </c>
    </row>
    <row r="2145" spans="1:5">
      <c r="A2145" s="64" t="s">
        <v>12</v>
      </c>
      <c r="B2145" s="65">
        <v>43421</v>
      </c>
      <c r="C2145" s="66" t="s">
        <v>221</v>
      </c>
      <c r="D2145" s="3" t="s">
        <v>14</v>
      </c>
      <c r="E2145" s="64">
        <v>1</v>
      </c>
    </row>
    <row r="2146" spans="1:5">
      <c r="A2146" s="64" t="s">
        <v>12</v>
      </c>
      <c r="B2146" s="65">
        <v>43422</v>
      </c>
      <c r="C2146" s="66" t="s">
        <v>222</v>
      </c>
      <c r="D2146" s="3" t="s">
        <v>14</v>
      </c>
      <c r="E2146" s="64">
        <v>1</v>
      </c>
    </row>
    <row r="2147" spans="1:5">
      <c r="A2147" s="64" t="s">
        <v>12</v>
      </c>
      <c r="B2147" s="65">
        <v>43423</v>
      </c>
      <c r="C2147" s="66" t="s">
        <v>216</v>
      </c>
      <c r="D2147" s="3" t="s">
        <v>14</v>
      </c>
      <c r="E2147" s="64">
        <v>1</v>
      </c>
    </row>
    <row r="2148" spans="1:5">
      <c r="A2148" s="64" t="s">
        <v>12</v>
      </c>
      <c r="B2148" s="65">
        <v>43424</v>
      </c>
      <c r="C2148" s="66" t="s">
        <v>217</v>
      </c>
      <c r="D2148" s="3" t="s">
        <v>14</v>
      </c>
      <c r="E2148" s="64">
        <v>1</v>
      </c>
    </row>
    <row r="2149" spans="1:5">
      <c r="A2149" s="64" t="s">
        <v>12</v>
      </c>
      <c r="B2149" s="65">
        <v>43425</v>
      </c>
      <c r="C2149" s="66" t="s">
        <v>218</v>
      </c>
      <c r="D2149" s="3" t="s">
        <v>14</v>
      </c>
      <c r="E2149" s="64">
        <v>1</v>
      </c>
    </row>
    <row r="2150" spans="1:5">
      <c r="A2150" s="64" t="s">
        <v>12</v>
      </c>
      <c r="B2150" s="65">
        <v>43426</v>
      </c>
      <c r="C2150" s="66" t="s">
        <v>219</v>
      </c>
      <c r="D2150" s="3" t="s">
        <v>14</v>
      </c>
      <c r="E2150" s="64">
        <v>1</v>
      </c>
    </row>
    <row r="2151" spans="1:5">
      <c r="A2151" s="64" t="s">
        <v>12</v>
      </c>
      <c r="B2151" s="65">
        <v>43427</v>
      </c>
      <c r="C2151" s="66" t="s">
        <v>220</v>
      </c>
      <c r="D2151" s="3" t="s">
        <v>14</v>
      </c>
      <c r="E2151" s="64">
        <v>1</v>
      </c>
    </row>
    <row r="2152" spans="1:5">
      <c r="A2152" s="64" t="s">
        <v>12</v>
      </c>
      <c r="B2152" s="65">
        <v>43428</v>
      </c>
      <c r="C2152" s="66" t="s">
        <v>221</v>
      </c>
      <c r="D2152" s="3" t="s">
        <v>14</v>
      </c>
      <c r="E2152" s="64">
        <v>1</v>
      </c>
    </row>
    <row r="2153" spans="1:5">
      <c r="A2153" s="64" t="s">
        <v>12</v>
      </c>
      <c r="B2153" s="65">
        <v>43429</v>
      </c>
      <c r="C2153" s="66" t="s">
        <v>222</v>
      </c>
      <c r="D2153" s="3" t="s">
        <v>14</v>
      </c>
      <c r="E2153" s="64">
        <v>1</v>
      </c>
    </row>
    <row r="2154" spans="1:5">
      <c r="A2154" s="64" t="s">
        <v>12</v>
      </c>
      <c r="B2154" s="65">
        <v>43430</v>
      </c>
      <c r="C2154" s="66" t="s">
        <v>216</v>
      </c>
      <c r="D2154" s="3" t="s">
        <v>14</v>
      </c>
      <c r="E2154" s="64">
        <v>1</v>
      </c>
    </row>
    <row r="2155" spans="1:5">
      <c r="A2155" s="64" t="s">
        <v>12</v>
      </c>
      <c r="B2155" s="65">
        <v>43431</v>
      </c>
      <c r="C2155" s="66" t="s">
        <v>217</v>
      </c>
      <c r="D2155" s="3" t="s">
        <v>14</v>
      </c>
      <c r="E2155" s="64">
        <v>1</v>
      </c>
    </row>
    <row r="2156" spans="1:5">
      <c r="A2156" s="64" t="s">
        <v>12</v>
      </c>
      <c r="B2156" s="65">
        <v>43432</v>
      </c>
      <c r="C2156" s="66" t="s">
        <v>218</v>
      </c>
      <c r="D2156" s="3" t="s">
        <v>14</v>
      </c>
      <c r="E2156" s="64">
        <v>1</v>
      </c>
    </row>
    <row r="2157" spans="1:5">
      <c r="A2157" s="64" t="s">
        <v>12</v>
      </c>
      <c r="B2157" s="65">
        <v>43433</v>
      </c>
      <c r="C2157" s="66" t="s">
        <v>219</v>
      </c>
      <c r="D2157" s="3" t="s">
        <v>14</v>
      </c>
      <c r="E2157" s="64">
        <v>1</v>
      </c>
    </row>
    <row r="2158" spans="1:5">
      <c r="A2158" s="64" t="s">
        <v>12</v>
      </c>
      <c r="B2158" s="65">
        <v>43434</v>
      </c>
      <c r="C2158" s="66" t="s">
        <v>220</v>
      </c>
      <c r="D2158" s="3" t="s">
        <v>14</v>
      </c>
      <c r="E2158" s="64">
        <v>1</v>
      </c>
    </row>
    <row r="2159" spans="1:5">
      <c r="A2159" s="64" t="s">
        <v>12</v>
      </c>
      <c r="B2159" s="65">
        <v>43435</v>
      </c>
      <c r="C2159" s="66" t="s">
        <v>221</v>
      </c>
      <c r="D2159" s="3" t="s">
        <v>14</v>
      </c>
      <c r="E2159" s="64">
        <v>1</v>
      </c>
    </row>
    <row r="2160" spans="1:5">
      <c r="A2160" s="64" t="s">
        <v>12</v>
      </c>
      <c r="B2160" s="65">
        <v>43436</v>
      </c>
      <c r="C2160" s="66" t="s">
        <v>222</v>
      </c>
      <c r="D2160" s="3" t="s">
        <v>14</v>
      </c>
      <c r="E2160" s="64">
        <v>1</v>
      </c>
    </row>
    <row r="2161" spans="1:5">
      <c r="A2161" s="64" t="s">
        <v>12</v>
      </c>
      <c r="B2161" s="65">
        <v>43437</v>
      </c>
      <c r="C2161" s="66" t="s">
        <v>216</v>
      </c>
      <c r="D2161" s="3" t="s">
        <v>14</v>
      </c>
      <c r="E2161" s="64">
        <v>1</v>
      </c>
    </row>
    <row r="2162" spans="1:5">
      <c r="A2162" s="64" t="s">
        <v>12</v>
      </c>
      <c r="B2162" s="65">
        <v>43438</v>
      </c>
      <c r="C2162" s="66" t="s">
        <v>217</v>
      </c>
      <c r="D2162" s="3" t="s">
        <v>14</v>
      </c>
      <c r="E2162" s="64">
        <v>1</v>
      </c>
    </row>
    <row r="2163" spans="1:5">
      <c r="A2163" s="64" t="s">
        <v>12</v>
      </c>
      <c r="B2163" s="65">
        <v>43439</v>
      </c>
      <c r="C2163" s="66" t="s">
        <v>218</v>
      </c>
      <c r="D2163" s="3" t="s">
        <v>14</v>
      </c>
      <c r="E2163" s="64">
        <v>1</v>
      </c>
    </row>
    <row r="2164" spans="1:5">
      <c r="A2164" s="64" t="s">
        <v>12</v>
      </c>
      <c r="B2164" s="65">
        <v>43440</v>
      </c>
      <c r="C2164" s="66" t="s">
        <v>219</v>
      </c>
      <c r="D2164" s="3" t="s">
        <v>14</v>
      </c>
      <c r="E2164" s="64">
        <v>1</v>
      </c>
    </row>
    <row r="2165" spans="1:5">
      <c r="A2165" s="64" t="s">
        <v>12</v>
      </c>
      <c r="B2165" s="65">
        <v>43441</v>
      </c>
      <c r="C2165" s="66" t="s">
        <v>220</v>
      </c>
      <c r="D2165" s="3" t="s">
        <v>14</v>
      </c>
      <c r="E2165" s="64">
        <v>1</v>
      </c>
    </row>
    <row r="2166" spans="1:5">
      <c r="A2166" s="64" t="s">
        <v>12</v>
      </c>
      <c r="B2166" s="65">
        <v>43442</v>
      </c>
      <c r="C2166" s="66" t="s">
        <v>221</v>
      </c>
      <c r="D2166" s="3" t="s">
        <v>14</v>
      </c>
      <c r="E2166" s="64">
        <v>1</v>
      </c>
    </row>
    <row r="2167" spans="1:5">
      <c r="A2167" s="64" t="s">
        <v>12</v>
      </c>
      <c r="B2167" s="65">
        <v>43443</v>
      </c>
      <c r="C2167" s="66" t="s">
        <v>222</v>
      </c>
      <c r="D2167" s="3" t="s">
        <v>14</v>
      </c>
      <c r="E2167" s="64">
        <v>1</v>
      </c>
    </row>
    <row r="2168" spans="1:5">
      <c r="A2168" s="64" t="s">
        <v>12</v>
      </c>
      <c r="B2168" s="65">
        <v>43444</v>
      </c>
      <c r="C2168" s="66" t="s">
        <v>216</v>
      </c>
      <c r="D2168" s="3" t="s">
        <v>14</v>
      </c>
      <c r="E2168" s="64">
        <v>1</v>
      </c>
    </row>
    <row r="2169" spans="1:5">
      <c r="A2169" s="64" t="s">
        <v>12</v>
      </c>
      <c r="B2169" s="65">
        <v>43445</v>
      </c>
      <c r="C2169" s="66" t="s">
        <v>217</v>
      </c>
      <c r="D2169" s="3" t="s">
        <v>14</v>
      </c>
      <c r="E2169" s="64">
        <v>1</v>
      </c>
    </row>
    <row r="2170" spans="1:5">
      <c r="A2170" s="64" t="s">
        <v>12</v>
      </c>
      <c r="B2170" s="65">
        <v>43446</v>
      </c>
      <c r="C2170" s="66" t="s">
        <v>218</v>
      </c>
      <c r="D2170" s="3" t="s">
        <v>14</v>
      </c>
      <c r="E2170" s="64">
        <v>1</v>
      </c>
    </row>
    <row r="2171" spans="1:5">
      <c r="A2171" s="64" t="s">
        <v>12</v>
      </c>
      <c r="B2171" s="65">
        <v>43447</v>
      </c>
      <c r="C2171" s="66" t="s">
        <v>219</v>
      </c>
      <c r="D2171" s="3" t="s">
        <v>14</v>
      </c>
      <c r="E2171" s="64">
        <v>1</v>
      </c>
    </row>
    <row r="2172" spans="1:5">
      <c r="A2172" s="64" t="s">
        <v>12</v>
      </c>
      <c r="B2172" s="65">
        <v>43448</v>
      </c>
      <c r="C2172" s="66" t="s">
        <v>220</v>
      </c>
      <c r="D2172" s="3" t="s">
        <v>14</v>
      </c>
      <c r="E2172" s="64">
        <v>1</v>
      </c>
    </row>
    <row r="2173" spans="1:5">
      <c r="A2173" s="64" t="s">
        <v>12</v>
      </c>
      <c r="B2173" s="65">
        <v>43449</v>
      </c>
      <c r="C2173" s="66" t="s">
        <v>221</v>
      </c>
      <c r="D2173" s="3" t="s">
        <v>14</v>
      </c>
      <c r="E2173" s="64">
        <v>1</v>
      </c>
    </row>
    <row r="2174" spans="1:5">
      <c r="A2174" s="64" t="s">
        <v>12</v>
      </c>
      <c r="B2174" s="65">
        <v>43450</v>
      </c>
      <c r="C2174" s="66" t="s">
        <v>222</v>
      </c>
      <c r="D2174" s="3" t="s">
        <v>14</v>
      </c>
      <c r="E2174" s="64">
        <v>1</v>
      </c>
    </row>
    <row r="2175" spans="1:5">
      <c r="A2175" s="64" t="s">
        <v>12</v>
      </c>
      <c r="B2175" s="65">
        <v>43451</v>
      </c>
      <c r="C2175" s="66" t="s">
        <v>216</v>
      </c>
      <c r="D2175" s="3" t="s">
        <v>14</v>
      </c>
      <c r="E2175" s="64">
        <v>1</v>
      </c>
    </row>
    <row r="2176" spans="1:5">
      <c r="A2176" s="64" t="s">
        <v>12</v>
      </c>
      <c r="B2176" s="65">
        <v>43452</v>
      </c>
      <c r="C2176" s="66" t="s">
        <v>217</v>
      </c>
      <c r="D2176" s="3" t="s">
        <v>14</v>
      </c>
      <c r="E2176" s="64">
        <v>1</v>
      </c>
    </row>
    <row r="2177" spans="1:5">
      <c r="A2177" s="64" t="s">
        <v>12</v>
      </c>
      <c r="B2177" s="65">
        <v>43453</v>
      </c>
      <c r="C2177" s="66" t="s">
        <v>218</v>
      </c>
      <c r="D2177" s="3" t="s">
        <v>14</v>
      </c>
      <c r="E2177" s="64">
        <v>1</v>
      </c>
    </row>
    <row r="2178" spans="1:5">
      <c r="A2178" s="64" t="s">
        <v>12</v>
      </c>
      <c r="B2178" s="65">
        <v>43454</v>
      </c>
      <c r="C2178" s="66" t="s">
        <v>219</v>
      </c>
      <c r="D2178" s="3" t="s">
        <v>14</v>
      </c>
      <c r="E2178" s="64">
        <v>1</v>
      </c>
    </row>
    <row r="2179" spans="1:5">
      <c r="A2179" s="64" t="s">
        <v>12</v>
      </c>
      <c r="B2179" s="65">
        <v>43455</v>
      </c>
      <c r="C2179" s="66" t="s">
        <v>220</v>
      </c>
      <c r="D2179" s="3" t="s">
        <v>14</v>
      </c>
      <c r="E2179" s="64">
        <v>1</v>
      </c>
    </row>
    <row r="2180" spans="1:5">
      <c r="A2180" s="64" t="s">
        <v>12</v>
      </c>
      <c r="B2180" s="65">
        <v>43456</v>
      </c>
      <c r="C2180" s="66" t="s">
        <v>221</v>
      </c>
      <c r="D2180" s="3" t="s">
        <v>14</v>
      </c>
      <c r="E2180" s="64">
        <v>1</v>
      </c>
    </row>
    <row r="2181" spans="1:5">
      <c r="A2181" s="64" t="s">
        <v>12</v>
      </c>
      <c r="B2181" s="65">
        <v>43457</v>
      </c>
      <c r="C2181" s="66" t="s">
        <v>222</v>
      </c>
      <c r="D2181" s="3" t="s">
        <v>14</v>
      </c>
      <c r="E2181" s="64">
        <v>1</v>
      </c>
    </row>
    <row r="2182" spans="1:5">
      <c r="A2182" s="64" t="s">
        <v>12</v>
      </c>
      <c r="B2182" s="65">
        <v>43458</v>
      </c>
      <c r="C2182" s="66" t="s">
        <v>216</v>
      </c>
      <c r="D2182" s="3" t="s">
        <v>14</v>
      </c>
      <c r="E2182" s="64">
        <v>1</v>
      </c>
    </row>
    <row r="2183" spans="1:5">
      <c r="A2183" s="64" t="s">
        <v>12</v>
      </c>
      <c r="B2183" s="65">
        <v>43459</v>
      </c>
      <c r="C2183" s="66" t="s">
        <v>217</v>
      </c>
      <c r="D2183" s="3" t="s">
        <v>14</v>
      </c>
      <c r="E2183" s="64">
        <v>1</v>
      </c>
    </row>
    <row r="2184" spans="1:5">
      <c r="A2184" s="64" t="s">
        <v>12</v>
      </c>
      <c r="B2184" s="65">
        <v>43460</v>
      </c>
      <c r="C2184" s="66" t="s">
        <v>218</v>
      </c>
      <c r="D2184" s="3" t="s">
        <v>14</v>
      </c>
      <c r="E2184" s="64">
        <v>1</v>
      </c>
    </row>
    <row r="2185" spans="1:5">
      <c r="A2185" s="64" t="s">
        <v>12</v>
      </c>
      <c r="B2185" s="65">
        <v>43461</v>
      </c>
      <c r="C2185" s="66" t="s">
        <v>219</v>
      </c>
      <c r="D2185" s="3" t="s">
        <v>14</v>
      </c>
      <c r="E2185" s="64">
        <v>1</v>
      </c>
    </row>
    <row r="2186" spans="1:5">
      <c r="A2186" s="64" t="s">
        <v>12</v>
      </c>
      <c r="B2186" s="65">
        <v>43462</v>
      </c>
      <c r="C2186" s="66" t="s">
        <v>220</v>
      </c>
      <c r="D2186" s="3" t="s">
        <v>14</v>
      </c>
      <c r="E2186" s="64">
        <v>1</v>
      </c>
    </row>
    <row r="2187" spans="1:5">
      <c r="A2187" s="64" t="s">
        <v>12</v>
      </c>
      <c r="B2187" s="65">
        <v>43463</v>
      </c>
      <c r="C2187" s="66" t="s">
        <v>221</v>
      </c>
      <c r="D2187" s="3" t="s">
        <v>14</v>
      </c>
      <c r="E2187" s="64">
        <v>1</v>
      </c>
    </row>
    <row r="2188" spans="1:5">
      <c r="A2188" s="64" t="s">
        <v>12</v>
      </c>
      <c r="B2188" s="65">
        <v>43464</v>
      </c>
      <c r="C2188" s="66" t="s">
        <v>222</v>
      </c>
      <c r="D2188" s="3" t="s">
        <v>14</v>
      </c>
      <c r="E2188" s="64">
        <v>1</v>
      </c>
    </row>
    <row r="2189" spans="1:5">
      <c r="A2189" s="64" t="s">
        <v>12</v>
      </c>
      <c r="B2189" s="65">
        <v>43465</v>
      </c>
      <c r="C2189" s="66" t="s">
        <v>216</v>
      </c>
      <c r="D2189" s="3" t="s">
        <v>14</v>
      </c>
      <c r="E2189" s="64">
        <v>1</v>
      </c>
    </row>
    <row r="2190" spans="1:5">
      <c r="A2190" s="64" t="s">
        <v>12</v>
      </c>
      <c r="B2190" s="65">
        <v>43466</v>
      </c>
      <c r="C2190" s="66" t="s">
        <v>217</v>
      </c>
      <c r="D2190" s="3" t="s">
        <v>14</v>
      </c>
      <c r="E2190" s="64">
        <v>1</v>
      </c>
    </row>
    <row r="2191" spans="1:5">
      <c r="A2191" s="64" t="s">
        <v>12</v>
      </c>
      <c r="B2191" s="65">
        <v>43467</v>
      </c>
      <c r="C2191" s="66" t="s">
        <v>218</v>
      </c>
      <c r="D2191" s="3" t="s">
        <v>14</v>
      </c>
      <c r="E2191" s="64">
        <v>1</v>
      </c>
    </row>
    <row r="2192" spans="1:5">
      <c r="A2192" s="64" t="s">
        <v>12</v>
      </c>
      <c r="B2192" s="65">
        <v>43468</v>
      </c>
      <c r="C2192" s="66" t="s">
        <v>219</v>
      </c>
      <c r="D2192" s="3" t="s">
        <v>14</v>
      </c>
      <c r="E2192" s="64">
        <v>1</v>
      </c>
    </row>
    <row r="2193" spans="1:5">
      <c r="A2193" s="64" t="s">
        <v>12</v>
      </c>
      <c r="B2193" s="65">
        <v>43469</v>
      </c>
      <c r="C2193" s="66" t="s">
        <v>220</v>
      </c>
      <c r="D2193" s="3" t="s">
        <v>14</v>
      </c>
      <c r="E2193" s="64">
        <v>1</v>
      </c>
    </row>
    <row r="2194" spans="1:5">
      <c r="A2194" s="64" t="s">
        <v>12</v>
      </c>
      <c r="B2194" s="65">
        <v>43470</v>
      </c>
      <c r="C2194" s="66" t="s">
        <v>221</v>
      </c>
      <c r="D2194" s="3" t="s">
        <v>14</v>
      </c>
      <c r="E2194" s="64">
        <v>1</v>
      </c>
    </row>
    <row r="2195" spans="1:5">
      <c r="A2195" s="64" t="s">
        <v>12</v>
      </c>
      <c r="B2195" s="65">
        <v>43471</v>
      </c>
      <c r="C2195" s="66" t="s">
        <v>222</v>
      </c>
      <c r="D2195" s="3" t="s">
        <v>14</v>
      </c>
      <c r="E2195" s="64">
        <v>1</v>
      </c>
    </row>
    <row r="2196" spans="1:5">
      <c r="A2196" s="64" t="s">
        <v>12</v>
      </c>
      <c r="B2196" s="65">
        <v>43472</v>
      </c>
      <c r="C2196" s="66" t="s">
        <v>216</v>
      </c>
      <c r="D2196" s="3" t="s">
        <v>14</v>
      </c>
      <c r="E2196" s="64">
        <v>1</v>
      </c>
    </row>
    <row r="2197" spans="1:5">
      <c r="A2197" s="64" t="s">
        <v>12</v>
      </c>
      <c r="B2197" s="65">
        <v>43473</v>
      </c>
      <c r="C2197" s="66" t="s">
        <v>217</v>
      </c>
      <c r="D2197" s="3" t="s">
        <v>14</v>
      </c>
      <c r="E2197" s="64">
        <v>1</v>
      </c>
    </row>
    <row r="2198" spans="1:5">
      <c r="A2198" s="64" t="s">
        <v>12</v>
      </c>
      <c r="B2198" s="65">
        <v>43474</v>
      </c>
      <c r="C2198" s="66" t="s">
        <v>218</v>
      </c>
      <c r="D2198" s="3" t="s">
        <v>14</v>
      </c>
      <c r="E2198" s="64">
        <v>1</v>
      </c>
    </row>
    <row r="2199" spans="1:5">
      <c r="A2199" s="64" t="s">
        <v>12</v>
      </c>
      <c r="B2199" s="65">
        <v>43475</v>
      </c>
      <c r="C2199" s="66" t="s">
        <v>219</v>
      </c>
      <c r="D2199" s="3" t="s">
        <v>14</v>
      </c>
      <c r="E2199" s="64">
        <v>1</v>
      </c>
    </row>
    <row r="2200" spans="1:5">
      <c r="A2200" s="64" t="s">
        <v>12</v>
      </c>
      <c r="B2200" s="65">
        <v>43476</v>
      </c>
      <c r="C2200" s="66" t="s">
        <v>220</v>
      </c>
      <c r="D2200" s="3" t="s">
        <v>14</v>
      </c>
      <c r="E2200" s="64">
        <v>1</v>
      </c>
    </row>
    <row r="2201" spans="1:5">
      <c r="A2201" s="64" t="s">
        <v>12</v>
      </c>
      <c r="B2201" s="65">
        <v>43477</v>
      </c>
      <c r="C2201" s="66" t="s">
        <v>221</v>
      </c>
      <c r="D2201" s="3" t="s">
        <v>14</v>
      </c>
      <c r="E2201" s="64">
        <v>1</v>
      </c>
    </row>
    <row r="2202" spans="1:5">
      <c r="A2202" s="64" t="s">
        <v>12</v>
      </c>
      <c r="B2202" s="65">
        <v>43478</v>
      </c>
      <c r="C2202" s="66" t="s">
        <v>222</v>
      </c>
      <c r="D2202" s="3" t="s">
        <v>14</v>
      </c>
      <c r="E2202" s="64">
        <v>1</v>
      </c>
    </row>
    <row r="2203" spans="1:5">
      <c r="A2203" s="64" t="s">
        <v>12</v>
      </c>
      <c r="B2203" s="65">
        <v>43479</v>
      </c>
      <c r="C2203" s="66" t="s">
        <v>216</v>
      </c>
      <c r="D2203" s="3" t="s">
        <v>14</v>
      </c>
      <c r="E2203" s="64">
        <v>1</v>
      </c>
    </row>
    <row r="2204" spans="1:5">
      <c r="A2204" s="64" t="s">
        <v>12</v>
      </c>
      <c r="B2204" s="65">
        <v>43480</v>
      </c>
      <c r="C2204" s="66" t="s">
        <v>217</v>
      </c>
      <c r="D2204" s="3" t="s">
        <v>14</v>
      </c>
      <c r="E2204" s="64">
        <v>1</v>
      </c>
    </row>
    <row r="2205" spans="1:5">
      <c r="A2205" s="64" t="s">
        <v>15</v>
      </c>
      <c r="B2205" s="65">
        <v>43472</v>
      </c>
      <c r="C2205" s="66" t="s">
        <v>216</v>
      </c>
      <c r="D2205" s="3" t="s">
        <v>16</v>
      </c>
      <c r="E2205" s="64">
        <v>1</v>
      </c>
    </row>
    <row r="2206" spans="1:5">
      <c r="A2206" s="64" t="s">
        <v>15</v>
      </c>
      <c r="B2206" s="65">
        <v>43473</v>
      </c>
      <c r="C2206" s="66" t="s">
        <v>217</v>
      </c>
      <c r="D2206" s="3" t="s">
        <v>16</v>
      </c>
      <c r="E2206" s="64">
        <v>1</v>
      </c>
    </row>
    <row r="2207" spans="1:5">
      <c r="A2207" s="64" t="s">
        <v>15</v>
      </c>
      <c r="B2207" s="65">
        <v>43474</v>
      </c>
      <c r="C2207" s="66" t="s">
        <v>218</v>
      </c>
      <c r="D2207" s="3" t="s">
        <v>16</v>
      </c>
      <c r="E2207" s="64">
        <v>1</v>
      </c>
    </row>
    <row r="2208" spans="1:5">
      <c r="A2208" s="64" t="s">
        <v>15</v>
      </c>
      <c r="B2208" s="65">
        <v>43475</v>
      </c>
      <c r="C2208" s="66" t="s">
        <v>219</v>
      </c>
      <c r="D2208" s="3" t="s">
        <v>16</v>
      </c>
      <c r="E2208" s="64">
        <v>1</v>
      </c>
    </row>
    <row r="2209" spans="1:5">
      <c r="A2209" s="64" t="s">
        <v>15</v>
      </c>
      <c r="B2209" s="65">
        <v>43476</v>
      </c>
      <c r="C2209" s="66" t="s">
        <v>220</v>
      </c>
      <c r="D2209" s="3" t="s">
        <v>16</v>
      </c>
      <c r="E2209" s="64">
        <v>1</v>
      </c>
    </row>
    <row r="2210" spans="1:5">
      <c r="A2210" s="64" t="s">
        <v>15</v>
      </c>
      <c r="B2210" s="65">
        <v>43479</v>
      </c>
      <c r="C2210" s="66" t="s">
        <v>216</v>
      </c>
      <c r="D2210" s="3" t="s">
        <v>16</v>
      </c>
      <c r="E2210" s="64">
        <v>1</v>
      </c>
    </row>
    <row r="2211" spans="1:5">
      <c r="A2211" s="64" t="s">
        <v>15</v>
      </c>
      <c r="B2211" s="65">
        <v>43480</v>
      </c>
      <c r="C2211" s="66" t="s">
        <v>217</v>
      </c>
      <c r="D2211" s="3" t="s">
        <v>16</v>
      </c>
      <c r="E2211" s="64">
        <v>1</v>
      </c>
    </row>
    <row r="2212" spans="1:5">
      <c r="A2212" s="64" t="s">
        <v>15</v>
      </c>
      <c r="B2212" s="65">
        <v>43481</v>
      </c>
      <c r="C2212" s="66" t="s">
        <v>218</v>
      </c>
      <c r="D2212" s="3" t="s">
        <v>16</v>
      </c>
      <c r="E2212" s="64">
        <v>1</v>
      </c>
    </row>
    <row r="2213" spans="1:5">
      <c r="A2213" s="64" t="s">
        <v>15</v>
      </c>
      <c r="B2213" s="65">
        <v>43482</v>
      </c>
      <c r="C2213" s="66" t="s">
        <v>219</v>
      </c>
      <c r="D2213" s="3" t="s">
        <v>16</v>
      </c>
      <c r="E2213" s="64">
        <v>1</v>
      </c>
    </row>
    <row r="2214" spans="1:5">
      <c r="A2214" s="64" t="s">
        <v>15</v>
      </c>
      <c r="B2214" s="65">
        <v>43483</v>
      </c>
      <c r="C2214" s="66" t="s">
        <v>220</v>
      </c>
      <c r="D2214" s="3" t="s">
        <v>16</v>
      </c>
      <c r="E2214" s="64">
        <v>1</v>
      </c>
    </row>
    <row r="2215" spans="1:5">
      <c r="A2215" s="64" t="s">
        <v>15</v>
      </c>
      <c r="B2215" s="65">
        <v>43486</v>
      </c>
      <c r="C2215" s="66" t="s">
        <v>216</v>
      </c>
      <c r="D2215" s="3" t="s">
        <v>16</v>
      </c>
      <c r="E2215" s="64">
        <v>1</v>
      </c>
    </row>
    <row r="2216" spans="1:5">
      <c r="A2216" s="64" t="s">
        <v>15</v>
      </c>
      <c r="B2216" s="65">
        <v>43487</v>
      </c>
      <c r="C2216" s="66" t="s">
        <v>217</v>
      </c>
      <c r="D2216" s="3" t="s">
        <v>16</v>
      </c>
      <c r="E2216" s="64">
        <v>1</v>
      </c>
    </row>
    <row r="2217" spans="1:5">
      <c r="A2217" s="64" t="s">
        <v>15</v>
      </c>
      <c r="B2217" s="65">
        <v>43488</v>
      </c>
      <c r="C2217" s="66" t="s">
        <v>218</v>
      </c>
      <c r="D2217" s="3" t="s">
        <v>16</v>
      </c>
      <c r="E2217" s="64">
        <v>1</v>
      </c>
    </row>
    <row r="2218" spans="1:5">
      <c r="A2218" s="64" t="s">
        <v>15</v>
      </c>
      <c r="B2218" s="65">
        <v>43489</v>
      </c>
      <c r="C2218" s="66" t="s">
        <v>219</v>
      </c>
      <c r="D2218" s="3" t="s">
        <v>16</v>
      </c>
      <c r="E2218" s="64">
        <v>1</v>
      </c>
    </row>
    <row r="2219" spans="1:5">
      <c r="A2219" s="64" t="s">
        <v>15</v>
      </c>
      <c r="B2219" s="65">
        <v>43490</v>
      </c>
      <c r="C2219" s="66" t="s">
        <v>220</v>
      </c>
      <c r="D2219" s="3" t="s">
        <v>16</v>
      </c>
      <c r="E2219" s="64">
        <v>1</v>
      </c>
    </row>
    <row r="2220" spans="1:5">
      <c r="A2220" s="64" t="s">
        <v>15</v>
      </c>
      <c r="B2220" s="65">
        <v>43493</v>
      </c>
      <c r="C2220" s="66" t="s">
        <v>216</v>
      </c>
      <c r="D2220" s="3" t="s">
        <v>16</v>
      </c>
      <c r="E2220" s="64">
        <v>1</v>
      </c>
    </row>
    <row r="2221" spans="1:5">
      <c r="A2221" s="64" t="s">
        <v>15</v>
      </c>
      <c r="B2221" s="65">
        <v>43494</v>
      </c>
      <c r="C2221" s="66" t="s">
        <v>217</v>
      </c>
      <c r="D2221" s="3" t="s">
        <v>16</v>
      </c>
      <c r="E2221" s="64">
        <v>1</v>
      </c>
    </row>
    <row r="2222" spans="1:5">
      <c r="A2222" s="64" t="s">
        <v>15</v>
      </c>
      <c r="B2222" s="65">
        <v>43495</v>
      </c>
      <c r="C2222" s="66" t="s">
        <v>218</v>
      </c>
      <c r="D2222" s="3" t="s">
        <v>16</v>
      </c>
      <c r="E2222" s="64">
        <v>1</v>
      </c>
    </row>
    <row r="2223" spans="1:5">
      <c r="A2223" s="64" t="s">
        <v>15</v>
      </c>
      <c r="B2223" s="65">
        <v>43496</v>
      </c>
      <c r="C2223" s="66" t="s">
        <v>219</v>
      </c>
      <c r="D2223" s="3" t="s">
        <v>16</v>
      </c>
      <c r="E2223" s="64">
        <v>1</v>
      </c>
    </row>
    <row r="2224" spans="1:5">
      <c r="A2224" s="64" t="s">
        <v>15</v>
      </c>
      <c r="B2224" s="65">
        <v>43497</v>
      </c>
      <c r="C2224" s="66" t="s">
        <v>220</v>
      </c>
      <c r="D2224" s="3" t="s">
        <v>16</v>
      </c>
      <c r="E2224" s="64">
        <v>1</v>
      </c>
    </row>
    <row r="2225" spans="1:5">
      <c r="A2225" s="64" t="s">
        <v>15</v>
      </c>
      <c r="B2225" s="65">
        <v>43500</v>
      </c>
      <c r="C2225" s="66" t="s">
        <v>216</v>
      </c>
      <c r="D2225" s="3" t="s">
        <v>16</v>
      </c>
      <c r="E2225" s="64">
        <v>1</v>
      </c>
    </row>
    <row r="2226" spans="1:5">
      <c r="A2226" s="64" t="s">
        <v>15</v>
      </c>
      <c r="B2226" s="65">
        <v>43501</v>
      </c>
      <c r="C2226" s="66" t="s">
        <v>217</v>
      </c>
      <c r="D2226" s="3" t="s">
        <v>16</v>
      </c>
      <c r="E2226" s="64">
        <v>1</v>
      </c>
    </row>
    <row r="2227" spans="1:5">
      <c r="A2227" s="64" t="s">
        <v>15</v>
      </c>
      <c r="B2227" s="65">
        <v>43502</v>
      </c>
      <c r="C2227" s="66" t="s">
        <v>218</v>
      </c>
      <c r="D2227" s="3" t="s">
        <v>16</v>
      </c>
      <c r="E2227" s="64">
        <v>1</v>
      </c>
    </row>
    <row r="2228" spans="1:5">
      <c r="A2228" s="64" t="s">
        <v>15</v>
      </c>
      <c r="B2228" s="65">
        <v>43503</v>
      </c>
      <c r="C2228" s="66" t="s">
        <v>219</v>
      </c>
      <c r="D2228" s="3" t="s">
        <v>16</v>
      </c>
      <c r="E2228" s="64">
        <v>1</v>
      </c>
    </row>
    <row r="2229" spans="1:5">
      <c r="A2229" s="64" t="s">
        <v>15</v>
      </c>
      <c r="B2229" s="65">
        <v>43504</v>
      </c>
      <c r="C2229" s="66" t="s">
        <v>220</v>
      </c>
      <c r="D2229" s="3" t="s">
        <v>16</v>
      </c>
      <c r="E2229" s="64">
        <v>1</v>
      </c>
    </row>
    <row r="2230" spans="1:5">
      <c r="A2230" s="64" t="s">
        <v>15</v>
      </c>
      <c r="B2230" s="65">
        <v>43507</v>
      </c>
      <c r="C2230" s="66" t="s">
        <v>216</v>
      </c>
      <c r="D2230" s="3" t="s">
        <v>16</v>
      </c>
      <c r="E2230" s="64">
        <v>1</v>
      </c>
    </row>
    <row r="2231" spans="1:5">
      <c r="A2231" s="64" t="s">
        <v>15</v>
      </c>
      <c r="B2231" s="65">
        <v>43508</v>
      </c>
      <c r="C2231" s="66" t="s">
        <v>217</v>
      </c>
      <c r="D2231" s="3" t="s">
        <v>16</v>
      </c>
      <c r="E2231" s="64">
        <v>1</v>
      </c>
    </row>
    <row r="2232" spans="1:5">
      <c r="A2232" s="64" t="s">
        <v>15</v>
      </c>
      <c r="B2232" s="65">
        <v>43509</v>
      </c>
      <c r="C2232" s="66" t="s">
        <v>218</v>
      </c>
      <c r="D2232" s="3" t="s">
        <v>16</v>
      </c>
      <c r="E2232" s="64">
        <v>1</v>
      </c>
    </row>
    <row r="2233" spans="1:5">
      <c r="A2233" s="64" t="s">
        <v>15</v>
      </c>
      <c r="B2233" s="65">
        <v>43510</v>
      </c>
      <c r="C2233" s="66" t="s">
        <v>219</v>
      </c>
      <c r="D2233" s="3" t="s">
        <v>16</v>
      </c>
      <c r="E2233" s="64">
        <v>1</v>
      </c>
    </row>
    <row r="2234" spans="1:5">
      <c r="A2234" s="64" t="s">
        <v>15</v>
      </c>
      <c r="B2234" s="65">
        <v>43511</v>
      </c>
      <c r="C2234" s="66" t="s">
        <v>220</v>
      </c>
      <c r="D2234" s="3" t="s">
        <v>16</v>
      </c>
      <c r="E2234" s="64">
        <v>1</v>
      </c>
    </row>
    <row r="2235" spans="1:5">
      <c r="A2235" s="64" t="s">
        <v>15</v>
      </c>
      <c r="B2235" s="65">
        <v>43514</v>
      </c>
      <c r="C2235" s="66" t="s">
        <v>216</v>
      </c>
      <c r="D2235" s="3" t="s">
        <v>16</v>
      </c>
      <c r="E2235" s="64">
        <v>1</v>
      </c>
    </row>
    <row r="2236" spans="1:5">
      <c r="A2236" s="64" t="s">
        <v>15</v>
      </c>
      <c r="B2236" s="65">
        <v>43515</v>
      </c>
      <c r="C2236" s="66" t="s">
        <v>217</v>
      </c>
      <c r="D2236" s="3" t="s">
        <v>16</v>
      </c>
      <c r="E2236" s="64">
        <v>1</v>
      </c>
    </row>
    <row r="2237" spans="1:5">
      <c r="A2237" s="64" t="s">
        <v>15</v>
      </c>
      <c r="B2237" s="65">
        <v>43516</v>
      </c>
      <c r="C2237" s="66" t="s">
        <v>218</v>
      </c>
      <c r="D2237" s="3" t="s">
        <v>16</v>
      </c>
      <c r="E2237" s="64">
        <v>1</v>
      </c>
    </row>
    <row r="2238" spans="1:5">
      <c r="A2238" s="64" t="s">
        <v>15</v>
      </c>
      <c r="B2238" s="65">
        <v>43517</v>
      </c>
      <c r="C2238" s="66" t="s">
        <v>219</v>
      </c>
      <c r="D2238" s="3" t="s">
        <v>16</v>
      </c>
      <c r="E2238" s="64">
        <v>1</v>
      </c>
    </row>
    <row r="2239" spans="1:5">
      <c r="A2239" s="64" t="s">
        <v>15</v>
      </c>
      <c r="B2239" s="65">
        <v>43518</v>
      </c>
      <c r="C2239" s="66" t="s">
        <v>220</v>
      </c>
      <c r="D2239" s="3" t="s">
        <v>16</v>
      </c>
      <c r="E2239" s="64">
        <v>1</v>
      </c>
    </row>
    <row r="2240" spans="1:5">
      <c r="A2240" s="64" t="s">
        <v>15</v>
      </c>
      <c r="B2240" s="65">
        <v>43521</v>
      </c>
      <c r="C2240" s="66" t="s">
        <v>216</v>
      </c>
      <c r="D2240" s="3" t="s">
        <v>16</v>
      </c>
      <c r="E2240" s="64">
        <v>1</v>
      </c>
    </row>
    <row r="2241" spans="1:5">
      <c r="A2241" s="64" t="s">
        <v>15</v>
      </c>
      <c r="B2241" s="65">
        <v>43522</v>
      </c>
      <c r="C2241" s="66" t="s">
        <v>217</v>
      </c>
      <c r="D2241" s="3" t="s">
        <v>16</v>
      </c>
      <c r="E2241" s="64">
        <v>1</v>
      </c>
    </row>
    <row r="2242" spans="1:5">
      <c r="A2242" s="64" t="s">
        <v>15</v>
      </c>
      <c r="B2242" s="65">
        <v>43523</v>
      </c>
      <c r="C2242" s="66" t="s">
        <v>218</v>
      </c>
      <c r="D2242" s="3" t="s">
        <v>16</v>
      </c>
      <c r="E2242" s="64">
        <v>1</v>
      </c>
    </row>
    <row r="2243" spans="1:5">
      <c r="A2243" s="64" t="s">
        <v>15</v>
      </c>
      <c r="B2243" s="65">
        <v>43524</v>
      </c>
      <c r="C2243" s="66" t="s">
        <v>219</v>
      </c>
      <c r="D2243" s="3" t="s">
        <v>16</v>
      </c>
      <c r="E2243" s="64">
        <v>1</v>
      </c>
    </row>
    <row r="2244" spans="1:5">
      <c r="A2244" s="64" t="s">
        <v>15</v>
      </c>
      <c r="B2244" s="65">
        <v>43525</v>
      </c>
      <c r="C2244" s="66" t="s">
        <v>220</v>
      </c>
      <c r="D2244" s="3" t="s">
        <v>16</v>
      </c>
      <c r="E2244" s="64">
        <v>1</v>
      </c>
    </row>
    <row r="2245" spans="1:5">
      <c r="A2245" s="64" t="s">
        <v>15</v>
      </c>
      <c r="B2245" s="65">
        <v>43528</v>
      </c>
      <c r="C2245" s="66" t="s">
        <v>216</v>
      </c>
      <c r="D2245" s="3" t="s">
        <v>16</v>
      </c>
      <c r="E2245" s="64">
        <v>1</v>
      </c>
    </row>
    <row r="2246" spans="1:5">
      <c r="A2246" s="64" t="s">
        <v>15</v>
      </c>
      <c r="B2246" s="65">
        <v>43529</v>
      </c>
      <c r="C2246" s="66" t="s">
        <v>217</v>
      </c>
      <c r="D2246" s="3" t="s">
        <v>16</v>
      </c>
      <c r="E2246" s="64">
        <v>1</v>
      </c>
    </row>
    <row r="2247" spans="1:5">
      <c r="A2247" s="64" t="s">
        <v>15</v>
      </c>
      <c r="B2247" s="65">
        <v>43530</v>
      </c>
      <c r="C2247" s="66" t="s">
        <v>218</v>
      </c>
      <c r="D2247" s="3" t="s">
        <v>16</v>
      </c>
      <c r="E2247" s="64">
        <v>1</v>
      </c>
    </row>
    <row r="2248" spans="1:5">
      <c r="A2248" s="64" t="s">
        <v>15</v>
      </c>
      <c r="B2248" s="65">
        <v>43531</v>
      </c>
      <c r="C2248" s="66" t="s">
        <v>219</v>
      </c>
      <c r="D2248" s="3" t="s">
        <v>16</v>
      </c>
      <c r="E2248" s="64">
        <v>1</v>
      </c>
    </row>
    <row r="2249" spans="1:5">
      <c r="A2249" s="64" t="s">
        <v>15</v>
      </c>
      <c r="B2249" s="65">
        <v>43532</v>
      </c>
      <c r="C2249" s="66" t="s">
        <v>220</v>
      </c>
      <c r="D2249" s="3" t="s">
        <v>16</v>
      </c>
      <c r="E2249" s="64">
        <v>1</v>
      </c>
    </row>
    <row r="2250" spans="1:5">
      <c r="A2250" s="64" t="s">
        <v>15</v>
      </c>
      <c r="B2250" s="65">
        <v>43535</v>
      </c>
      <c r="C2250" s="66" t="s">
        <v>216</v>
      </c>
      <c r="D2250" s="3" t="s">
        <v>16</v>
      </c>
      <c r="E2250" s="64">
        <v>1</v>
      </c>
    </row>
    <row r="2251" spans="1:5">
      <c r="A2251" s="64" t="s">
        <v>15</v>
      </c>
      <c r="B2251" s="65">
        <v>43536</v>
      </c>
      <c r="C2251" s="66" t="s">
        <v>217</v>
      </c>
      <c r="D2251" s="3" t="s">
        <v>16</v>
      </c>
      <c r="E2251" s="64">
        <v>1</v>
      </c>
    </row>
    <row r="2252" spans="1:5">
      <c r="A2252" s="64" t="s">
        <v>15</v>
      </c>
      <c r="B2252" s="65">
        <v>43537</v>
      </c>
      <c r="C2252" s="66" t="s">
        <v>218</v>
      </c>
      <c r="D2252" s="3" t="s">
        <v>16</v>
      </c>
      <c r="E2252" s="64">
        <v>1</v>
      </c>
    </row>
    <row r="2253" spans="1:5">
      <c r="A2253" s="64" t="s">
        <v>15</v>
      </c>
      <c r="B2253" s="65">
        <v>43538</v>
      </c>
      <c r="C2253" s="66" t="s">
        <v>219</v>
      </c>
      <c r="D2253" s="3" t="s">
        <v>16</v>
      </c>
      <c r="E2253" s="64">
        <v>1</v>
      </c>
    </row>
    <row r="2254" spans="1:5">
      <c r="A2254" s="64" t="s">
        <v>15</v>
      </c>
      <c r="B2254" s="65">
        <v>43539</v>
      </c>
      <c r="C2254" s="66" t="s">
        <v>220</v>
      </c>
      <c r="D2254" s="3" t="s">
        <v>16</v>
      </c>
      <c r="E2254" s="64">
        <v>1</v>
      </c>
    </row>
    <row r="2255" spans="1:5">
      <c r="A2255" s="64" t="s">
        <v>15</v>
      </c>
      <c r="B2255" s="65">
        <v>43542</v>
      </c>
      <c r="C2255" s="66" t="s">
        <v>216</v>
      </c>
      <c r="D2255" s="3" t="s">
        <v>16</v>
      </c>
      <c r="E2255" s="64">
        <v>1</v>
      </c>
    </row>
    <row r="2256" spans="1:5">
      <c r="A2256" s="64" t="s">
        <v>15</v>
      </c>
      <c r="B2256" s="65">
        <v>43543</v>
      </c>
      <c r="C2256" s="66" t="s">
        <v>217</v>
      </c>
      <c r="D2256" s="3" t="s">
        <v>16</v>
      </c>
      <c r="E2256" s="64">
        <v>1</v>
      </c>
    </row>
    <row r="2257" spans="1:5">
      <c r="A2257" s="64" t="s">
        <v>15</v>
      </c>
      <c r="B2257" s="65">
        <v>43544</v>
      </c>
      <c r="C2257" s="66" t="s">
        <v>218</v>
      </c>
      <c r="D2257" s="3" t="s">
        <v>16</v>
      </c>
      <c r="E2257" s="64">
        <v>1</v>
      </c>
    </row>
    <row r="2258" spans="1:5">
      <c r="A2258" s="64" t="s">
        <v>15</v>
      </c>
      <c r="B2258" s="65">
        <v>43545</v>
      </c>
      <c r="C2258" s="66" t="s">
        <v>219</v>
      </c>
      <c r="D2258" s="3" t="s">
        <v>16</v>
      </c>
      <c r="E2258" s="64">
        <v>1</v>
      </c>
    </row>
    <row r="2259" spans="1:5">
      <c r="A2259" s="64" t="s">
        <v>15</v>
      </c>
      <c r="B2259" s="65">
        <v>43546</v>
      </c>
      <c r="C2259" s="66" t="s">
        <v>220</v>
      </c>
      <c r="D2259" s="3" t="s">
        <v>16</v>
      </c>
      <c r="E2259" s="64">
        <v>1</v>
      </c>
    </row>
    <row r="2260" spans="1:5">
      <c r="A2260" s="64" t="s">
        <v>15</v>
      </c>
      <c r="B2260" s="65">
        <v>43549</v>
      </c>
      <c r="C2260" s="66" t="s">
        <v>216</v>
      </c>
      <c r="D2260" s="3" t="s">
        <v>16</v>
      </c>
      <c r="E2260" s="64">
        <v>1</v>
      </c>
    </row>
    <row r="2261" spans="1:5">
      <c r="A2261" s="64" t="s">
        <v>15</v>
      </c>
      <c r="B2261" s="65">
        <v>43550</v>
      </c>
      <c r="C2261" s="66" t="s">
        <v>217</v>
      </c>
      <c r="D2261" s="3" t="s">
        <v>16</v>
      </c>
      <c r="E2261" s="64">
        <v>1</v>
      </c>
    </row>
    <row r="2262" spans="1:5">
      <c r="A2262" s="64" t="s">
        <v>15</v>
      </c>
      <c r="B2262" s="65">
        <v>43551</v>
      </c>
      <c r="C2262" s="66" t="s">
        <v>218</v>
      </c>
      <c r="D2262" s="3" t="s">
        <v>16</v>
      </c>
      <c r="E2262" s="64">
        <v>1</v>
      </c>
    </row>
    <row r="2263" spans="1:5">
      <c r="A2263" s="64" t="s">
        <v>15</v>
      </c>
      <c r="B2263" s="65">
        <v>43552</v>
      </c>
      <c r="C2263" s="66" t="s">
        <v>219</v>
      </c>
      <c r="D2263" s="3" t="s">
        <v>16</v>
      </c>
      <c r="E2263" s="64">
        <v>1</v>
      </c>
    </row>
    <row r="2264" spans="1:5">
      <c r="A2264" s="64" t="s">
        <v>15</v>
      </c>
      <c r="B2264" s="65">
        <v>43553</v>
      </c>
      <c r="C2264" s="66" t="s">
        <v>220</v>
      </c>
      <c r="D2264" s="3" t="s">
        <v>16</v>
      </c>
      <c r="E2264" s="64">
        <v>1</v>
      </c>
    </row>
    <row r="2265" spans="1:5">
      <c r="A2265" s="64" t="s">
        <v>15</v>
      </c>
      <c r="B2265" s="65">
        <v>43556</v>
      </c>
      <c r="C2265" s="66" t="s">
        <v>216</v>
      </c>
      <c r="D2265" s="3" t="s">
        <v>16</v>
      </c>
      <c r="E2265" s="64">
        <v>1</v>
      </c>
    </row>
    <row r="2266" spans="1:5">
      <c r="A2266" s="64" t="s">
        <v>15</v>
      </c>
      <c r="B2266" s="65">
        <v>43557</v>
      </c>
      <c r="C2266" s="66" t="s">
        <v>217</v>
      </c>
      <c r="D2266" s="3" t="s">
        <v>16</v>
      </c>
      <c r="E2266" s="64">
        <v>1</v>
      </c>
    </row>
    <row r="2267" spans="1:5">
      <c r="A2267" s="64" t="s">
        <v>15</v>
      </c>
      <c r="B2267" s="65">
        <v>43558</v>
      </c>
      <c r="C2267" s="66" t="s">
        <v>218</v>
      </c>
      <c r="D2267" s="3" t="s">
        <v>16</v>
      </c>
      <c r="E2267" s="64">
        <v>1</v>
      </c>
    </row>
    <row r="2268" spans="1:5">
      <c r="A2268" s="64" t="s">
        <v>15</v>
      </c>
      <c r="B2268" s="65">
        <v>43559</v>
      </c>
      <c r="C2268" s="66" t="s">
        <v>219</v>
      </c>
      <c r="D2268" s="3" t="s">
        <v>16</v>
      </c>
      <c r="E2268" s="64">
        <v>1</v>
      </c>
    </row>
    <row r="2269" spans="1:5">
      <c r="A2269" s="64" t="s">
        <v>15</v>
      </c>
      <c r="B2269" s="65">
        <v>43560</v>
      </c>
      <c r="C2269" s="66" t="s">
        <v>220</v>
      </c>
      <c r="D2269" s="3" t="s">
        <v>16</v>
      </c>
      <c r="E2269" s="64">
        <v>1</v>
      </c>
    </row>
    <row r="2270" spans="1:5">
      <c r="A2270" s="64" t="s">
        <v>15</v>
      </c>
      <c r="B2270" s="65">
        <v>43563</v>
      </c>
      <c r="C2270" s="66" t="s">
        <v>216</v>
      </c>
      <c r="D2270" s="3" t="s">
        <v>16</v>
      </c>
      <c r="E2270" s="64">
        <v>1</v>
      </c>
    </row>
    <row r="2271" spans="1:5">
      <c r="A2271" s="64" t="s">
        <v>15</v>
      </c>
      <c r="B2271" s="65">
        <v>43564</v>
      </c>
      <c r="C2271" s="66" t="s">
        <v>217</v>
      </c>
      <c r="D2271" s="3" t="s">
        <v>16</v>
      </c>
      <c r="E2271" s="64">
        <v>1</v>
      </c>
    </row>
    <row r="2272" spans="1:5">
      <c r="A2272" s="64" t="s">
        <v>15</v>
      </c>
      <c r="B2272" s="65">
        <v>43565</v>
      </c>
      <c r="C2272" s="66" t="s">
        <v>218</v>
      </c>
      <c r="D2272" s="3" t="s">
        <v>16</v>
      </c>
      <c r="E2272" s="64">
        <v>1</v>
      </c>
    </row>
    <row r="2273" spans="1:5">
      <c r="A2273" s="64" t="s">
        <v>15</v>
      </c>
      <c r="B2273" s="65">
        <v>43566</v>
      </c>
      <c r="C2273" s="66" t="s">
        <v>219</v>
      </c>
      <c r="D2273" s="3" t="s">
        <v>16</v>
      </c>
      <c r="E2273" s="64">
        <v>1</v>
      </c>
    </row>
    <row r="2274" spans="1:5">
      <c r="A2274" s="64" t="s">
        <v>15</v>
      </c>
      <c r="B2274" s="65">
        <v>43567</v>
      </c>
      <c r="C2274" s="66" t="s">
        <v>220</v>
      </c>
      <c r="D2274" s="3" t="s">
        <v>16</v>
      </c>
      <c r="E2274" s="64">
        <v>1</v>
      </c>
    </row>
    <row r="2275" spans="1:5">
      <c r="A2275" s="64" t="s">
        <v>15</v>
      </c>
      <c r="B2275" s="65">
        <v>43570</v>
      </c>
      <c r="C2275" s="66" t="s">
        <v>216</v>
      </c>
      <c r="D2275" s="3" t="s">
        <v>16</v>
      </c>
      <c r="E2275" s="64">
        <v>1</v>
      </c>
    </row>
    <row r="2276" spans="1:5">
      <c r="A2276" s="64" t="s">
        <v>15</v>
      </c>
      <c r="B2276" s="65">
        <v>43571</v>
      </c>
      <c r="C2276" s="66" t="s">
        <v>217</v>
      </c>
      <c r="D2276" s="3" t="s">
        <v>16</v>
      </c>
      <c r="E2276" s="64">
        <v>1</v>
      </c>
    </row>
    <row r="2277" spans="1:5">
      <c r="A2277" s="64" t="s">
        <v>15</v>
      </c>
      <c r="B2277" s="65">
        <v>43572</v>
      </c>
      <c r="C2277" s="66" t="s">
        <v>218</v>
      </c>
      <c r="D2277" s="3" t="s">
        <v>16</v>
      </c>
      <c r="E2277" s="64">
        <v>1</v>
      </c>
    </row>
    <row r="2278" spans="1:5">
      <c r="A2278" s="64" t="s">
        <v>15</v>
      </c>
      <c r="B2278" s="65">
        <v>43573</v>
      </c>
      <c r="C2278" s="66" t="s">
        <v>219</v>
      </c>
      <c r="D2278" s="3" t="s">
        <v>16</v>
      </c>
      <c r="E2278" s="64">
        <v>1</v>
      </c>
    </row>
    <row r="2279" spans="1:5">
      <c r="A2279" s="64" t="s">
        <v>15</v>
      </c>
      <c r="B2279" s="65">
        <v>43574</v>
      </c>
      <c r="C2279" s="66" t="s">
        <v>220</v>
      </c>
      <c r="D2279" s="3" t="s">
        <v>16</v>
      </c>
      <c r="E2279" s="64">
        <v>1</v>
      </c>
    </row>
    <row r="2280" spans="1:5">
      <c r="A2280" s="64" t="s">
        <v>15</v>
      </c>
      <c r="B2280" s="65">
        <v>43577</v>
      </c>
      <c r="C2280" s="66" t="s">
        <v>216</v>
      </c>
      <c r="D2280" s="3" t="s">
        <v>16</v>
      </c>
      <c r="E2280" s="64">
        <v>1</v>
      </c>
    </row>
    <row r="2281" spans="1:5">
      <c r="A2281" s="64" t="s">
        <v>15</v>
      </c>
      <c r="B2281" s="65">
        <v>43578</v>
      </c>
      <c r="C2281" s="66" t="s">
        <v>217</v>
      </c>
      <c r="D2281" s="3" t="s">
        <v>16</v>
      </c>
      <c r="E2281" s="64">
        <v>1</v>
      </c>
    </row>
    <row r="2282" spans="1:5">
      <c r="A2282" s="64" t="s">
        <v>15</v>
      </c>
      <c r="B2282" s="65">
        <v>43579</v>
      </c>
      <c r="C2282" s="66" t="s">
        <v>218</v>
      </c>
      <c r="D2282" s="3" t="s">
        <v>16</v>
      </c>
      <c r="E2282" s="64">
        <v>1</v>
      </c>
    </row>
    <row r="2283" spans="1:5">
      <c r="A2283" s="64" t="s">
        <v>15</v>
      </c>
      <c r="B2283" s="65">
        <v>43580</v>
      </c>
      <c r="C2283" s="66" t="s">
        <v>219</v>
      </c>
      <c r="D2283" s="3" t="s">
        <v>16</v>
      </c>
      <c r="E2283" s="64">
        <v>1</v>
      </c>
    </row>
    <row r="2284" spans="1:5">
      <c r="A2284" s="64" t="s">
        <v>15</v>
      </c>
      <c r="B2284" s="65">
        <v>43581</v>
      </c>
      <c r="C2284" s="66" t="s">
        <v>220</v>
      </c>
      <c r="D2284" s="3" t="s">
        <v>16</v>
      </c>
      <c r="E2284" s="64">
        <v>1</v>
      </c>
    </row>
    <row r="2285" spans="1:5">
      <c r="A2285" s="64" t="s">
        <v>15</v>
      </c>
      <c r="B2285" s="65">
        <v>43584</v>
      </c>
      <c r="C2285" s="66" t="s">
        <v>216</v>
      </c>
      <c r="D2285" s="3" t="s">
        <v>16</v>
      </c>
      <c r="E2285" s="64">
        <v>1</v>
      </c>
    </row>
    <row r="2286" spans="1:5">
      <c r="A2286" s="64" t="s">
        <v>15</v>
      </c>
      <c r="B2286" s="65">
        <v>43585</v>
      </c>
      <c r="C2286" s="66" t="s">
        <v>217</v>
      </c>
      <c r="D2286" s="3" t="s">
        <v>16</v>
      </c>
      <c r="E2286" s="64">
        <v>1</v>
      </c>
    </row>
    <row r="2287" spans="1:5">
      <c r="A2287" s="64" t="s">
        <v>15</v>
      </c>
      <c r="B2287" s="65">
        <v>43586</v>
      </c>
      <c r="C2287" s="66" t="s">
        <v>218</v>
      </c>
      <c r="D2287" s="3" t="s">
        <v>16</v>
      </c>
      <c r="E2287" s="64">
        <v>1</v>
      </c>
    </row>
    <row r="2288" spans="1:5">
      <c r="A2288" s="64" t="s">
        <v>15</v>
      </c>
      <c r="B2288" s="65">
        <v>43587</v>
      </c>
      <c r="C2288" s="66" t="s">
        <v>219</v>
      </c>
      <c r="D2288" s="3" t="s">
        <v>16</v>
      </c>
      <c r="E2288" s="64">
        <v>1</v>
      </c>
    </row>
    <row r="2289" spans="1:5">
      <c r="A2289" s="64" t="s">
        <v>15</v>
      </c>
      <c r="B2289" s="65">
        <v>43588</v>
      </c>
      <c r="C2289" s="66" t="s">
        <v>220</v>
      </c>
      <c r="D2289" s="3" t="s">
        <v>16</v>
      </c>
      <c r="E2289" s="64">
        <v>1</v>
      </c>
    </row>
    <row r="2290" spans="1:5">
      <c r="A2290" s="64" t="s">
        <v>15</v>
      </c>
      <c r="B2290" s="65">
        <v>43591</v>
      </c>
      <c r="C2290" s="66" t="s">
        <v>216</v>
      </c>
      <c r="D2290" s="3" t="s">
        <v>16</v>
      </c>
      <c r="E2290" s="64">
        <v>1</v>
      </c>
    </row>
    <row r="2291" spans="1:5">
      <c r="A2291" s="64" t="s">
        <v>15</v>
      </c>
      <c r="B2291" s="65">
        <v>43592</v>
      </c>
      <c r="C2291" s="66" t="s">
        <v>217</v>
      </c>
      <c r="D2291" s="3" t="s">
        <v>16</v>
      </c>
      <c r="E2291" s="64">
        <v>1</v>
      </c>
    </row>
    <row r="2292" spans="1:5">
      <c r="A2292" s="64" t="s">
        <v>15</v>
      </c>
      <c r="B2292" s="65">
        <v>43593</v>
      </c>
      <c r="C2292" s="66" t="s">
        <v>218</v>
      </c>
      <c r="D2292" s="3" t="s">
        <v>16</v>
      </c>
      <c r="E2292" s="64">
        <v>1</v>
      </c>
    </row>
    <row r="2293" spans="1:5">
      <c r="A2293" s="64" t="s">
        <v>15</v>
      </c>
      <c r="B2293" s="65">
        <v>43594</v>
      </c>
      <c r="C2293" s="66" t="s">
        <v>219</v>
      </c>
      <c r="D2293" s="3" t="s">
        <v>16</v>
      </c>
      <c r="E2293" s="64">
        <v>1</v>
      </c>
    </row>
    <row r="2294" spans="1:5">
      <c r="A2294" s="64" t="s">
        <v>15</v>
      </c>
      <c r="B2294" s="65">
        <v>43595</v>
      </c>
      <c r="C2294" s="66" t="s">
        <v>220</v>
      </c>
      <c r="D2294" s="3" t="s">
        <v>16</v>
      </c>
      <c r="E2294" s="64">
        <v>1</v>
      </c>
    </row>
    <row r="2295" spans="1:5">
      <c r="A2295" s="64" t="s">
        <v>15</v>
      </c>
      <c r="B2295" s="65">
        <v>43598</v>
      </c>
      <c r="C2295" s="66" t="s">
        <v>216</v>
      </c>
      <c r="D2295" s="3" t="s">
        <v>16</v>
      </c>
      <c r="E2295" s="64">
        <v>1</v>
      </c>
    </row>
    <row r="2296" spans="1:5">
      <c r="A2296" s="64" t="s">
        <v>15</v>
      </c>
      <c r="B2296" s="65">
        <v>43599</v>
      </c>
      <c r="C2296" s="66" t="s">
        <v>217</v>
      </c>
      <c r="D2296" s="3" t="s">
        <v>16</v>
      </c>
      <c r="E2296" s="64">
        <v>1</v>
      </c>
    </row>
    <row r="2297" spans="1:5">
      <c r="A2297" s="64" t="s">
        <v>15</v>
      </c>
      <c r="B2297" s="65">
        <v>43600</v>
      </c>
      <c r="C2297" s="66" t="s">
        <v>218</v>
      </c>
      <c r="D2297" s="3" t="s">
        <v>16</v>
      </c>
      <c r="E2297" s="64">
        <v>1</v>
      </c>
    </row>
    <row r="2298" spans="1:5">
      <c r="A2298" s="64" t="s">
        <v>15</v>
      </c>
      <c r="B2298" s="65">
        <v>43601</v>
      </c>
      <c r="C2298" s="66" t="s">
        <v>219</v>
      </c>
      <c r="D2298" s="3" t="s">
        <v>16</v>
      </c>
      <c r="E2298" s="64">
        <v>1</v>
      </c>
    </row>
    <row r="2299" spans="1:5">
      <c r="A2299" s="64" t="s">
        <v>15</v>
      </c>
      <c r="B2299" s="65">
        <v>43602</v>
      </c>
      <c r="C2299" s="66" t="s">
        <v>220</v>
      </c>
      <c r="D2299" s="3" t="s">
        <v>16</v>
      </c>
      <c r="E2299" s="64">
        <v>1</v>
      </c>
    </row>
    <row r="2300" spans="1:5">
      <c r="A2300" s="64" t="s">
        <v>15</v>
      </c>
      <c r="B2300" s="65">
        <v>43605</v>
      </c>
      <c r="C2300" s="66" t="s">
        <v>216</v>
      </c>
      <c r="D2300" s="3" t="s">
        <v>16</v>
      </c>
      <c r="E2300" s="64">
        <v>1</v>
      </c>
    </row>
    <row r="2301" spans="1:5">
      <c r="A2301" s="64" t="s">
        <v>15</v>
      </c>
      <c r="B2301" s="65">
        <v>43606</v>
      </c>
      <c r="C2301" s="66" t="s">
        <v>217</v>
      </c>
      <c r="D2301" s="3" t="s">
        <v>16</v>
      </c>
      <c r="E2301" s="64">
        <v>1</v>
      </c>
    </row>
    <row r="2302" spans="1:5">
      <c r="A2302" s="64" t="s">
        <v>15</v>
      </c>
      <c r="B2302" s="65">
        <v>43607</v>
      </c>
      <c r="C2302" s="66" t="s">
        <v>218</v>
      </c>
      <c r="D2302" s="3" t="s">
        <v>16</v>
      </c>
      <c r="E2302" s="64">
        <v>1</v>
      </c>
    </row>
    <row r="2303" spans="1:5">
      <c r="A2303" s="64" t="s">
        <v>15</v>
      </c>
      <c r="B2303" s="65">
        <v>43608</v>
      </c>
      <c r="C2303" s="66" t="s">
        <v>219</v>
      </c>
      <c r="D2303" s="3" t="s">
        <v>16</v>
      </c>
      <c r="E2303" s="64">
        <v>1</v>
      </c>
    </row>
    <row r="2304" spans="1:5">
      <c r="A2304" s="64" t="s">
        <v>15</v>
      </c>
      <c r="B2304" s="65">
        <v>43609</v>
      </c>
      <c r="C2304" s="66" t="s">
        <v>220</v>
      </c>
      <c r="D2304" s="3" t="s">
        <v>16</v>
      </c>
      <c r="E2304" s="64">
        <v>1</v>
      </c>
    </row>
    <row r="2305" spans="1:5">
      <c r="A2305" s="64" t="s">
        <v>15</v>
      </c>
      <c r="B2305" s="65">
        <v>43612</v>
      </c>
      <c r="C2305" s="66" t="s">
        <v>216</v>
      </c>
      <c r="D2305" s="3" t="s">
        <v>16</v>
      </c>
      <c r="E2305" s="64">
        <v>1</v>
      </c>
    </row>
    <row r="2306" spans="1:5">
      <c r="A2306" s="64" t="s">
        <v>15</v>
      </c>
      <c r="B2306" s="65">
        <v>43613</v>
      </c>
      <c r="C2306" s="66" t="s">
        <v>217</v>
      </c>
      <c r="D2306" s="3" t="s">
        <v>16</v>
      </c>
      <c r="E2306" s="64">
        <v>1</v>
      </c>
    </row>
    <row r="2307" spans="1:5">
      <c r="A2307" s="64" t="s">
        <v>15</v>
      </c>
      <c r="B2307" s="65">
        <v>43614</v>
      </c>
      <c r="C2307" s="66" t="s">
        <v>218</v>
      </c>
      <c r="D2307" s="3" t="s">
        <v>16</v>
      </c>
      <c r="E2307" s="64">
        <v>1</v>
      </c>
    </row>
    <row r="2308" spans="1:5">
      <c r="A2308" s="64" t="s">
        <v>15</v>
      </c>
      <c r="B2308" s="65">
        <v>43615</v>
      </c>
      <c r="C2308" s="66" t="s">
        <v>219</v>
      </c>
      <c r="D2308" s="3" t="s">
        <v>16</v>
      </c>
      <c r="E2308" s="64">
        <v>1</v>
      </c>
    </row>
    <row r="2309" spans="1:5">
      <c r="A2309" s="64" t="s">
        <v>15</v>
      </c>
      <c r="B2309" s="65">
        <v>43616</v>
      </c>
      <c r="C2309" s="66" t="s">
        <v>220</v>
      </c>
      <c r="D2309" s="3" t="s">
        <v>16</v>
      </c>
      <c r="E2309" s="64">
        <v>1</v>
      </c>
    </row>
    <row r="2310" spans="1:5">
      <c r="A2310" s="64" t="s">
        <v>15</v>
      </c>
      <c r="B2310" s="65">
        <v>43619</v>
      </c>
      <c r="C2310" s="66" t="s">
        <v>216</v>
      </c>
      <c r="D2310" s="3" t="s">
        <v>16</v>
      </c>
      <c r="E2310" s="64">
        <v>1</v>
      </c>
    </row>
    <row r="2311" spans="1:5">
      <c r="A2311" s="64" t="s">
        <v>15</v>
      </c>
      <c r="B2311" s="65">
        <v>43620</v>
      </c>
      <c r="C2311" s="66" t="s">
        <v>217</v>
      </c>
      <c r="D2311" s="3" t="s">
        <v>16</v>
      </c>
      <c r="E2311" s="64">
        <v>1</v>
      </c>
    </row>
    <row r="2312" spans="1:5">
      <c r="A2312" s="64" t="s">
        <v>15</v>
      </c>
      <c r="B2312" s="65">
        <v>43621</v>
      </c>
      <c r="C2312" s="66" t="s">
        <v>218</v>
      </c>
      <c r="D2312" s="3" t="s">
        <v>16</v>
      </c>
      <c r="E2312" s="64">
        <v>1</v>
      </c>
    </row>
    <row r="2313" spans="1:5">
      <c r="A2313" s="64" t="s">
        <v>15</v>
      </c>
      <c r="B2313" s="65">
        <v>43622</v>
      </c>
      <c r="C2313" s="66" t="s">
        <v>219</v>
      </c>
      <c r="D2313" s="3" t="s">
        <v>16</v>
      </c>
      <c r="E2313" s="64">
        <v>1</v>
      </c>
    </row>
    <row r="2314" spans="1:5">
      <c r="A2314" s="64" t="s">
        <v>15</v>
      </c>
      <c r="B2314" s="65">
        <v>43623</v>
      </c>
      <c r="C2314" s="66" t="s">
        <v>220</v>
      </c>
      <c r="D2314" s="3" t="s">
        <v>16</v>
      </c>
      <c r="E2314" s="64">
        <v>1</v>
      </c>
    </row>
    <row r="2315" spans="1:5">
      <c r="A2315" s="64" t="s">
        <v>15</v>
      </c>
      <c r="B2315" s="65">
        <v>43626</v>
      </c>
      <c r="C2315" s="66" t="s">
        <v>216</v>
      </c>
      <c r="D2315" s="3" t="s">
        <v>16</v>
      </c>
      <c r="E2315" s="64">
        <v>1</v>
      </c>
    </row>
    <row r="2316" spans="1:5">
      <c r="A2316" s="64" t="s">
        <v>15</v>
      </c>
      <c r="B2316" s="65">
        <v>43627</v>
      </c>
      <c r="C2316" s="66" t="s">
        <v>217</v>
      </c>
      <c r="D2316" s="3" t="s">
        <v>16</v>
      </c>
      <c r="E2316" s="64">
        <v>1</v>
      </c>
    </row>
    <row r="2317" spans="1:5">
      <c r="A2317" s="64" t="s">
        <v>15</v>
      </c>
      <c r="B2317" s="65">
        <v>43628</v>
      </c>
      <c r="C2317" s="66" t="s">
        <v>218</v>
      </c>
      <c r="D2317" s="3" t="s">
        <v>16</v>
      </c>
      <c r="E2317" s="64">
        <v>1</v>
      </c>
    </row>
    <row r="2318" spans="1:5">
      <c r="A2318" s="64" t="s">
        <v>15</v>
      </c>
      <c r="B2318" s="65">
        <v>43629</v>
      </c>
      <c r="C2318" s="66" t="s">
        <v>219</v>
      </c>
      <c r="D2318" s="3" t="s">
        <v>16</v>
      </c>
      <c r="E2318" s="64">
        <v>1</v>
      </c>
    </row>
    <row r="2319" spans="1:5">
      <c r="A2319" s="64" t="s">
        <v>15</v>
      </c>
      <c r="B2319" s="65">
        <v>43630</v>
      </c>
      <c r="C2319" s="66" t="s">
        <v>220</v>
      </c>
      <c r="D2319" s="3" t="s">
        <v>16</v>
      </c>
      <c r="E2319" s="64">
        <v>1</v>
      </c>
    </row>
    <row r="2320" spans="1:5">
      <c r="A2320" s="64" t="s">
        <v>15</v>
      </c>
      <c r="B2320" s="65">
        <v>43633</v>
      </c>
      <c r="C2320" s="66" t="s">
        <v>216</v>
      </c>
      <c r="D2320" s="3" t="s">
        <v>16</v>
      </c>
      <c r="E2320" s="64">
        <v>1</v>
      </c>
    </row>
    <row r="2321" spans="1:5">
      <c r="A2321" s="64" t="s">
        <v>15</v>
      </c>
      <c r="B2321" s="65">
        <v>43634</v>
      </c>
      <c r="C2321" s="66" t="s">
        <v>217</v>
      </c>
      <c r="D2321" s="3" t="s">
        <v>16</v>
      </c>
      <c r="E2321" s="64">
        <v>1</v>
      </c>
    </row>
    <row r="2322" spans="1:5">
      <c r="A2322" s="64" t="s">
        <v>15</v>
      </c>
      <c r="B2322" s="65">
        <v>43635</v>
      </c>
      <c r="C2322" s="66" t="s">
        <v>218</v>
      </c>
      <c r="D2322" s="3" t="s">
        <v>16</v>
      </c>
      <c r="E2322" s="64">
        <v>1</v>
      </c>
    </row>
    <row r="2323" spans="1:5">
      <c r="A2323" s="64" t="s">
        <v>15</v>
      </c>
      <c r="B2323" s="65">
        <v>43636</v>
      </c>
      <c r="C2323" s="66" t="s">
        <v>219</v>
      </c>
      <c r="D2323" s="3" t="s">
        <v>16</v>
      </c>
      <c r="E2323" s="64">
        <v>1</v>
      </c>
    </row>
    <row r="2324" spans="1:5">
      <c r="A2324" s="64" t="s">
        <v>15</v>
      </c>
      <c r="B2324" s="65">
        <v>43637</v>
      </c>
      <c r="C2324" s="66" t="s">
        <v>220</v>
      </c>
      <c r="D2324" s="3" t="s">
        <v>16</v>
      </c>
      <c r="E2324" s="64">
        <v>1</v>
      </c>
    </row>
    <row r="2325" spans="1:5">
      <c r="A2325" s="64" t="s">
        <v>15</v>
      </c>
      <c r="B2325" s="65">
        <v>43640</v>
      </c>
      <c r="C2325" s="66" t="s">
        <v>216</v>
      </c>
      <c r="D2325" s="3" t="s">
        <v>16</v>
      </c>
      <c r="E2325" s="64">
        <v>1</v>
      </c>
    </row>
    <row r="2326" spans="1:5">
      <c r="A2326" s="64" t="s">
        <v>15</v>
      </c>
      <c r="B2326" s="65">
        <v>43641</v>
      </c>
      <c r="C2326" s="66" t="s">
        <v>217</v>
      </c>
      <c r="D2326" s="3" t="s">
        <v>16</v>
      </c>
      <c r="E2326" s="64">
        <v>1</v>
      </c>
    </row>
    <row r="2327" spans="1:5">
      <c r="A2327" s="64" t="s">
        <v>15</v>
      </c>
      <c r="B2327" s="65">
        <v>43642</v>
      </c>
      <c r="C2327" s="66" t="s">
        <v>218</v>
      </c>
      <c r="D2327" s="3" t="s">
        <v>16</v>
      </c>
      <c r="E2327" s="64">
        <v>1</v>
      </c>
    </row>
    <row r="2328" spans="1:5">
      <c r="A2328" s="64" t="s">
        <v>15</v>
      </c>
      <c r="B2328" s="65">
        <v>43643</v>
      </c>
      <c r="C2328" s="66" t="s">
        <v>219</v>
      </c>
      <c r="D2328" s="3" t="s">
        <v>16</v>
      </c>
      <c r="E2328" s="64">
        <v>1</v>
      </c>
    </row>
    <row r="2329" spans="1:5">
      <c r="A2329" s="64" t="s">
        <v>15</v>
      </c>
      <c r="B2329" s="65">
        <v>43644</v>
      </c>
      <c r="C2329" s="66" t="s">
        <v>220</v>
      </c>
      <c r="D2329" s="3" t="s">
        <v>16</v>
      </c>
      <c r="E2329" s="64">
        <v>1</v>
      </c>
    </row>
    <row r="2330" spans="1:5">
      <c r="A2330" s="64" t="s">
        <v>15</v>
      </c>
      <c r="B2330" s="65">
        <v>43647</v>
      </c>
      <c r="C2330" s="66" t="s">
        <v>216</v>
      </c>
      <c r="D2330" s="3" t="s">
        <v>16</v>
      </c>
      <c r="E2330" s="64">
        <v>1</v>
      </c>
    </row>
    <row r="2331" spans="1:5">
      <c r="A2331" s="64" t="s">
        <v>15</v>
      </c>
      <c r="B2331" s="65">
        <v>43648</v>
      </c>
      <c r="C2331" s="66" t="s">
        <v>217</v>
      </c>
      <c r="D2331" s="3" t="s">
        <v>16</v>
      </c>
      <c r="E2331" s="64">
        <v>1</v>
      </c>
    </row>
    <row r="2332" spans="1:5">
      <c r="A2332" s="64" t="s">
        <v>15</v>
      </c>
      <c r="B2332" s="65">
        <v>43649</v>
      </c>
      <c r="C2332" s="66" t="s">
        <v>218</v>
      </c>
      <c r="D2332" s="3" t="s">
        <v>16</v>
      </c>
      <c r="E2332" s="64">
        <v>1</v>
      </c>
    </row>
    <row r="2333" spans="1:5">
      <c r="A2333" s="64" t="s">
        <v>15</v>
      </c>
      <c r="B2333" s="65">
        <v>43650</v>
      </c>
      <c r="C2333" s="66" t="s">
        <v>219</v>
      </c>
      <c r="D2333" s="3" t="s">
        <v>16</v>
      </c>
      <c r="E2333" s="64">
        <v>1</v>
      </c>
    </row>
    <row r="2334" spans="1:5">
      <c r="A2334" s="64" t="s">
        <v>15</v>
      </c>
      <c r="B2334" s="65">
        <v>43651</v>
      </c>
      <c r="C2334" s="66" t="s">
        <v>220</v>
      </c>
      <c r="D2334" s="3" t="s">
        <v>16</v>
      </c>
      <c r="E2334" s="64">
        <v>1</v>
      </c>
    </row>
    <row r="2335" spans="1:5">
      <c r="A2335" s="64" t="s">
        <v>15</v>
      </c>
      <c r="B2335" s="65">
        <v>43654</v>
      </c>
      <c r="C2335" s="66" t="s">
        <v>216</v>
      </c>
      <c r="D2335" s="3" t="s">
        <v>16</v>
      </c>
      <c r="E2335" s="64">
        <v>1</v>
      </c>
    </row>
    <row r="2336" spans="1:5">
      <c r="A2336" s="64" t="s">
        <v>15</v>
      </c>
      <c r="B2336" s="65">
        <v>43655</v>
      </c>
      <c r="C2336" s="66" t="s">
        <v>217</v>
      </c>
      <c r="D2336" s="3" t="s">
        <v>16</v>
      </c>
      <c r="E2336" s="64">
        <v>1</v>
      </c>
    </row>
    <row r="2337" spans="1:5">
      <c r="A2337" s="64" t="s">
        <v>15</v>
      </c>
      <c r="B2337" s="65">
        <v>43656</v>
      </c>
      <c r="C2337" s="66" t="s">
        <v>218</v>
      </c>
      <c r="D2337" s="3" t="s">
        <v>16</v>
      </c>
      <c r="E2337" s="64">
        <v>1</v>
      </c>
    </row>
    <row r="2338" spans="1:5">
      <c r="A2338" s="64" t="s">
        <v>15</v>
      </c>
      <c r="B2338" s="65">
        <v>43657</v>
      </c>
      <c r="C2338" s="66" t="s">
        <v>219</v>
      </c>
      <c r="D2338" s="3" t="s">
        <v>16</v>
      </c>
      <c r="E2338" s="64">
        <v>1</v>
      </c>
    </row>
    <row r="2339" spans="1:5">
      <c r="A2339" s="64" t="s">
        <v>15</v>
      </c>
      <c r="B2339" s="65">
        <v>43658</v>
      </c>
      <c r="C2339" s="66" t="s">
        <v>220</v>
      </c>
      <c r="D2339" s="3" t="s">
        <v>16</v>
      </c>
      <c r="E2339" s="64">
        <v>1</v>
      </c>
    </row>
    <row r="2340" spans="1:5">
      <c r="A2340" s="64" t="s">
        <v>15</v>
      </c>
      <c r="B2340" s="65">
        <v>43661</v>
      </c>
      <c r="C2340" s="66" t="s">
        <v>216</v>
      </c>
      <c r="D2340" s="3" t="s">
        <v>16</v>
      </c>
      <c r="E2340" s="64">
        <v>1</v>
      </c>
    </row>
    <row r="2341" spans="1:5">
      <c r="A2341" s="64" t="s">
        <v>15</v>
      </c>
      <c r="B2341" s="65">
        <v>43662</v>
      </c>
      <c r="C2341" s="66" t="s">
        <v>217</v>
      </c>
      <c r="D2341" s="3" t="s">
        <v>16</v>
      </c>
      <c r="E2341" s="64">
        <v>1</v>
      </c>
    </row>
    <row r="2342" spans="1:5">
      <c r="A2342" s="64" t="s">
        <v>15</v>
      </c>
      <c r="B2342" s="65">
        <v>43663</v>
      </c>
      <c r="C2342" s="66" t="s">
        <v>218</v>
      </c>
      <c r="D2342" s="3" t="s">
        <v>16</v>
      </c>
      <c r="E2342" s="64">
        <v>1</v>
      </c>
    </row>
    <row r="2343" spans="1:5">
      <c r="A2343" s="64" t="s">
        <v>15</v>
      </c>
      <c r="B2343" s="65">
        <v>43664</v>
      </c>
      <c r="C2343" s="66" t="s">
        <v>219</v>
      </c>
      <c r="D2343" s="3" t="s">
        <v>16</v>
      </c>
      <c r="E2343" s="64">
        <v>1</v>
      </c>
    </row>
    <row r="2344" spans="1:5">
      <c r="A2344" s="64" t="s">
        <v>15</v>
      </c>
      <c r="B2344" s="65">
        <v>43665</v>
      </c>
      <c r="C2344" s="66" t="s">
        <v>220</v>
      </c>
      <c r="D2344" s="3" t="s">
        <v>16</v>
      </c>
      <c r="E2344" s="64">
        <v>1</v>
      </c>
    </row>
    <row r="2345" spans="1:5">
      <c r="A2345" s="64" t="s">
        <v>15</v>
      </c>
      <c r="B2345" s="65">
        <v>43668</v>
      </c>
      <c r="C2345" s="66" t="s">
        <v>216</v>
      </c>
      <c r="D2345" s="3" t="s">
        <v>16</v>
      </c>
      <c r="E2345" s="64">
        <v>1</v>
      </c>
    </row>
    <row r="2346" spans="1:5">
      <c r="A2346" s="64" t="s">
        <v>15</v>
      </c>
      <c r="B2346" s="65">
        <v>43669</v>
      </c>
      <c r="C2346" s="66" t="s">
        <v>217</v>
      </c>
      <c r="D2346" s="3" t="s">
        <v>16</v>
      </c>
      <c r="E2346" s="64">
        <v>1</v>
      </c>
    </row>
    <row r="2347" spans="1:5">
      <c r="A2347" s="64" t="s">
        <v>15</v>
      </c>
      <c r="B2347" s="65">
        <v>43670</v>
      </c>
      <c r="C2347" s="66" t="s">
        <v>218</v>
      </c>
      <c r="D2347" s="3" t="s">
        <v>16</v>
      </c>
      <c r="E2347" s="64">
        <v>1</v>
      </c>
    </row>
    <row r="2348" spans="1:5">
      <c r="A2348" s="64" t="s">
        <v>15</v>
      </c>
      <c r="B2348" s="65">
        <v>43671</v>
      </c>
      <c r="C2348" s="66" t="s">
        <v>219</v>
      </c>
      <c r="D2348" s="3" t="s">
        <v>16</v>
      </c>
      <c r="E2348" s="64">
        <v>1</v>
      </c>
    </row>
    <row r="2349" spans="1:5">
      <c r="A2349" s="64" t="s">
        <v>15</v>
      </c>
      <c r="B2349" s="65">
        <v>43672</v>
      </c>
      <c r="C2349" s="66" t="s">
        <v>220</v>
      </c>
      <c r="D2349" s="3" t="s">
        <v>16</v>
      </c>
      <c r="E2349" s="64">
        <v>1</v>
      </c>
    </row>
    <row r="2350" spans="1:5">
      <c r="A2350" s="64" t="s">
        <v>15</v>
      </c>
      <c r="B2350" s="65">
        <v>43675</v>
      </c>
      <c r="C2350" s="66" t="s">
        <v>216</v>
      </c>
      <c r="D2350" s="3" t="s">
        <v>16</v>
      </c>
      <c r="E2350" s="64">
        <v>1</v>
      </c>
    </row>
    <row r="2351" spans="1:5">
      <c r="A2351" s="64" t="s">
        <v>15</v>
      </c>
      <c r="B2351" s="65">
        <v>43676</v>
      </c>
      <c r="C2351" s="66" t="s">
        <v>217</v>
      </c>
      <c r="D2351" s="3" t="s">
        <v>16</v>
      </c>
      <c r="E2351" s="64">
        <v>1</v>
      </c>
    </row>
    <row r="2352" spans="1:5">
      <c r="A2352" s="64" t="s">
        <v>15</v>
      </c>
      <c r="B2352" s="65">
        <v>43677</v>
      </c>
      <c r="C2352" s="66" t="s">
        <v>218</v>
      </c>
      <c r="D2352" s="3" t="s">
        <v>16</v>
      </c>
      <c r="E2352" s="64">
        <v>1</v>
      </c>
    </row>
    <row r="2353" spans="1:5">
      <c r="A2353" s="64" t="s">
        <v>15</v>
      </c>
      <c r="B2353" s="65">
        <v>43678</v>
      </c>
      <c r="C2353" s="66" t="s">
        <v>219</v>
      </c>
      <c r="D2353" s="3" t="s">
        <v>16</v>
      </c>
      <c r="E2353" s="64">
        <v>1</v>
      </c>
    </row>
    <row r="2354" spans="1:5">
      <c r="A2354" s="64" t="s">
        <v>15</v>
      </c>
      <c r="B2354" s="65">
        <v>43679</v>
      </c>
      <c r="C2354" s="66" t="s">
        <v>220</v>
      </c>
      <c r="D2354" s="3" t="s">
        <v>16</v>
      </c>
      <c r="E2354" s="64">
        <v>1</v>
      </c>
    </row>
    <row r="2355" spans="1:5">
      <c r="A2355" s="64" t="s">
        <v>15</v>
      </c>
      <c r="B2355" s="65">
        <v>43682</v>
      </c>
      <c r="C2355" s="66" t="s">
        <v>216</v>
      </c>
      <c r="D2355" s="3" t="s">
        <v>16</v>
      </c>
      <c r="E2355" s="64">
        <v>1</v>
      </c>
    </row>
    <row r="2356" spans="1:5">
      <c r="A2356" s="64" t="s">
        <v>15</v>
      </c>
      <c r="B2356" s="65">
        <v>43683</v>
      </c>
      <c r="C2356" s="66" t="s">
        <v>217</v>
      </c>
      <c r="D2356" s="3" t="s">
        <v>16</v>
      </c>
      <c r="E2356" s="64">
        <v>1</v>
      </c>
    </row>
    <row r="2357" spans="1:5">
      <c r="A2357" s="64" t="s">
        <v>15</v>
      </c>
      <c r="B2357" s="65">
        <v>43684</v>
      </c>
      <c r="C2357" s="66" t="s">
        <v>218</v>
      </c>
      <c r="D2357" s="3" t="s">
        <v>16</v>
      </c>
      <c r="E2357" s="64">
        <v>1</v>
      </c>
    </row>
    <row r="2358" spans="1:5">
      <c r="A2358" s="64" t="s">
        <v>15</v>
      </c>
      <c r="B2358" s="65">
        <v>43685</v>
      </c>
      <c r="C2358" s="66" t="s">
        <v>219</v>
      </c>
      <c r="D2358" s="3" t="s">
        <v>16</v>
      </c>
      <c r="E2358" s="64">
        <v>1</v>
      </c>
    </row>
    <row r="2359" spans="1:5">
      <c r="A2359" s="64" t="s">
        <v>15</v>
      </c>
      <c r="B2359" s="65">
        <v>43686</v>
      </c>
      <c r="C2359" s="66" t="s">
        <v>220</v>
      </c>
      <c r="D2359" s="3" t="s">
        <v>16</v>
      </c>
      <c r="E2359" s="64">
        <v>1</v>
      </c>
    </row>
    <row r="2360" spans="1:5">
      <c r="A2360" s="64" t="s">
        <v>15</v>
      </c>
      <c r="B2360" s="65">
        <v>43689</v>
      </c>
      <c r="C2360" s="66" t="s">
        <v>216</v>
      </c>
      <c r="D2360" s="3" t="s">
        <v>16</v>
      </c>
      <c r="E2360" s="64">
        <v>1</v>
      </c>
    </row>
    <row r="2361" spans="1:5">
      <c r="A2361" s="64" t="s">
        <v>15</v>
      </c>
      <c r="B2361" s="65">
        <v>43690</v>
      </c>
      <c r="C2361" s="66" t="s">
        <v>217</v>
      </c>
      <c r="D2361" s="3" t="s">
        <v>16</v>
      </c>
      <c r="E2361" s="64">
        <v>1</v>
      </c>
    </row>
    <row r="2362" spans="1:5">
      <c r="A2362" s="64" t="s">
        <v>15</v>
      </c>
      <c r="B2362" s="65">
        <v>43691</v>
      </c>
      <c r="C2362" s="66" t="s">
        <v>218</v>
      </c>
      <c r="D2362" s="3" t="s">
        <v>16</v>
      </c>
      <c r="E2362" s="64">
        <v>1</v>
      </c>
    </row>
    <row r="2363" spans="1:5">
      <c r="A2363" s="64" t="s">
        <v>15</v>
      </c>
      <c r="B2363" s="65">
        <v>43692</v>
      </c>
      <c r="C2363" s="66" t="s">
        <v>219</v>
      </c>
      <c r="D2363" s="3" t="s">
        <v>16</v>
      </c>
      <c r="E2363" s="64">
        <v>1</v>
      </c>
    </row>
    <row r="2364" spans="1:5">
      <c r="A2364" s="64" t="s">
        <v>15</v>
      </c>
      <c r="B2364" s="65">
        <v>43693</v>
      </c>
      <c r="C2364" s="66" t="s">
        <v>220</v>
      </c>
      <c r="D2364" s="3" t="s">
        <v>16</v>
      </c>
      <c r="E2364" s="64">
        <v>1</v>
      </c>
    </row>
    <row r="2365" spans="1:5">
      <c r="A2365" s="64" t="s">
        <v>15</v>
      </c>
      <c r="B2365" s="65">
        <v>43696</v>
      </c>
      <c r="C2365" s="66" t="s">
        <v>216</v>
      </c>
      <c r="D2365" s="3" t="s">
        <v>16</v>
      </c>
      <c r="E2365" s="64">
        <v>1</v>
      </c>
    </row>
    <row r="2366" spans="1:5">
      <c r="A2366" s="64" t="s">
        <v>15</v>
      </c>
      <c r="B2366" s="65">
        <v>43697</v>
      </c>
      <c r="C2366" s="66" t="s">
        <v>217</v>
      </c>
      <c r="D2366" s="3" t="s">
        <v>16</v>
      </c>
      <c r="E2366" s="64">
        <v>1</v>
      </c>
    </row>
    <row r="2367" spans="1:5">
      <c r="A2367" s="64" t="s">
        <v>15</v>
      </c>
      <c r="B2367" s="65">
        <v>43698</v>
      </c>
      <c r="C2367" s="66" t="s">
        <v>218</v>
      </c>
      <c r="D2367" s="3" t="s">
        <v>16</v>
      </c>
      <c r="E2367" s="64">
        <v>1</v>
      </c>
    </row>
    <row r="2368" spans="1:5">
      <c r="A2368" s="64" t="s">
        <v>15</v>
      </c>
      <c r="B2368" s="65">
        <v>43699</v>
      </c>
      <c r="C2368" s="66" t="s">
        <v>219</v>
      </c>
      <c r="D2368" s="3" t="s">
        <v>16</v>
      </c>
      <c r="E2368" s="64">
        <v>1</v>
      </c>
    </row>
    <row r="2369" spans="1:5">
      <c r="A2369" s="64" t="s">
        <v>15</v>
      </c>
      <c r="B2369" s="65">
        <v>43700</v>
      </c>
      <c r="C2369" s="66" t="s">
        <v>220</v>
      </c>
      <c r="D2369" s="3" t="s">
        <v>16</v>
      </c>
      <c r="E2369" s="64">
        <v>1</v>
      </c>
    </row>
    <row r="2370" spans="1:5">
      <c r="A2370" s="64" t="s">
        <v>15</v>
      </c>
      <c r="B2370" s="65">
        <v>43703</v>
      </c>
      <c r="C2370" s="66" t="s">
        <v>216</v>
      </c>
      <c r="D2370" s="3" t="s">
        <v>16</v>
      </c>
      <c r="E2370" s="64">
        <v>1</v>
      </c>
    </row>
    <row r="2371" spans="1:5">
      <c r="A2371" s="64" t="s">
        <v>15</v>
      </c>
      <c r="B2371" s="65">
        <v>43704</v>
      </c>
      <c r="C2371" s="66" t="s">
        <v>217</v>
      </c>
      <c r="D2371" s="3" t="s">
        <v>16</v>
      </c>
      <c r="E2371" s="64">
        <v>1</v>
      </c>
    </row>
    <row r="2372" spans="1:5">
      <c r="A2372" s="64" t="s">
        <v>15</v>
      </c>
      <c r="B2372" s="65">
        <v>43705</v>
      </c>
      <c r="C2372" s="66" t="s">
        <v>218</v>
      </c>
      <c r="D2372" s="3" t="s">
        <v>16</v>
      </c>
      <c r="E2372" s="64">
        <v>1</v>
      </c>
    </row>
    <row r="2373" spans="1:5">
      <c r="A2373" s="64" t="s">
        <v>15</v>
      </c>
      <c r="B2373" s="65">
        <v>43706</v>
      </c>
      <c r="C2373" s="66" t="s">
        <v>219</v>
      </c>
      <c r="D2373" s="3" t="s">
        <v>16</v>
      </c>
      <c r="E2373" s="64">
        <v>1</v>
      </c>
    </row>
    <row r="2374" spans="1:5">
      <c r="A2374" s="64" t="s">
        <v>15</v>
      </c>
      <c r="B2374" s="65">
        <v>43707</v>
      </c>
      <c r="C2374" s="66" t="s">
        <v>220</v>
      </c>
      <c r="D2374" s="3" t="s">
        <v>16</v>
      </c>
      <c r="E2374" s="64">
        <v>1</v>
      </c>
    </row>
    <row r="2375" spans="1:5">
      <c r="A2375" s="64" t="s">
        <v>15</v>
      </c>
      <c r="B2375" s="65">
        <v>43710</v>
      </c>
      <c r="C2375" s="66" t="s">
        <v>216</v>
      </c>
      <c r="D2375" s="3" t="s">
        <v>16</v>
      </c>
      <c r="E2375" s="64">
        <v>1</v>
      </c>
    </row>
    <row r="2376" spans="1:5">
      <c r="A2376" s="64" t="s">
        <v>15</v>
      </c>
      <c r="B2376" s="65">
        <v>43711</v>
      </c>
      <c r="C2376" s="66" t="s">
        <v>217</v>
      </c>
      <c r="D2376" s="3" t="s">
        <v>16</v>
      </c>
      <c r="E2376" s="64">
        <v>1</v>
      </c>
    </row>
    <row r="2377" spans="1:5">
      <c r="A2377" s="64" t="s">
        <v>15</v>
      </c>
      <c r="B2377" s="65">
        <v>43712</v>
      </c>
      <c r="C2377" s="66" t="s">
        <v>218</v>
      </c>
      <c r="D2377" s="3" t="s">
        <v>16</v>
      </c>
      <c r="E2377" s="64">
        <v>1</v>
      </c>
    </row>
    <row r="2378" spans="1:5">
      <c r="A2378" s="64" t="s">
        <v>15</v>
      </c>
      <c r="B2378" s="65">
        <v>43713</v>
      </c>
      <c r="C2378" s="66" t="s">
        <v>219</v>
      </c>
      <c r="D2378" s="3" t="s">
        <v>16</v>
      </c>
      <c r="E2378" s="64">
        <v>1</v>
      </c>
    </row>
    <row r="2379" spans="1:5">
      <c r="A2379" s="64" t="s">
        <v>15</v>
      </c>
      <c r="B2379" s="65">
        <v>43714</v>
      </c>
      <c r="C2379" s="66" t="s">
        <v>220</v>
      </c>
      <c r="D2379" s="3" t="s">
        <v>16</v>
      </c>
      <c r="E2379" s="64">
        <v>1</v>
      </c>
    </row>
    <row r="2380" spans="1:5">
      <c r="A2380" s="64" t="s">
        <v>15</v>
      </c>
      <c r="B2380" s="65">
        <v>43717</v>
      </c>
      <c r="C2380" s="66" t="s">
        <v>216</v>
      </c>
      <c r="D2380" s="3" t="s">
        <v>16</v>
      </c>
      <c r="E2380" s="64">
        <v>1</v>
      </c>
    </row>
    <row r="2381" spans="1:5">
      <c r="A2381" s="64" t="s">
        <v>15</v>
      </c>
      <c r="B2381" s="65">
        <v>43718</v>
      </c>
      <c r="C2381" s="66" t="s">
        <v>217</v>
      </c>
      <c r="D2381" s="3" t="s">
        <v>16</v>
      </c>
      <c r="E2381" s="64">
        <v>1</v>
      </c>
    </row>
    <row r="2382" spans="1:5">
      <c r="A2382" s="64" t="s">
        <v>15</v>
      </c>
      <c r="B2382" s="65">
        <v>43719</v>
      </c>
      <c r="C2382" s="66" t="s">
        <v>218</v>
      </c>
      <c r="D2382" s="3" t="s">
        <v>16</v>
      </c>
      <c r="E2382" s="64">
        <v>1</v>
      </c>
    </row>
    <row r="2383" spans="1:5">
      <c r="A2383" s="64" t="s">
        <v>15</v>
      </c>
      <c r="B2383" s="65">
        <v>43720</v>
      </c>
      <c r="C2383" s="66" t="s">
        <v>219</v>
      </c>
      <c r="D2383" s="3" t="s">
        <v>16</v>
      </c>
      <c r="E2383" s="64">
        <v>1</v>
      </c>
    </row>
    <row r="2384" spans="1:5">
      <c r="A2384" s="64" t="s">
        <v>15</v>
      </c>
      <c r="B2384" s="65">
        <v>43721</v>
      </c>
      <c r="C2384" s="66" t="s">
        <v>220</v>
      </c>
      <c r="D2384" s="3" t="s">
        <v>16</v>
      </c>
      <c r="E2384" s="64">
        <v>1</v>
      </c>
    </row>
    <row r="2385" spans="1:5">
      <c r="A2385" s="64" t="s">
        <v>15</v>
      </c>
      <c r="B2385" s="65">
        <v>43724</v>
      </c>
      <c r="C2385" s="66" t="s">
        <v>216</v>
      </c>
      <c r="D2385" s="3" t="s">
        <v>16</v>
      </c>
      <c r="E2385" s="64">
        <v>1</v>
      </c>
    </row>
    <row r="2386" spans="1:5">
      <c r="A2386" s="64" t="s">
        <v>15</v>
      </c>
      <c r="B2386" s="65">
        <v>43725</v>
      </c>
      <c r="C2386" s="66" t="s">
        <v>217</v>
      </c>
      <c r="D2386" s="3" t="s">
        <v>16</v>
      </c>
      <c r="E2386" s="64">
        <v>1</v>
      </c>
    </row>
    <row r="2387" spans="1:5">
      <c r="A2387" s="64" t="s">
        <v>15</v>
      </c>
      <c r="B2387" s="65">
        <v>43726</v>
      </c>
      <c r="C2387" s="66" t="s">
        <v>218</v>
      </c>
      <c r="D2387" s="3" t="s">
        <v>16</v>
      </c>
      <c r="E2387" s="64">
        <v>1</v>
      </c>
    </row>
    <row r="2388" spans="1:5">
      <c r="A2388" s="64" t="s">
        <v>15</v>
      </c>
      <c r="B2388" s="65">
        <v>43727</v>
      </c>
      <c r="C2388" s="66" t="s">
        <v>219</v>
      </c>
      <c r="D2388" s="3" t="s">
        <v>16</v>
      </c>
      <c r="E2388" s="64">
        <v>1</v>
      </c>
    </row>
    <row r="2389" spans="1:5">
      <c r="A2389" s="64" t="s">
        <v>15</v>
      </c>
      <c r="B2389" s="65">
        <v>43728</v>
      </c>
      <c r="C2389" s="66" t="s">
        <v>220</v>
      </c>
      <c r="D2389" s="3" t="s">
        <v>16</v>
      </c>
      <c r="E2389" s="64">
        <v>1</v>
      </c>
    </row>
    <row r="2390" spans="1:5">
      <c r="A2390" s="64" t="s">
        <v>15</v>
      </c>
      <c r="B2390" s="65">
        <v>43731</v>
      </c>
      <c r="C2390" s="66" t="s">
        <v>216</v>
      </c>
      <c r="D2390" s="3" t="s">
        <v>16</v>
      </c>
      <c r="E2390" s="64">
        <v>1</v>
      </c>
    </row>
    <row r="2391" spans="1:5">
      <c r="A2391" s="64" t="s">
        <v>15</v>
      </c>
      <c r="B2391" s="65">
        <v>43732</v>
      </c>
      <c r="C2391" s="66" t="s">
        <v>217</v>
      </c>
      <c r="D2391" s="3" t="s">
        <v>16</v>
      </c>
      <c r="E2391" s="64">
        <v>1</v>
      </c>
    </row>
    <row r="2392" spans="1:5">
      <c r="A2392" s="64" t="s">
        <v>15</v>
      </c>
      <c r="B2392" s="65">
        <v>43733</v>
      </c>
      <c r="C2392" s="66" t="s">
        <v>218</v>
      </c>
      <c r="D2392" s="3" t="s">
        <v>16</v>
      </c>
      <c r="E2392" s="64">
        <v>1</v>
      </c>
    </row>
    <row r="2393" spans="1:5">
      <c r="A2393" s="64" t="s">
        <v>15</v>
      </c>
      <c r="B2393" s="65">
        <v>43734</v>
      </c>
      <c r="C2393" s="66" t="s">
        <v>219</v>
      </c>
      <c r="D2393" s="3" t="s">
        <v>16</v>
      </c>
      <c r="E2393" s="64">
        <v>1</v>
      </c>
    </row>
    <row r="2394" spans="1:5">
      <c r="A2394" s="64" t="s">
        <v>15</v>
      </c>
      <c r="B2394" s="65">
        <v>43735</v>
      </c>
      <c r="C2394" s="66" t="s">
        <v>220</v>
      </c>
      <c r="D2394" s="3" t="s">
        <v>16</v>
      </c>
      <c r="E2394" s="64">
        <v>1</v>
      </c>
    </row>
    <row r="2395" spans="1:5">
      <c r="A2395" s="64" t="s">
        <v>15</v>
      </c>
      <c r="B2395" s="65">
        <v>43472</v>
      </c>
      <c r="C2395" s="66" t="s">
        <v>216</v>
      </c>
      <c r="D2395" s="3" t="s">
        <v>10</v>
      </c>
      <c r="E2395" s="64">
        <v>1</v>
      </c>
    </row>
    <row r="2396" spans="1:5">
      <c r="A2396" s="64" t="s">
        <v>15</v>
      </c>
      <c r="B2396" s="65">
        <v>43473</v>
      </c>
      <c r="C2396" s="66" t="s">
        <v>217</v>
      </c>
      <c r="D2396" s="3" t="s">
        <v>10</v>
      </c>
      <c r="E2396" s="64">
        <v>1</v>
      </c>
    </row>
    <row r="2397" spans="1:5">
      <c r="A2397" s="64" t="s">
        <v>15</v>
      </c>
      <c r="B2397" s="65">
        <v>43474</v>
      </c>
      <c r="C2397" s="66" t="s">
        <v>218</v>
      </c>
      <c r="D2397" s="3" t="s">
        <v>10</v>
      </c>
      <c r="E2397" s="64">
        <v>1</v>
      </c>
    </row>
    <row r="2398" spans="1:5">
      <c r="A2398" s="64" t="s">
        <v>15</v>
      </c>
      <c r="B2398" s="65">
        <v>43475</v>
      </c>
      <c r="C2398" s="66" t="s">
        <v>219</v>
      </c>
      <c r="D2398" s="3" t="s">
        <v>10</v>
      </c>
      <c r="E2398" s="64">
        <v>1</v>
      </c>
    </row>
    <row r="2399" spans="1:5">
      <c r="A2399" s="64" t="s">
        <v>15</v>
      </c>
      <c r="B2399" s="65">
        <v>43476</v>
      </c>
      <c r="C2399" s="66" t="s">
        <v>220</v>
      </c>
      <c r="D2399" s="3" t="s">
        <v>10</v>
      </c>
      <c r="E2399" s="64">
        <v>1</v>
      </c>
    </row>
    <row r="2400" spans="1:5">
      <c r="A2400" s="64" t="s">
        <v>15</v>
      </c>
      <c r="B2400" s="65">
        <v>43477</v>
      </c>
      <c r="C2400" s="66" t="s">
        <v>221</v>
      </c>
      <c r="D2400" s="3" t="s">
        <v>10</v>
      </c>
      <c r="E2400" s="64">
        <v>1</v>
      </c>
    </row>
    <row r="2401" spans="1:5">
      <c r="A2401" s="64" t="s">
        <v>15</v>
      </c>
      <c r="B2401" s="65">
        <v>43478</v>
      </c>
      <c r="C2401" s="66" t="s">
        <v>222</v>
      </c>
      <c r="D2401" s="3" t="s">
        <v>10</v>
      </c>
      <c r="E2401" s="64">
        <v>1</v>
      </c>
    </row>
    <row r="2402" spans="1:5">
      <c r="A2402" s="64" t="s">
        <v>15</v>
      </c>
      <c r="B2402" s="65">
        <v>43479</v>
      </c>
      <c r="C2402" s="66" t="s">
        <v>216</v>
      </c>
      <c r="D2402" s="3" t="s">
        <v>10</v>
      </c>
      <c r="E2402" s="64">
        <v>1</v>
      </c>
    </row>
    <row r="2403" spans="1:5">
      <c r="A2403" s="64" t="s">
        <v>15</v>
      </c>
      <c r="B2403" s="65">
        <v>43480</v>
      </c>
      <c r="C2403" s="66" t="s">
        <v>217</v>
      </c>
      <c r="D2403" s="3" t="s">
        <v>10</v>
      </c>
      <c r="E2403" s="64">
        <v>1</v>
      </c>
    </row>
    <row r="2404" spans="1:5">
      <c r="A2404" s="64" t="s">
        <v>15</v>
      </c>
      <c r="B2404" s="65">
        <v>43481</v>
      </c>
      <c r="C2404" s="66" t="s">
        <v>218</v>
      </c>
      <c r="D2404" s="3" t="s">
        <v>10</v>
      </c>
      <c r="E2404" s="64">
        <v>1</v>
      </c>
    </row>
    <row r="2405" spans="1:5">
      <c r="A2405" s="64" t="s">
        <v>15</v>
      </c>
      <c r="B2405" s="65">
        <v>43482</v>
      </c>
      <c r="C2405" s="66" t="s">
        <v>219</v>
      </c>
      <c r="D2405" s="3" t="s">
        <v>10</v>
      </c>
      <c r="E2405" s="64">
        <v>1</v>
      </c>
    </row>
    <row r="2406" spans="1:5">
      <c r="A2406" s="64" t="s">
        <v>15</v>
      </c>
      <c r="B2406" s="65">
        <v>43483</v>
      </c>
      <c r="C2406" s="66" t="s">
        <v>220</v>
      </c>
      <c r="D2406" s="3" t="s">
        <v>10</v>
      </c>
      <c r="E2406" s="64">
        <v>1</v>
      </c>
    </row>
    <row r="2407" spans="1:5">
      <c r="A2407" s="64" t="s">
        <v>15</v>
      </c>
      <c r="B2407" s="65">
        <v>43484</v>
      </c>
      <c r="C2407" s="66" t="s">
        <v>221</v>
      </c>
      <c r="D2407" s="3" t="s">
        <v>10</v>
      </c>
      <c r="E2407" s="64">
        <v>1</v>
      </c>
    </row>
    <row r="2408" spans="1:5">
      <c r="A2408" s="64" t="s">
        <v>15</v>
      </c>
      <c r="B2408" s="65">
        <v>43485</v>
      </c>
      <c r="C2408" s="66" t="s">
        <v>222</v>
      </c>
      <c r="D2408" s="3" t="s">
        <v>10</v>
      </c>
      <c r="E2408" s="64">
        <v>1</v>
      </c>
    </row>
    <row r="2409" spans="1:5">
      <c r="A2409" s="64" t="s">
        <v>15</v>
      </c>
      <c r="B2409" s="65">
        <v>43486</v>
      </c>
      <c r="C2409" s="66" t="s">
        <v>216</v>
      </c>
      <c r="D2409" s="3" t="s">
        <v>10</v>
      </c>
      <c r="E2409" s="64">
        <v>1</v>
      </c>
    </row>
    <row r="2410" spans="1:5">
      <c r="A2410" s="64" t="s">
        <v>15</v>
      </c>
      <c r="B2410" s="65">
        <v>43487</v>
      </c>
      <c r="C2410" s="66" t="s">
        <v>217</v>
      </c>
      <c r="D2410" s="3" t="s">
        <v>10</v>
      </c>
      <c r="E2410" s="64">
        <v>1</v>
      </c>
    </row>
    <row r="2411" spans="1:5">
      <c r="A2411" s="64" t="s">
        <v>15</v>
      </c>
      <c r="B2411" s="65">
        <v>43488</v>
      </c>
      <c r="C2411" s="66" t="s">
        <v>218</v>
      </c>
      <c r="D2411" s="3" t="s">
        <v>10</v>
      </c>
      <c r="E2411" s="64">
        <v>1</v>
      </c>
    </row>
    <row r="2412" spans="1:5">
      <c r="A2412" s="64" t="s">
        <v>15</v>
      </c>
      <c r="B2412" s="65">
        <v>43489</v>
      </c>
      <c r="C2412" s="66" t="s">
        <v>219</v>
      </c>
      <c r="D2412" s="3" t="s">
        <v>10</v>
      </c>
      <c r="E2412" s="64">
        <v>1</v>
      </c>
    </row>
    <row r="2413" spans="1:5">
      <c r="A2413" s="64" t="s">
        <v>15</v>
      </c>
      <c r="B2413" s="65">
        <v>43490</v>
      </c>
      <c r="C2413" s="66" t="s">
        <v>220</v>
      </c>
      <c r="D2413" s="3" t="s">
        <v>10</v>
      </c>
      <c r="E2413" s="64">
        <v>1</v>
      </c>
    </row>
    <row r="2414" spans="1:5">
      <c r="A2414" s="64" t="s">
        <v>15</v>
      </c>
      <c r="B2414" s="65">
        <v>43491</v>
      </c>
      <c r="C2414" s="66" t="s">
        <v>221</v>
      </c>
      <c r="D2414" s="3" t="s">
        <v>10</v>
      </c>
      <c r="E2414" s="64">
        <v>1</v>
      </c>
    </row>
    <row r="2415" spans="1:5">
      <c r="A2415" s="64" t="s">
        <v>15</v>
      </c>
      <c r="B2415" s="65">
        <v>43492</v>
      </c>
      <c r="C2415" s="66" t="s">
        <v>222</v>
      </c>
      <c r="D2415" s="3" t="s">
        <v>10</v>
      </c>
      <c r="E2415" s="64">
        <v>1</v>
      </c>
    </row>
    <row r="2416" spans="1:5">
      <c r="A2416" s="64" t="s">
        <v>15</v>
      </c>
      <c r="B2416" s="65">
        <v>43493</v>
      </c>
      <c r="C2416" s="66" t="s">
        <v>216</v>
      </c>
      <c r="D2416" s="3" t="s">
        <v>10</v>
      </c>
      <c r="E2416" s="64">
        <v>1</v>
      </c>
    </row>
    <row r="2417" spans="1:5">
      <c r="A2417" s="64" t="s">
        <v>15</v>
      </c>
      <c r="B2417" s="65">
        <v>43494</v>
      </c>
      <c r="C2417" s="66" t="s">
        <v>217</v>
      </c>
      <c r="D2417" s="3" t="s">
        <v>10</v>
      </c>
      <c r="E2417" s="64">
        <v>1</v>
      </c>
    </row>
    <row r="2418" spans="1:5">
      <c r="A2418" s="64" t="s">
        <v>15</v>
      </c>
      <c r="B2418" s="65">
        <v>43495</v>
      </c>
      <c r="C2418" s="66" t="s">
        <v>218</v>
      </c>
      <c r="D2418" s="3" t="s">
        <v>10</v>
      </c>
      <c r="E2418" s="64">
        <v>1</v>
      </c>
    </row>
    <row r="2419" spans="1:5">
      <c r="A2419" s="64" t="s">
        <v>15</v>
      </c>
      <c r="B2419" s="65">
        <v>43496</v>
      </c>
      <c r="C2419" s="66" t="s">
        <v>219</v>
      </c>
      <c r="D2419" s="3" t="s">
        <v>10</v>
      </c>
      <c r="E2419" s="64">
        <v>1</v>
      </c>
    </row>
    <row r="2420" spans="1:5">
      <c r="A2420" s="64" t="s">
        <v>15</v>
      </c>
      <c r="B2420" s="65">
        <v>43497</v>
      </c>
      <c r="C2420" s="66" t="s">
        <v>220</v>
      </c>
      <c r="D2420" s="3" t="s">
        <v>10</v>
      </c>
      <c r="E2420" s="64">
        <v>1</v>
      </c>
    </row>
    <row r="2421" spans="1:5">
      <c r="A2421" s="64" t="s">
        <v>15</v>
      </c>
      <c r="B2421" s="65">
        <v>43498</v>
      </c>
      <c r="C2421" s="66" t="s">
        <v>221</v>
      </c>
      <c r="D2421" s="3" t="s">
        <v>10</v>
      </c>
      <c r="E2421" s="64">
        <v>1</v>
      </c>
    </row>
    <row r="2422" spans="1:5">
      <c r="A2422" s="64" t="s">
        <v>15</v>
      </c>
      <c r="B2422" s="65">
        <v>43499</v>
      </c>
      <c r="C2422" s="66" t="s">
        <v>222</v>
      </c>
      <c r="D2422" s="3" t="s">
        <v>10</v>
      </c>
      <c r="E2422" s="64">
        <v>1</v>
      </c>
    </row>
    <row r="2423" spans="1:5">
      <c r="A2423" s="64" t="s">
        <v>15</v>
      </c>
      <c r="B2423" s="65">
        <v>43500</v>
      </c>
      <c r="C2423" s="66" t="s">
        <v>216</v>
      </c>
      <c r="D2423" s="3" t="s">
        <v>10</v>
      </c>
      <c r="E2423" s="64">
        <v>1</v>
      </c>
    </row>
    <row r="2424" spans="1:5">
      <c r="A2424" s="64" t="s">
        <v>15</v>
      </c>
      <c r="B2424" s="65">
        <v>43501</v>
      </c>
      <c r="C2424" s="66" t="s">
        <v>217</v>
      </c>
      <c r="D2424" s="3" t="s">
        <v>10</v>
      </c>
      <c r="E2424" s="64">
        <v>1</v>
      </c>
    </row>
    <row r="2425" spans="1:5">
      <c r="A2425" s="64" t="s">
        <v>15</v>
      </c>
      <c r="B2425" s="65">
        <v>43502</v>
      </c>
      <c r="C2425" s="66" t="s">
        <v>218</v>
      </c>
      <c r="D2425" s="3" t="s">
        <v>10</v>
      </c>
      <c r="E2425" s="64">
        <v>1</v>
      </c>
    </row>
    <row r="2426" spans="1:5">
      <c r="A2426" s="64" t="s">
        <v>15</v>
      </c>
      <c r="B2426" s="65">
        <v>43503</v>
      </c>
      <c r="C2426" s="66" t="s">
        <v>219</v>
      </c>
      <c r="D2426" s="3" t="s">
        <v>10</v>
      </c>
      <c r="E2426" s="64">
        <v>1</v>
      </c>
    </row>
    <row r="2427" spans="1:5">
      <c r="A2427" s="64" t="s">
        <v>15</v>
      </c>
      <c r="B2427" s="65">
        <v>43504</v>
      </c>
      <c r="C2427" s="66" t="s">
        <v>220</v>
      </c>
      <c r="D2427" s="3" t="s">
        <v>10</v>
      </c>
      <c r="E2427" s="64">
        <v>1</v>
      </c>
    </row>
    <row r="2428" spans="1:5">
      <c r="A2428" s="64" t="s">
        <v>15</v>
      </c>
      <c r="B2428" s="65">
        <v>43505</v>
      </c>
      <c r="C2428" s="66" t="s">
        <v>221</v>
      </c>
      <c r="D2428" s="3" t="s">
        <v>10</v>
      </c>
      <c r="E2428" s="64">
        <v>1</v>
      </c>
    </row>
    <row r="2429" spans="1:5">
      <c r="A2429" s="64" t="s">
        <v>15</v>
      </c>
      <c r="B2429" s="65">
        <v>43506</v>
      </c>
      <c r="C2429" s="66" t="s">
        <v>222</v>
      </c>
      <c r="D2429" s="3" t="s">
        <v>10</v>
      </c>
      <c r="E2429" s="64">
        <v>1</v>
      </c>
    </row>
    <row r="2430" spans="1:5">
      <c r="A2430" s="64" t="s">
        <v>15</v>
      </c>
      <c r="B2430" s="65">
        <v>43507</v>
      </c>
      <c r="C2430" s="66" t="s">
        <v>216</v>
      </c>
      <c r="D2430" s="3" t="s">
        <v>10</v>
      </c>
      <c r="E2430" s="64">
        <v>1</v>
      </c>
    </row>
    <row r="2431" spans="1:5">
      <c r="A2431" s="64" t="s">
        <v>15</v>
      </c>
      <c r="B2431" s="65">
        <v>43508</v>
      </c>
      <c r="C2431" s="66" t="s">
        <v>217</v>
      </c>
      <c r="D2431" s="3" t="s">
        <v>10</v>
      </c>
      <c r="E2431" s="64">
        <v>1</v>
      </c>
    </row>
    <row r="2432" spans="1:5">
      <c r="A2432" s="64" t="s">
        <v>15</v>
      </c>
      <c r="B2432" s="65">
        <v>43509</v>
      </c>
      <c r="C2432" s="66" t="s">
        <v>218</v>
      </c>
      <c r="D2432" s="3" t="s">
        <v>10</v>
      </c>
      <c r="E2432" s="64">
        <v>1</v>
      </c>
    </row>
    <row r="2433" spans="1:5">
      <c r="A2433" s="64" t="s">
        <v>15</v>
      </c>
      <c r="B2433" s="65">
        <v>43510</v>
      </c>
      <c r="C2433" s="66" t="s">
        <v>219</v>
      </c>
      <c r="D2433" s="3" t="s">
        <v>10</v>
      </c>
      <c r="E2433" s="64">
        <v>1</v>
      </c>
    </row>
    <row r="2434" spans="1:5">
      <c r="A2434" s="64" t="s">
        <v>15</v>
      </c>
      <c r="B2434" s="65">
        <v>43511</v>
      </c>
      <c r="C2434" s="66" t="s">
        <v>220</v>
      </c>
      <c r="D2434" s="3" t="s">
        <v>10</v>
      </c>
      <c r="E2434" s="64">
        <v>1</v>
      </c>
    </row>
    <row r="2435" spans="1:5">
      <c r="A2435" s="64" t="s">
        <v>15</v>
      </c>
      <c r="B2435" s="65">
        <v>43512</v>
      </c>
      <c r="C2435" s="66" t="s">
        <v>221</v>
      </c>
      <c r="D2435" s="3" t="s">
        <v>10</v>
      </c>
      <c r="E2435" s="64">
        <v>1</v>
      </c>
    </row>
    <row r="2436" spans="1:5">
      <c r="A2436" s="64" t="s">
        <v>15</v>
      </c>
      <c r="B2436" s="65">
        <v>43513</v>
      </c>
      <c r="C2436" s="66" t="s">
        <v>222</v>
      </c>
      <c r="D2436" s="3" t="s">
        <v>10</v>
      </c>
      <c r="E2436" s="64">
        <v>1</v>
      </c>
    </row>
    <row r="2437" spans="1:5">
      <c r="A2437" s="64" t="s">
        <v>15</v>
      </c>
      <c r="B2437" s="65">
        <v>43514</v>
      </c>
      <c r="C2437" s="66" t="s">
        <v>216</v>
      </c>
      <c r="D2437" s="3" t="s">
        <v>10</v>
      </c>
      <c r="E2437" s="64">
        <v>1</v>
      </c>
    </row>
    <row r="2438" spans="1:5">
      <c r="A2438" s="64" t="s">
        <v>15</v>
      </c>
      <c r="B2438" s="65">
        <v>43515</v>
      </c>
      <c r="C2438" s="66" t="s">
        <v>217</v>
      </c>
      <c r="D2438" s="3" t="s">
        <v>10</v>
      </c>
      <c r="E2438" s="64">
        <v>1</v>
      </c>
    </row>
    <row r="2439" spans="1:5">
      <c r="A2439" s="64" t="s">
        <v>15</v>
      </c>
      <c r="B2439" s="65">
        <v>43516</v>
      </c>
      <c r="C2439" s="66" t="s">
        <v>218</v>
      </c>
      <c r="D2439" s="3" t="s">
        <v>10</v>
      </c>
      <c r="E2439" s="64">
        <v>1</v>
      </c>
    </row>
    <row r="2440" spans="1:5">
      <c r="A2440" s="64" t="s">
        <v>15</v>
      </c>
      <c r="B2440" s="65">
        <v>43517</v>
      </c>
      <c r="C2440" s="66" t="s">
        <v>219</v>
      </c>
      <c r="D2440" s="3" t="s">
        <v>10</v>
      </c>
      <c r="E2440" s="64">
        <v>1</v>
      </c>
    </row>
    <row r="2441" spans="1:5">
      <c r="A2441" s="64" t="s">
        <v>15</v>
      </c>
      <c r="B2441" s="65">
        <v>43518</v>
      </c>
      <c r="C2441" s="66" t="s">
        <v>220</v>
      </c>
      <c r="D2441" s="3" t="s">
        <v>10</v>
      </c>
      <c r="E2441" s="64">
        <v>1</v>
      </c>
    </row>
    <row r="2442" spans="1:5">
      <c r="A2442" s="64" t="s">
        <v>15</v>
      </c>
      <c r="B2442" s="65">
        <v>43519</v>
      </c>
      <c r="C2442" s="66" t="s">
        <v>221</v>
      </c>
      <c r="D2442" s="3" t="s">
        <v>10</v>
      </c>
      <c r="E2442" s="64">
        <v>1</v>
      </c>
    </row>
    <row r="2443" spans="1:5">
      <c r="A2443" s="64" t="s">
        <v>15</v>
      </c>
      <c r="B2443" s="65">
        <v>43520</v>
      </c>
      <c r="C2443" s="66" t="s">
        <v>222</v>
      </c>
      <c r="D2443" s="3" t="s">
        <v>10</v>
      </c>
      <c r="E2443" s="64">
        <v>1</v>
      </c>
    </row>
    <row r="2444" spans="1:5">
      <c r="A2444" s="64" t="s">
        <v>15</v>
      </c>
      <c r="B2444" s="65">
        <v>43521</v>
      </c>
      <c r="C2444" s="66" t="s">
        <v>216</v>
      </c>
      <c r="D2444" s="3" t="s">
        <v>10</v>
      </c>
      <c r="E2444" s="64">
        <v>1</v>
      </c>
    </row>
    <row r="2445" spans="1:5">
      <c r="A2445" s="64" t="s">
        <v>15</v>
      </c>
      <c r="B2445" s="65">
        <v>43522</v>
      </c>
      <c r="C2445" s="66" t="s">
        <v>217</v>
      </c>
      <c r="D2445" s="3" t="s">
        <v>10</v>
      </c>
      <c r="E2445" s="64">
        <v>1</v>
      </c>
    </row>
    <row r="2446" spans="1:5">
      <c r="A2446" s="64" t="s">
        <v>15</v>
      </c>
      <c r="B2446" s="65">
        <v>43523</v>
      </c>
      <c r="C2446" s="66" t="s">
        <v>218</v>
      </c>
      <c r="D2446" s="3" t="s">
        <v>10</v>
      </c>
      <c r="E2446" s="64">
        <v>1</v>
      </c>
    </row>
    <row r="2447" spans="1:5">
      <c r="A2447" s="64" t="s">
        <v>15</v>
      </c>
      <c r="B2447" s="65">
        <v>43524</v>
      </c>
      <c r="C2447" s="66" t="s">
        <v>219</v>
      </c>
      <c r="D2447" s="3" t="s">
        <v>10</v>
      </c>
      <c r="E2447" s="64">
        <v>1</v>
      </c>
    </row>
    <row r="2448" spans="1:5">
      <c r="A2448" s="64" t="s">
        <v>15</v>
      </c>
      <c r="B2448" s="65">
        <v>43525</v>
      </c>
      <c r="C2448" s="66" t="s">
        <v>220</v>
      </c>
      <c r="D2448" s="3" t="s">
        <v>10</v>
      </c>
      <c r="E2448" s="64">
        <v>1</v>
      </c>
    </row>
    <row r="2449" spans="1:5">
      <c r="A2449" s="64" t="s">
        <v>15</v>
      </c>
      <c r="B2449" s="65">
        <v>43526</v>
      </c>
      <c r="C2449" s="66" t="s">
        <v>221</v>
      </c>
      <c r="D2449" s="3" t="s">
        <v>10</v>
      </c>
      <c r="E2449" s="64">
        <v>1</v>
      </c>
    </row>
    <row r="2450" spans="1:5">
      <c r="A2450" s="64" t="s">
        <v>15</v>
      </c>
      <c r="B2450" s="65">
        <v>43527</v>
      </c>
      <c r="C2450" s="66" t="s">
        <v>222</v>
      </c>
      <c r="D2450" s="3" t="s">
        <v>10</v>
      </c>
      <c r="E2450" s="64">
        <v>1</v>
      </c>
    </row>
    <row r="2451" spans="1:5">
      <c r="A2451" s="64" t="s">
        <v>15</v>
      </c>
      <c r="B2451" s="65">
        <v>43528</v>
      </c>
      <c r="C2451" s="66" t="s">
        <v>216</v>
      </c>
      <c r="D2451" s="3" t="s">
        <v>10</v>
      </c>
      <c r="E2451" s="64">
        <v>1</v>
      </c>
    </row>
    <row r="2452" spans="1:5">
      <c r="A2452" s="64" t="s">
        <v>15</v>
      </c>
      <c r="B2452" s="65">
        <v>43529</v>
      </c>
      <c r="C2452" s="66" t="s">
        <v>217</v>
      </c>
      <c r="D2452" s="3" t="s">
        <v>10</v>
      </c>
      <c r="E2452" s="64">
        <v>1</v>
      </c>
    </row>
    <row r="2453" spans="1:5">
      <c r="A2453" s="64" t="s">
        <v>15</v>
      </c>
      <c r="B2453" s="65">
        <v>43530</v>
      </c>
      <c r="C2453" s="66" t="s">
        <v>218</v>
      </c>
      <c r="D2453" s="3" t="s">
        <v>10</v>
      </c>
      <c r="E2453" s="64">
        <v>1</v>
      </c>
    </row>
    <row r="2454" spans="1:5">
      <c r="A2454" s="64" t="s">
        <v>15</v>
      </c>
      <c r="B2454" s="65">
        <v>43531</v>
      </c>
      <c r="C2454" s="66" t="s">
        <v>219</v>
      </c>
      <c r="D2454" s="3" t="s">
        <v>10</v>
      </c>
      <c r="E2454" s="64">
        <v>1</v>
      </c>
    </row>
    <row r="2455" spans="1:5">
      <c r="A2455" s="64" t="s">
        <v>15</v>
      </c>
      <c r="B2455" s="65">
        <v>43532</v>
      </c>
      <c r="C2455" s="66" t="s">
        <v>220</v>
      </c>
      <c r="D2455" s="3" t="s">
        <v>10</v>
      </c>
      <c r="E2455" s="64">
        <v>1</v>
      </c>
    </row>
    <row r="2456" spans="1:5">
      <c r="A2456" s="64" t="s">
        <v>15</v>
      </c>
      <c r="B2456" s="65">
        <v>43514</v>
      </c>
      <c r="C2456" s="66" t="s">
        <v>216</v>
      </c>
      <c r="D2456" s="3" t="s">
        <v>14</v>
      </c>
      <c r="E2456" s="64">
        <v>1</v>
      </c>
    </row>
    <row r="2457" spans="1:5">
      <c r="A2457" s="64" t="s">
        <v>15</v>
      </c>
      <c r="B2457" s="65">
        <v>43515</v>
      </c>
      <c r="C2457" s="66" t="s">
        <v>217</v>
      </c>
      <c r="D2457" s="3" t="s">
        <v>14</v>
      </c>
      <c r="E2457" s="64">
        <v>1</v>
      </c>
    </row>
    <row r="2458" spans="1:5">
      <c r="A2458" s="64" t="s">
        <v>15</v>
      </c>
      <c r="B2458" s="65">
        <v>43516</v>
      </c>
      <c r="C2458" s="66" t="s">
        <v>218</v>
      </c>
      <c r="D2458" s="3" t="s">
        <v>14</v>
      </c>
      <c r="E2458" s="64">
        <v>1</v>
      </c>
    </row>
    <row r="2459" spans="1:5">
      <c r="A2459" s="64" t="s">
        <v>15</v>
      </c>
      <c r="B2459" s="65">
        <v>43517</v>
      </c>
      <c r="C2459" s="66" t="s">
        <v>219</v>
      </c>
      <c r="D2459" s="3" t="s">
        <v>14</v>
      </c>
      <c r="E2459" s="64">
        <v>1</v>
      </c>
    </row>
    <row r="2460" spans="1:5">
      <c r="A2460" s="64" t="s">
        <v>15</v>
      </c>
      <c r="B2460" s="65">
        <v>43518</v>
      </c>
      <c r="C2460" s="66" t="s">
        <v>220</v>
      </c>
      <c r="D2460" s="3" t="s">
        <v>14</v>
      </c>
      <c r="E2460" s="64">
        <v>1</v>
      </c>
    </row>
    <row r="2461" spans="1:5">
      <c r="A2461" s="64" t="s">
        <v>15</v>
      </c>
      <c r="B2461" s="65">
        <v>43519</v>
      </c>
      <c r="C2461" s="66" t="s">
        <v>221</v>
      </c>
      <c r="D2461" s="3" t="s">
        <v>14</v>
      </c>
      <c r="E2461" s="64">
        <v>1</v>
      </c>
    </row>
    <row r="2462" spans="1:5">
      <c r="A2462" s="64" t="s">
        <v>15</v>
      </c>
      <c r="B2462" s="65">
        <v>43520</v>
      </c>
      <c r="C2462" s="66" t="s">
        <v>222</v>
      </c>
      <c r="D2462" s="3" t="s">
        <v>14</v>
      </c>
      <c r="E2462" s="64">
        <v>1</v>
      </c>
    </row>
    <row r="2463" spans="1:5">
      <c r="A2463" s="64" t="s">
        <v>15</v>
      </c>
      <c r="B2463" s="65">
        <v>43521</v>
      </c>
      <c r="C2463" s="66" t="s">
        <v>216</v>
      </c>
      <c r="D2463" s="3" t="s">
        <v>14</v>
      </c>
      <c r="E2463" s="64">
        <v>1</v>
      </c>
    </row>
    <row r="2464" spans="1:5">
      <c r="A2464" s="64" t="s">
        <v>15</v>
      </c>
      <c r="B2464" s="65">
        <v>43522</v>
      </c>
      <c r="C2464" s="66" t="s">
        <v>217</v>
      </c>
      <c r="D2464" s="3" t="s">
        <v>14</v>
      </c>
      <c r="E2464" s="64">
        <v>1</v>
      </c>
    </row>
    <row r="2465" spans="1:5">
      <c r="A2465" s="64" t="s">
        <v>15</v>
      </c>
      <c r="B2465" s="65">
        <v>43523</v>
      </c>
      <c r="C2465" s="66" t="s">
        <v>218</v>
      </c>
      <c r="D2465" s="3" t="s">
        <v>14</v>
      </c>
      <c r="E2465" s="64">
        <v>1</v>
      </c>
    </row>
    <row r="2466" spans="1:5">
      <c r="A2466" s="64" t="s">
        <v>15</v>
      </c>
      <c r="B2466" s="65">
        <v>43524</v>
      </c>
      <c r="C2466" s="66" t="s">
        <v>219</v>
      </c>
      <c r="D2466" s="3" t="s">
        <v>14</v>
      </c>
      <c r="E2466" s="64">
        <v>1</v>
      </c>
    </row>
    <row r="2467" spans="1:5">
      <c r="A2467" s="64" t="s">
        <v>15</v>
      </c>
      <c r="B2467" s="65">
        <v>43525</v>
      </c>
      <c r="C2467" s="66" t="s">
        <v>220</v>
      </c>
      <c r="D2467" s="3" t="s">
        <v>14</v>
      </c>
      <c r="E2467" s="64">
        <v>1</v>
      </c>
    </row>
    <row r="2468" spans="1:5">
      <c r="A2468" s="64" t="s">
        <v>15</v>
      </c>
      <c r="B2468" s="65">
        <v>43526</v>
      </c>
      <c r="C2468" s="66" t="s">
        <v>221</v>
      </c>
      <c r="D2468" s="3" t="s">
        <v>14</v>
      </c>
      <c r="E2468" s="64">
        <v>1</v>
      </c>
    </row>
    <row r="2469" spans="1:5">
      <c r="A2469" s="64" t="s">
        <v>15</v>
      </c>
      <c r="B2469" s="65">
        <v>43527</v>
      </c>
      <c r="C2469" s="66" t="s">
        <v>222</v>
      </c>
      <c r="D2469" s="3" t="s">
        <v>14</v>
      </c>
      <c r="E2469" s="64">
        <v>1</v>
      </c>
    </row>
    <row r="2470" spans="1:5">
      <c r="A2470" s="64" t="s">
        <v>15</v>
      </c>
      <c r="B2470" s="65">
        <v>43528</v>
      </c>
      <c r="C2470" s="66" t="s">
        <v>216</v>
      </c>
      <c r="D2470" s="3" t="s">
        <v>14</v>
      </c>
      <c r="E2470" s="64">
        <v>1</v>
      </c>
    </row>
    <row r="2471" spans="1:5">
      <c r="A2471" s="64" t="s">
        <v>15</v>
      </c>
      <c r="B2471" s="65">
        <v>43529</v>
      </c>
      <c r="C2471" s="66" t="s">
        <v>217</v>
      </c>
      <c r="D2471" s="3" t="s">
        <v>14</v>
      </c>
      <c r="E2471" s="64">
        <v>1</v>
      </c>
    </row>
    <row r="2472" spans="1:5">
      <c r="A2472" s="64" t="s">
        <v>15</v>
      </c>
      <c r="B2472" s="65">
        <v>43530</v>
      </c>
      <c r="C2472" s="66" t="s">
        <v>218</v>
      </c>
      <c r="D2472" s="3" t="s">
        <v>14</v>
      </c>
      <c r="E2472" s="64">
        <v>1</v>
      </c>
    </row>
    <row r="2473" spans="1:5">
      <c r="A2473" s="64" t="s">
        <v>15</v>
      </c>
      <c r="B2473" s="65">
        <v>43531</v>
      </c>
      <c r="C2473" s="66" t="s">
        <v>219</v>
      </c>
      <c r="D2473" s="3" t="s">
        <v>14</v>
      </c>
      <c r="E2473" s="64">
        <v>1</v>
      </c>
    </row>
    <row r="2474" spans="1:5">
      <c r="A2474" s="64" t="s">
        <v>15</v>
      </c>
      <c r="B2474" s="65">
        <v>43532</v>
      </c>
      <c r="C2474" s="66" t="s">
        <v>220</v>
      </c>
      <c r="D2474" s="3" t="s">
        <v>14</v>
      </c>
      <c r="E2474" s="64">
        <v>1</v>
      </c>
    </row>
    <row r="2475" spans="1:5">
      <c r="A2475" s="64" t="s">
        <v>15</v>
      </c>
      <c r="B2475" s="65">
        <v>43533</v>
      </c>
      <c r="C2475" s="66" t="s">
        <v>221</v>
      </c>
      <c r="D2475" s="3" t="s">
        <v>14</v>
      </c>
      <c r="E2475" s="64">
        <v>1</v>
      </c>
    </row>
    <row r="2476" spans="1:5">
      <c r="A2476" s="64" t="s">
        <v>15</v>
      </c>
      <c r="B2476" s="65">
        <v>43534</v>
      </c>
      <c r="C2476" s="66" t="s">
        <v>222</v>
      </c>
      <c r="D2476" s="3" t="s">
        <v>14</v>
      </c>
      <c r="E2476" s="64">
        <v>1</v>
      </c>
    </row>
    <row r="2477" spans="1:5">
      <c r="A2477" s="64" t="s">
        <v>15</v>
      </c>
      <c r="B2477" s="65">
        <v>43535</v>
      </c>
      <c r="C2477" s="66" t="s">
        <v>216</v>
      </c>
      <c r="D2477" s="3" t="s">
        <v>14</v>
      </c>
      <c r="E2477" s="64">
        <v>1</v>
      </c>
    </row>
    <row r="2478" spans="1:5">
      <c r="A2478" s="64" t="s">
        <v>15</v>
      </c>
      <c r="B2478" s="65">
        <v>43536</v>
      </c>
      <c r="C2478" s="66" t="s">
        <v>217</v>
      </c>
      <c r="D2478" s="3" t="s">
        <v>14</v>
      </c>
      <c r="E2478" s="64">
        <v>1</v>
      </c>
    </row>
    <row r="2479" spans="1:5">
      <c r="A2479" s="64" t="s">
        <v>15</v>
      </c>
      <c r="B2479" s="65">
        <v>43537</v>
      </c>
      <c r="C2479" s="66" t="s">
        <v>218</v>
      </c>
      <c r="D2479" s="3" t="s">
        <v>14</v>
      </c>
      <c r="E2479" s="64">
        <v>1</v>
      </c>
    </row>
    <row r="2480" spans="1:5">
      <c r="A2480" s="64" t="s">
        <v>15</v>
      </c>
      <c r="B2480" s="65">
        <v>43538</v>
      </c>
      <c r="C2480" s="66" t="s">
        <v>219</v>
      </c>
      <c r="D2480" s="3" t="s">
        <v>14</v>
      </c>
      <c r="E2480" s="64">
        <v>1</v>
      </c>
    </row>
    <row r="2481" spans="1:5">
      <c r="A2481" s="64" t="s">
        <v>15</v>
      </c>
      <c r="B2481" s="65">
        <v>43539</v>
      </c>
      <c r="C2481" s="66" t="s">
        <v>220</v>
      </c>
      <c r="D2481" s="3" t="s">
        <v>14</v>
      </c>
      <c r="E2481" s="64">
        <v>1</v>
      </c>
    </row>
    <row r="2482" spans="1:5">
      <c r="A2482" s="64" t="s">
        <v>15</v>
      </c>
      <c r="B2482" s="65">
        <v>43540</v>
      </c>
      <c r="C2482" s="66" t="s">
        <v>221</v>
      </c>
      <c r="D2482" s="3" t="s">
        <v>14</v>
      </c>
      <c r="E2482" s="64">
        <v>1</v>
      </c>
    </row>
    <row r="2483" spans="1:5">
      <c r="A2483" s="64" t="s">
        <v>15</v>
      </c>
      <c r="B2483" s="65">
        <v>43541</v>
      </c>
      <c r="C2483" s="66" t="s">
        <v>222</v>
      </c>
      <c r="D2483" s="3" t="s">
        <v>14</v>
      </c>
      <c r="E2483" s="64">
        <v>1</v>
      </c>
    </row>
    <row r="2484" spans="1:5">
      <c r="A2484" s="64" t="s">
        <v>15</v>
      </c>
      <c r="B2484" s="65">
        <v>43542</v>
      </c>
      <c r="C2484" s="66" t="s">
        <v>216</v>
      </c>
      <c r="D2484" s="3" t="s">
        <v>14</v>
      </c>
      <c r="E2484" s="64">
        <v>1</v>
      </c>
    </row>
    <row r="2485" spans="1:5">
      <c r="A2485" s="64" t="s">
        <v>15</v>
      </c>
      <c r="B2485" s="65">
        <v>43543</v>
      </c>
      <c r="C2485" s="66" t="s">
        <v>217</v>
      </c>
      <c r="D2485" s="3" t="s">
        <v>14</v>
      </c>
      <c r="E2485" s="64">
        <v>1</v>
      </c>
    </row>
    <row r="2486" spans="1:5">
      <c r="A2486" s="64" t="s">
        <v>15</v>
      </c>
      <c r="B2486" s="65">
        <v>43544</v>
      </c>
      <c r="C2486" s="66" t="s">
        <v>218</v>
      </c>
      <c r="D2486" s="3" t="s">
        <v>14</v>
      </c>
      <c r="E2486" s="64">
        <v>1</v>
      </c>
    </row>
    <row r="2487" spans="1:5">
      <c r="A2487" s="64" t="s">
        <v>15</v>
      </c>
      <c r="B2487" s="65">
        <v>43545</v>
      </c>
      <c r="C2487" s="66" t="s">
        <v>219</v>
      </c>
      <c r="D2487" s="3" t="s">
        <v>14</v>
      </c>
      <c r="E2487" s="64">
        <v>1</v>
      </c>
    </row>
    <row r="2488" spans="1:5">
      <c r="A2488" s="64" t="s">
        <v>15</v>
      </c>
      <c r="B2488" s="65">
        <v>43546</v>
      </c>
      <c r="C2488" s="66" t="s">
        <v>220</v>
      </c>
      <c r="D2488" s="3" t="s">
        <v>14</v>
      </c>
      <c r="E2488" s="64">
        <v>1</v>
      </c>
    </row>
    <row r="2489" spans="1:5">
      <c r="A2489" s="64" t="s">
        <v>15</v>
      </c>
      <c r="B2489" s="65">
        <v>43547</v>
      </c>
      <c r="C2489" s="66" t="s">
        <v>221</v>
      </c>
      <c r="D2489" s="3" t="s">
        <v>14</v>
      </c>
      <c r="E2489" s="64">
        <v>1</v>
      </c>
    </row>
    <row r="2490" spans="1:5">
      <c r="A2490" s="64" t="s">
        <v>15</v>
      </c>
      <c r="B2490" s="65">
        <v>43548</v>
      </c>
      <c r="C2490" s="66" t="s">
        <v>222</v>
      </c>
      <c r="D2490" s="3" t="s">
        <v>14</v>
      </c>
      <c r="E2490" s="64">
        <v>1</v>
      </c>
    </row>
    <row r="2491" spans="1:5">
      <c r="A2491" s="64" t="s">
        <v>15</v>
      </c>
      <c r="B2491" s="65">
        <v>43549</v>
      </c>
      <c r="C2491" s="66" t="s">
        <v>216</v>
      </c>
      <c r="D2491" s="3" t="s">
        <v>14</v>
      </c>
      <c r="E2491" s="64">
        <v>1</v>
      </c>
    </row>
    <row r="2492" spans="1:5">
      <c r="A2492" s="64" t="s">
        <v>15</v>
      </c>
      <c r="B2492" s="65">
        <v>43550</v>
      </c>
      <c r="C2492" s="66" t="s">
        <v>217</v>
      </c>
      <c r="D2492" s="3" t="s">
        <v>14</v>
      </c>
      <c r="E2492" s="64">
        <v>1</v>
      </c>
    </row>
    <row r="2493" spans="1:5">
      <c r="A2493" s="64" t="s">
        <v>15</v>
      </c>
      <c r="B2493" s="65">
        <v>43551</v>
      </c>
      <c r="C2493" s="66" t="s">
        <v>218</v>
      </c>
      <c r="D2493" s="3" t="s">
        <v>14</v>
      </c>
      <c r="E2493" s="64">
        <v>1</v>
      </c>
    </row>
    <row r="2494" spans="1:5">
      <c r="A2494" s="64" t="s">
        <v>15</v>
      </c>
      <c r="B2494" s="65">
        <v>43552</v>
      </c>
      <c r="C2494" s="66" t="s">
        <v>219</v>
      </c>
      <c r="D2494" s="3" t="s">
        <v>14</v>
      </c>
      <c r="E2494" s="64">
        <v>1</v>
      </c>
    </row>
    <row r="2495" spans="1:5">
      <c r="A2495" s="64" t="s">
        <v>15</v>
      </c>
      <c r="B2495" s="65">
        <v>43553</v>
      </c>
      <c r="C2495" s="66" t="s">
        <v>220</v>
      </c>
      <c r="D2495" s="3" t="s">
        <v>14</v>
      </c>
      <c r="E2495" s="64">
        <v>1</v>
      </c>
    </row>
    <row r="2496" spans="1:5">
      <c r="A2496" s="64" t="s">
        <v>15</v>
      </c>
      <c r="B2496" s="65">
        <v>43554</v>
      </c>
      <c r="C2496" s="66" t="s">
        <v>221</v>
      </c>
      <c r="D2496" s="3" t="s">
        <v>14</v>
      </c>
      <c r="E2496" s="64">
        <v>1</v>
      </c>
    </row>
    <row r="2497" spans="1:5">
      <c r="A2497" s="64" t="s">
        <v>15</v>
      </c>
      <c r="B2497" s="65">
        <v>43555</v>
      </c>
      <c r="C2497" s="66" t="s">
        <v>222</v>
      </c>
      <c r="D2497" s="3" t="s">
        <v>14</v>
      </c>
      <c r="E2497" s="64">
        <v>1</v>
      </c>
    </row>
    <row r="2498" spans="1:5">
      <c r="A2498" s="64" t="s">
        <v>15</v>
      </c>
      <c r="B2498" s="65">
        <v>43556</v>
      </c>
      <c r="C2498" s="66" t="s">
        <v>216</v>
      </c>
      <c r="D2498" s="3" t="s">
        <v>14</v>
      </c>
      <c r="E2498" s="64">
        <v>1</v>
      </c>
    </row>
    <row r="2499" spans="1:5">
      <c r="A2499" s="64" t="s">
        <v>15</v>
      </c>
      <c r="B2499" s="65">
        <v>43557</v>
      </c>
      <c r="C2499" s="66" t="s">
        <v>217</v>
      </c>
      <c r="D2499" s="3" t="s">
        <v>14</v>
      </c>
      <c r="E2499" s="64">
        <v>1</v>
      </c>
    </row>
    <row r="2500" spans="1:5">
      <c r="A2500" s="64" t="s">
        <v>15</v>
      </c>
      <c r="B2500" s="65">
        <v>43558</v>
      </c>
      <c r="C2500" s="66" t="s">
        <v>218</v>
      </c>
      <c r="D2500" s="3" t="s">
        <v>14</v>
      </c>
      <c r="E2500" s="64">
        <v>1</v>
      </c>
    </row>
    <row r="2501" spans="1:5">
      <c r="A2501" s="64" t="s">
        <v>15</v>
      </c>
      <c r="B2501" s="65">
        <v>43559</v>
      </c>
      <c r="C2501" s="66" t="s">
        <v>219</v>
      </c>
      <c r="D2501" s="3" t="s">
        <v>14</v>
      </c>
      <c r="E2501" s="64">
        <v>1</v>
      </c>
    </row>
    <row r="2502" spans="1:5">
      <c r="A2502" s="64" t="s">
        <v>15</v>
      </c>
      <c r="B2502" s="65">
        <v>43560</v>
      </c>
      <c r="C2502" s="66" t="s">
        <v>220</v>
      </c>
      <c r="D2502" s="3" t="s">
        <v>14</v>
      </c>
      <c r="E2502" s="64">
        <v>1</v>
      </c>
    </row>
    <row r="2503" spans="1:5">
      <c r="A2503" s="64" t="s">
        <v>15</v>
      </c>
      <c r="B2503" s="65">
        <v>43561</v>
      </c>
      <c r="C2503" s="66" t="s">
        <v>221</v>
      </c>
      <c r="D2503" s="3" t="s">
        <v>14</v>
      </c>
      <c r="E2503" s="64">
        <v>1</v>
      </c>
    </row>
    <row r="2504" spans="1:5">
      <c r="A2504" s="64" t="s">
        <v>15</v>
      </c>
      <c r="B2504" s="65">
        <v>43562</v>
      </c>
      <c r="C2504" s="66" t="s">
        <v>222</v>
      </c>
      <c r="D2504" s="3" t="s">
        <v>14</v>
      </c>
      <c r="E2504" s="64">
        <v>1</v>
      </c>
    </row>
    <row r="2505" spans="1:5">
      <c r="A2505" s="64" t="s">
        <v>15</v>
      </c>
      <c r="B2505" s="65">
        <v>43563</v>
      </c>
      <c r="C2505" s="66" t="s">
        <v>216</v>
      </c>
      <c r="D2505" s="3" t="s">
        <v>14</v>
      </c>
      <c r="E2505" s="64">
        <v>1</v>
      </c>
    </row>
    <row r="2506" spans="1:5">
      <c r="A2506" s="64" t="s">
        <v>15</v>
      </c>
      <c r="B2506" s="65">
        <v>43564</v>
      </c>
      <c r="C2506" s="66" t="s">
        <v>217</v>
      </c>
      <c r="D2506" s="3" t="s">
        <v>14</v>
      </c>
      <c r="E2506" s="64">
        <v>1</v>
      </c>
    </row>
    <row r="2507" spans="1:5">
      <c r="A2507" s="64" t="s">
        <v>15</v>
      </c>
      <c r="B2507" s="65">
        <v>43565</v>
      </c>
      <c r="C2507" s="66" t="s">
        <v>218</v>
      </c>
      <c r="D2507" s="3" t="s">
        <v>14</v>
      </c>
      <c r="E2507" s="64">
        <v>1</v>
      </c>
    </row>
    <row r="2508" spans="1:5">
      <c r="A2508" s="64" t="s">
        <v>15</v>
      </c>
      <c r="B2508" s="65">
        <v>43566</v>
      </c>
      <c r="C2508" s="66" t="s">
        <v>219</v>
      </c>
      <c r="D2508" s="3" t="s">
        <v>14</v>
      </c>
      <c r="E2508" s="64">
        <v>1</v>
      </c>
    </row>
    <row r="2509" spans="1:5">
      <c r="A2509" s="64" t="s">
        <v>15</v>
      </c>
      <c r="B2509" s="65">
        <v>43567</v>
      </c>
      <c r="C2509" s="66" t="s">
        <v>220</v>
      </c>
      <c r="D2509" s="3" t="s">
        <v>14</v>
      </c>
      <c r="E2509" s="64">
        <v>1</v>
      </c>
    </row>
    <row r="2510" spans="1:5">
      <c r="A2510" s="64" t="s">
        <v>15</v>
      </c>
      <c r="B2510" s="65">
        <v>43568</v>
      </c>
      <c r="C2510" s="66" t="s">
        <v>221</v>
      </c>
      <c r="D2510" s="3" t="s">
        <v>14</v>
      </c>
      <c r="E2510" s="64">
        <v>1</v>
      </c>
    </row>
    <row r="2511" spans="1:5">
      <c r="A2511" s="64" t="s">
        <v>15</v>
      </c>
      <c r="B2511" s="65">
        <v>43569</v>
      </c>
      <c r="C2511" s="66" t="s">
        <v>222</v>
      </c>
      <c r="D2511" s="3" t="s">
        <v>14</v>
      </c>
      <c r="E2511" s="64">
        <v>1</v>
      </c>
    </row>
    <row r="2512" spans="1:5">
      <c r="A2512" s="64" t="s">
        <v>15</v>
      </c>
      <c r="B2512" s="65">
        <v>43570</v>
      </c>
      <c r="C2512" s="66" t="s">
        <v>216</v>
      </c>
      <c r="D2512" s="3" t="s">
        <v>14</v>
      </c>
      <c r="E2512" s="64">
        <v>1</v>
      </c>
    </row>
    <row r="2513" spans="1:5">
      <c r="A2513" s="64" t="s">
        <v>15</v>
      </c>
      <c r="B2513" s="65">
        <v>43571</v>
      </c>
      <c r="C2513" s="66" t="s">
        <v>217</v>
      </c>
      <c r="D2513" s="3" t="s">
        <v>14</v>
      </c>
      <c r="E2513" s="64">
        <v>1</v>
      </c>
    </row>
    <row r="2514" spans="1:5">
      <c r="A2514" s="64" t="s">
        <v>15</v>
      </c>
      <c r="B2514" s="65">
        <v>43572</v>
      </c>
      <c r="C2514" s="66" t="s">
        <v>218</v>
      </c>
      <c r="D2514" s="3" t="s">
        <v>14</v>
      </c>
      <c r="E2514" s="64">
        <v>1</v>
      </c>
    </row>
    <row r="2515" spans="1:5">
      <c r="A2515" s="64" t="s">
        <v>15</v>
      </c>
      <c r="B2515" s="65">
        <v>43573</v>
      </c>
      <c r="C2515" s="66" t="s">
        <v>219</v>
      </c>
      <c r="D2515" s="3" t="s">
        <v>14</v>
      </c>
      <c r="E2515" s="64">
        <v>1</v>
      </c>
    </row>
    <row r="2516" spans="1:5">
      <c r="A2516" s="64" t="s">
        <v>15</v>
      </c>
      <c r="B2516" s="65">
        <v>43574</v>
      </c>
      <c r="C2516" s="66" t="s">
        <v>220</v>
      </c>
      <c r="D2516" s="3" t="s">
        <v>14</v>
      </c>
      <c r="E2516" s="64">
        <v>1</v>
      </c>
    </row>
    <row r="2517" spans="1:5">
      <c r="A2517" s="64" t="s">
        <v>15</v>
      </c>
      <c r="B2517" s="65">
        <v>43575</v>
      </c>
      <c r="C2517" s="66" t="s">
        <v>221</v>
      </c>
      <c r="D2517" s="3" t="s">
        <v>14</v>
      </c>
      <c r="E2517" s="64">
        <v>1</v>
      </c>
    </row>
    <row r="2518" spans="1:5">
      <c r="A2518" s="64" t="s">
        <v>15</v>
      </c>
      <c r="B2518" s="65">
        <v>43576</v>
      </c>
      <c r="C2518" s="66" t="s">
        <v>222</v>
      </c>
      <c r="D2518" s="3" t="s">
        <v>14</v>
      </c>
      <c r="E2518" s="64">
        <v>1</v>
      </c>
    </row>
    <row r="2519" spans="1:5">
      <c r="A2519" s="64" t="s">
        <v>15</v>
      </c>
      <c r="B2519" s="65">
        <v>43577</v>
      </c>
      <c r="C2519" s="66" t="s">
        <v>216</v>
      </c>
      <c r="D2519" s="3" t="s">
        <v>14</v>
      </c>
      <c r="E2519" s="64">
        <v>1</v>
      </c>
    </row>
    <row r="2520" spans="1:5">
      <c r="A2520" s="64" t="s">
        <v>15</v>
      </c>
      <c r="B2520" s="65">
        <v>43578</v>
      </c>
      <c r="C2520" s="66" t="s">
        <v>217</v>
      </c>
      <c r="D2520" s="3" t="s">
        <v>14</v>
      </c>
      <c r="E2520" s="64">
        <v>1</v>
      </c>
    </row>
    <row r="2521" spans="1:5">
      <c r="A2521" s="64" t="s">
        <v>15</v>
      </c>
      <c r="B2521" s="65">
        <v>43579</v>
      </c>
      <c r="C2521" s="66" t="s">
        <v>218</v>
      </c>
      <c r="D2521" s="3" t="s">
        <v>14</v>
      </c>
      <c r="E2521" s="64">
        <v>1</v>
      </c>
    </row>
    <row r="2522" spans="1:5">
      <c r="A2522" s="64" t="s">
        <v>15</v>
      </c>
      <c r="B2522" s="65">
        <v>43580</v>
      </c>
      <c r="C2522" s="66" t="s">
        <v>219</v>
      </c>
      <c r="D2522" s="3" t="s">
        <v>14</v>
      </c>
      <c r="E2522" s="64">
        <v>1</v>
      </c>
    </row>
    <row r="2523" spans="1:5">
      <c r="A2523" s="64" t="s">
        <v>15</v>
      </c>
      <c r="B2523" s="65">
        <v>43581</v>
      </c>
      <c r="C2523" s="66" t="s">
        <v>220</v>
      </c>
      <c r="D2523" s="3" t="s">
        <v>14</v>
      </c>
      <c r="E2523" s="64">
        <v>1</v>
      </c>
    </row>
    <row r="2524" spans="1:5">
      <c r="A2524" s="64" t="s">
        <v>15</v>
      </c>
      <c r="B2524" s="65">
        <v>43582</v>
      </c>
      <c r="C2524" s="66" t="s">
        <v>221</v>
      </c>
      <c r="D2524" s="3" t="s">
        <v>14</v>
      </c>
      <c r="E2524" s="64">
        <v>1</v>
      </c>
    </row>
    <row r="2525" spans="1:5">
      <c r="A2525" s="64" t="s">
        <v>15</v>
      </c>
      <c r="B2525" s="65">
        <v>43583</v>
      </c>
      <c r="C2525" s="66" t="s">
        <v>222</v>
      </c>
      <c r="D2525" s="3" t="s">
        <v>14</v>
      </c>
      <c r="E2525" s="64">
        <v>1</v>
      </c>
    </row>
    <row r="2526" spans="1:5">
      <c r="A2526" s="64" t="s">
        <v>15</v>
      </c>
      <c r="B2526" s="65">
        <v>43584</v>
      </c>
      <c r="C2526" s="66" t="s">
        <v>216</v>
      </c>
      <c r="D2526" s="3" t="s">
        <v>14</v>
      </c>
      <c r="E2526" s="64">
        <v>1</v>
      </c>
    </row>
    <row r="2527" spans="1:5">
      <c r="A2527" s="64" t="s">
        <v>15</v>
      </c>
      <c r="B2527" s="65">
        <v>43585</v>
      </c>
      <c r="C2527" s="66" t="s">
        <v>217</v>
      </c>
      <c r="D2527" s="3" t="s">
        <v>14</v>
      </c>
      <c r="E2527" s="64">
        <v>1</v>
      </c>
    </row>
    <row r="2528" spans="1:5">
      <c r="A2528" s="64" t="s">
        <v>15</v>
      </c>
      <c r="B2528" s="65">
        <v>43586</v>
      </c>
      <c r="C2528" s="66" t="s">
        <v>218</v>
      </c>
      <c r="D2528" s="3" t="s">
        <v>14</v>
      </c>
      <c r="E2528" s="64">
        <v>1</v>
      </c>
    </row>
    <row r="2529" spans="1:5">
      <c r="A2529" s="64" t="s">
        <v>15</v>
      </c>
      <c r="B2529" s="65">
        <v>43587</v>
      </c>
      <c r="C2529" s="66" t="s">
        <v>219</v>
      </c>
      <c r="D2529" s="3" t="s">
        <v>14</v>
      </c>
      <c r="E2529" s="64">
        <v>1</v>
      </c>
    </row>
    <row r="2530" spans="1:5">
      <c r="A2530" s="64" t="s">
        <v>15</v>
      </c>
      <c r="B2530" s="65">
        <v>43588</v>
      </c>
      <c r="C2530" s="66" t="s">
        <v>220</v>
      </c>
      <c r="D2530" s="3" t="s">
        <v>14</v>
      </c>
      <c r="E2530" s="64">
        <v>1</v>
      </c>
    </row>
    <row r="2531" spans="1:5">
      <c r="A2531" s="64" t="s">
        <v>15</v>
      </c>
      <c r="B2531" s="65">
        <v>43589</v>
      </c>
      <c r="C2531" s="66" t="s">
        <v>221</v>
      </c>
      <c r="D2531" s="3" t="s">
        <v>14</v>
      </c>
      <c r="E2531" s="64">
        <v>1</v>
      </c>
    </row>
    <row r="2532" spans="1:5">
      <c r="A2532" s="64" t="s">
        <v>15</v>
      </c>
      <c r="B2532" s="65">
        <v>43590</v>
      </c>
      <c r="C2532" s="66" t="s">
        <v>222</v>
      </c>
      <c r="D2532" s="3" t="s">
        <v>14</v>
      </c>
      <c r="E2532" s="64">
        <v>1</v>
      </c>
    </row>
    <row r="2533" spans="1:5">
      <c r="A2533" s="64" t="s">
        <v>15</v>
      </c>
      <c r="B2533" s="65">
        <v>43591</v>
      </c>
      <c r="C2533" s="66" t="s">
        <v>216</v>
      </c>
      <c r="D2533" s="3" t="s">
        <v>14</v>
      </c>
      <c r="E2533" s="64">
        <v>1</v>
      </c>
    </row>
    <row r="2534" spans="1:5">
      <c r="A2534" s="64" t="s">
        <v>15</v>
      </c>
      <c r="B2534" s="65">
        <v>43592</v>
      </c>
      <c r="C2534" s="66" t="s">
        <v>217</v>
      </c>
      <c r="D2534" s="3" t="s">
        <v>14</v>
      </c>
      <c r="E2534" s="64">
        <v>1</v>
      </c>
    </row>
    <row r="2535" spans="1:5">
      <c r="A2535" s="64" t="s">
        <v>15</v>
      </c>
      <c r="B2535" s="65">
        <v>43593</v>
      </c>
      <c r="C2535" s="66" t="s">
        <v>218</v>
      </c>
      <c r="D2535" s="3" t="s">
        <v>14</v>
      </c>
      <c r="E2535" s="64">
        <v>1</v>
      </c>
    </row>
    <row r="2536" spans="1:5">
      <c r="A2536" s="64" t="s">
        <v>15</v>
      </c>
      <c r="B2536" s="65">
        <v>43594</v>
      </c>
      <c r="C2536" s="66" t="s">
        <v>219</v>
      </c>
      <c r="D2536" s="3" t="s">
        <v>14</v>
      </c>
      <c r="E2536" s="64">
        <v>1</v>
      </c>
    </row>
    <row r="2537" spans="1:5">
      <c r="A2537" s="64" t="s">
        <v>15</v>
      </c>
      <c r="B2537" s="65">
        <v>43595</v>
      </c>
      <c r="C2537" s="66" t="s">
        <v>220</v>
      </c>
      <c r="D2537" s="3" t="s">
        <v>14</v>
      </c>
      <c r="E2537" s="64">
        <v>1</v>
      </c>
    </row>
    <row r="2538" spans="1:5">
      <c r="A2538" s="64" t="s">
        <v>15</v>
      </c>
      <c r="B2538" s="65">
        <v>43596</v>
      </c>
      <c r="C2538" s="66" t="s">
        <v>221</v>
      </c>
      <c r="D2538" s="3" t="s">
        <v>14</v>
      </c>
      <c r="E2538" s="64">
        <v>1</v>
      </c>
    </row>
    <row r="2539" spans="1:5">
      <c r="A2539" s="64" t="s">
        <v>15</v>
      </c>
      <c r="B2539" s="65">
        <v>43597</v>
      </c>
      <c r="C2539" s="66" t="s">
        <v>222</v>
      </c>
      <c r="D2539" s="3" t="s">
        <v>14</v>
      </c>
      <c r="E2539" s="64">
        <v>1</v>
      </c>
    </row>
    <row r="2540" spans="1:5">
      <c r="A2540" s="64" t="s">
        <v>15</v>
      </c>
      <c r="B2540" s="65">
        <v>43598</v>
      </c>
      <c r="C2540" s="66" t="s">
        <v>216</v>
      </c>
      <c r="D2540" s="3" t="s">
        <v>14</v>
      </c>
      <c r="E2540" s="64">
        <v>1</v>
      </c>
    </row>
    <row r="2541" spans="1:5">
      <c r="A2541" s="64" t="s">
        <v>15</v>
      </c>
      <c r="B2541" s="65">
        <v>43599</v>
      </c>
      <c r="C2541" s="66" t="s">
        <v>217</v>
      </c>
      <c r="D2541" s="3" t="s">
        <v>14</v>
      </c>
      <c r="E2541" s="64">
        <v>1</v>
      </c>
    </row>
    <row r="2542" spans="1:5">
      <c r="A2542" s="64" t="s">
        <v>15</v>
      </c>
      <c r="B2542" s="65">
        <v>43600</v>
      </c>
      <c r="C2542" s="66" t="s">
        <v>218</v>
      </c>
      <c r="D2542" s="3" t="s">
        <v>14</v>
      </c>
      <c r="E2542" s="64">
        <v>1</v>
      </c>
    </row>
    <row r="2543" spans="1:5">
      <c r="A2543" s="64" t="s">
        <v>15</v>
      </c>
      <c r="B2543" s="65">
        <v>43601</v>
      </c>
      <c r="C2543" s="66" t="s">
        <v>219</v>
      </c>
      <c r="D2543" s="3" t="s">
        <v>14</v>
      </c>
      <c r="E2543" s="64">
        <v>1</v>
      </c>
    </row>
    <row r="2544" spans="1:5">
      <c r="A2544" s="64" t="s">
        <v>15</v>
      </c>
      <c r="B2544" s="65">
        <v>43602</v>
      </c>
      <c r="C2544" s="66" t="s">
        <v>220</v>
      </c>
      <c r="D2544" s="3" t="s">
        <v>14</v>
      </c>
      <c r="E2544" s="64">
        <v>1</v>
      </c>
    </row>
    <row r="2545" spans="1:5">
      <c r="A2545" s="64" t="s">
        <v>15</v>
      </c>
      <c r="B2545" s="65">
        <v>43603</v>
      </c>
      <c r="C2545" s="66" t="s">
        <v>221</v>
      </c>
      <c r="D2545" s="3" t="s">
        <v>14</v>
      </c>
      <c r="E2545" s="64">
        <v>1</v>
      </c>
    </row>
    <row r="2546" spans="1:5">
      <c r="A2546" s="64" t="s">
        <v>15</v>
      </c>
      <c r="B2546" s="65">
        <v>43604</v>
      </c>
      <c r="C2546" s="66" t="s">
        <v>222</v>
      </c>
      <c r="D2546" s="3" t="s">
        <v>14</v>
      </c>
      <c r="E2546" s="64">
        <v>1</v>
      </c>
    </row>
    <row r="2547" spans="1:5">
      <c r="A2547" s="64" t="s">
        <v>15</v>
      </c>
      <c r="B2547" s="65">
        <v>43605</v>
      </c>
      <c r="C2547" s="66" t="s">
        <v>216</v>
      </c>
      <c r="D2547" s="3" t="s">
        <v>14</v>
      </c>
      <c r="E2547" s="64">
        <v>1</v>
      </c>
    </row>
    <row r="2548" spans="1:5">
      <c r="A2548" s="64" t="s">
        <v>15</v>
      </c>
      <c r="B2548" s="65">
        <v>43606</v>
      </c>
      <c r="C2548" s="66" t="s">
        <v>217</v>
      </c>
      <c r="D2548" s="3" t="s">
        <v>14</v>
      </c>
      <c r="E2548" s="64">
        <v>1</v>
      </c>
    </row>
    <row r="2549" spans="1:5">
      <c r="A2549" s="64" t="s">
        <v>15</v>
      </c>
      <c r="B2549" s="65">
        <v>43607</v>
      </c>
      <c r="C2549" s="66" t="s">
        <v>218</v>
      </c>
      <c r="D2549" s="3" t="s">
        <v>14</v>
      </c>
      <c r="E2549" s="64">
        <v>1</v>
      </c>
    </row>
    <row r="2550" spans="1:5">
      <c r="A2550" s="64" t="s">
        <v>15</v>
      </c>
      <c r="B2550" s="65">
        <v>43608</v>
      </c>
      <c r="C2550" s="66" t="s">
        <v>219</v>
      </c>
      <c r="D2550" s="3" t="s">
        <v>14</v>
      </c>
      <c r="E2550" s="64">
        <v>1</v>
      </c>
    </row>
    <row r="2551" spans="1:5">
      <c r="A2551" s="64" t="s">
        <v>15</v>
      </c>
      <c r="B2551" s="65">
        <v>43609</v>
      </c>
      <c r="C2551" s="66" t="s">
        <v>220</v>
      </c>
      <c r="D2551" s="3" t="s">
        <v>14</v>
      </c>
      <c r="E2551" s="64">
        <v>1</v>
      </c>
    </row>
    <row r="2552" spans="1:5">
      <c r="A2552" s="64" t="s">
        <v>15</v>
      </c>
      <c r="B2552" s="65">
        <v>43610</v>
      </c>
      <c r="C2552" s="66" t="s">
        <v>221</v>
      </c>
      <c r="D2552" s="3" t="s">
        <v>14</v>
      </c>
      <c r="E2552" s="64">
        <v>1</v>
      </c>
    </row>
    <row r="2553" spans="1:5">
      <c r="A2553" s="64" t="s">
        <v>15</v>
      </c>
      <c r="B2553" s="65">
        <v>43611</v>
      </c>
      <c r="C2553" s="66" t="s">
        <v>222</v>
      </c>
      <c r="D2553" s="3" t="s">
        <v>14</v>
      </c>
      <c r="E2553" s="64">
        <v>1</v>
      </c>
    </row>
    <row r="2554" spans="1:5">
      <c r="A2554" s="64" t="s">
        <v>15</v>
      </c>
      <c r="B2554" s="65">
        <v>43612</v>
      </c>
      <c r="C2554" s="66" t="s">
        <v>216</v>
      </c>
      <c r="D2554" s="3" t="s">
        <v>14</v>
      </c>
      <c r="E2554" s="64">
        <v>1</v>
      </c>
    </row>
    <row r="2555" spans="1:5">
      <c r="A2555" s="64" t="s">
        <v>15</v>
      </c>
      <c r="B2555" s="65">
        <v>43613</v>
      </c>
      <c r="C2555" s="66" t="s">
        <v>217</v>
      </c>
      <c r="D2555" s="3" t="s">
        <v>14</v>
      </c>
      <c r="E2555" s="64">
        <v>1</v>
      </c>
    </row>
    <row r="2556" spans="1:5">
      <c r="A2556" s="64" t="s">
        <v>15</v>
      </c>
      <c r="B2556" s="65">
        <v>43614</v>
      </c>
      <c r="C2556" s="66" t="s">
        <v>218</v>
      </c>
      <c r="D2556" s="3" t="s">
        <v>14</v>
      </c>
      <c r="E2556" s="64">
        <v>1</v>
      </c>
    </row>
    <row r="2557" spans="1:5">
      <c r="A2557" s="64" t="s">
        <v>15</v>
      </c>
      <c r="B2557" s="65">
        <v>43615</v>
      </c>
      <c r="C2557" s="66" t="s">
        <v>219</v>
      </c>
      <c r="D2557" s="3" t="s">
        <v>14</v>
      </c>
      <c r="E2557" s="64">
        <v>1</v>
      </c>
    </row>
    <row r="2558" spans="1:5">
      <c r="A2558" s="64" t="s">
        <v>15</v>
      </c>
      <c r="B2558" s="65">
        <v>43616</v>
      </c>
      <c r="C2558" s="66" t="s">
        <v>220</v>
      </c>
      <c r="D2558" s="3" t="s">
        <v>14</v>
      </c>
      <c r="E2558" s="64">
        <v>1</v>
      </c>
    </row>
    <row r="2559" spans="1:5">
      <c r="A2559" s="64" t="s">
        <v>15</v>
      </c>
      <c r="B2559" s="65">
        <v>43617</v>
      </c>
      <c r="C2559" s="66" t="s">
        <v>221</v>
      </c>
      <c r="D2559" s="3" t="s">
        <v>14</v>
      </c>
      <c r="E2559" s="64">
        <v>1</v>
      </c>
    </row>
    <row r="2560" spans="1:5">
      <c r="A2560" s="64" t="s">
        <v>15</v>
      </c>
      <c r="B2560" s="65">
        <v>43618</v>
      </c>
      <c r="C2560" s="66" t="s">
        <v>222</v>
      </c>
      <c r="D2560" s="3" t="s">
        <v>14</v>
      </c>
      <c r="E2560" s="64">
        <v>1</v>
      </c>
    </row>
    <row r="2561" spans="1:5">
      <c r="A2561" s="64" t="s">
        <v>15</v>
      </c>
      <c r="B2561" s="65">
        <v>43619</v>
      </c>
      <c r="C2561" s="66" t="s">
        <v>216</v>
      </c>
      <c r="D2561" s="3" t="s">
        <v>14</v>
      </c>
      <c r="E2561" s="64">
        <v>1</v>
      </c>
    </row>
    <row r="2562" spans="1:5">
      <c r="A2562" s="64" t="s">
        <v>15</v>
      </c>
      <c r="B2562" s="65">
        <v>43620</v>
      </c>
      <c r="C2562" s="66" t="s">
        <v>217</v>
      </c>
      <c r="D2562" s="3" t="s">
        <v>14</v>
      </c>
      <c r="E2562" s="64">
        <v>1</v>
      </c>
    </row>
    <row r="2563" spans="1:5">
      <c r="A2563" s="64" t="s">
        <v>15</v>
      </c>
      <c r="B2563" s="65">
        <v>43621</v>
      </c>
      <c r="C2563" s="66" t="s">
        <v>218</v>
      </c>
      <c r="D2563" s="3" t="s">
        <v>14</v>
      </c>
      <c r="E2563" s="64">
        <v>1</v>
      </c>
    </row>
    <row r="2564" spans="1:5">
      <c r="A2564" s="64" t="s">
        <v>15</v>
      </c>
      <c r="B2564" s="65">
        <v>43622</v>
      </c>
      <c r="C2564" s="66" t="s">
        <v>219</v>
      </c>
      <c r="D2564" s="3" t="s">
        <v>14</v>
      </c>
      <c r="E2564" s="64">
        <v>1</v>
      </c>
    </row>
    <row r="2565" spans="1:5">
      <c r="A2565" s="64" t="s">
        <v>15</v>
      </c>
      <c r="B2565" s="65">
        <v>43623</v>
      </c>
      <c r="C2565" s="66" t="s">
        <v>220</v>
      </c>
      <c r="D2565" s="3" t="s">
        <v>14</v>
      </c>
      <c r="E2565" s="64">
        <v>1</v>
      </c>
    </row>
    <row r="2566" spans="1:5">
      <c r="A2566" s="64" t="s">
        <v>15</v>
      </c>
      <c r="B2566" s="65">
        <v>43624</v>
      </c>
      <c r="C2566" s="66" t="s">
        <v>221</v>
      </c>
      <c r="D2566" s="3" t="s">
        <v>14</v>
      </c>
      <c r="E2566" s="64">
        <v>1</v>
      </c>
    </row>
    <row r="2567" spans="1:5">
      <c r="A2567" s="64" t="s">
        <v>15</v>
      </c>
      <c r="B2567" s="65">
        <v>43625</v>
      </c>
      <c r="C2567" s="66" t="s">
        <v>222</v>
      </c>
      <c r="D2567" s="3" t="s">
        <v>14</v>
      </c>
      <c r="E2567" s="64">
        <v>1</v>
      </c>
    </row>
    <row r="2568" spans="1:5">
      <c r="A2568" s="64" t="s">
        <v>15</v>
      </c>
      <c r="B2568" s="65">
        <v>43626</v>
      </c>
      <c r="C2568" s="66" t="s">
        <v>216</v>
      </c>
      <c r="D2568" s="3" t="s">
        <v>14</v>
      </c>
      <c r="E2568" s="64">
        <v>1</v>
      </c>
    </row>
    <row r="2569" spans="1:5">
      <c r="A2569" s="64" t="s">
        <v>15</v>
      </c>
      <c r="B2569" s="65">
        <v>43627</v>
      </c>
      <c r="C2569" s="66" t="s">
        <v>217</v>
      </c>
      <c r="D2569" s="3" t="s">
        <v>14</v>
      </c>
      <c r="E2569" s="64">
        <v>1</v>
      </c>
    </row>
    <row r="2570" spans="1:5">
      <c r="A2570" s="64" t="s">
        <v>15</v>
      </c>
      <c r="B2570" s="65">
        <v>43628</v>
      </c>
      <c r="C2570" s="66" t="s">
        <v>218</v>
      </c>
      <c r="D2570" s="3" t="s">
        <v>14</v>
      </c>
      <c r="E2570" s="64">
        <v>1</v>
      </c>
    </row>
    <row r="2571" spans="1:5">
      <c r="A2571" s="64" t="s">
        <v>15</v>
      </c>
      <c r="B2571" s="65">
        <v>43629</v>
      </c>
      <c r="C2571" s="66" t="s">
        <v>219</v>
      </c>
      <c r="D2571" s="3" t="s">
        <v>14</v>
      </c>
      <c r="E2571" s="64">
        <v>1</v>
      </c>
    </row>
    <row r="2572" spans="1:5">
      <c r="A2572" s="64" t="s">
        <v>15</v>
      </c>
      <c r="B2572" s="65">
        <v>43630</v>
      </c>
      <c r="C2572" s="66" t="s">
        <v>220</v>
      </c>
      <c r="D2572" s="3" t="s">
        <v>14</v>
      </c>
      <c r="E2572" s="64">
        <v>1</v>
      </c>
    </row>
    <row r="2573" spans="1:5">
      <c r="A2573" s="64" t="s">
        <v>15</v>
      </c>
      <c r="B2573" s="65">
        <v>43631</v>
      </c>
      <c r="C2573" s="66" t="s">
        <v>221</v>
      </c>
      <c r="D2573" s="3" t="s">
        <v>14</v>
      </c>
      <c r="E2573" s="64">
        <v>1</v>
      </c>
    </row>
    <row r="2574" spans="1:5">
      <c r="A2574" s="64" t="s">
        <v>15</v>
      </c>
      <c r="B2574" s="65">
        <v>43632</v>
      </c>
      <c r="C2574" s="66" t="s">
        <v>222</v>
      </c>
      <c r="D2574" s="3" t="s">
        <v>14</v>
      </c>
      <c r="E2574" s="64">
        <v>1</v>
      </c>
    </row>
    <row r="2575" spans="1:5">
      <c r="A2575" s="64" t="s">
        <v>15</v>
      </c>
      <c r="B2575" s="65">
        <v>43633</v>
      </c>
      <c r="C2575" s="66" t="s">
        <v>216</v>
      </c>
      <c r="D2575" s="3" t="s">
        <v>14</v>
      </c>
      <c r="E2575" s="64">
        <v>1</v>
      </c>
    </row>
    <row r="2576" spans="1:5">
      <c r="A2576" s="64" t="s">
        <v>15</v>
      </c>
      <c r="B2576" s="65">
        <v>43634</v>
      </c>
      <c r="C2576" s="66" t="s">
        <v>217</v>
      </c>
      <c r="D2576" s="3" t="s">
        <v>14</v>
      </c>
      <c r="E2576" s="64">
        <v>1</v>
      </c>
    </row>
    <row r="2577" spans="1:5">
      <c r="A2577" s="64" t="s">
        <v>15</v>
      </c>
      <c r="B2577" s="65">
        <v>43635</v>
      </c>
      <c r="C2577" s="66" t="s">
        <v>218</v>
      </c>
      <c r="D2577" s="3" t="s">
        <v>14</v>
      </c>
      <c r="E2577" s="64">
        <v>1</v>
      </c>
    </row>
    <row r="2578" spans="1:5">
      <c r="A2578" s="64" t="s">
        <v>15</v>
      </c>
      <c r="B2578" s="65">
        <v>43636</v>
      </c>
      <c r="C2578" s="66" t="s">
        <v>219</v>
      </c>
      <c r="D2578" s="3" t="s">
        <v>14</v>
      </c>
      <c r="E2578" s="64">
        <v>1</v>
      </c>
    </row>
    <row r="2579" spans="1:5">
      <c r="A2579" s="64" t="s">
        <v>15</v>
      </c>
      <c r="B2579" s="65">
        <v>43637</v>
      </c>
      <c r="C2579" s="66" t="s">
        <v>220</v>
      </c>
      <c r="D2579" s="3" t="s">
        <v>14</v>
      </c>
      <c r="E2579" s="64">
        <v>1</v>
      </c>
    </row>
    <row r="2580" spans="1:5">
      <c r="A2580" s="64" t="s">
        <v>15</v>
      </c>
      <c r="B2580" s="65">
        <v>43638</v>
      </c>
      <c r="C2580" s="66" t="s">
        <v>221</v>
      </c>
      <c r="D2580" s="3" t="s">
        <v>14</v>
      </c>
      <c r="E2580" s="64">
        <v>1</v>
      </c>
    </row>
    <row r="2581" spans="1:5">
      <c r="A2581" s="64" t="s">
        <v>15</v>
      </c>
      <c r="B2581" s="65">
        <v>43639</v>
      </c>
      <c r="C2581" s="66" t="s">
        <v>222</v>
      </c>
      <c r="D2581" s="3" t="s">
        <v>14</v>
      </c>
      <c r="E2581" s="64">
        <v>1</v>
      </c>
    </row>
    <row r="2582" spans="1:5">
      <c r="A2582" s="64" t="s">
        <v>15</v>
      </c>
      <c r="B2582" s="65">
        <v>43640</v>
      </c>
      <c r="C2582" s="66" t="s">
        <v>216</v>
      </c>
      <c r="D2582" s="3" t="s">
        <v>14</v>
      </c>
      <c r="E2582" s="64">
        <v>1</v>
      </c>
    </row>
    <row r="2583" spans="1:5">
      <c r="A2583" s="64" t="s">
        <v>15</v>
      </c>
      <c r="B2583" s="65">
        <v>43641</v>
      </c>
      <c r="C2583" s="66" t="s">
        <v>217</v>
      </c>
      <c r="D2583" s="3" t="s">
        <v>14</v>
      </c>
      <c r="E2583" s="64">
        <v>1</v>
      </c>
    </row>
    <row r="2584" spans="1:5">
      <c r="A2584" s="64" t="s">
        <v>15</v>
      </c>
      <c r="B2584" s="65">
        <v>43642</v>
      </c>
      <c r="C2584" s="66" t="s">
        <v>218</v>
      </c>
      <c r="D2584" s="3" t="s">
        <v>14</v>
      </c>
      <c r="E2584" s="64">
        <v>1</v>
      </c>
    </row>
    <row r="2585" spans="1:5">
      <c r="A2585" s="64" t="s">
        <v>15</v>
      </c>
      <c r="B2585" s="65">
        <v>43643</v>
      </c>
      <c r="C2585" s="66" t="s">
        <v>219</v>
      </c>
      <c r="D2585" s="3" t="s">
        <v>14</v>
      </c>
      <c r="E2585" s="64">
        <v>1</v>
      </c>
    </row>
    <row r="2586" spans="1:5">
      <c r="A2586" s="64" t="s">
        <v>15</v>
      </c>
      <c r="B2586" s="65">
        <v>43644</v>
      </c>
      <c r="C2586" s="66" t="s">
        <v>220</v>
      </c>
      <c r="D2586" s="3" t="s">
        <v>14</v>
      </c>
      <c r="E2586" s="64">
        <v>1</v>
      </c>
    </row>
    <row r="2587" spans="1:5">
      <c r="A2587" s="64" t="s">
        <v>15</v>
      </c>
      <c r="B2587" s="65">
        <v>43645</v>
      </c>
      <c r="C2587" s="66" t="s">
        <v>221</v>
      </c>
      <c r="D2587" s="3" t="s">
        <v>14</v>
      </c>
      <c r="E2587" s="64">
        <v>1</v>
      </c>
    </row>
    <row r="2588" spans="1:5">
      <c r="A2588" s="64" t="s">
        <v>15</v>
      </c>
      <c r="B2588" s="65">
        <v>43646</v>
      </c>
      <c r="C2588" s="66" t="s">
        <v>222</v>
      </c>
      <c r="D2588" s="3" t="s">
        <v>14</v>
      </c>
      <c r="E2588" s="64">
        <v>1</v>
      </c>
    </row>
    <row r="2589" spans="1:5">
      <c r="A2589" s="64" t="s">
        <v>15</v>
      </c>
      <c r="B2589" s="65">
        <v>43647</v>
      </c>
      <c r="C2589" s="66" t="s">
        <v>216</v>
      </c>
      <c r="D2589" s="3" t="s">
        <v>14</v>
      </c>
      <c r="E2589" s="64">
        <v>1</v>
      </c>
    </row>
    <row r="2590" spans="1:5">
      <c r="A2590" s="64" t="s">
        <v>15</v>
      </c>
      <c r="B2590" s="65">
        <v>43648</v>
      </c>
      <c r="C2590" s="66" t="s">
        <v>217</v>
      </c>
      <c r="D2590" s="3" t="s">
        <v>14</v>
      </c>
      <c r="E2590" s="64">
        <v>1</v>
      </c>
    </row>
    <row r="2591" spans="1:5">
      <c r="A2591" s="64" t="s">
        <v>15</v>
      </c>
      <c r="B2591" s="65">
        <v>43649</v>
      </c>
      <c r="C2591" s="66" t="s">
        <v>218</v>
      </c>
      <c r="D2591" s="3" t="s">
        <v>14</v>
      </c>
      <c r="E2591" s="64">
        <v>1</v>
      </c>
    </row>
    <row r="2592" spans="1:5">
      <c r="A2592" s="64" t="s">
        <v>15</v>
      </c>
      <c r="B2592" s="65">
        <v>43650</v>
      </c>
      <c r="C2592" s="66" t="s">
        <v>219</v>
      </c>
      <c r="D2592" s="3" t="s">
        <v>14</v>
      </c>
      <c r="E2592" s="64">
        <v>1</v>
      </c>
    </row>
    <row r="2593" spans="1:5">
      <c r="A2593" s="64" t="s">
        <v>15</v>
      </c>
      <c r="B2593" s="65">
        <v>43651</v>
      </c>
      <c r="C2593" s="66" t="s">
        <v>220</v>
      </c>
      <c r="D2593" s="3" t="s">
        <v>14</v>
      </c>
      <c r="E2593" s="64">
        <v>1</v>
      </c>
    </row>
    <row r="2594" spans="1:5">
      <c r="A2594" s="64" t="s">
        <v>15</v>
      </c>
      <c r="B2594" s="65">
        <v>43652</v>
      </c>
      <c r="C2594" s="66" t="s">
        <v>221</v>
      </c>
      <c r="D2594" s="3" t="s">
        <v>14</v>
      </c>
      <c r="E2594" s="64">
        <v>1</v>
      </c>
    </row>
    <row r="2595" spans="1:5">
      <c r="A2595" s="64" t="s">
        <v>15</v>
      </c>
      <c r="B2595" s="65">
        <v>43653</v>
      </c>
      <c r="C2595" s="66" t="s">
        <v>222</v>
      </c>
      <c r="D2595" s="3" t="s">
        <v>14</v>
      </c>
      <c r="E2595" s="64">
        <v>1</v>
      </c>
    </row>
    <row r="2596" spans="1:5">
      <c r="A2596" s="64" t="s">
        <v>15</v>
      </c>
      <c r="B2596" s="65">
        <v>43654</v>
      </c>
      <c r="C2596" s="66" t="s">
        <v>216</v>
      </c>
      <c r="D2596" s="3" t="s">
        <v>14</v>
      </c>
      <c r="E2596" s="64">
        <v>1</v>
      </c>
    </row>
    <row r="2597" spans="1:5">
      <c r="A2597" s="64" t="s">
        <v>15</v>
      </c>
      <c r="B2597" s="65">
        <v>43655</v>
      </c>
      <c r="C2597" s="66" t="s">
        <v>217</v>
      </c>
      <c r="D2597" s="3" t="s">
        <v>14</v>
      </c>
      <c r="E2597" s="64">
        <v>1</v>
      </c>
    </row>
    <row r="2598" spans="1:5">
      <c r="A2598" s="64" t="s">
        <v>15</v>
      </c>
      <c r="B2598" s="65">
        <v>43656</v>
      </c>
      <c r="C2598" s="66" t="s">
        <v>218</v>
      </c>
      <c r="D2598" s="3" t="s">
        <v>14</v>
      </c>
      <c r="E2598" s="64">
        <v>1</v>
      </c>
    </row>
    <row r="2599" spans="1:5">
      <c r="A2599" s="64" t="s">
        <v>15</v>
      </c>
      <c r="B2599" s="65">
        <v>43657</v>
      </c>
      <c r="C2599" s="66" t="s">
        <v>219</v>
      </c>
      <c r="D2599" s="3" t="s">
        <v>14</v>
      </c>
      <c r="E2599" s="64">
        <v>1</v>
      </c>
    </row>
    <row r="2600" spans="1:5">
      <c r="A2600" s="64" t="s">
        <v>15</v>
      </c>
      <c r="B2600" s="65">
        <v>43658</v>
      </c>
      <c r="C2600" s="66" t="s">
        <v>220</v>
      </c>
      <c r="D2600" s="3" t="s">
        <v>14</v>
      </c>
      <c r="E2600" s="64">
        <v>1</v>
      </c>
    </row>
    <row r="2601" spans="1:5">
      <c r="A2601" s="64" t="s">
        <v>15</v>
      </c>
      <c r="B2601" s="65">
        <v>43659</v>
      </c>
      <c r="C2601" s="66" t="s">
        <v>221</v>
      </c>
      <c r="D2601" s="3" t="s">
        <v>14</v>
      </c>
      <c r="E2601" s="64">
        <v>1</v>
      </c>
    </row>
    <row r="2602" spans="1:5">
      <c r="A2602" s="64" t="s">
        <v>15</v>
      </c>
      <c r="B2602" s="65">
        <v>43660</v>
      </c>
      <c r="C2602" s="66" t="s">
        <v>222</v>
      </c>
      <c r="D2602" s="3" t="s">
        <v>14</v>
      </c>
      <c r="E2602" s="64">
        <v>1</v>
      </c>
    </row>
    <row r="2603" spans="1:5">
      <c r="A2603" s="64" t="s">
        <v>15</v>
      </c>
      <c r="B2603" s="65">
        <v>43661</v>
      </c>
      <c r="C2603" s="66" t="s">
        <v>216</v>
      </c>
      <c r="D2603" s="3" t="s">
        <v>14</v>
      </c>
      <c r="E2603" s="64">
        <v>1</v>
      </c>
    </row>
    <row r="2604" spans="1:5">
      <c r="A2604" s="64" t="s">
        <v>15</v>
      </c>
      <c r="B2604" s="65">
        <v>43662</v>
      </c>
      <c r="C2604" s="66" t="s">
        <v>217</v>
      </c>
      <c r="D2604" s="3" t="s">
        <v>14</v>
      </c>
      <c r="E2604" s="64">
        <v>1</v>
      </c>
    </row>
    <row r="2605" spans="1:5">
      <c r="A2605" s="64" t="s">
        <v>15</v>
      </c>
      <c r="B2605" s="65">
        <v>43663</v>
      </c>
      <c r="C2605" s="66" t="s">
        <v>218</v>
      </c>
      <c r="D2605" s="3" t="s">
        <v>14</v>
      </c>
      <c r="E2605" s="64">
        <v>1</v>
      </c>
    </row>
    <row r="2606" spans="1:5">
      <c r="A2606" s="64" t="s">
        <v>15</v>
      </c>
      <c r="B2606" s="65">
        <v>43664</v>
      </c>
      <c r="C2606" s="66" t="s">
        <v>219</v>
      </c>
      <c r="D2606" s="3" t="s">
        <v>14</v>
      </c>
      <c r="E2606" s="64">
        <v>1</v>
      </c>
    </row>
    <row r="2607" spans="1:5">
      <c r="A2607" s="64" t="s">
        <v>15</v>
      </c>
      <c r="B2607" s="65">
        <v>43665</v>
      </c>
      <c r="C2607" s="66" t="s">
        <v>220</v>
      </c>
      <c r="D2607" s="3" t="s">
        <v>14</v>
      </c>
      <c r="E2607" s="64">
        <v>1</v>
      </c>
    </row>
    <row r="2608" spans="1:5">
      <c r="A2608" s="64" t="s">
        <v>15</v>
      </c>
      <c r="B2608" s="65">
        <v>43666</v>
      </c>
      <c r="C2608" s="66" t="s">
        <v>221</v>
      </c>
      <c r="D2608" s="3" t="s">
        <v>14</v>
      </c>
      <c r="E2608" s="64">
        <v>1</v>
      </c>
    </row>
    <row r="2609" spans="1:5">
      <c r="A2609" s="64" t="s">
        <v>15</v>
      </c>
      <c r="B2609" s="65">
        <v>43667</v>
      </c>
      <c r="C2609" s="66" t="s">
        <v>222</v>
      </c>
      <c r="D2609" s="3" t="s">
        <v>14</v>
      </c>
      <c r="E2609" s="64">
        <v>1</v>
      </c>
    </row>
    <row r="2610" spans="1:5">
      <c r="A2610" s="64" t="s">
        <v>15</v>
      </c>
      <c r="B2610" s="65">
        <v>43668</v>
      </c>
      <c r="C2610" s="66" t="s">
        <v>216</v>
      </c>
      <c r="D2610" s="3" t="s">
        <v>14</v>
      </c>
      <c r="E2610" s="64">
        <v>1</v>
      </c>
    </row>
    <row r="2611" spans="1:5">
      <c r="A2611" s="64" t="s">
        <v>15</v>
      </c>
      <c r="B2611" s="65">
        <v>43669</v>
      </c>
      <c r="C2611" s="66" t="s">
        <v>217</v>
      </c>
      <c r="D2611" s="3" t="s">
        <v>14</v>
      </c>
      <c r="E2611" s="64">
        <v>1</v>
      </c>
    </row>
    <row r="2612" spans="1:5">
      <c r="A2612" s="64" t="s">
        <v>15</v>
      </c>
      <c r="B2612" s="65">
        <v>43670</v>
      </c>
      <c r="C2612" s="66" t="s">
        <v>218</v>
      </c>
      <c r="D2612" s="3" t="s">
        <v>14</v>
      </c>
      <c r="E2612" s="64">
        <v>1</v>
      </c>
    </row>
    <row r="2613" spans="1:5">
      <c r="A2613" s="64" t="s">
        <v>15</v>
      </c>
      <c r="B2613" s="65">
        <v>43671</v>
      </c>
      <c r="C2613" s="66" t="s">
        <v>219</v>
      </c>
      <c r="D2613" s="3" t="s">
        <v>14</v>
      </c>
      <c r="E2613" s="64">
        <v>1</v>
      </c>
    </row>
    <row r="2614" spans="1:5">
      <c r="A2614" s="64" t="s">
        <v>15</v>
      </c>
      <c r="B2614" s="65">
        <v>43672</v>
      </c>
      <c r="C2614" s="66" t="s">
        <v>220</v>
      </c>
      <c r="D2614" s="3" t="s">
        <v>14</v>
      </c>
      <c r="E2614" s="64">
        <v>1</v>
      </c>
    </row>
    <row r="2615" spans="1:5">
      <c r="A2615" s="64" t="s">
        <v>15</v>
      </c>
      <c r="B2615" s="65">
        <v>43673</v>
      </c>
      <c r="C2615" s="66" t="s">
        <v>221</v>
      </c>
      <c r="D2615" s="3" t="s">
        <v>14</v>
      </c>
      <c r="E2615" s="64">
        <v>1</v>
      </c>
    </row>
    <row r="2616" spans="1:5">
      <c r="A2616" s="64" t="s">
        <v>15</v>
      </c>
      <c r="B2616" s="65">
        <v>43674</v>
      </c>
      <c r="C2616" s="66" t="s">
        <v>222</v>
      </c>
      <c r="D2616" s="3" t="s">
        <v>14</v>
      </c>
      <c r="E2616" s="64">
        <v>1</v>
      </c>
    </row>
    <row r="2617" spans="1:5">
      <c r="A2617" s="64" t="s">
        <v>15</v>
      </c>
      <c r="B2617" s="65">
        <v>43675</v>
      </c>
      <c r="C2617" s="66" t="s">
        <v>216</v>
      </c>
      <c r="D2617" s="3" t="s">
        <v>14</v>
      </c>
      <c r="E2617" s="64">
        <v>1</v>
      </c>
    </row>
    <row r="2618" spans="1:5">
      <c r="A2618" s="64" t="s">
        <v>15</v>
      </c>
      <c r="B2618" s="65">
        <v>43676</v>
      </c>
      <c r="C2618" s="66" t="s">
        <v>217</v>
      </c>
      <c r="D2618" s="3" t="s">
        <v>14</v>
      </c>
      <c r="E2618" s="64">
        <v>1</v>
      </c>
    </row>
    <row r="2619" spans="1:5">
      <c r="A2619" s="64" t="s">
        <v>15</v>
      </c>
      <c r="B2619" s="65">
        <v>43677</v>
      </c>
      <c r="C2619" s="66" t="s">
        <v>218</v>
      </c>
      <c r="D2619" s="3" t="s">
        <v>14</v>
      </c>
      <c r="E2619" s="64">
        <v>1</v>
      </c>
    </row>
    <row r="2620" spans="1:5">
      <c r="A2620" s="64" t="s">
        <v>15</v>
      </c>
      <c r="B2620" s="65">
        <v>43678</v>
      </c>
      <c r="C2620" s="66" t="s">
        <v>219</v>
      </c>
      <c r="D2620" s="3" t="s">
        <v>14</v>
      </c>
      <c r="E2620" s="64">
        <v>1</v>
      </c>
    </row>
    <row r="2621" spans="1:5">
      <c r="A2621" s="64" t="s">
        <v>15</v>
      </c>
      <c r="B2621" s="65">
        <v>43679</v>
      </c>
      <c r="C2621" s="66" t="s">
        <v>220</v>
      </c>
      <c r="D2621" s="3" t="s">
        <v>14</v>
      </c>
      <c r="E2621" s="64">
        <v>1</v>
      </c>
    </row>
    <row r="2622" spans="1:5">
      <c r="A2622" s="64" t="s">
        <v>15</v>
      </c>
      <c r="B2622" s="65">
        <v>43680</v>
      </c>
      <c r="C2622" s="66" t="s">
        <v>221</v>
      </c>
      <c r="D2622" s="3" t="s">
        <v>14</v>
      </c>
      <c r="E2622" s="64">
        <v>1</v>
      </c>
    </row>
    <row r="2623" spans="1:5">
      <c r="A2623" s="64" t="s">
        <v>15</v>
      </c>
      <c r="B2623" s="65">
        <v>43681</v>
      </c>
      <c r="C2623" s="66" t="s">
        <v>222</v>
      </c>
      <c r="D2623" s="3" t="s">
        <v>14</v>
      </c>
      <c r="E2623" s="64">
        <v>1</v>
      </c>
    </row>
    <row r="2624" spans="1:5">
      <c r="A2624" s="64" t="s">
        <v>15</v>
      </c>
      <c r="B2624" s="65">
        <v>43682</v>
      </c>
      <c r="C2624" s="66" t="s">
        <v>216</v>
      </c>
      <c r="D2624" s="3" t="s">
        <v>14</v>
      </c>
      <c r="E2624" s="64">
        <v>1</v>
      </c>
    </row>
    <row r="2625" spans="1:5">
      <c r="A2625" s="64" t="s">
        <v>15</v>
      </c>
      <c r="B2625" s="65">
        <v>43683</v>
      </c>
      <c r="C2625" s="66" t="s">
        <v>217</v>
      </c>
      <c r="D2625" s="3" t="s">
        <v>14</v>
      </c>
      <c r="E2625" s="64">
        <v>1</v>
      </c>
    </row>
    <row r="2626" spans="1:5">
      <c r="A2626" s="64" t="s">
        <v>15</v>
      </c>
      <c r="B2626" s="65">
        <v>43684</v>
      </c>
      <c r="C2626" s="66" t="s">
        <v>218</v>
      </c>
      <c r="D2626" s="3" t="s">
        <v>14</v>
      </c>
      <c r="E2626" s="64">
        <v>1</v>
      </c>
    </row>
    <row r="2627" spans="1:5">
      <c r="A2627" s="64" t="s">
        <v>15</v>
      </c>
      <c r="B2627" s="65">
        <v>43685</v>
      </c>
      <c r="C2627" s="66" t="s">
        <v>219</v>
      </c>
      <c r="D2627" s="3" t="s">
        <v>14</v>
      </c>
      <c r="E2627" s="64">
        <v>1</v>
      </c>
    </row>
    <row r="2628" spans="1:5">
      <c r="A2628" s="64" t="s">
        <v>15</v>
      </c>
      <c r="B2628" s="65">
        <v>43686</v>
      </c>
      <c r="C2628" s="66" t="s">
        <v>220</v>
      </c>
      <c r="D2628" s="3" t="s">
        <v>14</v>
      </c>
      <c r="E2628" s="64">
        <v>1</v>
      </c>
    </row>
    <row r="2629" spans="1:5">
      <c r="A2629" s="64" t="s">
        <v>15</v>
      </c>
      <c r="B2629" s="65">
        <v>43687</v>
      </c>
      <c r="C2629" s="66" t="s">
        <v>221</v>
      </c>
      <c r="D2629" s="3" t="s">
        <v>14</v>
      </c>
      <c r="E2629" s="64">
        <v>1</v>
      </c>
    </row>
    <row r="2630" spans="1:5">
      <c r="A2630" s="64" t="s">
        <v>15</v>
      </c>
      <c r="B2630" s="65">
        <v>43688</v>
      </c>
      <c r="C2630" s="66" t="s">
        <v>222</v>
      </c>
      <c r="D2630" s="3" t="s">
        <v>14</v>
      </c>
      <c r="E2630" s="64">
        <v>1</v>
      </c>
    </row>
    <row r="2631" spans="1:5">
      <c r="A2631" s="64" t="s">
        <v>15</v>
      </c>
      <c r="B2631" s="65">
        <v>43689</v>
      </c>
      <c r="C2631" s="66" t="s">
        <v>216</v>
      </c>
      <c r="D2631" s="3" t="s">
        <v>14</v>
      </c>
      <c r="E2631" s="64">
        <v>1</v>
      </c>
    </row>
    <row r="2632" spans="1:5">
      <c r="A2632" s="64" t="s">
        <v>15</v>
      </c>
      <c r="B2632" s="65">
        <v>43690</v>
      </c>
      <c r="C2632" s="66" t="s">
        <v>217</v>
      </c>
      <c r="D2632" s="3" t="s">
        <v>14</v>
      </c>
      <c r="E2632" s="64">
        <v>1</v>
      </c>
    </row>
    <row r="2633" spans="1:5">
      <c r="A2633" s="64" t="s">
        <v>15</v>
      </c>
      <c r="B2633" s="65">
        <v>43691</v>
      </c>
      <c r="C2633" s="66" t="s">
        <v>218</v>
      </c>
      <c r="D2633" s="3" t="s">
        <v>14</v>
      </c>
      <c r="E2633" s="64">
        <v>1</v>
      </c>
    </row>
    <row r="2634" spans="1:5">
      <c r="A2634" s="64" t="s">
        <v>15</v>
      </c>
      <c r="B2634" s="65">
        <v>43692</v>
      </c>
      <c r="C2634" s="66" t="s">
        <v>219</v>
      </c>
      <c r="D2634" s="3" t="s">
        <v>14</v>
      </c>
      <c r="E2634" s="64">
        <v>1</v>
      </c>
    </row>
    <row r="2635" spans="1:5">
      <c r="A2635" s="64" t="s">
        <v>15</v>
      </c>
      <c r="B2635" s="65">
        <v>43693</v>
      </c>
      <c r="C2635" s="66" t="s">
        <v>220</v>
      </c>
      <c r="D2635" s="3" t="s">
        <v>14</v>
      </c>
      <c r="E2635" s="64">
        <v>1</v>
      </c>
    </row>
    <row r="2636" spans="1:5">
      <c r="A2636" s="64" t="s">
        <v>15</v>
      </c>
      <c r="B2636" s="65">
        <v>43694</v>
      </c>
      <c r="C2636" s="66" t="s">
        <v>221</v>
      </c>
      <c r="D2636" s="3" t="s">
        <v>14</v>
      </c>
      <c r="E2636" s="64">
        <v>1</v>
      </c>
    </row>
    <row r="2637" spans="1:5">
      <c r="A2637" s="64" t="s">
        <v>15</v>
      </c>
      <c r="B2637" s="65">
        <v>43695</v>
      </c>
      <c r="C2637" s="66" t="s">
        <v>222</v>
      </c>
      <c r="D2637" s="3" t="s">
        <v>14</v>
      </c>
      <c r="E2637" s="64">
        <v>1</v>
      </c>
    </row>
    <row r="2638" spans="1:5">
      <c r="A2638" s="64" t="s">
        <v>15</v>
      </c>
      <c r="B2638" s="65">
        <v>43696</v>
      </c>
      <c r="C2638" s="66" t="s">
        <v>216</v>
      </c>
      <c r="D2638" s="3" t="s">
        <v>14</v>
      </c>
      <c r="E2638" s="64">
        <v>1</v>
      </c>
    </row>
    <row r="2639" spans="1:5">
      <c r="A2639" s="64" t="s">
        <v>15</v>
      </c>
      <c r="B2639" s="65">
        <v>43697</v>
      </c>
      <c r="C2639" s="66" t="s">
        <v>217</v>
      </c>
      <c r="D2639" s="3" t="s">
        <v>14</v>
      </c>
      <c r="E2639" s="64">
        <v>1</v>
      </c>
    </row>
    <row r="2640" spans="1:5">
      <c r="A2640" s="64" t="s">
        <v>15</v>
      </c>
      <c r="B2640" s="65">
        <v>43698</v>
      </c>
      <c r="C2640" s="66" t="s">
        <v>218</v>
      </c>
      <c r="D2640" s="3" t="s">
        <v>14</v>
      </c>
      <c r="E2640" s="64">
        <v>1</v>
      </c>
    </row>
    <row r="2641" spans="1:5">
      <c r="A2641" s="64" t="s">
        <v>15</v>
      </c>
      <c r="B2641" s="65">
        <v>43699</v>
      </c>
      <c r="C2641" s="66" t="s">
        <v>219</v>
      </c>
      <c r="D2641" s="3" t="s">
        <v>14</v>
      </c>
      <c r="E2641" s="64">
        <v>1</v>
      </c>
    </row>
    <row r="2642" spans="1:5">
      <c r="A2642" s="64" t="s">
        <v>15</v>
      </c>
      <c r="B2642" s="65">
        <v>43700</v>
      </c>
      <c r="C2642" s="66" t="s">
        <v>220</v>
      </c>
      <c r="D2642" s="3" t="s">
        <v>14</v>
      </c>
      <c r="E2642" s="64">
        <v>1</v>
      </c>
    </row>
    <row r="2643" spans="1:5">
      <c r="A2643" s="64" t="s">
        <v>15</v>
      </c>
      <c r="B2643" s="65">
        <v>43701</v>
      </c>
      <c r="C2643" s="66" t="s">
        <v>221</v>
      </c>
      <c r="D2643" s="3" t="s">
        <v>14</v>
      </c>
      <c r="E2643" s="64">
        <v>1</v>
      </c>
    </row>
    <row r="2644" spans="1:5">
      <c r="A2644" s="64" t="s">
        <v>15</v>
      </c>
      <c r="B2644" s="65">
        <v>43702</v>
      </c>
      <c r="C2644" s="66" t="s">
        <v>222</v>
      </c>
      <c r="D2644" s="3" t="s">
        <v>14</v>
      </c>
      <c r="E2644" s="64">
        <v>1</v>
      </c>
    </row>
    <row r="2645" spans="1:5">
      <c r="A2645" s="64" t="s">
        <v>15</v>
      </c>
      <c r="B2645" s="65">
        <v>43703</v>
      </c>
      <c r="C2645" s="66" t="s">
        <v>216</v>
      </c>
      <c r="D2645" s="3" t="s">
        <v>14</v>
      </c>
      <c r="E2645" s="64">
        <v>1</v>
      </c>
    </row>
    <row r="2646" spans="1:5">
      <c r="A2646" s="64" t="s">
        <v>15</v>
      </c>
      <c r="B2646" s="65">
        <v>43704</v>
      </c>
      <c r="C2646" s="66" t="s">
        <v>217</v>
      </c>
      <c r="D2646" s="3" t="s">
        <v>14</v>
      </c>
      <c r="E2646" s="64">
        <v>1</v>
      </c>
    </row>
    <row r="2647" spans="1:5">
      <c r="A2647" s="64" t="s">
        <v>15</v>
      </c>
      <c r="B2647" s="65">
        <v>43705</v>
      </c>
      <c r="C2647" s="66" t="s">
        <v>218</v>
      </c>
      <c r="D2647" s="3" t="s">
        <v>14</v>
      </c>
      <c r="E2647" s="64">
        <v>1</v>
      </c>
    </row>
    <row r="2648" spans="1:5">
      <c r="A2648" s="64" t="s">
        <v>15</v>
      </c>
      <c r="B2648" s="65">
        <v>43706</v>
      </c>
      <c r="C2648" s="66" t="s">
        <v>219</v>
      </c>
      <c r="D2648" s="3" t="s">
        <v>14</v>
      </c>
      <c r="E2648" s="64">
        <v>1</v>
      </c>
    </row>
    <row r="2649" spans="1:5">
      <c r="A2649" s="64" t="s">
        <v>15</v>
      </c>
      <c r="B2649" s="65">
        <v>43707</v>
      </c>
      <c r="C2649" s="66" t="s">
        <v>220</v>
      </c>
      <c r="D2649" s="3" t="s">
        <v>14</v>
      </c>
      <c r="E2649" s="64">
        <v>1</v>
      </c>
    </row>
    <row r="2650" spans="1:5">
      <c r="A2650" s="64" t="s">
        <v>15</v>
      </c>
      <c r="B2650" s="65">
        <v>43708</v>
      </c>
      <c r="C2650" s="66" t="s">
        <v>221</v>
      </c>
      <c r="D2650" s="3" t="s">
        <v>14</v>
      </c>
      <c r="E2650" s="64">
        <v>1</v>
      </c>
    </row>
    <row r="2651" spans="1:5">
      <c r="A2651" s="64" t="s">
        <v>15</v>
      </c>
      <c r="B2651" s="65">
        <v>43709</v>
      </c>
      <c r="C2651" s="66" t="s">
        <v>222</v>
      </c>
      <c r="D2651" s="3" t="s">
        <v>14</v>
      </c>
      <c r="E2651" s="64">
        <v>1</v>
      </c>
    </row>
    <row r="2652" spans="1:5">
      <c r="A2652" s="64" t="s">
        <v>15</v>
      </c>
      <c r="B2652" s="65">
        <v>43710</v>
      </c>
      <c r="C2652" s="66" t="s">
        <v>216</v>
      </c>
      <c r="D2652" s="3" t="s">
        <v>14</v>
      </c>
      <c r="E2652" s="64">
        <v>1</v>
      </c>
    </row>
    <row r="2653" spans="1:5">
      <c r="A2653" s="64" t="s">
        <v>15</v>
      </c>
      <c r="B2653" s="65">
        <v>43711</v>
      </c>
      <c r="C2653" s="66" t="s">
        <v>217</v>
      </c>
      <c r="D2653" s="3" t="s">
        <v>14</v>
      </c>
      <c r="E2653" s="64">
        <v>1</v>
      </c>
    </row>
    <row r="2654" spans="1:5">
      <c r="A2654" s="64" t="s">
        <v>15</v>
      </c>
      <c r="B2654" s="65">
        <v>43712</v>
      </c>
      <c r="C2654" s="66" t="s">
        <v>218</v>
      </c>
      <c r="D2654" s="3" t="s">
        <v>14</v>
      </c>
      <c r="E2654" s="64">
        <v>1</v>
      </c>
    </row>
    <row r="2655" spans="1:5">
      <c r="A2655" s="64" t="s">
        <v>15</v>
      </c>
      <c r="B2655" s="65">
        <v>43713</v>
      </c>
      <c r="C2655" s="66" t="s">
        <v>219</v>
      </c>
      <c r="D2655" s="3" t="s">
        <v>14</v>
      </c>
      <c r="E2655" s="64">
        <v>1</v>
      </c>
    </row>
    <row r="2656" spans="1:5">
      <c r="A2656" s="64" t="s">
        <v>15</v>
      </c>
      <c r="B2656" s="65">
        <v>43714</v>
      </c>
      <c r="C2656" s="66" t="s">
        <v>220</v>
      </c>
      <c r="D2656" s="3" t="s">
        <v>14</v>
      </c>
      <c r="E2656" s="64">
        <v>1</v>
      </c>
    </row>
    <row r="2657" spans="1:5">
      <c r="A2657" s="64" t="s">
        <v>15</v>
      </c>
      <c r="B2657" s="65">
        <v>43715</v>
      </c>
      <c r="C2657" s="66" t="s">
        <v>221</v>
      </c>
      <c r="D2657" s="3" t="s">
        <v>14</v>
      </c>
      <c r="E2657" s="64">
        <v>1</v>
      </c>
    </row>
    <row r="2658" spans="1:5">
      <c r="A2658" s="64" t="s">
        <v>15</v>
      </c>
      <c r="B2658" s="65">
        <v>43716</v>
      </c>
      <c r="C2658" s="66" t="s">
        <v>222</v>
      </c>
      <c r="D2658" s="3" t="s">
        <v>14</v>
      </c>
      <c r="E2658" s="64">
        <v>1</v>
      </c>
    </row>
    <row r="2659" spans="1:5">
      <c r="A2659" s="64" t="s">
        <v>15</v>
      </c>
      <c r="B2659" s="65">
        <v>43717</v>
      </c>
      <c r="C2659" s="66" t="s">
        <v>216</v>
      </c>
      <c r="D2659" s="3" t="s">
        <v>14</v>
      </c>
      <c r="E2659" s="64">
        <v>1</v>
      </c>
    </row>
    <row r="2660" spans="1:5">
      <c r="A2660" s="64" t="s">
        <v>15</v>
      </c>
      <c r="B2660" s="65">
        <v>43718</v>
      </c>
      <c r="C2660" s="66" t="s">
        <v>217</v>
      </c>
      <c r="D2660" s="3" t="s">
        <v>14</v>
      </c>
      <c r="E2660" s="64">
        <v>1</v>
      </c>
    </row>
    <row r="2661" spans="1:5">
      <c r="A2661" s="64" t="s">
        <v>15</v>
      </c>
      <c r="B2661" s="65">
        <v>43719</v>
      </c>
      <c r="C2661" s="66" t="s">
        <v>218</v>
      </c>
      <c r="D2661" s="3" t="s">
        <v>14</v>
      </c>
      <c r="E2661" s="64">
        <v>1</v>
      </c>
    </row>
    <row r="2662" spans="1:5">
      <c r="A2662" s="64" t="s">
        <v>15</v>
      </c>
      <c r="B2662" s="65">
        <v>43720</v>
      </c>
      <c r="C2662" s="66" t="s">
        <v>219</v>
      </c>
      <c r="D2662" s="3" t="s">
        <v>14</v>
      </c>
      <c r="E2662" s="64">
        <v>1</v>
      </c>
    </row>
    <row r="2663" spans="1:5">
      <c r="A2663" s="64" t="s">
        <v>15</v>
      </c>
      <c r="B2663" s="65">
        <v>43721</v>
      </c>
      <c r="C2663" s="66" t="s">
        <v>220</v>
      </c>
      <c r="D2663" s="3" t="s">
        <v>14</v>
      </c>
      <c r="E2663" s="64">
        <v>1</v>
      </c>
    </row>
    <row r="2664" spans="1:5">
      <c r="A2664" s="64" t="s">
        <v>15</v>
      </c>
      <c r="B2664" s="65">
        <v>43722</v>
      </c>
      <c r="C2664" s="66" t="s">
        <v>221</v>
      </c>
      <c r="D2664" s="3" t="s">
        <v>14</v>
      </c>
      <c r="E2664" s="64">
        <v>1</v>
      </c>
    </row>
    <row r="2665" spans="1:5">
      <c r="A2665" s="64" t="s">
        <v>15</v>
      </c>
      <c r="B2665" s="65">
        <v>43723</v>
      </c>
      <c r="C2665" s="66" t="s">
        <v>222</v>
      </c>
      <c r="D2665" s="3" t="s">
        <v>14</v>
      </c>
      <c r="E2665" s="64">
        <v>1</v>
      </c>
    </row>
    <row r="2666" spans="1:5">
      <c r="A2666" s="64" t="s">
        <v>15</v>
      </c>
      <c r="B2666" s="65">
        <v>43724</v>
      </c>
      <c r="C2666" s="66" t="s">
        <v>216</v>
      </c>
      <c r="D2666" s="3" t="s">
        <v>14</v>
      </c>
      <c r="E2666" s="64">
        <v>1</v>
      </c>
    </row>
    <row r="2667" spans="1:5">
      <c r="A2667" s="64" t="s">
        <v>15</v>
      </c>
      <c r="B2667" s="65">
        <v>43725</v>
      </c>
      <c r="C2667" s="66" t="s">
        <v>217</v>
      </c>
      <c r="D2667" s="3" t="s">
        <v>14</v>
      </c>
      <c r="E2667" s="64">
        <v>1</v>
      </c>
    </row>
    <row r="2668" spans="1:5">
      <c r="A2668" s="64" t="s">
        <v>15</v>
      </c>
      <c r="B2668" s="65">
        <v>43726</v>
      </c>
      <c r="C2668" s="66" t="s">
        <v>218</v>
      </c>
      <c r="D2668" s="3" t="s">
        <v>14</v>
      </c>
      <c r="E2668" s="64">
        <v>1</v>
      </c>
    </row>
    <row r="2669" spans="1:5">
      <c r="A2669" s="64" t="s">
        <v>15</v>
      </c>
      <c r="B2669" s="65">
        <v>43727</v>
      </c>
      <c r="C2669" s="66" t="s">
        <v>219</v>
      </c>
      <c r="D2669" s="3" t="s">
        <v>14</v>
      </c>
      <c r="E2669" s="64">
        <v>1</v>
      </c>
    </row>
    <row r="2670" spans="1:5">
      <c r="A2670" s="64" t="s">
        <v>15</v>
      </c>
      <c r="B2670" s="65">
        <v>43728</v>
      </c>
      <c r="C2670" s="66" t="s">
        <v>220</v>
      </c>
      <c r="D2670" s="3" t="s">
        <v>14</v>
      </c>
      <c r="E2670" s="64">
        <v>1</v>
      </c>
    </row>
    <row r="2671" spans="1:5">
      <c r="A2671" s="64" t="s">
        <v>15</v>
      </c>
      <c r="B2671" s="65">
        <v>43729</v>
      </c>
      <c r="C2671" s="66" t="s">
        <v>221</v>
      </c>
      <c r="D2671" s="3" t="s">
        <v>14</v>
      </c>
      <c r="E2671" s="64">
        <v>1</v>
      </c>
    </row>
    <row r="2672" spans="1:5">
      <c r="A2672" s="64" t="s">
        <v>15</v>
      </c>
      <c r="B2672" s="65">
        <v>43730</v>
      </c>
      <c r="C2672" s="66" t="s">
        <v>222</v>
      </c>
      <c r="D2672" s="3" t="s">
        <v>14</v>
      </c>
      <c r="E2672" s="64">
        <v>1</v>
      </c>
    </row>
    <row r="2673" spans="1:5">
      <c r="A2673" s="64" t="s">
        <v>15</v>
      </c>
      <c r="B2673" s="65">
        <v>43731</v>
      </c>
      <c r="C2673" s="66" t="s">
        <v>216</v>
      </c>
      <c r="D2673" s="3" t="s">
        <v>14</v>
      </c>
      <c r="E2673" s="64">
        <v>1</v>
      </c>
    </row>
    <row r="2674" spans="1:5">
      <c r="A2674" s="64" t="s">
        <v>15</v>
      </c>
      <c r="B2674" s="65">
        <v>43732</v>
      </c>
      <c r="C2674" s="66" t="s">
        <v>217</v>
      </c>
      <c r="D2674" s="3" t="s">
        <v>14</v>
      </c>
      <c r="E2674" s="64">
        <v>1</v>
      </c>
    </row>
    <row r="2675" spans="1:5">
      <c r="A2675" s="64" t="s">
        <v>15</v>
      </c>
      <c r="B2675" s="65">
        <v>43733</v>
      </c>
      <c r="C2675" s="66" t="s">
        <v>218</v>
      </c>
      <c r="D2675" s="3" t="s">
        <v>14</v>
      </c>
      <c r="E2675" s="64">
        <v>1</v>
      </c>
    </row>
    <row r="2676" spans="1:5">
      <c r="A2676" s="64" t="s">
        <v>15</v>
      </c>
      <c r="B2676" s="65">
        <v>43734</v>
      </c>
      <c r="C2676" s="66" t="s">
        <v>219</v>
      </c>
      <c r="D2676" s="3" t="s">
        <v>14</v>
      </c>
      <c r="E2676" s="64">
        <v>1</v>
      </c>
    </row>
    <row r="2677" spans="1:5">
      <c r="A2677" s="64" t="s">
        <v>15</v>
      </c>
      <c r="B2677" s="65">
        <v>43735</v>
      </c>
      <c r="C2677" s="66" t="s">
        <v>220</v>
      </c>
      <c r="D2677" s="3" t="s">
        <v>14</v>
      </c>
      <c r="E2677" s="64">
        <v>1</v>
      </c>
    </row>
    <row r="2678" spans="1:5">
      <c r="A2678" s="64" t="s">
        <v>15</v>
      </c>
      <c r="B2678" s="65">
        <v>43472</v>
      </c>
      <c r="C2678" s="66" t="s">
        <v>216</v>
      </c>
      <c r="D2678" s="3" t="s">
        <v>17</v>
      </c>
      <c r="E2678" s="64">
        <v>1</v>
      </c>
    </row>
    <row r="2679" spans="1:5">
      <c r="A2679" s="64" t="s">
        <v>15</v>
      </c>
      <c r="B2679" s="65">
        <v>43473</v>
      </c>
      <c r="C2679" s="66" t="s">
        <v>217</v>
      </c>
      <c r="D2679" s="3" t="s">
        <v>17</v>
      </c>
      <c r="E2679" s="64">
        <v>1</v>
      </c>
    </row>
    <row r="2680" spans="1:5">
      <c r="A2680" s="64" t="s">
        <v>15</v>
      </c>
      <c r="B2680" s="65">
        <v>43474</v>
      </c>
      <c r="C2680" s="66" t="s">
        <v>218</v>
      </c>
      <c r="D2680" s="3" t="s">
        <v>17</v>
      </c>
      <c r="E2680" s="64">
        <v>1</v>
      </c>
    </row>
    <row r="2681" spans="1:5">
      <c r="A2681" s="64" t="s">
        <v>15</v>
      </c>
      <c r="B2681" s="65">
        <v>43475</v>
      </c>
      <c r="C2681" s="66" t="s">
        <v>219</v>
      </c>
      <c r="D2681" s="3" t="s">
        <v>17</v>
      </c>
      <c r="E2681" s="64">
        <v>1</v>
      </c>
    </row>
    <row r="2682" spans="1:5">
      <c r="A2682" s="64" t="s">
        <v>15</v>
      </c>
      <c r="B2682" s="65">
        <v>43476</v>
      </c>
      <c r="C2682" s="66" t="s">
        <v>220</v>
      </c>
      <c r="D2682" s="3" t="s">
        <v>17</v>
      </c>
      <c r="E2682" s="64">
        <v>1</v>
      </c>
    </row>
    <row r="2683" spans="1:5">
      <c r="A2683" s="64" t="s">
        <v>15</v>
      </c>
      <c r="B2683" s="65">
        <v>43477</v>
      </c>
      <c r="C2683" s="66" t="s">
        <v>221</v>
      </c>
      <c r="D2683" s="3" t="s">
        <v>17</v>
      </c>
      <c r="E2683" s="64">
        <v>1</v>
      </c>
    </row>
    <row r="2684" spans="1:5">
      <c r="A2684" s="64" t="s">
        <v>15</v>
      </c>
      <c r="B2684" s="65">
        <v>43478</v>
      </c>
      <c r="C2684" s="66" t="s">
        <v>222</v>
      </c>
      <c r="D2684" s="3" t="s">
        <v>17</v>
      </c>
      <c r="E2684" s="64">
        <v>1</v>
      </c>
    </row>
    <row r="2685" spans="1:5">
      <c r="A2685" s="64" t="s">
        <v>15</v>
      </c>
      <c r="B2685" s="65">
        <v>43479</v>
      </c>
      <c r="C2685" s="66" t="s">
        <v>216</v>
      </c>
      <c r="D2685" s="3" t="s">
        <v>17</v>
      </c>
      <c r="E2685" s="64">
        <v>1</v>
      </c>
    </row>
    <row r="2686" spans="1:5">
      <c r="A2686" s="64" t="s">
        <v>15</v>
      </c>
      <c r="B2686" s="65">
        <v>43480</v>
      </c>
      <c r="C2686" s="66" t="s">
        <v>217</v>
      </c>
      <c r="D2686" s="3" t="s">
        <v>17</v>
      </c>
      <c r="E2686" s="64">
        <v>1</v>
      </c>
    </row>
    <row r="2687" spans="1:5">
      <c r="A2687" s="64" t="s">
        <v>15</v>
      </c>
      <c r="B2687" s="65">
        <v>43481</v>
      </c>
      <c r="C2687" s="66" t="s">
        <v>218</v>
      </c>
      <c r="D2687" s="3" t="s">
        <v>17</v>
      </c>
      <c r="E2687" s="64">
        <v>1</v>
      </c>
    </row>
    <row r="2688" spans="1:5">
      <c r="A2688" s="64" t="s">
        <v>15</v>
      </c>
      <c r="B2688" s="65">
        <v>43482</v>
      </c>
      <c r="C2688" s="66" t="s">
        <v>219</v>
      </c>
      <c r="D2688" s="3" t="s">
        <v>17</v>
      </c>
      <c r="E2688" s="64">
        <v>1</v>
      </c>
    </row>
    <row r="2689" spans="1:5">
      <c r="A2689" s="64" t="s">
        <v>15</v>
      </c>
      <c r="B2689" s="65">
        <v>43483</v>
      </c>
      <c r="C2689" s="66" t="s">
        <v>220</v>
      </c>
      <c r="D2689" s="3" t="s">
        <v>17</v>
      </c>
      <c r="E2689" s="64">
        <v>1</v>
      </c>
    </row>
    <row r="2690" spans="1:5">
      <c r="A2690" s="64" t="s">
        <v>15</v>
      </c>
      <c r="B2690" s="65">
        <v>43484</v>
      </c>
      <c r="C2690" s="66" t="s">
        <v>221</v>
      </c>
      <c r="D2690" s="3" t="s">
        <v>17</v>
      </c>
      <c r="E2690" s="64">
        <v>1</v>
      </c>
    </row>
    <row r="2691" spans="1:5">
      <c r="A2691" s="64" t="s">
        <v>15</v>
      </c>
      <c r="B2691" s="65">
        <v>43485</v>
      </c>
      <c r="C2691" s="66" t="s">
        <v>222</v>
      </c>
      <c r="D2691" s="3" t="s">
        <v>17</v>
      </c>
      <c r="E2691" s="64">
        <v>1</v>
      </c>
    </row>
    <row r="2692" spans="1:5">
      <c r="A2692" s="64" t="s">
        <v>15</v>
      </c>
      <c r="B2692" s="65">
        <v>43486</v>
      </c>
      <c r="C2692" s="66" t="s">
        <v>216</v>
      </c>
      <c r="D2692" s="3" t="s">
        <v>17</v>
      </c>
      <c r="E2692" s="64">
        <v>1</v>
      </c>
    </row>
    <row r="2693" spans="1:5">
      <c r="A2693" s="64" t="s">
        <v>15</v>
      </c>
      <c r="B2693" s="65">
        <v>43487</v>
      </c>
      <c r="C2693" s="66" t="s">
        <v>217</v>
      </c>
      <c r="D2693" s="3" t="s">
        <v>17</v>
      </c>
      <c r="E2693" s="64">
        <v>1</v>
      </c>
    </row>
    <row r="2694" spans="1:5">
      <c r="A2694" s="64" t="s">
        <v>15</v>
      </c>
      <c r="B2694" s="65">
        <v>43488</v>
      </c>
      <c r="C2694" s="66" t="s">
        <v>218</v>
      </c>
      <c r="D2694" s="3" t="s">
        <v>17</v>
      </c>
      <c r="E2694" s="64">
        <v>1</v>
      </c>
    </row>
    <row r="2695" spans="1:5">
      <c r="A2695" s="64" t="s">
        <v>15</v>
      </c>
      <c r="B2695" s="65">
        <v>43489</v>
      </c>
      <c r="C2695" s="66" t="s">
        <v>219</v>
      </c>
      <c r="D2695" s="3" t="s">
        <v>17</v>
      </c>
      <c r="E2695" s="64">
        <v>1</v>
      </c>
    </row>
    <row r="2696" spans="1:5">
      <c r="A2696" s="64" t="s">
        <v>15</v>
      </c>
      <c r="B2696" s="65">
        <v>43490</v>
      </c>
      <c r="C2696" s="66" t="s">
        <v>220</v>
      </c>
      <c r="D2696" s="3" t="s">
        <v>17</v>
      </c>
      <c r="E2696" s="64">
        <v>1</v>
      </c>
    </row>
    <row r="2697" spans="1:5">
      <c r="A2697" s="64" t="s">
        <v>15</v>
      </c>
      <c r="B2697" s="65">
        <v>43491</v>
      </c>
      <c r="C2697" s="66" t="s">
        <v>221</v>
      </c>
      <c r="D2697" s="3" t="s">
        <v>17</v>
      </c>
      <c r="E2697" s="64">
        <v>1</v>
      </c>
    </row>
    <row r="2698" spans="1:5">
      <c r="A2698" s="64" t="s">
        <v>15</v>
      </c>
      <c r="B2698" s="65">
        <v>43492</v>
      </c>
      <c r="C2698" s="66" t="s">
        <v>222</v>
      </c>
      <c r="D2698" s="3" t="s">
        <v>17</v>
      </c>
      <c r="E2698" s="64">
        <v>1</v>
      </c>
    </row>
    <row r="2699" spans="1:5">
      <c r="A2699" s="64" t="s">
        <v>15</v>
      </c>
      <c r="B2699" s="65">
        <v>43493</v>
      </c>
      <c r="C2699" s="66" t="s">
        <v>216</v>
      </c>
      <c r="D2699" s="3" t="s">
        <v>17</v>
      </c>
      <c r="E2699" s="64">
        <v>1</v>
      </c>
    </row>
    <row r="2700" spans="1:5">
      <c r="A2700" s="64" t="s">
        <v>15</v>
      </c>
      <c r="B2700" s="65">
        <v>43494</v>
      </c>
      <c r="C2700" s="66" t="s">
        <v>217</v>
      </c>
      <c r="D2700" s="3" t="s">
        <v>17</v>
      </c>
      <c r="E2700" s="64">
        <v>1</v>
      </c>
    </row>
    <row r="2701" spans="1:5">
      <c r="A2701" s="64" t="s">
        <v>15</v>
      </c>
      <c r="B2701" s="65">
        <v>43495</v>
      </c>
      <c r="C2701" s="66" t="s">
        <v>218</v>
      </c>
      <c r="D2701" s="3" t="s">
        <v>17</v>
      </c>
      <c r="E2701" s="64">
        <v>1</v>
      </c>
    </row>
    <row r="2702" spans="1:5">
      <c r="A2702" s="64" t="s">
        <v>15</v>
      </c>
      <c r="B2702" s="65">
        <v>43496</v>
      </c>
      <c r="C2702" s="66" t="s">
        <v>219</v>
      </c>
      <c r="D2702" s="3" t="s">
        <v>17</v>
      </c>
      <c r="E2702" s="64">
        <v>1</v>
      </c>
    </row>
    <row r="2703" spans="1:5">
      <c r="A2703" s="64" t="s">
        <v>15</v>
      </c>
      <c r="B2703" s="65">
        <v>43497</v>
      </c>
      <c r="C2703" s="66" t="s">
        <v>220</v>
      </c>
      <c r="D2703" s="3" t="s">
        <v>17</v>
      </c>
      <c r="E2703" s="64">
        <v>1</v>
      </c>
    </row>
    <row r="2704" spans="1:5">
      <c r="A2704" s="64" t="s">
        <v>15</v>
      </c>
      <c r="B2704" s="65">
        <v>43498</v>
      </c>
      <c r="C2704" s="66" t="s">
        <v>221</v>
      </c>
      <c r="D2704" s="3" t="s">
        <v>17</v>
      </c>
      <c r="E2704" s="64">
        <v>1</v>
      </c>
    </row>
    <row r="2705" spans="1:5">
      <c r="A2705" s="64" t="s">
        <v>15</v>
      </c>
      <c r="B2705" s="65">
        <v>43499</v>
      </c>
      <c r="C2705" s="66" t="s">
        <v>222</v>
      </c>
      <c r="D2705" s="3" t="s">
        <v>17</v>
      </c>
      <c r="E2705" s="64">
        <v>1</v>
      </c>
    </row>
    <row r="2706" spans="1:5">
      <c r="A2706" s="64" t="s">
        <v>15</v>
      </c>
      <c r="B2706" s="65">
        <v>43500</v>
      </c>
      <c r="C2706" s="66" t="s">
        <v>216</v>
      </c>
      <c r="D2706" s="3" t="s">
        <v>17</v>
      </c>
      <c r="E2706" s="64">
        <v>1</v>
      </c>
    </row>
    <row r="2707" spans="1:5">
      <c r="A2707" s="64" t="s">
        <v>15</v>
      </c>
      <c r="B2707" s="65">
        <v>43501</v>
      </c>
      <c r="C2707" s="66" t="s">
        <v>217</v>
      </c>
      <c r="D2707" s="3" t="s">
        <v>17</v>
      </c>
      <c r="E2707" s="64">
        <v>1</v>
      </c>
    </row>
    <row r="2708" spans="1:5">
      <c r="A2708" s="64" t="s">
        <v>15</v>
      </c>
      <c r="B2708" s="65">
        <v>43502</v>
      </c>
      <c r="C2708" s="66" t="s">
        <v>218</v>
      </c>
      <c r="D2708" s="3" t="s">
        <v>17</v>
      </c>
      <c r="E2708" s="64">
        <v>1</v>
      </c>
    </row>
    <row r="2709" spans="1:5">
      <c r="A2709" s="64" t="s">
        <v>15</v>
      </c>
      <c r="B2709" s="65">
        <v>43503</v>
      </c>
      <c r="C2709" s="66" t="s">
        <v>219</v>
      </c>
      <c r="D2709" s="3" t="s">
        <v>17</v>
      </c>
      <c r="E2709" s="64">
        <v>1</v>
      </c>
    </row>
    <row r="2710" spans="1:5">
      <c r="A2710" s="64" t="s">
        <v>15</v>
      </c>
      <c r="B2710" s="65">
        <v>43504</v>
      </c>
      <c r="C2710" s="66" t="s">
        <v>220</v>
      </c>
      <c r="D2710" s="3" t="s">
        <v>17</v>
      </c>
      <c r="E2710" s="64">
        <v>1</v>
      </c>
    </row>
    <row r="2711" spans="1:5">
      <c r="A2711" s="64" t="s">
        <v>15</v>
      </c>
      <c r="B2711" s="65">
        <v>43505</v>
      </c>
      <c r="C2711" s="66" t="s">
        <v>221</v>
      </c>
      <c r="D2711" s="3" t="s">
        <v>17</v>
      </c>
      <c r="E2711" s="64">
        <v>1</v>
      </c>
    </row>
    <row r="2712" spans="1:5">
      <c r="A2712" s="64" t="s">
        <v>15</v>
      </c>
      <c r="B2712" s="65">
        <v>43506</v>
      </c>
      <c r="C2712" s="66" t="s">
        <v>222</v>
      </c>
      <c r="D2712" s="3" t="s">
        <v>17</v>
      </c>
      <c r="E2712" s="64">
        <v>1</v>
      </c>
    </row>
    <row r="2713" spans="1:5">
      <c r="A2713" s="64" t="s">
        <v>15</v>
      </c>
      <c r="B2713" s="65">
        <v>43507</v>
      </c>
      <c r="C2713" s="66" t="s">
        <v>216</v>
      </c>
      <c r="D2713" s="3" t="s">
        <v>17</v>
      </c>
      <c r="E2713" s="64">
        <v>1</v>
      </c>
    </row>
    <row r="2714" spans="1:5">
      <c r="A2714" s="64" t="s">
        <v>15</v>
      </c>
      <c r="B2714" s="65">
        <v>43508</v>
      </c>
      <c r="C2714" s="66" t="s">
        <v>217</v>
      </c>
      <c r="D2714" s="3" t="s">
        <v>17</v>
      </c>
      <c r="E2714" s="64">
        <v>1</v>
      </c>
    </row>
    <row r="2715" spans="1:5">
      <c r="A2715" s="64" t="s">
        <v>15</v>
      </c>
      <c r="B2715" s="65">
        <v>43509</v>
      </c>
      <c r="C2715" s="66" t="s">
        <v>218</v>
      </c>
      <c r="D2715" s="3" t="s">
        <v>17</v>
      </c>
      <c r="E2715" s="64">
        <v>1</v>
      </c>
    </row>
    <row r="2716" spans="1:5">
      <c r="A2716" s="64" t="s">
        <v>15</v>
      </c>
      <c r="B2716" s="65">
        <v>43510</v>
      </c>
      <c r="C2716" s="66" t="s">
        <v>219</v>
      </c>
      <c r="D2716" s="3" t="s">
        <v>17</v>
      </c>
      <c r="E2716" s="64">
        <v>1</v>
      </c>
    </row>
    <row r="2717" spans="1:5">
      <c r="A2717" s="64" t="s">
        <v>15</v>
      </c>
      <c r="B2717" s="65">
        <v>43511</v>
      </c>
      <c r="C2717" s="66" t="s">
        <v>220</v>
      </c>
      <c r="D2717" s="3" t="s">
        <v>17</v>
      </c>
      <c r="E2717" s="64">
        <v>1</v>
      </c>
    </row>
    <row r="2718" spans="1:5">
      <c r="A2718" s="64" t="s">
        <v>15</v>
      </c>
      <c r="B2718" s="65">
        <v>43512</v>
      </c>
      <c r="C2718" s="66" t="s">
        <v>221</v>
      </c>
      <c r="D2718" s="3" t="s">
        <v>17</v>
      </c>
      <c r="E2718" s="64">
        <v>1</v>
      </c>
    </row>
    <row r="2719" spans="1:5">
      <c r="A2719" s="64" t="s">
        <v>15</v>
      </c>
      <c r="B2719" s="65">
        <v>43513</v>
      </c>
      <c r="C2719" s="66" t="s">
        <v>222</v>
      </c>
      <c r="D2719" s="3" t="s">
        <v>17</v>
      </c>
      <c r="E2719" s="64">
        <v>1</v>
      </c>
    </row>
    <row r="2720" spans="1:5">
      <c r="A2720" s="64" t="s">
        <v>15</v>
      </c>
      <c r="B2720" s="65">
        <v>43514</v>
      </c>
      <c r="C2720" s="66" t="s">
        <v>216</v>
      </c>
      <c r="D2720" s="3" t="s">
        <v>17</v>
      </c>
      <c r="E2720" s="64">
        <v>1</v>
      </c>
    </row>
    <row r="2721" spans="1:5">
      <c r="A2721" s="64" t="s">
        <v>15</v>
      </c>
      <c r="B2721" s="65">
        <v>43515</v>
      </c>
      <c r="C2721" s="66" t="s">
        <v>217</v>
      </c>
      <c r="D2721" s="3" t="s">
        <v>17</v>
      </c>
      <c r="E2721" s="64">
        <v>1</v>
      </c>
    </row>
    <row r="2722" spans="1:5">
      <c r="A2722" s="64" t="s">
        <v>15</v>
      </c>
      <c r="B2722" s="65">
        <v>43516</v>
      </c>
      <c r="C2722" s="66" t="s">
        <v>218</v>
      </c>
      <c r="D2722" s="3" t="s">
        <v>17</v>
      </c>
      <c r="E2722" s="64">
        <v>1</v>
      </c>
    </row>
    <row r="2723" spans="1:5">
      <c r="A2723" s="64" t="s">
        <v>15</v>
      </c>
      <c r="B2723" s="65">
        <v>43517</v>
      </c>
      <c r="C2723" s="66" t="s">
        <v>219</v>
      </c>
      <c r="D2723" s="3" t="s">
        <v>17</v>
      </c>
      <c r="E2723" s="64">
        <v>1</v>
      </c>
    </row>
    <row r="2724" spans="1:5">
      <c r="A2724" s="64" t="s">
        <v>15</v>
      </c>
      <c r="B2724" s="65">
        <v>43518</v>
      </c>
      <c r="C2724" s="66" t="s">
        <v>220</v>
      </c>
      <c r="D2724" s="3" t="s">
        <v>17</v>
      </c>
      <c r="E2724" s="64">
        <v>1</v>
      </c>
    </row>
    <row r="2725" spans="1:5">
      <c r="A2725" s="64" t="s">
        <v>15</v>
      </c>
      <c r="B2725" s="65">
        <v>43519</v>
      </c>
      <c r="C2725" s="66" t="s">
        <v>221</v>
      </c>
      <c r="D2725" s="3" t="s">
        <v>17</v>
      </c>
      <c r="E2725" s="64">
        <v>1</v>
      </c>
    </row>
    <row r="2726" spans="1:5">
      <c r="A2726" s="64" t="s">
        <v>15</v>
      </c>
      <c r="B2726" s="65">
        <v>43520</v>
      </c>
      <c r="C2726" s="66" t="s">
        <v>222</v>
      </c>
      <c r="D2726" s="3" t="s">
        <v>17</v>
      </c>
      <c r="E2726" s="64">
        <v>1</v>
      </c>
    </row>
    <row r="2727" spans="1:5">
      <c r="A2727" s="64" t="s">
        <v>15</v>
      </c>
      <c r="B2727" s="65">
        <v>43521</v>
      </c>
      <c r="C2727" s="66" t="s">
        <v>216</v>
      </c>
      <c r="D2727" s="3" t="s">
        <v>17</v>
      </c>
      <c r="E2727" s="64">
        <v>1</v>
      </c>
    </row>
    <row r="2728" spans="1:5">
      <c r="A2728" s="64" t="s">
        <v>15</v>
      </c>
      <c r="B2728" s="65">
        <v>43522</v>
      </c>
      <c r="C2728" s="66" t="s">
        <v>217</v>
      </c>
      <c r="D2728" s="3" t="s">
        <v>17</v>
      </c>
      <c r="E2728" s="64">
        <v>1</v>
      </c>
    </row>
    <row r="2729" spans="1:5">
      <c r="A2729" s="64" t="s">
        <v>15</v>
      </c>
      <c r="B2729" s="65">
        <v>43523</v>
      </c>
      <c r="C2729" s="66" t="s">
        <v>218</v>
      </c>
      <c r="D2729" s="3" t="s">
        <v>17</v>
      </c>
      <c r="E2729" s="64">
        <v>1</v>
      </c>
    </row>
    <row r="2730" spans="1:5">
      <c r="A2730" s="64" t="s">
        <v>15</v>
      </c>
      <c r="B2730" s="65">
        <v>43524</v>
      </c>
      <c r="C2730" s="66" t="s">
        <v>219</v>
      </c>
      <c r="D2730" s="3" t="s">
        <v>17</v>
      </c>
      <c r="E2730" s="64">
        <v>1</v>
      </c>
    </row>
    <row r="2731" spans="1:5">
      <c r="A2731" s="64" t="s">
        <v>15</v>
      </c>
      <c r="B2731" s="65">
        <v>43525</v>
      </c>
      <c r="C2731" s="66" t="s">
        <v>220</v>
      </c>
      <c r="D2731" s="3" t="s">
        <v>17</v>
      </c>
      <c r="E2731" s="64">
        <v>1</v>
      </c>
    </row>
    <row r="2732" spans="1:5">
      <c r="A2732" s="64" t="s">
        <v>15</v>
      </c>
      <c r="B2732" s="65">
        <v>43526</v>
      </c>
      <c r="C2732" s="66" t="s">
        <v>221</v>
      </c>
      <c r="D2732" s="3" t="s">
        <v>17</v>
      </c>
      <c r="E2732" s="64">
        <v>1</v>
      </c>
    </row>
    <row r="2733" spans="1:5">
      <c r="A2733" s="64" t="s">
        <v>15</v>
      </c>
      <c r="B2733" s="65">
        <v>43527</v>
      </c>
      <c r="C2733" s="66" t="s">
        <v>222</v>
      </c>
      <c r="D2733" s="3" t="s">
        <v>17</v>
      </c>
      <c r="E2733" s="64">
        <v>1</v>
      </c>
    </row>
    <row r="2734" spans="1:5">
      <c r="A2734" s="64" t="s">
        <v>15</v>
      </c>
      <c r="B2734" s="65">
        <v>43528</v>
      </c>
      <c r="C2734" s="66" t="s">
        <v>216</v>
      </c>
      <c r="D2734" s="3" t="s">
        <v>17</v>
      </c>
      <c r="E2734" s="64">
        <v>1</v>
      </c>
    </row>
    <row r="2735" spans="1:5">
      <c r="A2735" s="64" t="s">
        <v>15</v>
      </c>
      <c r="B2735" s="65">
        <v>43529</v>
      </c>
      <c r="C2735" s="66" t="s">
        <v>217</v>
      </c>
      <c r="D2735" s="3" t="s">
        <v>17</v>
      </c>
      <c r="E2735" s="64">
        <v>1</v>
      </c>
    </row>
    <row r="2736" spans="1:5">
      <c r="A2736" s="64" t="s">
        <v>15</v>
      </c>
      <c r="B2736" s="65">
        <v>43530</v>
      </c>
      <c r="C2736" s="66" t="s">
        <v>218</v>
      </c>
      <c r="D2736" s="3" t="s">
        <v>17</v>
      </c>
      <c r="E2736" s="64">
        <v>1</v>
      </c>
    </row>
    <row r="2737" spans="1:5">
      <c r="A2737" s="64" t="s">
        <v>15</v>
      </c>
      <c r="B2737" s="65">
        <v>43531</v>
      </c>
      <c r="C2737" s="66" t="s">
        <v>219</v>
      </c>
      <c r="D2737" s="3" t="s">
        <v>17</v>
      </c>
      <c r="E2737" s="64">
        <v>1</v>
      </c>
    </row>
    <row r="2738" spans="1:5">
      <c r="A2738" s="64" t="s">
        <v>15</v>
      </c>
      <c r="B2738" s="65">
        <v>43532</v>
      </c>
      <c r="C2738" s="66" t="s">
        <v>220</v>
      </c>
      <c r="D2738" s="3" t="s">
        <v>17</v>
      </c>
      <c r="E2738" s="64">
        <v>1</v>
      </c>
    </row>
    <row r="2739" spans="1:5">
      <c r="A2739" s="64" t="s">
        <v>15</v>
      </c>
      <c r="B2739" s="65">
        <v>43533</v>
      </c>
      <c r="C2739" s="66" t="s">
        <v>221</v>
      </c>
      <c r="D2739" s="3" t="s">
        <v>17</v>
      </c>
      <c r="E2739" s="64">
        <v>1</v>
      </c>
    </row>
    <row r="2740" spans="1:5">
      <c r="A2740" s="64" t="s">
        <v>15</v>
      </c>
      <c r="B2740" s="65">
        <v>43534</v>
      </c>
      <c r="C2740" s="66" t="s">
        <v>222</v>
      </c>
      <c r="D2740" s="3" t="s">
        <v>17</v>
      </c>
      <c r="E2740" s="64">
        <v>1</v>
      </c>
    </row>
    <row r="2741" spans="1:5">
      <c r="A2741" s="64" t="s">
        <v>15</v>
      </c>
      <c r="B2741" s="65">
        <v>43535</v>
      </c>
      <c r="C2741" s="66" t="s">
        <v>216</v>
      </c>
      <c r="D2741" s="3" t="s">
        <v>17</v>
      </c>
      <c r="E2741" s="64">
        <v>1</v>
      </c>
    </row>
    <row r="2742" spans="1:5">
      <c r="A2742" s="64" t="s">
        <v>15</v>
      </c>
      <c r="B2742" s="65">
        <v>43536</v>
      </c>
      <c r="C2742" s="66" t="s">
        <v>217</v>
      </c>
      <c r="D2742" s="3" t="s">
        <v>17</v>
      </c>
      <c r="E2742" s="64">
        <v>1</v>
      </c>
    </row>
    <row r="2743" spans="1:5">
      <c r="A2743" s="64" t="s">
        <v>15</v>
      </c>
      <c r="B2743" s="65">
        <v>43537</v>
      </c>
      <c r="C2743" s="66" t="s">
        <v>218</v>
      </c>
      <c r="D2743" s="3" t="s">
        <v>17</v>
      </c>
      <c r="E2743" s="64">
        <v>1</v>
      </c>
    </row>
    <row r="2744" spans="1:5">
      <c r="A2744" s="64" t="s">
        <v>15</v>
      </c>
      <c r="B2744" s="65">
        <v>43538</v>
      </c>
      <c r="C2744" s="66" t="s">
        <v>219</v>
      </c>
      <c r="D2744" s="3" t="s">
        <v>17</v>
      </c>
      <c r="E2744" s="64">
        <v>1</v>
      </c>
    </row>
    <row r="2745" spans="1:5">
      <c r="A2745" s="64" t="s">
        <v>15</v>
      </c>
      <c r="B2745" s="65">
        <v>43539</v>
      </c>
      <c r="C2745" s="66" t="s">
        <v>220</v>
      </c>
      <c r="D2745" s="3" t="s">
        <v>17</v>
      </c>
      <c r="E2745" s="64">
        <v>1</v>
      </c>
    </row>
    <row r="2746" spans="1:5">
      <c r="A2746" s="64" t="s">
        <v>15</v>
      </c>
      <c r="B2746" s="65">
        <v>43540</v>
      </c>
      <c r="C2746" s="66" t="s">
        <v>221</v>
      </c>
      <c r="D2746" s="3" t="s">
        <v>17</v>
      </c>
      <c r="E2746" s="64">
        <v>1</v>
      </c>
    </row>
    <row r="2747" spans="1:5">
      <c r="A2747" s="64" t="s">
        <v>15</v>
      </c>
      <c r="B2747" s="65">
        <v>43541</v>
      </c>
      <c r="C2747" s="66" t="s">
        <v>222</v>
      </c>
      <c r="D2747" s="3" t="s">
        <v>17</v>
      </c>
      <c r="E2747" s="64">
        <v>1</v>
      </c>
    </row>
    <row r="2748" spans="1:5">
      <c r="A2748" s="64" t="s">
        <v>15</v>
      </c>
      <c r="B2748" s="65">
        <v>43542</v>
      </c>
      <c r="C2748" s="66" t="s">
        <v>216</v>
      </c>
      <c r="D2748" s="3" t="s">
        <v>17</v>
      </c>
      <c r="E2748" s="64">
        <v>1</v>
      </c>
    </row>
    <row r="2749" spans="1:5">
      <c r="A2749" s="64" t="s">
        <v>15</v>
      </c>
      <c r="B2749" s="65">
        <v>43543</v>
      </c>
      <c r="C2749" s="66" t="s">
        <v>217</v>
      </c>
      <c r="D2749" s="3" t="s">
        <v>17</v>
      </c>
      <c r="E2749" s="64">
        <v>1</v>
      </c>
    </row>
    <row r="2750" spans="1:5">
      <c r="A2750" s="64" t="s">
        <v>15</v>
      </c>
      <c r="B2750" s="65">
        <v>43544</v>
      </c>
      <c r="C2750" s="66" t="s">
        <v>218</v>
      </c>
      <c r="D2750" s="3" t="s">
        <v>17</v>
      </c>
      <c r="E2750" s="64">
        <v>1</v>
      </c>
    </row>
    <row r="2751" spans="1:5">
      <c r="A2751" s="64" t="s">
        <v>15</v>
      </c>
      <c r="B2751" s="65">
        <v>43545</v>
      </c>
      <c r="C2751" s="66" t="s">
        <v>219</v>
      </c>
      <c r="D2751" s="3" t="s">
        <v>17</v>
      </c>
      <c r="E2751" s="64">
        <v>1</v>
      </c>
    </row>
    <row r="2752" spans="1:5">
      <c r="A2752" s="64" t="s">
        <v>15</v>
      </c>
      <c r="B2752" s="65">
        <v>43546</v>
      </c>
      <c r="C2752" s="66" t="s">
        <v>220</v>
      </c>
      <c r="D2752" s="3" t="s">
        <v>17</v>
      </c>
      <c r="E2752" s="64">
        <v>1</v>
      </c>
    </row>
    <row r="2753" spans="1:5">
      <c r="A2753" s="64" t="s">
        <v>15</v>
      </c>
      <c r="B2753" s="65">
        <v>43547</v>
      </c>
      <c r="C2753" s="66" t="s">
        <v>221</v>
      </c>
      <c r="D2753" s="3" t="s">
        <v>17</v>
      </c>
      <c r="E2753" s="64">
        <v>1</v>
      </c>
    </row>
    <row r="2754" spans="1:5">
      <c r="A2754" s="64" t="s">
        <v>15</v>
      </c>
      <c r="B2754" s="65">
        <v>43548</v>
      </c>
      <c r="C2754" s="66" t="s">
        <v>222</v>
      </c>
      <c r="D2754" s="3" t="s">
        <v>17</v>
      </c>
      <c r="E2754" s="64">
        <v>1</v>
      </c>
    </row>
    <row r="2755" spans="1:5">
      <c r="A2755" s="64" t="s">
        <v>15</v>
      </c>
      <c r="B2755" s="65">
        <v>43549</v>
      </c>
      <c r="C2755" s="66" t="s">
        <v>216</v>
      </c>
      <c r="D2755" s="3" t="s">
        <v>17</v>
      </c>
      <c r="E2755" s="64">
        <v>1</v>
      </c>
    </row>
    <row r="2756" spans="1:5">
      <c r="A2756" s="64" t="s">
        <v>15</v>
      </c>
      <c r="B2756" s="65">
        <v>43550</v>
      </c>
      <c r="C2756" s="66" t="s">
        <v>217</v>
      </c>
      <c r="D2756" s="3" t="s">
        <v>17</v>
      </c>
      <c r="E2756" s="64">
        <v>1</v>
      </c>
    </row>
    <row r="2757" spans="1:5">
      <c r="A2757" s="64" t="s">
        <v>15</v>
      </c>
      <c r="B2757" s="65">
        <v>43551</v>
      </c>
      <c r="C2757" s="66" t="s">
        <v>218</v>
      </c>
      <c r="D2757" s="3" t="s">
        <v>17</v>
      </c>
      <c r="E2757" s="64">
        <v>1</v>
      </c>
    </row>
    <row r="2758" spans="1:5">
      <c r="A2758" s="64" t="s">
        <v>15</v>
      </c>
      <c r="B2758" s="65">
        <v>43552</v>
      </c>
      <c r="C2758" s="66" t="s">
        <v>219</v>
      </c>
      <c r="D2758" s="3" t="s">
        <v>17</v>
      </c>
      <c r="E2758" s="64">
        <v>1</v>
      </c>
    </row>
    <row r="2759" spans="1:5">
      <c r="A2759" s="64" t="s">
        <v>15</v>
      </c>
      <c r="B2759" s="65">
        <v>43553</v>
      </c>
      <c r="C2759" s="66" t="s">
        <v>220</v>
      </c>
      <c r="D2759" s="3" t="s">
        <v>17</v>
      </c>
      <c r="E2759" s="64">
        <v>1</v>
      </c>
    </row>
    <row r="2760" spans="1:5">
      <c r="A2760" s="64" t="s">
        <v>15</v>
      </c>
      <c r="B2760" s="65">
        <v>43554</v>
      </c>
      <c r="C2760" s="66" t="s">
        <v>221</v>
      </c>
      <c r="D2760" s="3" t="s">
        <v>17</v>
      </c>
      <c r="E2760" s="64">
        <v>1</v>
      </c>
    </row>
    <row r="2761" spans="1:5">
      <c r="A2761" s="64" t="s">
        <v>15</v>
      </c>
      <c r="B2761" s="65">
        <v>43555</v>
      </c>
      <c r="C2761" s="66" t="s">
        <v>222</v>
      </c>
      <c r="D2761" s="3" t="s">
        <v>17</v>
      </c>
      <c r="E2761" s="64">
        <v>1</v>
      </c>
    </row>
    <row r="2762" spans="1:5">
      <c r="A2762" s="64" t="s">
        <v>15</v>
      </c>
      <c r="B2762" s="65">
        <v>43556</v>
      </c>
      <c r="C2762" s="66" t="s">
        <v>216</v>
      </c>
      <c r="D2762" s="3" t="s">
        <v>17</v>
      </c>
      <c r="E2762" s="64">
        <v>1</v>
      </c>
    </row>
    <row r="2763" spans="1:5">
      <c r="A2763" s="64" t="s">
        <v>15</v>
      </c>
      <c r="B2763" s="65">
        <v>43557</v>
      </c>
      <c r="C2763" s="66" t="s">
        <v>217</v>
      </c>
      <c r="D2763" s="3" t="s">
        <v>17</v>
      </c>
      <c r="E2763" s="64">
        <v>1</v>
      </c>
    </row>
    <row r="2764" spans="1:5">
      <c r="A2764" s="64" t="s">
        <v>15</v>
      </c>
      <c r="B2764" s="65">
        <v>43558</v>
      </c>
      <c r="C2764" s="66" t="s">
        <v>218</v>
      </c>
      <c r="D2764" s="3" t="s">
        <v>17</v>
      </c>
      <c r="E2764" s="64">
        <v>1</v>
      </c>
    </row>
    <row r="2765" spans="1:5">
      <c r="A2765" s="64" t="s">
        <v>15</v>
      </c>
      <c r="B2765" s="65">
        <v>43559</v>
      </c>
      <c r="C2765" s="66" t="s">
        <v>219</v>
      </c>
      <c r="D2765" s="3" t="s">
        <v>17</v>
      </c>
      <c r="E2765" s="64">
        <v>1</v>
      </c>
    </row>
    <row r="2766" spans="1:5">
      <c r="A2766" s="64" t="s">
        <v>15</v>
      </c>
      <c r="B2766" s="65">
        <v>43560</v>
      </c>
      <c r="C2766" s="66" t="s">
        <v>220</v>
      </c>
      <c r="D2766" s="3" t="s">
        <v>17</v>
      </c>
      <c r="E2766" s="64">
        <v>1</v>
      </c>
    </row>
    <row r="2767" spans="1:5">
      <c r="A2767" s="64" t="s">
        <v>15</v>
      </c>
      <c r="B2767" s="65">
        <v>43561</v>
      </c>
      <c r="C2767" s="66" t="s">
        <v>221</v>
      </c>
      <c r="D2767" s="3" t="s">
        <v>17</v>
      </c>
      <c r="E2767" s="64">
        <v>1</v>
      </c>
    </row>
    <row r="2768" spans="1:5">
      <c r="A2768" s="64" t="s">
        <v>15</v>
      </c>
      <c r="B2768" s="65">
        <v>43562</v>
      </c>
      <c r="C2768" s="66" t="s">
        <v>222</v>
      </c>
      <c r="D2768" s="3" t="s">
        <v>17</v>
      </c>
      <c r="E2768" s="64">
        <v>1</v>
      </c>
    </row>
    <row r="2769" spans="1:5">
      <c r="A2769" s="64" t="s">
        <v>15</v>
      </c>
      <c r="B2769" s="65">
        <v>43563</v>
      </c>
      <c r="C2769" s="66" t="s">
        <v>216</v>
      </c>
      <c r="D2769" s="3" t="s">
        <v>17</v>
      </c>
      <c r="E2769" s="64">
        <v>1</v>
      </c>
    </row>
    <row r="2770" spans="1:5">
      <c r="A2770" s="64" t="s">
        <v>15</v>
      </c>
      <c r="B2770" s="65">
        <v>43564</v>
      </c>
      <c r="C2770" s="66" t="s">
        <v>217</v>
      </c>
      <c r="D2770" s="3" t="s">
        <v>17</v>
      </c>
      <c r="E2770" s="64">
        <v>1</v>
      </c>
    </row>
    <row r="2771" spans="1:5">
      <c r="A2771" s="64" t="s">
        <v>15</v>
      </c>
      <c r="B2771" s="65">
        <v>43565</v>
      </c>
      <c r="C2771" s="66" t="s">
        <v>218</v>
      </c>
      <c r="D2771" s="3" t="s">
        <v>17</v>
      </c>
      <c r="E2771" s="64">
        <v>1</v>
      </c>
    </row>
    <row r="2772" spans="1:5">
      <c r="A2772" s="64" t="s">
        <v>15</v>
      </c>
      <c r="B2772" s="65">
        <v>43566</v>
      </c>
      <c r="C2772" s="66" t="s">
        <v>219</v>
      </c>
      <c r="D2772" s="3" t="s">
        <v>17</v>
      </c>
      <c r="E2772" s="64">
        <v>1</v>
      </c>
    </row>
    <row r="2773" spans="1:5">
      <c r="A2773" s="64" t="s">
        <v>15</v>
      </c>
      <c r="B2773" s="65">
        <v>43567</v>
      </c>
      <c r="C2773" s="66" t="s">
        <v>220</v>
      </c>
      <c r="D2773" s="3" t="s">
        <v>17</v>
      </c>
      <c r="E2773" s="64">
        <v>1</v>
      </c>
    </row>
    <row r="2774" spans="1:5">
      <c r="A2774" s="64" t="s">
        <v>15</v>
      </c>
      <c r="B2774" s="65">
        <v>43568</v>
      </c>
      <c r="C2774" s="66" t="s">
        <v>221</v>
      </c>
      <c r="D2774" s="3" t="s">
        <v>17</v>
      </c>
      <c r="E2774" s="64">
        <v>1</v>
      </c>
    </row>
    <row r="2775" spans="1:5">
      <c r="A2775" s="64" t="s">
        <v>15</v>
      </c>
      <c r="B2775" s="65">
        <v>43569</v>
      </c>
      <c r="C2775" s="66" t="s">
        <v>222</v>
      </c>
      <c r="D2775" s="3" t="s">
        <v>17</v>
      </c>
      <c r="E2775" s="64">
        <v>1</v>
      </c>
    </row>
    <row r="2776" spans="1:5">
      <c r="A2776" s="64" t="s">
        <v>15</v>
      </c>
      <c r="B2776" s="65">
        <v>43570</v>
      </c>
      <c r="C2776" s="66" t="s">
        <v>216</v>
      </c>
      <c r="D2776" s="3" t="s">
        <v>17</v>
      </c>
      <c r="E2776" s="64">
        <v>1</v>
      </c>
    </row>
    <row r="2777" spans="1:5">
      <c r="A2777" s="64" t="s">
        <v>15</v>
      </c>
      <c r="B2777" s="65">
        <v>43571</v>
      </c>
      <c r="C2777" s="66" t="s">
        <v>217</v>
      </c>
      <c r="D2777" s="3" t="s">
        <v>17</v>
      </c>
      <c r="E2777" s="64">
        <v>1</v>
      </c>
    </row>
    <row r="2778" spans="1:5">
      <c r="A2778" s="64" t="s">
        <v>15</v>
      </c>
      <c r="B2778" s="65">
        <v>43572</v>
      </c>
      <c r="C2778" s="66" t="s">
        <v>218</v>
      </c>
      <c r="D2778" s="3" t="s">
        <v>17</v>
      </c>
      <c r="E2778" s="64">
        <v>1</v>
      </c>
    </row>
    <row r="2779" spans="1:5">
      <c r="A2779" s="64" t="s">
        <v>15</v>
      </c>
      <c r="B2779" s="65">
        <v>43573</v>
      </c>
      <c r="C2779" s="66" t="s">
        <v>219</v>
      </c>
      <c r="D2779" s="3" t="s">
        <v>17</v>
      </c>
      <c r="E2779" s="64">
        <v>1</v>
      </c>
    </row>
    <row r="2780" spans="1:5">
      <c r="A2780" s="64" t="s">
        <v>15</v>
      </c>
      <c r="B2780" s="65">
        <v>43574</v>
      </c>
      <c r="C2780" s="66" t="s">
        <v>220</v>
      </c>
      <c r="D2780" s="3" t="s">
        <v>17</v>
      </c>
      <c r="E2780" s="64">
        <v>1</v>
      </c>
    </row>
    <row r="2781" spans="1:5">
      <c r="A2781" s="64" t="s">
        <v>15</v>
      </c>
      <c r="B2781" s="65">
        <v>43575</v>
      </c>
      <c r="C2781" s="66" t="s">
        <v>221</v>
      </c>
      <c r="D2781" s="3" t="s">
        <v>17</v>
      </c>
      <c r="E2781" s="64">
        <v>1</v>
      </c>
    </row>
    <row r="2782" spans="1:5">
      <c r="A2782" s="64" t="s">
        <v>15</v>
      </c>
      <c r="B2782" s="65">
        <v>43576</v>
      </c>
      <c r="C2782" s="66" t="s">
        <v>222</v>
      </c>
      <c r="D2782" s="3" t="s">
        <v>17</v>
      </c>
      <c r="E2782" s="64">
        <v>1</v>
      </c>
    </row>
    <row r="2783" spans="1:5">
      <c r="A2783" s="64" t="s">
        <v>15</v>
      </c>
      <c r="B2783" s="65">
        <v>43577</v>
      </c>
      <c r="C2783" s="66" t="s">
        <v>216</v>
      </c>
      <c r="D2783" s="3" t="s">
        <v>17</v>
      </c>
      <c r="E2783" s="64">
        <v>1</v>
      </c>
    </row>
    <row r="2784" spans="1:5">
      <c r="A2784" s="64" t="s">
        <v>15</v>
      </c>
      <c r="B2784" s="65">
        <v>43578</v>
      </c>
      <c r="C2784" s="66" t="s">
        <v>217</v>
      </c>
      <c r="D2784" s="3" t="s">
        <v>17</v>
      </c>
      <c r="E2784" s="64">
        <v>1</v>
      </c>
    </row>
    <row r="2785" spans="1:5">
      <c r="A2785" s="64" t="s">
        <v>15</v>
      </c>
      <c r="B2785" s="65">
        <v>43579</v>
      </c>
      <c r="C2785" s="66" t="s">
        <v>218</v>
      </c>
      <c r="D2785" s="3" t="s">
        <v>17</v>
      </c>
      <c r="E2785" s="64">
        <v>1</v>
      </c>
    </row>
    <row r="2786" spans="1:5">
      <c r="A2786" s="64" t="s">
        <v>15</v>
      </c>
      <c r="B2786" s="65">
        <v>43580</v>
      </c>
      <c r="C2786" s="66" t="s">
        <v>219</v>
      </c>
      <c r="D2786" s="3" t="s">
        <v>17</v>
      </c>
      <c r="E2786" s="64">
        <v>1</v>
      </c>
    </row>
    <row r="2787" spans="1:5">
      <c r="A2787" s="64" t="s">
        <v>15</v>
      </c>
      <c r="B2787" s="65">
        <v>43581</v>
      </c>
      <c r="C2787" s="66" t="s">
        <v>220</v>
      </c>
      <c r="D2787" s="3" t="s">
        <v>17</v>
      </c>
      <c r="E2787" s="64">
        <v>1</v>
      </c>
    </row>
    <row r="2788" spans="1:5">
      <c r="A2788" s="64" t="s">
        <v>15</v>
      </c>
      <c r="B2788" s="65">
        <v>43582</v>
      </c>
      <c r="C2788" s="66" t="s">
        <v>221</v>
      </c>
      <c r="D2788" s="3" t="s">
        <v>17</v>
      </c>
      <c r="E2788" s="64">
        <v>1</v>
      </c>
    </row>
    <row r="2789" spans="1:5">
      <c r="A2789" s="64" t="s">
        <v>15</v>
      </c>
      <c r="B2789" s="65">
        <v>43583</v>
      </c>
      <c r="C2789" s="66" t="s">
        <v>222</v>
      </c>
      <c r="D2789" s="3" t="s">
        <v>17</v>
      </c>
      <c r="E2789" s="64">
        <v>1</v>
      </c>
    </row>
    <row r="2790" spans="1:5">
      <c r="A2790" s="64" t="s">
        <v>15</v>
      </c>
      <c r="B2790" s="65">
        <v>43584</v>
      </c>
      <c r="C2790" s="66" t="s">
        <v>216</v>
      </c>
      <c r="D2790" s="3" t="s">
        <v>17</v>
      </c>
      <c r="E2790" s="64">
        <v>1</v>
      </c>
    </row>
    <row r="2791" spans="1:5">
      <c r="A2791" s="64" t="s">
        <v>15</v>
      </c>
      <c r="B2791" s="65">
        <v>43585</v>
      </c>
      <c r="C2791" s="66" t="s">
        <v>217</v>
      </c>
      <c r="D2791" s="3" t="s">
        <v>17</v>
      </c>
      <c r="E2791" s="64">
        <v>1</v>
      </c>
    </row>
    <row r="2792" spans="1:5">
      <c r="A2792" s="64" t="s">
        <v>15</v>
      </c>
      <c r="B2792" s="65">
        <v>43586</v>
      </c>
      <c r="C2792" s="66" t="s">
        <v>218</v>
      </c>
      <c r="D2792" s="3" t="s">
        <v>17</v>
      </c>
      <c r="E2792" s="64">
        <v>1</v>
      </c>
    </row>
    <row r="2793" spans="1:5">
      <c r="A2793" s="64" t="s">
        <v>15</v>
      </c>
      <c r="B2793" s="65">
        <v>43587</v>
      </c>
      <c r="C2793" s="66" t="s">
        <v>219</v>
      </c>
      <c r="D2793" s="3" t="s">
        <v>17</v>
      </c>
      <c r="E2793" s="64">
        <v>1</v>
      </c>
    </row>
    <row r="2794" spans="1:5">
      <c r="A2794" s="64" t="s">
        <v>15</v>
      </c>
      <c r="B2794" s="65">
        <v>43588</v>
      </c>
      <c r="C2794" s="66" t="s">
        <v>220</v>
      </c>
      <c r="D2794" s="3" t="s">
        <v>17</v>
      </c>
      <c r="E2794" s="64">
        <v>1</v>
      </c>
    </row>
    <row r="2795" spans="1:5">
      <c r="A2795" s="64" t="s">
        <v>15</v>
      </c>
      <c r="B2795" s="65">
        <v>43589</v>
      </c>
      <c r="C2795" s="66" t="s">
        <v>221</v>
      </c>
      <c r="D2795" s="3" t="s">
        <v>17</v>
      </c>
      <c r="E2795" s="64">
        <v>1</v>
      </c>
    </row>
    <row r="2796" spans="1:5">
      <c r="A2796" s="64" t="s">
        <v>15</v>
      </c>
      <c r="B2796" s="65">
        <v>43590</v>
      </c>
      <c r="C2796" s="66" t="s">
        <v>222</v>
      </c>
      <c r="D2796" s="3" t="s">
        <v>17</v>
      </c>
      <c r="E2796" s="64">
        <v>1</v>
      </c>
    </row>
    <row r="2797" spans="1:5">
      <c r="A2797" s="64" t="s">
        <v>15</v>
      </c>
      <c r="B2797" s="65">
        <v>43591</v>
      </c>
      <c r="C2797" s="66" t="s">
        <v>216</v>
      </c>
      <c r="D2797" s="3" t="s">
        <v>17</v>
      </c>
      <c r="E2797" s="64">
        <v>1</v>
      </c>
    </row>
    <row r="2798" spans="1:5">
      <c r="A2798" s="64" t="s">
        <v>15</v>
      </c>
      <c r="B2798" s="65">
        <v>43592</v>
      </c>
      <c r="C2798" s="66" t="s">
        <v>217</v>
      </c>
      <c r="D2798" s="3" t="s">
        <v>17</v>
      </c>
      <c r="E2798" s="64">
        <v>1</v>
      </c>
    </row>
    <row r="2799" spans="1:5">
      <c r="A2799" s="64" t="s">
        <v>15</v>
      </c>
      <c r="B2799" s="65">
        <v>43593</v>
      </c>
      <c r="C2799" s="66" t="s">
        <v>218</v>
      </c>
      <c r="D2799" s="3" t="s">
        <v>17</v>
      </c>
      <c r="E2799" s="64">
        <v>1</v>
      </c>
    </row>
    <row r="2800" spans="1:5">
      <c r="A2800" s="64" t="s">
        <v>15</v>
      </c>
      <c r="B2800" s="65">
        <v>43594</v>
      </c>
      <c r="C2800" s="66" t="s">
        <v>219</v>
      </c>
      <c r="D2800" s="3" t="s">
        <v>17</v>
      </c>
      <c r="E2800" s="64">
        <v>1</v>
      </c>
    </row>
    <row r="2801" spans="1:5">
      <c r="A2801" s="64" t="s">
        <v>15</v>
      </c>
      <c r="B2801" s="65">
        <v>43595</v>
      </c>
      <c r="C2801" s="66" t="s">
        <v>220</v>
      </c>
      <c r="D2801" s="3" t="s">
        <v>17</v>
      </c>
      <c r="E2801" s="64">
        <v>1</v>
      </c>
    </row>
    <row r="2802" spans="1:5">
      <c r="A2802" s="64" t="s">
        <v>15</v>
      </c>
      <c r="B2802" s="65">
        <v>43596</v>
      </c>
      <c r="C2802" s="66" t="s">
        <v>221</v>
      </c>
      <c r="D2802" s="3" t="s">
        <v>17</v>
      </c>
      <c r="E2802" s="64">
        <v>1</v>
      </c>
    </row>
    <row r="2803" spans="1:5">
      <c r="A2803" s="64" t="s">
        <v>15</v>
      </c>
      <c r="B2803" s="65">
        <v>43597</v>
      </c>
      <c r="C2803" s="66" t="s">
        <v>222</v>
      </c>
      <c r="D2803" s="3" t="s">
        <v>17</v>
      </c>
      <c r="E2803" s="64">
        <v>1</v>
      </c>
    </row>
    <row r="2804" spans="1:5">
      <c r="A2804" s="64" t="s">
        <v>15</v>
      </c>
      <c r="B2804" s="65">
        <v>43598</v>
      </c>
      <c r="C2804" s="66" t="s">
        <v>216</v>
      </c>
      <c r="D2804" s="3" t="s">
        <v>17</v>
      </c>
      <c r="E2804" s="64">
        <v>1</v>
      </c>
    </row>
    <row r="2805" spans="1:5">
      <c r="A2805" s="64" t="s">
        <v>15</v>
      </c>
      <c r="B2805" s="65">
        <v>43599</v>
      </c>
      <c r="C2805" s="66" t="s">
        <v>217</v>
      </c>
      <c r="D2805" s="3" t="s">
        <v>17</v>
      </c>
      <c r="E2805" s="64">
        <v>1</v>
      </c>
    </row>
    <row r="2806" spans="1:5">
      <c r="A2806" s="64" t="s">
        <v>15</v>
      </c>
      <c r="B2806" s="65">
        <v>43600</v>
      </c>
      <c r="C2806" s="66" t="s">
        <v>218</v>
      </c>
      <c r="D2806" s="3" t="s">
        <v>17</v>
      </c>
      <c r="E2806" s="64">
        <v>1</v>
      </c>
    </row>
    <row r="2807" spans="1:5">
      <c r="A2807" s="64" t="s">
        <v>15</v>
      </c>
      <c r="B2807" s="65">
        <v>43601</v>
      </c>
      <c r="C2807" s="66" t="s">
        <v>219</v>
      </c>
      <c r="D2807" s="3" t="s">
        <v>17</v>
      </c>
      <c r="E2807" s="64">
        <v>1</v>
      </c>
    </row>
    <row r="2808" spans="1:5">
      <c r="A2808" s="64" t="s">
        <v>15</v>
      </c>
      <c r="B2808" s="65">
        <v>43602</v>
      </c>
      <c r="C2808" s="66" t="s">
        <v>220</v>
      </c>
      <c r="D2808" s="3" t="s">
        <v>17</v>
      </c>
      <c r="E2808" s="64">
        <v>1</v>
      </c>
    </row>
    <row r="2809" spans="1:5">
      <c r="A2809" s="64" t="s">
        <v>15</v>
      </c>
      <c r="B2809" s="65">
        <v>43603</v>
      </c>
      <c r="C2809" s="66" t="s">
        <v>221</v>
      </c>
      <c r="D2809" s="3" t="s">
        <v>17</v>
      </c>
      <c r="E2809" s="64">
        <v>1</v>
      </c>
    </row>
    <row r="2810" spans="1:5">
      <c r="A2810" s="64" t="s">
        <v>15</v>
      </c>
      <c r="B2810" s="65">
        <v>43604</v>
      </c>
      <c r="C2810" s="66" t="s">
        <v>222</v>
      </c>
      <c r="D2810" s="3" t="s">
        <v>17</v>
      </c>
      <c r="E2810" s="64">
        <v>1</v>
      </c>
    </row>
    <row r="2811" spans="1:5">
      <c r="A2811" s="64" t="s">
        <v>15</v>
      </c>
      <c r="B2811" s="65">
        <v>43605</v>
      </c>
      <c r="C2811" s="66" t="s">
        <v>216</v>
      </c>
      <c r="D2811" s="3" t="s">
        <v>17</v>
      </c>
      <c r="E2811" s="64">
        <v>1</v>
      </c>
    </row>
    <row r="2812" spans="1:5">
      <c r="A2812" s="64" t="s">
        <v>15</v>
      </c>
      <c r="B2812" s="65">
        <v>43606</v>
      </c>
      <c r="C2812" s="66" t="s">
        <v>217</v>
      </c>
      <c r="D2812" s="3" t="s">
        <v>17</v>
      </c>
      <c r="E2812" s="64">
        <v>1</v>
      </c>
    </row>
    <row r="2813" spans="1:5">
      <c r="A2813" s="64" t="s">
        <v>15</v>
      </c>
      <c r="B2813" s="65">
        <v>43607</v>
      </c>
      <c r="C2813" s="66" t="s">
        <v>218</v>
      </c>
      <c r="D2813" s="3" t="s">
        <v>17</v>
      </c>
      <c r="E2813" s="64">
        <v>1</v>
      </c>
    </row>
    <row r="2814" spans="1:5">
      <c r="A2814" s="64" t="s">
        <v>15</v>
      </c>
      <c r="B2814" s="65">
        <v>43608</v>
      </c>
      <c r="C2814" s="66" t="s">
        <v>219</v>
      </c>
      <c r="D2814" s="3" t="s">
        <v>17</v>
      </c>
      <c r="E2814" s="64">
        <v>1</v>
      </c>
    </row>
    <row r="2815" spans="1:5">
      <c r="A2815" s="64" t="s">
        <v>15</v>
      </c>
      <c r="B2815" s="65">
        <v>43609</v>
      </c>
      <c r="C2815" s="66" t="s">
        <v>220</v>
      </c>
      <c r="D2815" s="3" t="s">
        <v>17</v>
      </c>
      <c r="E2815" s="64">
        <v>1</v>
      </c>
    </row>
    <row r="2816" spans="1:5">
      <c r="A2816" s="64" t="s">
        <v>15</v>
      </c>
      <c r="B2816" s="65">
        <v>43610</v>
      </c>
      <c r="C2816" s="66" t="s">
        <v>221</v>
      </c>
      <c r="D2816" s="3" t="s">
        <v>17</v>
      </c>
      <c r="E2816" s="64">
        <v>1</v>
      </c>
    </row>
    <row r="2817" spans="1:5">
      <c r="A2817" s="64" t="s">
        <v>15</v>
      </c>
      <c r="B2817" s="65">
        <v>43611</v>
      </c>
      <c r="C2817" s="66" t="s">
        <v>222</v>
      </c>
      <c r="D2817" s="3" t="s">
        <v>17</v>
      </c>
      <c r="E2817" s="64">
        <v>1</v>
      </c>
    </row>
    <row r="2818" spans="1:5">
      <c r="A2818" s="64" t="s">
        <v>15</v>
      </c>
      <c r="B2818" s="65">
        <v>43612</v>
      </c>
      <c r="C2818" s="66" t="s">
        <v>216</v>
      </c>
      <c r="D2818" s="3" t="s">
        <v>17</v>
      </c>
      <c r="E2818" s="64">
        <v>1</v>
      </c>
    </row>
    <row r="2819" spans="1:5">
      <c r="A2819" s="64" t="s">
        <v>15</v>
      </c>
      <c r="B2819" s="65">
        <v>43613</v>
      </c>
      <c r="C2819" s="66" t="s">
        <v>217</v>
      </c>
      <c r="D2819" s="3" t="s">
        <v>17</v>
      </c>
      <c r="E2819" s="64">
        <v>1</v>
      </c>
    </row>
    <row r="2820" spans="1:5">
      <c r="A2820" s="64" t="s">
        <v>15</v>
      </c>
      <c r="B2820" s="65">
        <v>43614</v>
      </c>
      <c r="C2820" s="66" t="s">
        <v>218</v>
      </c>
      <c r="D2820" s="3" t="s">
        <v>17</v>
      </c>
      <c r="E2820" s="64">
        <v>1</v>
      </c>
    </row>
    <row r="2821" spans="1:5">
      <c r="A2821" s="64" t="s">
        <v>15</v>
      </c>
      <c r="B2821" s="65">
        <v>43615</v>
      </c>
      <c r="C2821" s="66" t="s">
        <v>219</v>
      </c>
      <c r="D2821" s="3" t="s">
        <v>17</v>
      </c>
      <c r="E2821" s="64">
        <v>1</v>
      </c>
    </row>
    <row r="2822" spans="1:5">
      <c r="A2822" s="64" t="s">
        <v>15</v>
      </c>
      <c r="B2822" s="65">
        <v>43616</v>
      </c>
      <c r="C2822" s="66" t="s">
        <v>220</v>
      </c>
      <c r="D2822" s="3" t="s">
        <v>17</v>
      </c>
      <c r="E2822" s="64">
        <v>1</v>
      </c>
    </row>
    <row r="2823" spans="1:5">
      <c r="A2823" s="64" t="s">
        <v>1</v>
      </c>
      <c r="B2823" s="65">
        <v>43440</v>
      </c>
      <c r="C2823" s="66" t="s">
        <v>219</v>
      </c>
      <c r="D2823" s="3" t="s">
        <v>18</v>
      </c>
      <c r="E2823" s="64">
        <v>1</v>
      </c>
    </row>
    <row r="2824" spans="1:5">
      <c r="A2824" s="64" t="s">
        <v>1</v>
      </c>
      <c r="B2824" s="65">
        <v>43441</v>
      </c>
      <c r="C2824" s="66" t="s">
        <v>220</v>
      </c>
      <c r="D2824" s="3" t="s">
        <v>18</v>
      </c>
      <c r="E2824" s="64">
        <v>1</v>
      </c>
    </row>
    <row r="2825" spans="1:5">
      <c r="A2825" s="64" t="s">
        <v>1</v>
      </c>
      <c r="B2825" s="65">
        <v>43444</v>
      </c>
      <c r="C2825" s="66" t="s">
        <v>216</v>
      </c>
      <c r="D2825" s="3" t="s">
        <v>18</v>
      </c>
      <c r="E2825" s="64">
        <v>1</v>
      </c>
    </row>
    <row r="2826" spans="1:5">
      <c r="A2826" s="64" t="s">
        <v>1</v>
      </c>
      <c r="B2826" s="65">
        <v>43445</v>
      </c>
      <c r="C2826" s="66" t="s">
        <v>217</v>
      </c>
      <c r="D2826" s="3" t="s">
        <v>18</v>
      </c>
      <c r="E2826" s="64">
        <v>1</v>
      </c>
    </row>
    <row r="2827" spans="1:5">
      <c r="A2827" s="64" t="s">
        <v>1</v>
      </c>
      <c r="B2827" s="65">
        <v>43446</v>
      </c>
      <c r="C2827" s="66" t="s">
        <v>218</v>
      </c>
      <c r="D2827" s="3" t="s">
        <v>18</v>
      </c>
      <c r="E2827" s="64">
        <v>1</v>
      </c>
    </row>
    <row r="2828" spans="1:5">
      <c r="A2828" s="64" t="s">
        <v>1</v>
      </c>
      <c r="B2828" s="65">
        <v>43447</v>
      </c>
      <c r="C2828" s="66" t="s">
        <v>219</v>
      </c>
      <c r="D2828" s="3" t="s">
        <v>18</v>
      </c>
      <c r="E2828" s="64">
        <v>1</v>
      </c>
    </row>
    <row r="2829" spans="1:5">
      <c r="A2829" s="64" t="s">
        <v>1</v>
      </c>
      <c r="B2829" s="65">
        <v>43448</v>
      </c>
      <c r="C2829" s="66" t="s">
        <v>220</v>
      </c>
      <c r="D2829" s="3" t="s">
        <v>18</v>
      </c>
      <c r="E2829" s="64">
        <v>1</v>
      </c>
    </row>
    <row r="2830" spans="1:5">
      <c r="A2830" s="64" t="s">
        <v>1</v>
      </c>
      <c r="B2830" s="65">
        <v>43451</v>
      </c>
      <c r="C2830" s="66" t="s">
        <v>216</v>
      </c>
      <c r="D2830" s="3" t="s">
        <v>18</v>
      </c>
      <c r="E2830" s="64">
        <v>1</v>
      </c>
    </row>
    <row r="2831" spans="1:5">
      <c r="A2831" s="64" t="s">
        <v>1</v>
      </c>
      <c r="B2831" s="65">
        <v>43452</v>
      </c>
      <c r="C2831" s="66" t="s">
        <v>217</v>
      </c>
      <c r="D2831" s="3" t="s">
        <v>18</v>
      </c>
      <c r="E2831" s="64">
        <v>1</v>
      </c>
    </row>
    <row r="2832" spans="1:5">
      <c r="A2832" s="64" t="s">
        <v>1</v>
      </c>
      <c r="B2832" s="65">
        <v>43453</v>
      </c>
      <c r="C2832" s="66" t="s">
        <v>218</v>
      </c>
      <c r="D2832" s="3" t="s">
        <v>18</v>
      </c>
      <c r="E2832" s="64">
        <v>1</v>
      </c>
    </row>
    <row r="2833" spans="1:5">
      <c r="A2833" s="64" t="s">
        <v>1</v>
      </c>
      <c r="B2833" s="65">
        <v>43454</v>
      </c>
      <c r="C2833" s="66" t="s">
        <v>219</v>
      </c>
      <c r="D2833" s="3" t="s">
        <v>18</v>
      </c>
      <c r="E2833" s="64">
        <v>1</v>
      </c>
    </row>
    <row r="2834" spans="1:5">
      <c r="A2834" s="64" t="s">
        <v>1</v>
      </c>
      <c r="B2834" s="65">
        <v>43455</v>
      </c>
      <c r="C2834" s="66" t="s">
        <v>220</v>
      </c>
      <c r="D2834" s="3" t="s">
        <v>18</v>
      </c>
      <c r="E2834" s="64">
        <v>1</v>
      </c>
    </row>
    <row r="2835" spans="1:5">
      <c r="A2835" s="64" t="s">
        <v>1</v>
      </c>
      <c r="B2835" s="65">
        <v>43458</v>
      </c>
      <c r="C2835" s="66" t="s">
        <v>216</v>
      </c>
      <c r="D2835" s="3" t="s">
        <v>18</v>
      </c>
      <c r="E2835" s="64">
        <v>1</v>
      </c>
    </row>
    <row r="2836" spans="1:5">
      <c r="A2836" s="64" t="s">
        <v>1</v>
      </c>
      <c r="B2836" s="65">
        <v>43459</v>
      </c>
      <c r="C2836" s="66" t="s">
        <v>217</v>
      </c>
      <c r="D2836" s="3" t="s">
        <v>18</v>
      </c>
      <c r="E2836" s="64">
        <v>1</v>
      </c>
    </row>
    <row r="2837" spans="1:5">
      <c r="A2837" s="64" t="s">
        <v>1</v>
      </c>
      <c r="B2837" s="65">
        <v>43460</v>
      </c>
      <c r="C2837" s="66" t="s">
        <v>218</v>
      </c>
      <c r="D2837" s="3" t="s">
        <v>18</v>
      </c>
      <c r="E2837" s="64">
        <v>1</v>
      </c>
    </row>
    <row r="2838" spans="1:5">
      <c r="A2838" s="64" t="s">
        <v>1</v>
      </c>
      <c r="B2838" s="65">
        <v>43461</v>
      </c>
      <c r="C2838" s="66" t="s">
        <v>219</v>
      </c>
      <c r="D2838" s="3" t="s">
        <v>18</v>
      </c>
      <c r="E2838" s="64">
        <v>1</v>
      </c>
    </row>
    <row r="2839" spans="1:5">
      <c r="A2839" s="64" t="s">
        <v>1</v>
      </c>
      <c r="B2839" s="65">
        <v>43462</v>
      </c>
      <c r="C2839" s="66" t="s">
        <v>220</v>
      </c>
      <c r="D2839" s="3" t="s">
        <v>18</v>
      </c>
      <c r="E2839" s="64">
        <v>1</v>
      </c>
    </row>
    <row r="2840" spans="1:5">
      <c r="A2840" s="64" t="s">
        <v>1</v>
      </c>
      <c r="B2840" s="65">
        <v>43465</v>
      </c>
      <c r="C2840" s="66" t="s">
        <v>216</v>
      </c>
      <c r="D2840" s="3" t="s">
        <v>18</v>
      </c>
      <c r="E2840" s="64">
        <v>1</v>
      </c>
    </row>
    <row r="2841" spans="1:5">
      <c r="A2841" s="64" t="s">
        <v>1</v>
      </c>
      <c r="B2841" s="65">
        <v>43466</v>
      </c>
      <c r="C2841" s="66" t="s">
        <v>217</v>
      </c>
      <c r="D2841" s="3" t="s">
        <v>18</v>
      </c>
      <c r="E2841" s="64">
        <v>1</v>
      </c>
    </row>
    <row r="2842" spans="1:5">
      <c r="A2842" s="64" t="s">
        <v>1</v>
      </c>
      <c r="B2842" s="65">
        <v>43467</v>
      </c>
      <c r="C2842" s="66" t="s">
        <v>218</v>
      </c>
      <c r="D2842" s="3" t="s">
        <v>18</v>
      </c>
      <c r="E2842" s="64">
        <v>1</v>
      </c>
    </row>
    <row r="2843" spans="1:5">
      <c r="A2843" s="64" t="s">
        <v>1</v>
      </c>
      <c r="B2843" s="65">
        <v>43468</v>
      </c>
      <c r="C2843" s="66" t="s">
        <v>219</v>
      </c>
      <c r="D2843" s="3" t="s">
        <v>18</v>
      </c>
      <c r="E2843" s="64">
        <v>1</v>
      </c>
    </row>
    <row r="2844" spans="1:5">
      <c r="A2844" s="64" t="s">
        <v>1</v>
      </c>
      <c r="B2844" s="65">
        <v>43469</v>
      </c>
      <c r="C2844" s="66" t="s">
        <v>220</v>
      </c>
      <c r="D2844" s="3" t="s">
        <v>18</v>
      </c>
      <c r="E2844" s="64">
        <v>1</v>
      </c>
    </row>
    <row r="2845" spans="1:5">
      <c r="A2845" s="64" t="s">
        <v>1</v>
      </c>
      <c r="B2845" s="65">
        <v>43472</v>
      </c>
      <c r="C2845" s="66" t="s">
        <v>216</v>
      </c>
      <c r="D2845" s="3" t="s">
        <v>18</v>
      </c>
      <c r="E2845" s="64">
        <v>1</v>
      </c>
    </row>
    <row r="2846" spans="1:5">
      <c r="A2846" s="64" t="s">
        <v>1</v>
      </c>
      <c r="B2846" s="65">
        <v>43473</v>
      </c>
      <c r="C2846" s="66" t="s">
        <v>217</v>
      </c>
      <c r="D2846" s="3" t="s">
        <v>18</v>
      </c>
      <c r="E2846" s="64">
        <v>1</v>
      </c>
    </row>
    <row r="2847" spans="1:5">
      <c r="A2847" s="64" t="s">
        <v>1</v>
      </c>
      <c r="B2847" s="65">
        <v>43474</v>
      </c>
      <c r="C2847" s="66" t="s">
        <v>218</v>
      </c>
      <c r="D2847" s="3" t="s">
        <v>18</v>
      </c>
      <c r="E2847" s="64">
        <v>1</v>
      </c>
    </row>
    <row r="2848" spans="1:5">
      <c r="A2848" s="64" t="s">
        <v>1</v>
      </c>
      <c r="B2848" s="65">
        <v>43475</v>
      </c>
      <c r="C2848" s="66" t="s">
        <v>219</v>
      </c>
      <c r="D2848" s="3" t="s">
        <v>18</v>
      </c>
      <c r="E2848" s="64">
        <v>1</v>
      </c>
    </row>
    <row r="2849" spans="1:5">
      <c r="A2849" s="64" t="s">
        <v>1</v>
      </c>
      <c r="B2849" s="65">
        <v>43476</v>
      </c>
      <c r="C2849" s="66" t="s">
        <v>220</v>
      </c>
      <c r="D2849" s="3" t="s">
        <v>18</v>
      </c>
      <c r="E2849" s="64">
        <v>1</v>
      </c>
    </row>
    <row r="2850" spans="1:5">
      <c r="A2850" s="64" t="s">
        <v>1</v>
      </c>
      <c r="B2850" s="65">
        <v>43479</v>
      </c>
      <c r="C2850" s="66" t="s">
        <v>216</v>
      </c>
      <c r="D2850" s="3" t="s">
        <v>18</v>
      </c>
      <c r="E2850" s="64">
        <v>1</v>
      </c>
    </row>
    <row r="2851" spans="1:5">
      <c r="A2851" s="64" t="s">
        <v>1</v>
      </c>
      <c r="B2851" s="65">
        <v>43480</v>
      </c>
      <c r="C2851" s="66" t="s">
        <v>217</v>
      </c>
      <c r="D2851" s="3" t="s">
        <v>18</v>
      </c>
      <c r="E2851" s="64">
        <v>1</v>
      </c>
    </row>
    <row r="2852" spans="1:5">
      <c r="A2852" s="64" t="s">
        <v>1</v>
      </c>
      <c r="B2852" s="65">
        <v>43481</v>
      </c>
      <c r="C2852" s="66" t="s">
        <v>218</v>
      </c>
      <c r="D2852" s="3" t="s">
        <v>18</v>
      </c>
      <c r="E2852" s="64">
        <v>1</v>
      </c>
    </row>
    <row r="2853" spans="1:5">
      <c r="A2853" s="64" t="s">
        <v>1</v>
      </c>
      <c r="B2853" s="65">
        <v>43482</v>
      </c>
      <c r="C2853" s="66" t="s">
        <v>219</v>
      </c>
      <c r="D2853" s="3" t="s">
        <v>18</v>
      </c>
      <c r="E2853" s="64">
        <v>1</v>
      </c>
    </row>
    <row r="2854" spans="1:5">
      <c r="A2854" s="64" t="s">
        <v>1</v>
      </c>
      <c r="B2854" s="65">
        <v>43483</v>
      </c>
      <c r="C2854" s="66" t="s">
        <v>220</v>
      </c>
      <c r="D2854" s="3" t="s">
        <v>18</v>
      </c>
      <c r="E2854" s="64">
        <v>1</v>
      </c>
    </row>
    <row r="2855" spans="1:5">
      <c r="A2855" s="64" t="s">
        <v>1</v>
      </c>
      <c r="B2855" s="65">
        <v>43486</v>
      </c>
      <c r="C2855" s="66" t="s">
        <v>216</v>
      </c>
      <c r="D2855" s="3" t="s">
        <v>18</v>
      </c>
      <c r="E2855" s="64">
        <v>1</v>
      </c>
    </row>
    <row r="2856" spans="1:5">
      <c r="A2856" s="64" t="s">
        <v>1</v>
      </c>
      <c r="B2856" s="65">
        <v>43487</v>
      </c>
      <c r="C2856" s="66" t="s">
        <v>217</v>
      </c>
      <c r="D2856" s="3" t="s">
        <v>18</v>
      </c>
      <c r="E2856" s="64">
        <v>1</v>
      </c>
    </row>
    <row r="2857" spans="1:5">
      <c r="A2857" s="64" t="s">
        <v>1</v>
      </c>
      <c r="B2857" s="65">
        <v>43488</v>
      </c>
      <c r="C2857" s="66" t="s">
        <v>218</v>
      </c>
      <c r="D2857" s="3" t="s">
        <v>18</v>
      </c>
      <c r="E2857" s="64">
        <v>1</v>
      </c>
    </row>
    <row r="2858" spans="1:5">
      <c r="A2858" s="64" t="s">
        <v>1</v>
      </c>
      <c r="B2858" s="65">
        <v>43489</v>
      </c>
      <c r="C2858" s="66" t="s">
        <v>219</v>
      </c>
      <c r="D2858" s="3" t="s">
        <v>18</v>
      </c>
      <c r="E2858" s="64">
        <v>1</v>
      </c>
    </row>
    <row r="2859" spans="1:5">
      <c r="A2859" s="64" t="s">
        <v>1</v>
      </c>
      <c r="B2859" s="65">
        <v>43490</v>
      </c>
      <c r="C2859" s="66" t="s">
        <v>220</v>
      </c>
      <c r="D2859" s="3" t="s">
        <v>18</v>
      </c>
      <c r="E2859" s="64">
        <v>1</v>
      </c>
    </row>
    <row r="2860" spans="1:5">
      <c r="A2860" s="64" t="s">
        <v>1</v>
      </c>
      <c r="B2860" s="65">
        <v>43493</v>
      </c>
      <c r="C2860" s="66" t="s">
        <v>216</v>
      </c>
      <c r="D2860" s="3" t="s">
        <v>18</v>
      </c>
      <c r="E2860" s="64">
        <v>1</v>
      </c>
    </row>
    <row r="2861" spans="1:5">
      <c r="A2861" s="64" t="s">
        <v>1</v>
      </c>
      <c r="B2861" s="65">
        <v>43494</v>
      </c>
      <c r="C2861" s="66" t="s">
        <v>217</v>
      </c>
      <c r="D2861" s="3" t="s">
        <v>18</v>
      </c>
      <c r="E2861" s="64">
        <v>1</v>
      </c>
    </row>
    <row r="2862" spans="1:5">
      <c r="A2862" s="64" t="s">
        <v>1</v>
      </c>
      <c r="B2862" s="65">
        <v>43495</v>
      </c>
      <c r="C2862" s="66" t="s">
        <v>218</v>
      </c>
      <c r="D2862" s="3" t="s">
        <v>18</v>
      </c>
      <c r="E2862" s="64">
        <v>1</v>
      </c>
    </row>
    <row r="2863" spans="1:5">
      <c r="A2863" s="64" t="s">
        <v>1</v>
      </c>
      <c r="B2863" s="65">
        <v>43496</v>
      </c>
      <c r="C2863" s="66" t="s">
        <v>219</v>
      </c>
      <c r="D2863" s="3" t="s">
        <v>18</v>
      </c>
      <c r="E2863" s="64">
        <v>1</v>
      </c>
    </row>
    <row r="2864" spans="1:5">
      <c r="A2864" s="64" t="s">
        <v>1</v>
      </c>
      <c r="B2864" s="65">
        <v>43497</v>
      </c>
      <c r="C2864" s="66" t="s">
        <v>220</v>
      </c>
      <c r="D2864" s="3" t="s">
        <v>18</v>
      </c>
      <c r="E2864" s="64">
        <v>1</v>
      </c>
    </row>
    <row r="2865" spans="1:5">
      <c r="A2865" s="64" t="s">
        <v>1</v>
      </c>
      <c r="B2865" s="65">
        <v>43500</v>
      </c>
      <c r="C2865" s="66" t="s">
        <v>216</v>
      </c>
      <c r="D2865" s="3" t="s">
        <v>18</v>
      </c>
      <c r="E2865" s="64">
        <v>1</v>
      </c>
    </row>
    <row r="2866" spans="1:5">
      <c r="A2866" s="64" t="s">
        <v>1</v>
      </c>
      <c r="B2866" s="65">
        <v>43501</v>
      </c>
      <c r="C2866" s="66" t="s">
        <v>217</v>
      </c>
      <c r="D2866" s="3" t="s">
        <v>18</v>
      </c>
      <c r="E2866" s="64">
        <v>1</v>
      </c>
    </row>
    <row r="2867" spans="1:5">
      <c r="A2867" s="64" t="s">
        <v>1</v>
      </c>
      <c r="B2867" s="65">
        <v>43502</v>
      </c>
      <c r="C2867" s="66" t="s">
        <v>218</v>
      </c>
      <c r="D2867" s="3" t="s">
        <v>18</v>
      </c>
      <c r="E2867" s="64">
        <v>1</v>
      </c>
    </row>
    <row r="2868" spans="1:5">
      <c r="A2868" s="64" t="s">
        <v>1</v>
      </c>
      <c r="B2868" s="65">
        <v>43503</v>
      </c>
      <c r="C2868" s="66" t="s">
        <v>219</v>
      </c>
      <c r="D2868" s="3" t="s">
        <v>18</v>
      </c>
      <c r="E2868" s="64">
        <v>1</v>
      </c>
    </row>
    <row r="2869" spans="1:5">
      <c r="A2869" s="64" t="s">
        <v>1</v>
      </c>
      <c r="B2869" s="65">
        <v>43504</v>
      </c>
      <c r="C2869" s="66" t="s">
        <v>220</v>
      </c>
      <c r="D2869" s="3" t="s">
        <v>18</v>
      </c>
      <c r="E2869" s="64">
        <v>1</v>
      </c>
    </row>
    <row r="2870" spans="1:5">
      <c r="A2870" s="64" t="s">
        <v>1</v>
      </c>
      <c r="B2870" s="65">
        <v>43507</v>
      </c>
      <c r="C2870" s="66" t="s">
        <v>216</v>
      </c>
      <c r="D2870" s="3" t="s">
        <v>18</v>
      </c>
      <c r="E2870" s="64">
        <v>1</v>
      </c>
    </row>
    <row r="2871" spans="1:5">
      <c r="A2871" s="64" t="s">
        <v>1</v>
      </c>
      <c r="B2871" s="65">
        <v>43508</v>
      </c>
      <c r="C2871" s="66" t="s">
        <v>217</v>
      </c>
      <c r="D2871" s="3" t="s">
        <v>18</v>
      </c>
      <c r="E2871" s="64">
        <v>1</v>
      </c>
    </row>
    <row r="2872" spans="1:5">
      <c r="A2872" s="64" t="s">
        <v>1</v>
      </c>
      <c r="B2872" s="65">
        <v>43509</v>
      </c>
      <c r="C2872" s="66" t="s">
        <v>218</v>
      </c>
      <c r="D2872" s="3" t="s">
        <v>18</v>
      </c>
      <c r="E2872" s="64">
        <v>1</v>
      </c>
    </row>
    <row r="2873" spans="1:5">
      <c r="A2873" s="64" t="s">
        <v>1</v>
      </c>
      <c r="B2873" s="65">
        <v>43510</v>
      </c>
      <c r="C2873" s="66" t="s">
        <v>219</v>
      </c>
      <c r="D2873" s="3" t="s">
        <v>18</v>
      </c>
      <c r="E2873" s="64">
        <v>1</v>
      </c>
    </row>
    <row r="2874" spans="1:5">
      <c r="A2874" s="64" t="s">
        <v>1</v>
      </c>
      <c r="B2874" s="65">
        <v>43511</v>
      </c>
      <c r="C2874" s="66" t="s">
        <v>220</v>
      </c>
      <c r="D2874" s="3" t="s">
        <v>18</v>
      </c>
      <c r="E2874" s="64">
        <v>1</v>
      </c>
    </row>
    <row r="2875" spans="1:5">
      <c r="A2875" s="64" t="s">
        <v>1</v>
      </c>
      <c r="B2875" s="65">
        <v>43514</v>
      </c>
      <c r="C2875" s="66" t="s">
        <v>216</v>
      </c>
      <c r="D2875" s="3" t="s">
        <v>18</v>
      </c>
      <c r="E2875" s="64">
        <v>1</v>
      </c>
    </row>
    <row r="2876" spans="1:5">
      <c r="A2876" s="64" t="s">
        <v>1</v>
      </c>
      <c r="B2876" s="65">
        <v>43515</v>
      </c>
      <c r="C2876" s="66" t="s">
        <v>217</v>
      </c>
      <c r="D2876" s="3" t="s">
        <v>18</v>
      </c>
      <c r="E2876" s="64">
        <v>1</v>
      </c>
    </row>
    <row r="2877" spans="1:5">
      <c r="A2877" s="64" t="s">
        <v>1</v>
      </c>
      <c r="B2877" s="65">
        <v>43516</v>
      </c>
      <c r="C2877" s="66" t="s">
        <v>218</v>
      </c>
      <c r="D2877" s="3" t="s">
        <v>18</v>
      </c>
      <c r="E2877" s="64">
        <v>1</v>
      </c>
    </row>
    <row r="2878" spans="1:5">
      <c r="A2878" s="64" t="s">
        <v>1</v>
      </c>
      <c r="B2878" s="65">
        <v>43517</v>
      </c>
      <c r="C2878" s="66" t="s">
        <v>219</v>
      </c>
      <c r="D2878" s="3" t="s">
        <v>18</v>
      </c>
      <c r="E2878" s="64">
        <v>1</v>
      </c>
    </row>
    <row r="2879" spans="1:5">
      <c r="A2879" s="64" t="s">
        <v>1</v>
      </c>
      <c r="B2879" s="65">
        <v>43518</v>
      </c>
      <c r="C2879" s="66" t="s">
        <v>220</v>
      </c>
      <c r="D2879" s="3" t="s">
        <v>18</v>
      </c>
      <c r="E2879" s="64">
        <v>1</v>
      </c>
    </row>
    <row r="2880" spans="1:5">
      <c r="A2880" s="64" t="s">
        <v>1</v>
      </c>
      <c r="B2880" s="65">
        <v>43521</v>
      </c>
      <c r="C2880" s="66" t="s">
        <v>216</v>
      </c>
      <c r="D2880" s="3" t="s">
        <v>18</v>
      </c>
      <c r="E2880" s="64">
        <v>1</v>
      </c>
    </row>
    <row r="2881" spans="1:5">
      <c r="A2881" s="64" t="s">
        <v>1</v>
      </c>
      <c r="B2881" s="65">
        <v>43522</v>
      </c>
      <c r="C2881" s="66" t="s">
        <v>217</v>
      </c>
      <c r="D2881" s="3" t="s">
        <v>18</v>
      </c>
      <c r="E2881" s="64">
        <v>1</v>
      </c>
    </row>
    <row r="2882" spans="1:5">
      <c r="A2882" s="64" t="s">
        <v>1</v>
      </c>
      <c r="B2882" s="65">
        <v>43523</v>
      </c>
      <c r="C2882" s="66" t="s">
        <v>218</v>
      </c>
      <c r="D2882" s="3" t="s">
        <v>18</v>
      </c>
      <c r="E2882" s="64">
        <v>1</v>
      </c>
    </row>
    <row r="2883" spans="1:5">
      <c r="A2883" s="64" t="s">
        <v>1</v>
      </c>
      <c r="B2883" s="65">
        <v>43524</v>
      </c>
      <c r="C2883" s="66" t="s">
        <v>219</v>
      </c>
      <c r="D2883" s="3" t="s">
        <v>18</v>
      </c>
      <c r="E2883" s="64">
        <v>1</v>
      </c>
    </row>
    <row r="2884" spans="1:5">
      <c r="A2884" s="64" t="s">
        <v>1</v>
      </c>
      <c r="B2884" s="65">
        <v>43525</v>
      </c>
      <c r="C2884" s="66" t="s">
        <v>220</v>
      </c>
      <c r="D2884" s="3" t="s">
        <v>18</v>
      </c>
      <c r="E2884" s="64">
        <v>1</v>
      </c>
    </row>
    <row r="2885" spans="1:5">
      <c r="A2885" s="64" t="s">
        <v>1</v>
      </c>
      <c r="B2885" s="65">
        <v>43528</v>
      </c>
      <c r="C2885" s="66" t="s">
        <v>216</v>
      </c>
      <c r="D2885" s="3" t="s">
        <v>18</v>
      </c>
      <c r="E2885" s="64">
        <v>1</v>
      </c>
    </row>
    <row r="2886" spans="1:5">
      <c r="A2886" s="64" t="s">
        <v>1</v>
      </c>
      <c r="B2886" s="65">
        <v>43529</v>
      </c>
      <c r="C2886" s="66" t="s">
        <v>217</v>
      </c>
      <c r="D2886" s="3" t="s">
        <v>18</v>
      </c>
      <c r="E2886" s="64">
        <v>1</v>
      </c>
    </row>
    <row r="2887" spans="1:5">
      <c r="A2887" s="64" t="s">
        <v>1</v>
      </c>
      <c r="B2887" s="65">
        <v>43530</v>
      </c>
      <c r="C2887" s="66" t="s">
        <v>218</v>
      </c>
      <c r="D2887" s="3" t="s">
        <v>18</v>
      </c>
      <c r="E2887" s="64">
        <v>1</v>
      </c>
    </row>
    <row r="2888" spans="1:5">
      <c r="A2888" s="64" t="s">
        <v>1</v>
      </c>
      <c r="B2888" s="65">
        <v>43531</v>
      </c>
      <c r="C2888" s="66" t="s">
        <v>219</v>
      </c>
      <c r="D2888" s="3" t="s">
        <v>18</v>
      </c>
      <c r="E2888" s="64">
        <v>1</v>
      </c>
    </row>
    <row r="2889" spans="1:5">
      <c r="A2889" s="64" t="s">
        <v>1</v>
      </c>
      <c r="B2889" s="65">
        <v>43532</v>
      </c>
      <c r="C2889" s="66" t="s">
        <v>220</v>
      </c>
      <c r="D2889" s="3" t="s">
        <v>18</v>
      </c>
      <c r="E2889" s="64">
        <v>1</v>
      </c>
    </row>
    <row r="2890" spans="1:5">
      <c r="A2890" s="64" t="s">
        <v>1</v>
      </c>
      <c r="B2890" s="65">
        <v>43535</v>
      </c>
      <c r="C2890" s="66" t="s">
        <v>216</v>
      </c>
      <c r="D2890" s="3" t="s">
        <v>18</v>
      </c>
      <c r="E2890" s="64">
        <v>1</v>
      </c>
    </row>
    <row r="2891" spans="1:5">
      <c r="A2891" s="64" t="s">
        <v>1</v>
      </c>
      <c r="B2891" s="65">
        <v>43536</v>
      </c>
      <c r="C2891" s="66" t="s">
        <v>217</v>
      </c>
      <c r="D2891" s="3" t="s">
        <v>18</v>
      </c>
      <c r="E2891" s="64">
        <v>1</v>
      </c>
    </row>
    <row r="2892" spans="1:5">
      <c r="A2892" s="64" t="s">
        <v>1</v>
      </c>
      <c r="B2892" s="65">
        <v>43537</v>
      </c>
      <c r="C2892" s="66" t="s">
        <v>218</v>
      </c>
      <c r="D2892" s="3" t="s">
        <v>18</v>
      </c>
      <c r="E2892" s="64">
        <v>1</v>
      </c>
    </row>
    <row r="2893" spans="1:5">
      <c r="A2893" s="64" t="s">
        <v>1</v>
      </c>
      <c r="B2893" s="65">
        <v>43538</v>
      </c>
      <c r="C2893" s="66" t="s">
        <v>219</v>
      </c>
      <c r="D2893" s="3" t="s">
        <v>18</v>
      </c>
      <c r="E2893" s="64">
        <v>1</v>
      </c>
    </row>
    <row r="2894" spans="1:5">
      <c r="A2894" s="64" t="s">
        <v>1</v>
      </c>
      <c r="B2894" s="65">
        <v>43539</v>
      </c>
      <c r="C2894" s="66" t="s">
        <v>220</v>
      </c>
      <c r="D2894" s="3" t="s">
        <v>18</v>
      </c>
      <c r="E2894" s="64">
        <v>1</v>
      </c>
    </row>
    <row r="2895" spans="1:5">
      <c r="A2895" s="64" t="s">
        <v>1</v>
      </c>
      <c r="B2895" s="65">
        <v>43542</v>
      </c>
      <c r="C2895" s="66" t="s">
        <v>216</v>
      </c>
      <c r="D2895" s="3" t="s">
        <v>18</v>
      </c>
      <c r="E2895" s="64">
        <v>1</v>
      </c>
    </row>
    <row r="2896" spans="1:5">
      <c r="A2896" s="64" t="s">
        <v>1</v>
      </c>
      <c r="B2896" s="65">
        <v>43543</v>
      </c>
      <c r="C2896" s="66" t="s">
        <v>217</v>
      </c>
      <c r="D2896" s="3" t="s">
        <v>18</v>
      </c>
      <c r="E2896" s="64">
        <v>1</v>
      </c>
    </row>
    <row r="2897" spans="1:5">
      <c r="A2897" s="64" t="s">
        <v>1</v>
      </c>
      <c r="B2897" s="65">
        <v>43544</v>
      </c>
      <c r="C2897" s="66" t="s">
        <v>218</v>
      </c>
      <c r="D2897" s="3" t="s">
        <v>18</v>
      </c>
      <c r="E2897" s="64">
        <v>1</v>
      </c>
    </row>
    <row r="2898" spans="1:5">
      <c r="A2898" s="64" t="s">
        <v>1</v>
      </c>
      <c r="B2898" s="65">
        <v>43545</v>
      </c>
      <c r="C2898" s="66" t="s">
        <v>219</v>
      </c>
      <c r="D2898" s="3" t="s">
        <v>18</v>
      </c>
      <c r="E2898" s="64">
        <v>1</v>
      </c>
    </row>
    <row r="2899" spans="1:5">
      <c r="A2899" s="64" t="s">
        <v>1</v>
      </c>
      <c r="B2899" s="65">
        <v>43546</v>
      </c>
      <c r="C2899" s="66" t="s">
        <v>220</v>
      </c>
      <c r="D2899" s="3" t="s">
        <v>18</v>
      </c>
      <c r="E2899" s="64">
        <v>1</v>
      </c>
    </row>
    <row r="2900" spans="1:5">
      <c r="A2900" s="64" t="s">
        <v>1</v>
      </c>
      <c r="B2900" s="65">
        <v>43549</v>
      </c>
      <c r="C2900" s="66" t="s">
        <v>216</v>
      </c>
      <c r="D2900" s="3" t="s">
        <v>18</v>
      </c>
      <c r="E2900" s="64">
        <v>1</v>
      </c>
    </row>
    <row r="2901" spans="1:5">
      <c r="A2901" s="64" t="s">
        <v>1</v>
      </c>
      <c r="B2901" s="65">
        <v>43550</v>
      </c>
      <c r="C2901" s="66" t="s">
        <v>217</v>
      </c>
      <c r="D2901" s="3" t="s">
        <v>18</v>
      </c>
      <c r="E2901" s="64">
        <v>1</v>
      </c>
    </row>
    <row r="2902" spans="1:5">
      <c r="A2902" s="64" t="s">
        <v>1</v>
      </c>
      <c r="B2902" s="65">
        <v>43551</v>
      </c>
      <c r="C2902" s="66" t="s">
        <v>218</v>
      </c>
      <c r="D2902" s="3" t="s">
        <v>18</v>
      </c>
      <c r="E2902" s="64">
        <v>1</v>
      </c>
    </row>
    <row r="2903" spans="1:5">
      <c r="A2903" s="64" t="s">
        <v>1</v>
      </c>
      <c r="B2903" s="65">
        <v>43552</v>
      </c>
      <c r="C2903" s="66" t="s">
        <v>219</v>
      </c>
      <c r="D2903" s="3" t="s">
        <v>18</v>
      </c>
      <c r="E2903" s="64">
        <v>1</v>
      </c>
    </row>
    <row r="2904" spans="1:5">
      <c r="A2904" s="64" t="s">
        <v>1</v>
      </c>
      <c r="B2904" s="65">
        <v>43553</v>
      </c>
      <c r="C2904" s="66" t="s">
        <v>220</v>
      </c>
      <c r="D2904" s="3" t="s">
        <v>18</v>
      </c>
      <c r="E2904" s="64">
        <v>1</v>
      </c>
    </row>
    <row r="2905" spans="1:5">
      <c r="A2905" s="64" t="s">
        <v>1</v>
      </c>
      <c r="B2905" s="65">
        <v>43556</v>
      </c>
      <c r="C2905" s="66" t="s">
        <v>216</v>
      </c>
      <c r="D2905" s="3" t="s">
        <v>18</v>
      </c>
      <c r="E2905" s="64">
        <v>1</v>
      </c>
    </row>
    <row r="2906" spans="1:5">
      <c r="A2906" s="64" t="s">
        <v>1</v>
      </c>
      <c r="B2906" s="65">
        <v>43557</v>
      </c>
      <c r="C2906" s="66" t="s">
        <v>217</v>
      </c>
      <c r="D2906" s="3" t="s">
        <v>18</v>
      </c>
      <c r="E2906" s="64">
        <v>1</v>
      </c>
    </row>
    <row r="2907" spans="1:5">
      <c r="A2907" s="64" t="s">
        <v>1</v>
      </c>
      <c r="B2907" s="65">
        <v>43558</v>
      </c>
      <c r="C2907" s="66" t="s">
        <v>218</v>
      </c>
      <c r="D2907" s="3" t="s">
        <v>18</v>
      </c>
      <c r="E2907" s="64">
        <v>1</v>
      </c>
    </row>
    <row r="2908" spans="1:5">
      <c r="A2908" s="64" t="s">
        <v>1</v>
      </c>
      <c r="B2908" s="65">
        <v>43559</v>
      </c>
      <c r="C2908" s="66" t="s">
        <v>219</v>
      </c>
      <c r="D2908" s="3" t="s">
        <v>18</v>
      </c>
      <c r="E2908" s="64">
        <v>1</v>
      </c>
    </row>
    <row r="2909" spans="1:5">
      <c r="A2909" s="64" t="s">
        <v>1</v>
      </c>
      <c r="B2909" s="65">
        <v>43560</v>
      </c>
      <c r="C2909" s="66" t="s">
        <v>220</v>
      </c>
      <c r="D2909" s="3" t="s">
        <v>18</v>
      </c>
      <c r="E2909" s="64">
        <v>1</v>
      </c>
    </row>
    <row r="2910" spans="1:5">
      <c r="A2910" s="64" t="s">
        <v>1</v>
      </c>
      <c r="B2910" s="65">
        <v>43563</v>
      </c>
      <c r="C2910" s="66" t="s">
        <v>216</v>
      </c>
      <c r="D2910" s="3" t="s">
        <v>18</v>
      </c>
      <c r="E2910" s="64">
        <v>1</v>
      </c>
    </row>
    <row r="2911" spans="1:5">
      <c r="A2911" s="64" t="s">
        <v>1</v>
      </c>
      <c r="B2911" s="65">
        <v>43564</v>
      </c>
      <c r="C2911" s="66" t="s">
        <v>217</v>
      </c>
      <c r="D2911" s="3" t="s">
        <v>18</v>
      </c>
      <c r="E2911" s="64">
        <v>1</v>
      </c>
    </row>
    <row r="2912" spans="1:5">
      <c r="A2912" s="64" t="s">
        <v>1</v>
      </c>
      <c r="B2912" s="65">
        <v>43565</v>
      </c>
      <c r="C2912" s="66" t="s">
        <v>218</v>
      </c>
      <c r="D2912" s="3" t="s">
        <v>18</v>
      </c>
      <c r="E2912" s="64">
        <v>1</v>
      </c>
    </row>
    <row r="2913" spans="1:5">
      <c r="A2913" s="64" t="s">
        <v>1</v>
      </c>
      <c r="B2913" s="65">
        <v>43566</v>
      </c>
      <c r="C2913" s="66" t="s">
        <v>219</v>
      </c>
      <c r="D2913" s="3" t="s">
        <v>18</v>
      </c>
      <c r="E2913" s="64">
        <v>1</v>
      </c>
    </row>
    <row r="2914" spans="1:5">
      <c r="A2914" s="64" t="s">
        <v>1</v>
      </c>
      <c r="B2914" s="65">
        <v>43567</v>
      </c>
      <c r="C2914" s="66" t="s">
        <v>220</v>
      </c>
      <c r="D2914" s="3" t="s">
        <v>18</v>
      </c>
      <c r="E2914" s="64">
        <v>1</v>
      </c>
    </row>
    <row r="2915" spans="1:5">
      <c r="A2915" s="64" t="s">
        <v>1</v>
      </c>
      <c r="B2915" s="65">
        <v>43570</v>
      </c>
      <c r="C2915" s="66" t="s">
        <v>216</v>
      </c>
      <c r="D2915" s="3" t="s">
        <v>18</v>
      </c>
      <c r="E2915" s="64">
        <v>1</v>
      </c>
    </row>
    <row r="2916" spans="1:5">
      <c r="A2916" s="64" t="s">
        <v>1</v>
      </c>
      <c r="B2916" s="65">
        <v>43571</v>
      </c>
      <c r="C2916" s="66" t="s">
        <v>217</v>
      </c>
      <c r="D2916" s="3" t="s">
        <v>18</v>
      </c>
      <c r="E2916" s="64">
        <v>1</v>
      </c>
    </row>
    <row r="2917" spans="1:5">
      <c r="A2917" s="64" t="s">
        <v>1</v>
      </c>
      <c r="B2917" s="65">
        <v>43572</v>
      </c>
      <c r="C2917" s="66" t="s">
        <v>218</v>
      </c>
      <c r="D2917" s="3" t="s">
        <v>18</v>
      </c>
      <c r="E2917" s="64">
        <v>1</v>
      </c>
    </row>
    <row r="2918" spans="1:5">
      <c r="A2918" s="64" t="s">
        <v>1</v>
      </c>
      <c r="B2918" s="65">
        <v>43573</v>
      </c>
      <c r="C2918" s="66" t="s">
        <v>219</v>
      </c>
      <c r="D2918" s="3" t="s">
        <v>18</v>
      </c>
      <c r="E2918" s="64">
        <v>1</v>
      </c>
    </row>
    <row r="2919" spans="1:5">
      <c r="A2919" s="64" t="s">
        <v>1</v>
      </c>
      <c r="B2919" s="65">
        <v>43574</v>
      </c>
      <c r="C2919" s="66" t="s">
        <v>220</v>
      </c>
      <c r="D2919" s="3" t="s">
        <v>18</v>
      </c>
      <c r="E2919" s="64">
        <v>1</v>
      </c>
    </row>
    <row r="2920" spans="1:5">
      <c r="A2920" s="64" t="s">
        <v>1</v>
      </c>
      <c r="B2920" s="65">
        <v>43577</v>
      </c>
      <c r="C2920" s="66" t="s">
        <v>216</v>
      </c>
      <c r="D2920" s="3" t="s">
        <v>18</v>
      </c>
      <c r="E2920" s="64">
        <v>1</v>
      </c>
    </row>
    <row r="2921" spans="1:5">
      <c r="A2921" s="64" t="s">
        <v>1</v>
      </c>
      <c r="B2921" s="65">
        <v>43578</v>
      </c>
      <c r="C2921" s="66" t="s">
        <v>217</v>
      </c>
      <c r="D2921" s="3" t="s">
        <v>18</v>
      </c>
      <c r="E2921" s="64">
        <v>1</v>
      </c>
    </row>
    <row r="2922" spans="1:5">
      <c r="A2922" s="64" t="s">
        <v>1</v>
      </c>
      <c r="B2922" s="65">
        <v>43579</v>
      </c>
      <c r="C2922" s="66" t="s">
        <v>218</v>
      </c>
      <c r="D2922" s="3" t="s">
        <v>18</v>
      </c>
      <c r="E2922" s="64">
        <v>1</v>
      </c>
    </row>
    <row r="2923" spans="1:5">
      <c r="A2923" s="64" t="s">
        <v>1</v>
      </c>
      <c r="B2923" s="65">
        <v>43580</v>
      </c>
      <c r="C2923" s="66" t="s">
        <v>219</v>
      </c>
      <c r="D2923" s="3" t="s">
        <v>18</v>
      </c>
      <c r="E2923" s="64">
        <v>1</v>
      </c>
    </row>
    <row r="2924" spans="1:5">
      <c r="A2924" s="64" t="s">
        <v>1</v>
      </c>
      <c r="B2924" s="65">
        <v>43581</v>
      </c>
      <c r="C2924" s="66" t="s">
        <v>220</v>
      </c>
      <c r="D2924" s="3" t="s">
        <v>18</v>
      </c>
      <c r="E2924" s="64">
        <v>1</v>
      </c>
    </row>
    <row r="2925" spans="1:5">
      <c r="A2925" s="64" t="s">
        <v>1</v>
      </c>
      <c r="B2925" s="65">
        <v>43584</v>
      </c>
      <c r="C2925" s="66" t="s">
        <v>216</v>
      </c>
      <c r="D2925" s="3" t="s">
        <v>18</v>
      </c>
      <c r="E2925" s="64">
        <v>1</v>
      </c>
    </row>
    <row r="2926" spans="1:5">
      <c r="A2926" s="64" t="s">
        <v>1</v>
      </c>
      <c r="B2926" s="65">
        <v>43585</v>
      </c>
      <c r="C2926" s="66" t="s">
        <v>217</v>
      </c>
      <c r="D2926" s="3" t="s">
        <v>18</v>
      </c>
      <c r="E2926" s="64">
        <v>1</v>
      </c>
    </row>
    <row r="2927" spans="1:5">
      <c r="A2927" s="64" t="s">
        <v>1</v>
      </c>
      <c r="B2927" s="65">
        <v>43586</v>
      </c>
      <c r="C2927" s="66" t="s">
        <v>218</v>
      </c>
      <c r="D2927" s="3" t="s">
        <v>18</v>
      </c>
      <c r="E2927" s="64">
        <v>1</v>
      </c>
    </row>
    <row r="2928" spans="1:5">
      <c r="A2928" s="64" t="s">
        <v>1</v>
      </c>
      <c r="B2928" s="65">
        <v>43587</v>
      </c>
      <c r="C2928" s="66" t="s">
        <v>219</v>
      </c>
      <c r="D2928" s="3" t="s">
        <v>18</v>
      </c>
      <c r="E2928" s="64">
        <v>1</v>
      </c>
    </row>
    <row r="2929" spans="1:5">
      <c r="A2929" s="64" t="s">
        <v>1</v>
      </c>
      <c r="B2929" s="65">
        <v>43588</v>
      </c>
      <c r="C2929" s="66" t="s">
        <v>220</v>
      </c>
      <c r="D2929" s="3" t="s">
        <v>18</v>
      </c>
      <c r="E2929" s="64">
        <v>1</v>
      </c>
    </row>
    <row r="2930" spans="1:5">
      <c r="A2930" s="64" t="s">
        <v>1</v>
      </c>
      <c r="B2930" s="65">
        <v>43591</v>
      </c>
      <c r="C2930" s="66" t="s">
        <v>216</v>
      </c>
      <c r="D2930" s="3" t="s">
        <v>18</v>
      </c>
      <c r="E2930" s="64">
        <v>1</v>
      </c>
    </row>
    <row r="2931" spans="1:5">
      <c r="A2931" s="64" t="s">
        <v>1</v>
      </c>
      <c r="B2931" s="65">
        <v>43592</v>
      </c>
      <c r="C2931" s="66" t="s">
        <v>217</v>
      </c>
      <c r="D2931" s="3" t="s">
        <v>18</v>
      </c>
      <c r="E2931" s="64">
        <v>1</v>
      </c>
    </row>
    <row r="2932" spans="1:5">
      <c r="A2932" s="64" t="s">
        <v>1</v>
      </c>
      <c r="B2932" s="65">
        <v>43593</v>
      </c>
      <c r="C2932" s="66" t="s">
        <v>218</v>
      </c>
      <c r="D2932" s="3" t="s">
        <v>18</v>
      </c>
      <c r="E2932" s="64">
        <v>1</v>
      </c>
    </row>
    <row r="2933" spans="1:5">
      <c r="A2933" s="64" t="s">
        <v>1</v>
      </c>
      <c r="B2933" s="65">
        <v>43594</v>
      </c>
      <c r="C2933" s="66" t="s">
        <v>219</v>
      </c>
      <c r="D2933" s="3" t="s">
        <v>18</v>
      </c>
      <c r="E2933" s="64">
        <v>1</v>
      </c>
    </row>
    <row r="2934" spans="1:5">
      <c r="A2934" s="64" t="s">
        <v>1</v>
      </c>
      <c r="B2934" s="65">
        <v>43595</v>
      </c>
      <c r="C2934" s="66" t="s">
        <v>220</v>
      </c>
      <c r="D2934" s="3" t="s">
        <v>18</v>
      </c>
      <c r="E2934" s="64">
        <v>1</v>
      </c>
    </row>
    <row r="2935" spans="1:5">
      <c r="A2935" s="64" t="s">
        <v>1</v>
      </c>
      <c r="B2935" s="65">
        <v>43409</v>
      </c>
      <c r="C2935" s="66" t="s">
        <v>216</v>
      </c>
      <c r="D2935" s="3" t="s">
        <v>19</v>
      </c>
      <c r="E2935" s="64">
        <v>1</v>
      </c>
    </row>
    <row r="2936" spans="1:5">
      <c r="A2936" s="64" t="s">
        <v>1</v>
      </c>
      <c r="B2936" s="65">
        <v>43410</v>
      </c>
      <c r="C2936" s="66" t="s">
        <v>217</v>
      </c>
      <c r="D2936" s="3" t="s">
        <v>19</v>
      </c>
      <c r="E2936" s="64">
        <v>1</v>
      </c>
    </row>
    <row r="2937" spans="1:5">
      <c r="A2937" s="64" t="s">
        <v>1</v>
      </c>
      <c r="B2937" s="65">
        <v>43411</v>
      </c>
      <c r="C2937" s="66" t="s">
        <v>218</v>
      </c>
      <c r="D2937" s="3" t="s">
        <v>19</v>
      </c>
      <c r="E2937" s="64">
        <v>1</v>
      </c>
    </row>
    <row r="2938" spans="1:5">
      <c r="A2938" s="64" t="s">
        <v>1</v>
      </c>
      <c r="B2938" s="65">
        <v>43412</v>
      </c>
      <c r="C2938" s="66" t="s">
        <v>219</v>
      </c>
      <c r="D2938" s="3" t="s">
        <v>19</v>
      </c>
      <c r="E2938" s="64">
        <v>1</v>
      </c>
    </row>
    <row r="2939" spans="1:5">
      <c r="A2939" s="64" t="s">
        <v>1</v>
      </c>
      <c r="B2939" s="65">
        <v>43413</v>
      </c>
      <c r="C2939" s="66" t="s">
        <v>220</v>
      </c>
      <c r="D2939" s="3" t="s">
        <v>19</v>
      </c>
      <c r="E2939" s="64">
        <v>1</v>
      </c>
    </row>
    <row r="2940" spans="1:5">
      <c r="A2940" s="64" t="s">
        <v>1</v>
      </c>
      <c r="B2940" s="65">
        <v>43414</v>
      </c>
      <c r="C2940" s="66" t="s">
        <v>221</v>
      </c>
      <c r="D2940" s="3" t="s">
        <v>19</v>
      </c>
      <c r="E2940" s="64">
        <v>1</v>
      </c>
    </row>
    <row r="2941" spans="1:5">
      <c r="A2941" s="64" t="s">
        <v>1</v>
      </c>
      <c r="B2941" s="65">
        <v>43415</v>
      </c>
      <c r="C2941" s="66" t="s">
        <v>222</v>
      </c>
      <c r="D2941" s="3" t="s">
        <v>19</v>
      </c>
      <c r="E2941" s="64">
        <v>1</v>
      </c>
    </row>
    <row r="2942" spans="1:5">
      <c r="A2942" s="64" t="s">
        <v>1</v>
      </c>
      <c r="B2942" s="65">
        <v>43416</v>
      </c>
      <c r="C2942" s="66" t="s">
        <v>216</v>
      </c>
      <c r="D2942" s="3" t="s">
        <v>19</v>
      </c>
      <c r="E2942" s="64">
        <v>1</v>
      </c>
    </row>
    <row r="2943" spans="1:5">
      <c r="A2943" s="64" t="s">
        <v>1</v>
      </c>
      <c r="B2943" s="65">
        <v>43417</v>
      </c>
      <c r="C2943" s="66" t="s">
        <v>217</v>
      </c>
      <c r="D2943" s="3" t="s">
        <v>19</v>
      </c>
      <c r="E2943" s="64">
        <v>1</v>
      </c>
    </row>
    <row r="2944" spans="1:5">
      <c r="A2944" s="64" t="s">
        <v>1</v>
      </c>
      <c r="B2944" s="65">
        <v>43418</v>
      </c>
      <c r="C2944" s="66" t="s">
        <v>218</v>
      </c>
      <c r="D2944" s="3" t="s">
        <v>19</v>
      </c>
      <c r="E2944" s="64">
        <v>1</v>
      </c>
    </row>
    <row r="2945" spans="1:5">
      <c r="A2945" s="64" t="s">
        <v>1</v>
      </c>
      <c r="B2945" s="65">
        <v>43419</v>
      </c>
      <c r="C2945" s="66" t="s">
        <v>219</v>
      </c>
      <c r="D2945" s="3" t="s">
        <v>19</v>
      </c>
      <c r="E2945" s="64">
        <v>1</v>
      </c>
    </row>
    <row r="2946" spans="1:5">
      <c r="A2946" s="64" t="s">
        <v>1</v>
      </c>
      <c r="B2946" s="65">
        <v>43420</v>
      </c>
      <c r="C2946" s="66" t="s">
        <v>220</v>
      </c>
      <c r="D2946" s="3" t="s">
        <v>19</v>
      </c>
      <c r="E2946" s="64">
        <v>1</v>
      </c>
    </row>
    <row r="2947" spans="1:5">
      <c r="A2947" s="64" t="s">
        <v>1</v>
      </c>
      <c r="B2947" s="65">
        <v>43421</v>
      </c>
      <c r="C2947" s="66" t="s">
        <v>221</v>
      </c>
      <c r="D2947" s="3" t="s">
        <v>19</v>
      </c>
      <c r="E2947" s="64">
        <v>1</v>
      </c>
    </row>
    <row r="2948" spans="1:5">
      <c r="A2948" s="64" t="s">
        <v>1</v>
      </c>
      <c r="B2948" s="65">
        <v>43422</v>
      </c>
      <c r="C2948" s="66" t="s">
        <v>222</v>
      </c>
      <c r="D2948" s="3" t="s">
        <v>19</v>
      </c>
      <c r="E2948" s="64">
        <v>1</v>
      </c>
    </row>
    <row r="2949" spans="1:5">
      <c r="A2949" s="64" t="s">
        <v>1</v>
      </c>
      <c r="B2949" s="65">
        <v>43423</v>
      </c>
      <c r="C2949" s="66" t="s">
        <v>216</v>
      </c>
      <c r="D2949" s="3" t="s">
        <v>19</v>
      </c>
      <c r="E2949" s="64">
        <v>1</v>
      </c>
    </row>
    <row r="2950" spans="1:5">
      <c r="A2950" s="64" t="s">
        <v>1</v>
      </c>
      <c r="B2950" s="65">
        <v>43424</v>
      </c>
      <c r="C2950" s="66" t="s">
        <v>217</v>
      </c>
      <c r="D2950" s="3" t="s">
        <v>19</v>
      </c>
      <c r="E2950" s="64">
        <v>1</v>
      </c>
    </row>
    <row r="2951" spans="1:5">
      <c r="A2951" s="64" t="s">
        <v>1</v>
      </c>
      <c r="B2951" s="65">
        <v>43425</v>
      </c>
      <c r="C2951" s="66" t="s">
        <v>218</v>
      </c>
      <c r="D2951" s="3" t="s">
        <v>19</v>
      </c>
      <c r="E2951" s="64">
        <v>1</v>
      </c>
    </row>
    <row r="2952" spans="1:5">
      <c r="A2952" s="64" t="s">
        <v>1</v>
      </c>
      <c r="B2952" s="65">
        <v>43426</v>
      </c>
      <c r="C2952" s="66" t="s">
        <v>219</v>
      </c>
      <c r="D2952" s="3" t="s">
        <v>19</v>
      </c>
      <c r="E2952" s="64">
        <v>1</v>
      </c>
    </row>
    <row r="2953" spans="1:5">
      <c r="A2953" s="64" t="s">
        <v>1</v>
      </c>
      <c r="B2953" s="65">
        <v>43427</v>
      </c>
      <c r="C2953" s="66" t="s">
        <v>220</v>
      </c>
      <c r="D2953" s="3" t="s">
        <v>19</v>
      </c>
      <c r="E2953" s="64">
        <v>1</v>
      </c>
    </row>
    <row r="2954" spans="1:5">
      <c r="A2954" s="64" t="s">
        <v>1</v>
      </c>
      <c r="B2954" s="65">
        <v>43428</v>
      </c>
      <c r="C2954" s="66" t="s">
        <v>221</v>
      </c>
      <c r="D2954" s="3" t="s">
        <v>19</v>
      </c>
      <c r="E2954" s="64">
        <v>1</v>
      </c>
    </row>
    <row r="2955" spans="1:5">
      <c r="A2955" s="64" t="s">
        <v>1</v>
      </c>
      <c r="B2955" s="65">
        <v>43429</v>
      </c>
      <c r="C2955" s="66" t="s">
        <v>222</v>
      </c>
      <c r="D2955" s="3" t="s">
        <v>19</v>
      </c>
      <c r="E2955" s="64">
        <v>1</v>
      </c>
    </row>
    <row r="2956" spans="1:5">
      <c r="A2956" s="64" t="s">
        <v>1</v>
      </c>
      <c r="B2956" s="65">
        <v>43430</v>
      </c>
      <c r="C2956" s="66" t="s">
        <v>216</v>
      </c>
      <c r="D2956" s="3" t="s">
        <v>19</v>
      </c>
      <c r="E2956" s="64">
        <v>1</v>
      </c>
    </row>
    <row r="2957" spans="1:5">
      <c r="A2957" s="64" t="s">
        <v>1</v>
      </c>
      <c r="B2957" s="65">
        <v>43431</v>
      </c>
      <c r="C2957" s="66" t="s">
        <v>217</v>
      </c>
      <c r="D2957" s="3" t="s">
        <v>19</v>
      </c>
      <c r="E2957" s="64">
        <v>1</v>
      </c>
    </row>
    <row r="2958" spans="1:5">
      <c r="A2958" s="64" t="s">
        <v>1</v>
      </c>
      <c r="B2958" s="65">
        <v>43432</v>
      </c>
      <c r="C2958" s="66" t="s">
        <v>218</v>
      </c>
      <c r="D2958" s="3" t="s">
        <v>19</v>
      </c>
      <c r="E2958" s="64">
        <v>1</v>
      </c>
    </row>
    <row r="2959" spans="1:5">
      <c r="A2959" s="64" t="s">
        <v>1</v>
      </c>
      <c r="B2959" s="65">
        <v>43433</v>
      </c>
      <c r="C2959" s="66" t="s">
        <v>219</v>
      </c>
      <c r="D2959" s="3" t="s">
        <v>19</v>
      </c>
      <c r="E2959" s="64">
        <v>1</v>
      </c>
    </row>
    <row r="2960" spans="1:5">
      <c r="A2960" s="64" t="s">
        <v>1</v>
      </c>
      <c r="B2960" s="65">
        <v>43434</v>
      </c>
      <c r="C2960" s="66" t="s">
        <v>220</v>
      </c>
      <c r="D2960" s="3" t="s">
        <v>19</v>
      </c>
      <c r="E2960" s="64">
        <v>1</v>
      </c>
    </row>
    <row r="2961" spans="1:5">
      <c r="A2961" s="64" t="s">
        <v>1</v>
      </c>
      <c r="B2961" s="65">
        <v>43435</v>
      </c>
      <c r="C2961" s="66" t="s">
        <v>221</v>
      </c>
      <c r="D2961" s="3" t="s">
        <v>19</v>
      </c>
      <c r="E2961" s="64">
        <v>1</v>
      </c>
    </row>
    <row r="2962" spans="1:5">
      <c r="A2962" s="64" t="s">
        <v>1</v>
      </c>
      <c r="B2962" s="65">
        <v>43436</v>
      </c>
      <c r="C2962" s="66" t="s">
        <v>222</v>
      </c>
      <c r="D2962" s="3" t="s">
        <v>19</v>
      </c>
      <c r="E2962" s="64">
        <v>1</v>
      </c>
    </row>
    <row r="2963" spans="1:5">
      <c r="A2963" s="64" t="s">
        <v>1</v>
      </c>
      <c r="B2963" s="65">
        <v>43437</v>
      </c>
      <c r="C2963" s="66" t="s">
        <v>216</v>
      </c>
      <c r="D2963" s="3" t="s">
        <v>19</v>
      </c>
      <c r="E2963" s="64">
        <v>1</v>
      </c>
    </row>
    <row r="2964" spans="1:5">
      <c r="A2964" s="64" t="s">
        <v>1</v>
      </c>
      <c r="B2964" s="65">
        <v>43438</v>
      </c>
      <c r="C2964" s="66" t="s">
        <v>217</v>
      </c>
      <c r="D2964" s="3" t="s">
        <v>19</v>
      </c>
      <c r="E2964" s="64">
        <v>1</v>
      </c>
    </row>
    <row r="2965" spans="1:5">
      <c r="A2965" s="64" t="s">
        <v>1</v>
      </c>
      <c r="B2965" s="65">
        <v>43439</v>
      </c>
      <c r="C2965" s="66" t="s">
        <v>218</v>
      </c>
      <c r="D2965" s="3" t="s">
        <v>19</v>
      </c>
      <c r="E2965" s="64">
        <v>1</v>
      </c>
    </row>
    <row r="2966" spans="1:5">
      <c r="A2966" s="64" t="s">
        <v>1</v>
      </c>
      <c r="B2966" s="65">
        <v>43440</v>
      </c>
      <c r="C2966" s="66" t="s">
        <v>219</v>
      </c>
      <c r="D2966" s="3" t="s">
        <v>19</v>
      </c>
      <c r="E2966" s="64">
        <v>1</v>
      </c>
    </row>
    <row r="2967" spans="1:5">
      <c r="A2967" s="64" t="s">
        <v>1</v>
      </c>
      <c r="B2967" s="65">
        <v>43441</v>
      </c>
      <c r="C2967" s="66" t="s">
        <v>220</v>
      </c>
      <c r="D2967" s="3" t="s">
        <v>19</v>
      </c>
      <c r="E2967" s="64">
        <v>1</v>
      </c>
    </row>
    <row r="2968" spans="1:5">
      <c r="A2968" s="64" t="s">
        <v>1</v>
      </c>
      <c r="B2968" s="65">
        <v>43442</v>
      </c>
      <c r="C2968" s="66" t="s">
        <v>221</v>
      </c>
      <c r="D2968" s="3" t="s">
        <v>19</v>
      </c>
      <c r="E2968" s="64">
        <v>1</v>
      </c>
    </row>
    <row r="2969" spans="1:5">
      <c r="A2969" s="64" t="s">
        <v>1</v>
      </c>
      <c r="B2969" s="65">
        <v>43443</v>
      </c>
      <c r="C2969" s="66" t="s">
        <v>222</v>
      </c>
      <c r="D2969" s="3" t="s">
        <v>19</v>
      </c>
      <c r="E2969" s="64">
        <v>1</v>
      </c>
    </row>
    <row r="2970" spans="1:5">
      <c r="A2970" s="64" t="s">
        <v>1</v>
      </c>
      <c r="B2970" s="65">
        <v>43444</v>
      </c>
      <c r="C2970" s="66" t="s">
        <v>216</v>
      </c>
      <c r="D2970" s="3" t="s">
        <v>19</v>
      </c>
      <c r="E2970" s="64">
        <v>1</v>
      </c>
    </row>
    <row r="2971" spans="1:5">
      <c r="A2971" s="64" t="s">
        <v>1</v>
      </c>
      <c r="B2971" s="65">
        <v>43445</v>
      </c>
      <c r="C2971" s="66" t="s">
        <v>217</v>
      </c>
      <c r="D2971" s="3" t="s">
        <v>19</v>
      </c>
      <c r="E2971" s="64">
        <v>1</v>
      </c>
    </row>
    <row r="2972" spans="1:5">
      <c r="A2972" s="64" t="s">
        <v>1</v>
      </c>
      <c r="B2972" s="65">
        <v>43446</v>
      </c>
      <c r="C2972" s="66" t="s">
        <v>218</v>
      </c>
      <c r="D2972" s="3" t="s">
        <v>19</v>
      </c>
      <c r="E2972" s="64">
        <v>1</v>
      </c>
    </row>
    <row r="2973" spans="1:5">
      <c r="A2973" s="64" t="s">
        <v>1</v>
      </c>
      <c r="B2973" s="65">
        <v>43447</v>
      </c>
      <c r="C2973" s="66" t="s">
        <v>219</v>
      </c>
      <c r="D2973" s="3" t="s">
        <v>19</v>
      </c>
      <c r="E2973" s="64">
        <v>1</v>
      </c>
    </row>
    <row r="2974" spans="1:5">
      <c r="A2974" s="64" t="s">
        <v>1</v>
      </c>
      <c r="B2974" s="65">
        <v>43448</v>
      </c>
      <c r="C2974" s="66" t="s">
        <v>220</v>
      </c>
      <c r="D2974" s="3" t="s">
        <v>19</v>
      </c>
      <c r="E2974" s="64">
        <v>1</v>
      </c>
    </row>
    <row r="2975" spans="1:5">
      <c r="A2975" s="64" t="s">
        <v>1</v>
      </c>
      <c r="B2975" s="65">
        <v>43449</v>
      </c>
      <c r="C2975" s="66" t="s">
        <v>221</v>
      </c>
      <c r="D2975" s="3" t="s">
        <v>19</v>
      </c>
      <c r="E2975" s="64">
        <v>1</v>
      </c>
    </row>
    <row r="2976" spans="1:5">
      <c r="A2976" s="64" t="s">
        <v>1</v>
      </c>
      <c r="B2976" s="65">
        <v>43450</v>
      </c>
      <c r="C2976" s="66" t="s">
        <v>222</v>
      </c>
      <c r="D2976" s="3" t="s">
        <v>19</v>
      </c>
      <c r="E2976" s="64">
        <v>1</v>
      </c>
    </row>
    <row r="2977" spans="1:5">
      <c r="A2977" s="64" t="s">
        <v>1</v>
      </c>
      <c r="B2977" s="65">
        <v>43451</v>
      </c>
      <c r="C2977" s="66" t="s">
        <v>216</v>
      </c>
      <c r="D2977" s="3" t="s">
        <v>19</v>
      </c>
      <c r="E2977" s="64">
        <v>1</v>
      </c>
    </row>
    <row r="2978" spans="1:5">
      <c r="A2978" s="64" t="s">
        <v>1</v>
      </c>
      <c r="B2978" s="65">
        <v>43452</v>
      </c>
      <c r="C2978" s="66" t="s">
        <v>217</v>
      </c>
      <c r="D2978" s="3" t="s">
        <v>19</v>
      </c>
      <c r="E2978" s="64">
        <v>1</v>
      </c>
    </row>
    <row r="2979" spans="1:5">
      <c r="A2979" s="64" t="s">
        <v>1</v>
      </c>
      <c r="B2979" s="65">
        <v>43453</v>
      </c>
      <c r="C2979" s="66" t="s">
        <v>218</v>
      </c>
      <c r="D2979" s="3" t="s">
        <v>19</v>
      </c>
      <c r="E2979" s="64">
        <v>1</v>
      </c>
    </row>
    <row r="2980" spans="1:5">
      <c r="A2980" s="64" t="s">
        <v>1</v>
      </c>
      <c r="B2980" s="65">
        <v>43454</v>
      </c>
      <c r="C2980" s="66" t="s">
        <v>219</v>
      </c>
      <c r="D2980" s="3" t="s">
        <v>19</v>
      </c>
      <c r="E2980" s="64">
        <v>1</v>
      </c>
    </row>
    <row r="2981" spans="1:5">
      <c r="A2981" s="64" t="s">
        <v>1</v>
      </c>
      <c r="B2981" s="65">
        <v>43455</v>
      </c>
      <c r="C2981" s="66" t="s">
        <v>220</v>
      </c>
      <c r="D2981" s="3" t="s">
        <v>19</v>
      </c>
      <c r="E2981" s="64">
        <v>1</v>
      </c>
    </row>
    <row r="2982" spans="1:5">
      <c r="A2982" s="64" t="s">
        <v>1</v>
      </c>
      <c r="B2982" s="65">
        <v>43456</v>
      </c>
      <c r="C2982" s="66" t="s">
        <v>221</v>
      </c>
      <c r="D2982" s="3" t="s">
        <v>19</v>
      </c>
      <c r="E2982" s="64">
        <v>1</v>
      </c>
    </row>
    <row r="2983" spans="1:5">
      <c r="A2983" s="64" t="s">
        <v>1</v>
      </c>
      <c r="B2983" s="65">
        <v>43457</v>
      </c>
      <c r="C2983" s="66" t="s">
        <v>222</v>
      </c>
      <c r="D2983" s="3" t="s">
        <v>19</v>
      </c>
      <c r="E2983" s="64">
        <v>1</v>
      </c>
    </row>
    <row r="2984" spans="1:5">
      <c r="A2984" s="64" t="s">
        <v>1</v>
      </c>
      <c r="B2984" s="65">
        <v>43458</v>
      </c>
      <c r="C2984" s="66" t="s">
        <v>216</v>
      </c>
      <c r="D2984" s="3" t="s">
        <v>19</v>
      </c>
      <c r="E2984" s="64">
        <v>1</v>
      </c>
    </row>
    <row r="2985" spans="1:5">
      <c r="A2985" s="64" t="s">
        <v>1</v>
      </c>
      <c r="B2985" s="65">
        <v>43459</v>
      </c>
      <c r="C2985" s="66" t="s">
        <v>217</v>
      </c>
      <c r="D2985" s="3" t="s">
        <v>19</v>
      </c>
      <c r="E2985" s="64">
        <v>1</v>
      </c>
    </row>
    <row r="2986" spans="1:5">
      <c r="A2986" s="64" t="s">
        <v>1</v>
      </c>
      <c r="B2986" s="65">
        <v>43460</v>
      </c>
      <c r="C2986" s="66" t="s">
        <v>218</v>
      </c>
      <c r="D2986" s="3" t="s">
        <v>19</v>
      </c>
      <c r="E2986" s="64">
        <v>1</v>
      </c>
    </row>
    <row r="2987" spans="1:5">
      <c r="A2987" s="64" t="s">
        <v>1</v>
      </c>
      <c r="B2987" s="65">
        <v>43461</v>
      </c>
      <c r="C2987" s="66" t="s">
        <v>219</v>
      </c>
      <c r="D2987" s="3" t="s">
        <v>19</v>
      </c>
      <c r="E2987" s="64">
        <v>1</v>
      </c>
    </row>
    <row r="2988" spans="1:5">
      <c r="A2988" s="64" t="s">
        <v>1</v>
      </c>
      <c r="B2988" s="65">
        <v>43462</v>
      </c>
      <c r="C2988" s="66" t="s">
        <v>220</v>
      </c>
      <c r="D2988" s="3" t="s">
        <v>19</v>
      </c>
      <c r="E2988" s="64">
        <v>1</v>
      </c>
    </row>
    <row r="2989" spans="1:5">
      <c r="A2989" s="64" t="s">
        <v>1</v>
      </c>
      <c r="B2989" s="65">
        <v>43463</v>
      </c>
      <c r="C2989" s="66" t="s">
        <v>221</v>
      </c>
      <c r="D2989" s="3" t="s">
        <v>19</v>
      </c>
      <c r="E2989" s="64">
        <v>1</v>
      </c>
    </row>
    <row r="2990" spans="1:5">
      <c r="A2990" s="64" t="s">
        <v>1</v>
      </c>
      <c r="B2990" s="65">
        <v>43464</v>
      </c>
      <c r="C2990" s="66" t="s">
        <v>222</v>
      </c>
      <c r="D2990" s="3" t="s">
        <v>19</v>
      </c>
      <c r="E2990" s="64">
        <v>1</v>
      </c>
    </row>
    <row r="2991" spans="1:5">
      <c r="A2991" s="64" t="s">
        <v>1</v>
      </c>
      <c r="B2991" s="65">
        <v>43465</v>
      </c>
      <c r="C2991" s="66" t="s">
        <v>216</v>
      </c>
      <c r="D2991" s="3" t="s">
        <v>19</v>
      </c>
      <c r="E2991" s="64">
        <v>1</v>
      </c>
    </row>
    <row r="2992" spans="1:5">
      <c r="A2992" s="64" t="s">
        <v>1</v>
      </c>
      <c r="B2992" s="65">
        <v>43466</v>
      </c>
      <c r="C2992" s="66" t="s">
        <v>217</v>
      </c>
      <c r="D2992" s="3" t="s">
        <v>19</v>
      </c>
      <c r="E2992" s="64">
        <v>1</v>
      </c>
    </row>
    <row r="2993" spans="1:5">
      <c r="A2993" s="64" t="s">
        <v>1</v>
      </c>
      <c r="B2993" s="65">
        <v>43467</v>
      </c>
      <c r="C2993" s="66" t="s">
        <v>218</v>
      </c>
      <c r="D2993" s="3" t="s">
        <v>19</v>
      </c>
      <c r="E2993" s="64">
        <v>1</v>
      </c>
    </row>
    <row r="2994" spans="1:5">
      <c r="A2994" s="64" t="s">
        <v>1</v>
      </c>
      <c r="B2994" s="65">
        <v>43468</v>
      </c>
      <c r="C2994" s="66" t="s">
        <v>219</v>
      </c>
      <c r="D2994" s="3" t="s">
        <v>19</v>
      </c>
      <c r="E2994" s="64">
        <v>1</v>
      </c>
    </row>
    <row r="2995" spans="1:5">
      <c r="A2995" s="64" t="s">
        <v>1</v>
      </c>
      <c r="B2995" s="65">
        <v>43469</v>
      </c>
      <c r="C2995" s="66" t="s">
        <v>220</v>
      </c>
      <c r="D2995" s="3" t="s">
        <v>19</v>
      </c>
      <c r="E2995" s="64">
        <v>1</v>
      </c>
    </row>
    <row r="2996" spans="1:5">
      <c r="A2996" s="64" t="s">
        <v>1</v>
      </c>
      <c r="B2996" s="65">
        <v>43470</v>
      </c>
      <c r="C2996" s="66" t="s">
        <v>221</v>
      </c>
      <c r="D2996" s="3" t="s">
        <v>19</v>
      </c>
      <c r="E2996" s="64">
        <v>1</v>
      </c>
    </row>
    <row r="2997" spans="1:5">
      <c r="A2997" s="64" t="s">
        <v>1</v>
      </c>
      <c r="B2997" s="65">
        <v>43471</v>
      </c>
      <c r="C2997" s="66" t="s">
        <v>222</v>
      </c>
      <c r="D2997" s="3" t="s">
        <v>19</v>
      </c>
      <c r="E2997" s="64">
        <v>1</v>
      </c>
    </row>
    <row r="2998" spans="1:5">
      <c r="A2998" s="64" t="s">
        <v>1</v>
      </c>
      <c r="B2998" s="65">
        <v>43472</v>
      </c>
      <c r="C2998" s="66" t="s">
        <v>216</v>
      </c>
      <c r="D2998" s="3" t="s">
        <v>19</v>
      </c>
      <c r="E2998" s="64">
        <v>1</v>
      </c>
    </row>
    <row r="2999" spans="1:5">
      <c r="A2999" s="64" t="s">
        <v>1</v>
      </c>
      <c r="B2999" s="65">
        <v>43473</v>
      </c>
      <c r="C2999" s="66" t="s">
        <v>217</v>
      </c>
      <c r="D2999" s="3" t="s">
        <v>19</v>
      </c>
      <c r="E2999" s="64">
        <v>1</v>
      </c>
    </row>
    <row r="3000" spans="1:5">
      <c r="A3000" s="64" t="s">
        <v>1</v>
      </c>
      <c r="B3000" s="65">
        <v>43474</v>
      </c>
      <c r="C3000" s="66" t="s">
        <v>218</v>
      </c>
      <c r="D3000" s="3" t="s">
        <v>19</v>
      </c>
      <c r="E3000" s="64">
        <v>1</v>
      </c>
    </row>
    <row r="3001" spans="1:5">
      <c r="A3001" s="64" t="s">
        <v>1</v>
      </c>
      <c r="B3001" s="65">
        <v>43475</v>
      </c>
      <c r="C3001" s="66" t="s">
        <v>219</v>
      </c>
      <c r="D3001" s="3" t="s">
        <v>19</v>
      </c>
      <c r="E3001" s="64">
        <v>1</v>
      </c>
    </row>
    <row r="3002" spans="1:5">
      <c r="A3002" s="64" t="s">
        <v>1</v>
      </c>
      <c r="B3002" s="65">
        <v>43476</v>
      </c>
      <c r="C3002" s="66" t="s">
        <v>220</v>
      </c>
      <c r="D3002" s="3" t="s">
        <v>19</v>
      </c>
      <c r="E3002" s="64">
        <v>1</v>
      </c>
    </row>
    <row r="3003" spans="1:5">
      <c r="A3003" s="64" t="s">
        <v>1</v>
      </c>
      <c r="B3003" s="65">
        <v>43477</v>
      </c>
      <c r="C3003" s="66" t="s">
        <v>221</v>
      </c>
      <c r="D3003" s="3" t="s">
        <v>19</v>
      </c>
      <c r="E3003" s="64">
        <v>1</v>
      </c>
    </row>
    <row r="3004" spans="1:5">
      <c r="A3004" s="64" t="s">
        <v>1</v>
      </c>
      <c r="B3004" s="65">
        <v>43478</v>
      </c>
      <c r="C3004" s="66" t="s">
        <v>222</v>
      </c>
      <c r="D3004" s="3" t="s">
        <v>19</v>
      </c>
      <c r="E3004" s="64">
        <v>1</v>
      </c>
    </row>
    <row r="3005" spans="1:5">
      <c r="A3005" s="64" t="s">
        <v>1</v>
      </c>
      <c r="B3005" s="65">
        <v>43479</v>
      </c>
      <c r="C3005" s="66" t="s">
        <v>216</v>
      </c>
      <c r="D3005" s="3" t="s">
        <v>19</v>
      </c>
      <c r="E3005" s="64">
        <v>1</v>
      </c>
    </row>
    <row r="3006" spans="1:5">
      <c r="A3006" s="64" t="s">
        <v>1</v>
      </c>
      <c r="B3006" s="65">
        <v>43480</v>
      </c>
      <c r="C3006" s="66" t="s">
        <v>217</v>
      </c>
      <c r="D3006" s="3" t="s">
        <v>19</v>
      </c>
      <c r="E3006" s="64">
        <v>1</v>
      </c>
    </row>
    <row r="3007" spans="1:5">
      <c r="A3007" s="64" t="s">
        <v>1</v>
      </c>
      <c r="B3007" s="65">
        <v>43481</v>
      </c>
      <c r="C3007" s="66" t="s">
        <v>218</v>
      </c>
      <c r="D3007" s="3" t="s">
        <v>19</v>
      </c>
      <c r="E3007" s="64">
        <v>1</v>
      </c>
    </row>
    <row r="3008" spans="1:5">
      <c r="A3008" s="64" t="s">
        <v>1</v>
      </c>
      <c r="B3008" s="65">
        <v>43482</v>
      </c>
      <c r="C3008" s="66" t="s">
        <v>219</v>
      </c>
      <c r="D3008" s="3" t="s">
        <v>19</v>
      </c>
      <c r="E3008" s="64">
        <v>1</v>
      </c>
    </row>
    <row r="3009" spans="1:5">
      <c r="A3009" s="64" t="s">
        <v>1</v>
      </c>
      <c r="B3009" s="65">
        <v>43483</v>
      </c>
      <c r="C3009" s="66" t="s">
        <v>220</v>
      </c>
      <c r="D3009" s="3" t="s">
        <v>19</v>
      </c>
      <c r="E3009" s="64">
        <v>1</v>
      </c>
    </row>
    <row r="3010" spans="1:5">
      <c r="A3010" s="64" t="s">
        <v>1</v>
      </c>
      <c r="B3010" s="65">
        <v>43484</v>
      </c>
      <c r="C3010" s="66" t="s">
        <v>221</v>
      </c>
      <c r="D3010" s="3" t="s">
        <v>19</v>
      </c>
      <c r="E3010" s="64">
        <v>1</v>
      </c>
    </row>
    <row r="3011" spans="1:5">
      <c r="A3011" s="64" t="s">
        <v>1</v>
      </c>
      <c r="B3011" s="65">
        <v>43485</v>
      </c>
      <c r="C3011" s="66" t="s">
        <v>222</v>
      </c>
      <c r="D3011" s="3" t="s">
        <v>19</v>
      </c>
      <c r="E3011" s="64">
        <v>1</v>
      </c>
    </row>
    <row r="3012" spans="1:5">
      <c r="A3012" s="64" t="s">
        <v>1</v>
      </c>
      <c r="B3012" s="65">
        <v>43486</v>
      </c>
      <c r="C3012" s="66" t="s">
        <v>216</v>
      </c>
      <c r="D3012" s="3" t="s">
        <v>19</v>
      </c>
      <c r="E3012" s="64">
        <v>1</v>
      </c>
    </row>
    <row r="3013" spans="1:5">
      <c r="A3013" s="64" t="s">
        <v>1</v>
      </c>
      <c r="B3013" s="65">
        <v>43487</v>
      </c>
      <c r="C3013" s="66" t="s">
        <v>217</v>
      </c>
      <c r="D3013" s="3" t="s">
        <v>19</v>
      </c>
      <c r="E3013" s="64">
        <v>1</v>
      </c>
    </row>
    <row r="3014" spans="1:5">
      <c r="A3014" s="64" t="s">
        <v>1</v>
      </c>
      <c r="B3014" s="65">
        <v>43488</v>
      </c>
      <c r="C3014" s="66" t="s">
        <v>218</v>
      </c>
      <c r="D3014" s="3" t="s">
        <v>19</v>
      </c>
      <c r="E3014" s="64">
        <v>1</v>
      </c>
    </row>
    <row r="3015" spans="1:5">
      <c r="A3015" s="64" t="s">
        <v>1</v>
      </c>
      <c r="B3015" s="65">
        <v>43489</v>
      </c>
      <c r="C3015" s="66" t="s">
        <v>219</v>
      </c>
      <c r="D3015" s="3" t="s">
        <v>19</v>
      </c>
      <c r="E3015" s="64">
        <v>1</v>
      </c>
    </row>
    <row r="3016" spans="1:5">
      <c r="A3016" s="64" t="s">
        <v>1</v>
      </c>
      <c r="B3016" s="65">
        <v>43490</v>
      </c>
      <c r="C3016" s="66" t="s">
        <v>220</v>
      </c>
      <c r="D3016" s="3" t="s">
        <v>19</v>
      </c>
      <c r="E3016" s="64">
        <v>1</v>
      </c>
    </row>
    <row r="3017" spans="1:5">
      <c r="A3017" s="64" t="s">
        <v>1</v>
      </c>
      <c r="B3017" s="65">
        <v>43491</v>
      </c>
      <c r="C3017" s="66" t="s">
        <v>221</v>
      </c>
      <c r="D3017" s="3" t="s">
        <v>19</v>
      </c>
      <c r="E3017" s="64">
        <v>1</v>
      </c>
    </row>
    <row r="3018" spans="1:5">
      <c r="A3018" s="64" t="s">
        <v>1</v>
      </c>
      <c r="B3018" s="65">
        <v>43492</v>
      </c>
      <c r="C3018" s="66" t="s">
        <v>222</v>
      </c>
      <c r="D3018" s="3" t="s">
        <v>19</v>
      </c>
      <c r="E3018" s="64">
        <v>1</v>
      </c>
    </row>
    <row r="3019" spans="1:5">
      <c r="A3019" s="64" t="s">
        <v>1</v>
      </c>
      <c r="B3019" s="65">
        <v>43493</v>
      </c>
      <c r="C3019" s="66" t="s">
        <v>216</v>
      </c>
      <c r="D3019" s="3" t="s">
        <v>19</v>
      </c>
      <c r="E3019" s="64">
        <v>1</v>
      </c>
    </row>
    <row r="3020" spans="1:5">
      <c r="A3020" s="64" t="s">
        <v>1</v>
      </c>
      <c r="B3020" s="65">
        <v>43494</v>
      </c>
      <c r="C3020" s="66" t="s">
        <v>217</v>
      </c>
      <c r="D3020" s="3" t="s">
        <v>19</v>
      </c>
      <c r="E3020" s="64">
        <v>1</v>
      </c>
    </row>
    <row r="3021" spans="1:5">
      <c r="A3021" s="64" t="s">
        <v>1</v>
      </c>
      <c r="B3021" s="65">
        <v>43495</v>
      </c>
      <c r="C3021" s="66" t="s">
        <v>218</v>
      </c>
      <c r="D3021" s="3" t="s">
        <v>19</v>
      </c>
      <c r="E3021" s="64">
        <v>1</v>
      </c>
    </row>
    <row r="3022" spans="1:5">
      <c r="A3022" s="64" t="s">
        <v>1</v>
      </c>
      <c r="B3022" s="65">
        <v>43496</v>
      </c>
      <c r="C3022" s="66" t="s">
        <v>219</v>
      </c>
      <c r="D3022" s="3" t="s">
        <v>19</v>
      </c>
      <c r="E3022" s="64">
        <v>1</v>
      </c>
    </row>
    <row r="3023" spans="1:5">
      <c r="A3023" s="64" t="s">
        <v>1</v>
      </c>
      <c r="B3023" s="65">
        <v>43497</v>
      </c>
      <c r="C3023" s="66" t="s">
        <v>220</v>
      </c>
      <c r="D3023" s="3" t="s">
        <v>19</v>
      </c>
      <c r="E3023" s="64">
        <v>1</v>
      </c>
    </row>
    <row r="3024" spans="1:5">
      <c r="A3024" s="64" t="s">
        <v>1</v>
      </c>
      <c r="B3024" s="65">
        <v>43498</v>
      </c>
      <c r="C3024" s="66" t="s">
        <v>221</v>
      </c>
      <c r="D3024" s="3" t="s">
        <v>19</v>
      </c>
      <c r="E3024" s="64">
        <v>1</v>
      </c>
    </row>
    <row r="3025" spans="1:5">
      <c r="A3025" s="64" t="s">
        <v>1</v>
      </c>
      <c r="B3025" s="65">
        <v>43499</v>
      </c>
      <c r="C3025" s="66" t="s">
        <v>222</v>
      </c>
      <c r="D3025" s="3" t="s">
        <v>19</v>
      </c>
      <c r="E3025" s="64">
        <v>1</v>
      </c>
    </row>
    <row r="3026" spans="1:5">
      <c r="A3026" s="64" t="s">
        <v>1</v>
      </c>
      <c r="B3026" s="65">
        <v>43500</v>
      </c>
      <c r="C3026" s="66" t="s">
        <v>216</v>
      </c>
      <c r="D3026" s="3" t="s">
        <v>19</v>
      </c>
      <c r="E3026" s="64">
        <v>1</v>
      </c>
    </row>
    <row r="3027" spans="1:5">
      <c r="A3027" s="64" t="s">
        <v>1</v>
      </c>
      <c r="B3027" s="65">
        <v>43501</v>
      </c>
      <c r="C3027" s="66" t="s">
        <v>217</v>
      </c>
      <c r="D3027" s="3" t="s">
        <v>19</v>
      </c>
      <c r="E3027" s="64">
        <v>1</v>
      </c>
    </row>
    <row r="3028" spans="1:5">
      <c r="A3028" s="64" t="s">
        <v>1</v>
      </c>
      <c r="B3028" s="65">
        <v>43502</v>
      </c>
      <c r="C3028" s="66" t="s">
        <v>218</v>
      </c>
      <c r="D3028" s="3" t="s">
        <v>19</v>
      </c>
      <c r="E3028" s="64">
        <v>1</v>
      </c>
    </row>
    <row r="3029" spans="1:5">
      <c r="A3029" s="64" t="s">
        <v>1</v>
      </c>
      <c r="B3029" s="65">
        <v>43503</v>
      </c>
      <c r="C3029" s="66" t="s">
        <v>219</v>
      </c>
      <c r="D3029" s="3" t="s">
        <v>19</v>
      </c>
      <c r="E3029" s="64">
        <v>1</v>
      </c>
    </row>
    <row r="3030" spans="1:5">
      <c r="A3030" s="64" t="s">
        <v>1</v>
      </c>
      <c r="B3030" s="65">
        <v>43504</v>
      </c>
      <c r="C3030" s="66" t="s">
        <v>220</v>
      </c>
      <c r="D3030" s="3" t="s">
        <v>19</v>
      </c>
      <c r="E3030" s="64">
        <v>1</v>
      </c>
    </row>
    <row r="3031" spans="1:5">
      <c r="A3031" s="64" t="s">
        <v>1</v>
      </c>
      <c r="B3031" s="65">
        <v>43505</v>
      </c>
      <c r="C3031" s="66" t="s">
        <v>221</v>
      </c>
      <c r="D3031" s="3" t="s">
        <v>19</v>
      </c>
      <c r="E3031" s="64">
        <v>1</v>
      </c>
    </row>
    <row r="3032" spans="1:5">
      <c r="A3032" s="64" t="s">
        <v>1</v>
      </c>
      <c r="B3032" s="65">
        <v>43506</v>
      </c>
      <c r="C3032" s="66" t="s">
        <v>222</v>
      </c>
      <c r="D3032" s="3" t="s">
        <v>19</v>
      </c>
      <c r="E3032" s="64">
        <v>1</v>
      </c>
    </row>
    <row r="3033" spans="1:5">
      <c r="A3033" s="64" t="s">
        <v>1</v>
      </c>
      <c r="B3033" s="65">
        <v>43507</v>
      </c>
      <c r="C3033" s="66" t="s">
        <v>216</v>
      </c>
      <c r="D3033" s="3" t="s">
        <v>19</v>
      </c>
      <c r="E3033" s="64">
        <v>1</v>
      </c>
    </row>
    <row r="3034" spans="1:5">
      <c r="A3034" s="64" t="s">
        <v>1</v>
      </c>
      <c r="B3034" s="65">
        <v>43508</v>
      </c>
      <c r="C3034" s="66" t="s">
        <v>217</v>
      </c>
      <c r="D3034" s="3" t="s">
        <v>19</v>
      </c>
      <c r="E3034" s="64">
        <v>1</v>
      </c>
    </row>
    <row r="3035" spans="1:5">
      <c r="A3035" s="64" t="s">
        <v>1</v>
      </c>
      <c r="B3035" s="65">
        <v>43509</v>
      </c>
      <c r="C3035" s="66" t="s">
        <v>218</v>
      </c>
      <c r="D3035" s="3" t="s">
        <v>19</v>
      </c>
      <c r="E3035" s="64">
        <v>1</v>
      </c>
    </row>
    <row r="3036" spans="1:5">
      <c r="A3036" s="64" t="s">
        <v>1</v>
      </c>
      <c r="B3036" s="65">
        <v>43510</v>
      </c>
      <c r="C3036" s="66" t="s">
        <v>219</v>
      </c>
      <c r="D3036" s="3" t="s">
        <v>19</v>
      </c>
      <c r="E3036" s="64">
        <v>1</v>
      </c>
    </row>
    <row r="3037" spans="1:5">
      <c r="A3037" s="64" t="s">
        <v>1</v>
      </c>
      <c r="B3037" s="65">
        <v>43511</v>
      </c>
      <c r="C3037" s="66" t="s">
        <v>220</v>
      </c>
      <c r="D3037" s="3" t="s">
        <v>19</v>
      </c>
      <c r="E3037" s="64">
        <v>1</v>
      </c>
    </row>
    <row r="3038" spans="1:5">
      <c r="A3038" s="64" t="s">
        <v>1</v>
      </c>
      <c r="B3038" s="65">
        <v>43512</v>
      </c>
      <c r="C3038" s="66" t="s">
        <v>221</v>
      </c>
      <c r="D3038" s="3" t="s">
        <v>19</v>
      </c>
      <c r="E3038" s="64">
        <v>1</v>
      </c>
    </row>
    <row r="3039" spans="1:5">
      <c r="A3039" s="64" t="s">
        <v>1</v>
      </c>
      <c r="B3039" s="65">
        <v>43513</v>
      </c>
      <c r="C3039" s="66" t="s">
        <v>222</v>
      </c>
      <c r="D3039" s="3" t="s">
        <v>19</v>
      </c>
      <c r="E3039" s="64">
        <v>1</v>
      </c>
    </row>
    <row r="3040" spans="1:5">
      <c r="A3040" s="64" t="s">
        <v>1</v>
      </c>
      <c r="B3040" s="65">
        <v>43514</v>
      </c>
      <c r="C3040" s="66" t="s">
        <v>216</v>
      </c>
      <c r="D3040" s="3" t="s">
        <v>19</v>
      </c>
      <c r="E3040" s="64">
        <v>1</v>
      </c>
    </row>
    <row r="3041" spans="1:5">
      <c r="A3041" s="64" t="s">
        <v>1</v>
      </c>
      <c r="B3041" s="65">
        <v>43515</v>
      </c>
      <c r="C3041" s="66" t="s">
        <v>217</v>
      </c>
      <c r="D3041" s="3" t="s">
        <v>19</v>
      </c>
      <c r="E3041" s="64">
        <v>1</v>
      </c>
    </row>
    <row r="3042" spans="1:5">
      <c r="A3042" s="64" t="s">
        <v>1</v>
      </c>
      <c r="B3042" s="65">
        <v>43516</v>
      </c>
      <c r="C3042" s="66" t="s">
        <v>218</v>
      </c>
      <c r="D3042" s="3" t="s">
        <v>19</v>
      </c>
      <c r="E3042" s="64">
        <v>1</v>
      </c>
    </row>
    <row r="3043" spans="1:5">
      <c r="A3043" s="64" t="s">
        <v>1</v>
      </c>
      <c r="B3043" s="65">
        <v>43517</v>
      </c>
      <c r="C3043" s="66" t="s">
        <v>219</v>
      </c>
      <c r="D3043" s="3" t="s">
        <v>19</v>
      </c>
      <c r="E3043" s="64">
        <v>1</v>
      </c>
    </row>
    <row r="3044" spans="1:5">
      <c r="A3044" s="64" t="s">
        <v>1</v>
      </c>
      <c r="B3044" s="65">
        <v>43518</v>
      </c>
      <c r="C3044" s="66" t="s">
        <v>220</v>
      </c>
      <c r="D3044" s="3" t="s">
        <v>19</v>
      </c>
      <c r="E3044" s="64">
        <v>1</v>
      </c>
    </row>
    <row r="3045" spans="1:5">
      <c r="A3045" s="64" t="s">
        <v>1</v>
      </c>
      <c r="B3045" s="65">
        <v>43519</v>
      </c>
      <c r="C3045" s="66" t="s">
        <v>221</v>
      </c>
      <c r="D3045" s="3" t="s">
        <v>19</v>
      </c>
      <c r="E3045" s="64">
        <v>1</v>
      </c>
    </row>
    <row r="3046" spans="1:5">
      <c r="A3046" s="64" t="s">
        <v>1</v>
      </c>
      <c r="B3046" s="65">
        <v>43520</v>
      </c>
      <c r="C3046" s="66" t="s">
        <v>222</v>
      </c>
      <c r="D3046" s="3" t="s">
        <v>19</v>
      </c>
      <c r="E3046" s="64">
        <v>1</v>
      </c>
    </row>
    <row r="3047" spans="1:5">
      <c r="A3047" s="64" t="s">
        <v>1</v>
      </c>
      <c r="B3047" s="65">
        <v>43521</v>
      </c>
      <c r="C3047" s="66" t="s">
        <v>216</v>
      </c>
      <c r="D3047" s="3" t="s">
        <v>19</v>
      </c>
      <c r="E3047" s="64">
        <v>1</v>
      </c>
    </row>
    <row r="3048" spans="1:5">
      <c r="A3048" s="64" t="s">
        <v>1</v>
      </c>
      <c r="B3048" s="65">
        <v>43522</v>
      </c>
      <c r="C3048" s="66" t="s">
        <v>217</v>
      </c>
      <c r="D3048" s="3" t="s">
        <v>19</v>
      </c>
      <c r="E3048" s="64">
        <v>1</v>
      </c>
    </row>
    <row r="3049" spans="1:5">
      <c r="A3049" s="64" t="s">
        <v>1</v>
      </c>
      <c r="B3049" s="65">
        <v>43523</v>
      </c>
      <c r="C3049" s="66" t="s">
        <v>218</v>
      </c>
      <c r="D3049" s="3" t="s">
        <v>19</v>
      </c>
      <c r="E3049" s="64">
        <v>1</v>
      </c>
    </row>
    <row r="3050" spans="1:5">
      <c r="A3050" s="64" t="s">
        <v>1</v>
      </c>
      <c r="B3050" s="65">
        <v>43524</v>
      </c>
      <c r="C3050" s="66" t="s">
        <v>219</v>
      </c>
      <c r="D3050" s="3" t="s">
        <v>19</v>
      </c>
      <c r="E3050" s="64">
        <v>1</v>
      </c>
    </row>
    <row r="3051" spans="1:5">
      <c r="A3051" s="64" t="s">
        <v>1</v>
      </c>
      <c r="B3051" s="65">
        <v>43525</v>
      </c>
      <c r="C3051" s="66" t="s">
        <v>220</v>
      </c>
      <c r="D3051" s="3" t="s">
        <v>19</v>
      </c>
      <c r="E3051" s="64">
        <v>1</v>
      </c>
    </row>
    <row r="3052" spans="1:5">
      <c r="A3052" s="64" t="s">
        <v>1</v>
      </c>
      <c r="B3052" s="65">
        <v>43526</v>
      </c>
      <c r="C3052" s="66" t="s">
        <v>221</v>
      </c>
      <c r="D3052" s="3" t="s">
        <v>19</v>
      </c>
      <c r="E3052" s="64">
        <v>1</v>
      </c>
    </row>
    <row r="3053" spans="1:5">
      <c r="A3053" s="64" t="s">
        <v>1</v>
      </c>
      <c r="B3053" s="65">
        <v>43527</v>
      </c>
      <c r="C3053" s="66" t="s">
        <v>222</v>
      </c>
      <c r="D3053" s="3" t="s">
        <v>19</v>
      </c>
      <c r="E3053" s="64">
        <v>1</v>
      </c>
    </row>
    <row r="3054" spans="1:5">
      <c r="A3054" s="64" t="s">
        <v>1</v>
      </c>
      <c r="B3054" s="65">
        <v>43528</v>
      </c>
      <c r="C3054" s="66" t="s">
        <v>216</v>
      </c>
      <c r="D3054" s="3" t="s">
        <v>19</v>
      </c>
      <c r="E3054" s="64">
        <v>1</v>
      </c>
    </row>
    <row r="3055" spans="1:5">
      <c r="A3055" s="64" t="s">
        <v>1</v>
      </c>
      <c r="B3055" s="65">
        <v>43529</v>
      </c>
      <c r="C3055" s="66" t="s">
        <v>217</v>
      </c>
      <c r="D3055" s="3" t="s">
        <v>19</v>
      </c>
      <c r="E3055" s="64">
        <v>1</v>
      </c>
    </row>
    <row r="3056" spans="1:5">
      <c r="A3056" s="64" t="s">
        <v>1</v>
      </c>
      <c r="B3056" s="65">
        <v>43530</v>
      </c>
      <c r="C3056" s="66" t="s">
        <v>218</v>
      </c>
      <c r="D3056" s="3" t="s">
        <v>19</v>
      </c>
      <c r="E3056" s="64">
        <v>1</v>
      </c>
    </row>
    <row r="3057" spans="1:5">
      <c r="A3057" s="64" t="s">
        <v>1</v>
      </c>
      <c r="B3057" s="65">
        <v>43531</v>
      </c>
      <c r="C3057" s="66" t="s">
        <v>219</v>
      </c>
      <c r="D3057" s="3" t="s">
        <v>19</v>
      </c>
      <c r="E3057" s="64">
        <v>1</v>
      </c>
    </row>
    <row r="3058" spans="1:5">
      <c r="A3058" s="64" t="s">
        <v>1</v>
      </c>
      <c r="B3058" s="65">
        <v>43532</v>
      </c>
      <c r="C3058" s="66" t="s">
        <v>220</v>
      </c>
      <c r="D3058" s="3" t="s">
        <v>19</v>
      </c>
      <c r="E3058" s="64">
        <v>1</v>
      </c>
    </row>
    <row r="3059" spans="1:5">
      <c r="A3059" s="64" t="s">
        <v>1</v>
      </c>
      <c r="B3059" s="65">
        <v>43533</v>
      </c>
      <c r="C3059" s="66" t="s">
        <v>221</v>
      </c>
      <c r="D3059" s="3" t="s">
        <v>19</v>
      </c>
      <c r="E3059" s="64">
        <v>1</v>
      </c>
    </row>
    <row r="3060" spans="1:5">
      <c r="A3060" s="64" t="s">
        <v>1</v>
      </c>
      <c r="B3060" s="65">
        <v>43534</v>
      </c>
      <c r="C3060" s="66" t="s">
        <v>222</v>
      </c>
      <c r="D3060" s="3" t="s">
        <v>19</v>
      </c>
      <c r="E3060" s="64">
        <v>1</v>
      </c>
    </row>
    <row r="3061" spans="1:5">
      <c r="A3061" s="64" t="s">
        <v>1</v>
      </c>
      <c r="B3061" s="65">
        <v>43535</v>
      </c>
      <c r="C3061" s="66" t="s">
        <v>216</v>
      </c>
      <c r="D3061" s="3" t="s">
        <v>19</v>
      </c>
      <c r="E3061" s="64">
        <v>1</v>
      </c>
    </row>
    <row r="3062" spans="1:5">
      <c r="A3062" s="64" t="s">
        <v>1</v>
      </c>
      <c r="B3062" s="65">
        <v>43536</v>
      </c>
      <c r="C3062" s="66" t="s">
        <v>217</v>
      </c>
      <c r="D3062" s="3" t="s">
        <v>19</v>
      </c>
      <c r="E3062" s="64">
        <v>1</v>
      </c>
    </row>
    <row r="3063" spans="1:5">
      <c r="A3063" s="64" t="s">
        <v>1</v>
      </c>
      <c r="B3063" s="65">
        <v>43537</v>
      </c>
      <c r="C3063" s="66" t="s">
        <v>218</v>
      </c>
      <c r="D3063" s="3" t="s">
        <v>19</v>
      </c>
      <c r="E3063" s="64">
        <v>1</v>
      </c>
    </row>
    <row r="3064" spans="1:5">
      <c r="A3064" s="64" t="s">
        <v>1</v>
      </c>
      <c r="B3064" s="65">
        <v>43538</v>
      </c>
      <c r="C3064" s="66" t="s">
        <v>219</v>
      </c>
      <c r="D3064" s="3" t="s">
        <v>19</v>
      </c>
      <c r="E3064" s="64">
        <v>1</v>
      </c>
    </row>
    <row r="3065" spans="1:5">
      <c r="A3065" s="64" t="s">
        <v>1</v>
      </c>
      <c r="B3065" s="65">
        <v>43539</v>
      </c>
      <c r="C3065" s="66" t="s">
        <v>220</v>
      </c>
      <c r="D3065" s="3" t="s">
        <v>19</v>
      </c>
      <c r="E3065" s="64">
        <v>1</v>
      </c>
    </row>
    <row r="3066" spans="1:5">
      <c r="A3066" s="64" t="s">
        <v>1</v>
      </c>
      <c r="B3066" s="65">
        <v>43540</v>
      </c>
      <c r="C3066" s="66" t="s">
        <v>221</v>
      </c>
      <c r="D3066" s="3" t="s">
        <v>19</v>
      </c>
      <c r="E3066" s="64">
        <v>1</v>
      </c>
    </row>
    <row r="3067" spans="1:5">
      <c r="A3067" s="64" t="s">
        <v>1</v>
      </c>
      <c r="B3067" s="65">
        <v>43541</v>
      </c>
      <c r="C3067" s="66" t="s">
        <v>222</v>
      </c>
      <c r="D3067" s="3" t="s">
        <v>19</v>
      </c>
      <c r="E3067" s="64">
        <v>1</v>
      </c>
    </row>
    <row r="3068" spans="1:5">
      <c r="A3068" s="64" t="s">
        <v>1</v>
      </c>
      <c r="B3068" s="65">
        <v>43542</v>
      </c>
      <c r="C3068" s="66" t="s">
        <v>216</v>
      </c>
      <c r="D3068" s="3" t="s">
        <v>19</v>
      </c>
      <c r="E3068" s="64">
        <v>1</v>
      </c>
    </row>
    <row r="3069" spans="1:5">
      <c r="A3069" s="64" t="s">
        <v>1</v>
      </c>
      <c r="B3069" s="65">
        <v>43543</v>
      </c>
      <c r="C3069" s="66" t="s">
        <v>217</v>
      </c>
      <c r="D3069" s="3" t="s">
        <v>19</v>
      </c>
      <c r="E3069" s="64">
        <v>1</v>
      </c>
    </row>
    <row r="3070" spans="1:5">
      <c r="A3070" s="64" t="s">
        <v>1</v>
      </c>
      <c r="B3070" s="65">
        <v>43544</v>
      </c>
      <c r="C3070" s="66" t="s">
        <v>218</v>
      </c>
      <c r="D3070" s="3" t="s">
        <v>19</v>
      </c>
      <c r="E3070" s="64">
        <v>1</v>
      </c>
    </row>
    <row r="3071" spans="1:5">
      <c r="A3071" s="64" t="s">
        <v>1</v>
      </c>
      <c r="B3071" s="65">
        <v>43545</v>
      </c>
      <c r="C3071" s="66" t="s">
        <v>219</v>
      </c>
      <c r="D3071" s="3" t="s">
        <v>19</v>
      </c>
      <c r="E3071" s="64">
        <v>1</v>
      </c>
    </row>
    <row r="3072" spans="1:5">
      <c r="A3072" s="64" t="s">
        <v>1</v>
      </c>
      <c r="B3072" s="65">
        <v>43546</v>
      </c>
      <c r="C3072" s="66" t="s">
        <v>220</v>
      </c>
      <c r="D3072" s="3" t="s">
        <v>19</v>
      </c>
      <c r="E3072" s="64">
        <v>1</v>
      </c>
    </row>
    <row r="3073" spans="1:5">
      <c r="A3073" s="64" t="s">
        <v>1</v>
      </c>
      <c r="B3073" s="65">
        <v>43547</v>
      </c>
      <c r="C3073" s="66" t="s">
        <v>221</v>
      </c>
      <c r="D3073" s="3" t="s">
        <v>19</v>
      </c>
      <c r="E3073" s="64">
        <v>1</v>
      </c>
    </row>
    <row r="3074" spans="1:5">
      <c r="A3074" s="64" t="s">
        <v>1</v>
      </c>
      <c r="B3074" s="65">
        <v>43548</v>
      </c>
      <c r="C3074" s="66" t="s">
        <v>222</v>
      </c>
      <c r="D3074" s="3" t="s">
        <v>19</v>
      </c>
      <c r="E3074" s="64">
        <v>1</v>
      </c>
    </row>
    <row r="3075" spans="1:5">
      <c r="A3075" s="64" t="s">
        <v>1</v>
      </c>
      <c r="B3075" s="65">
        <v>43549</v>
      </c>
      <c r="C3075" s="66" t="s">
        <v>216</v>
      </c>
      <c r="D3075" s="3" t="s">
        <v>19</v>
      </c>
      <c r="E3075" s="64">
        <v>1</v>
      </c>
    </row>
    <row r="3076" spans="1:5">
      <c r="A3076" s="64" t="s">
        <v>1</v>
      </c>
      <c r="B3076" s="65">
        <v>43550</v>
      </c>
      <c r="C3076" s="66" t="s">
        <v>217</v>
      </c>
      <c r="D3076" s="3" t="s">
        <v>19</v>
      </c>
      <c r="E3076" s="64">
        <v>1</v>
      </c>
    </row>
    <row r="3077" spans="1:5">
      <c r="A3077" s="64" t="s">
        <v>1</v>
      </c>
      <c r="B3077" s="65">
        <v>43551</v>
      </c>
      <c r="C3077" s="66" t="s">
        <v>218</v>
      </c>
      <c r="D3077" s="3" t="s">
        <v>19</v>
      </c>
      <c r="E3077" s="64">
        <v>1</v>
      </c>
    </row>
    <row r="3078" spans="1:5">
      <c r="A3078" s="64" t="s">
        <v>1</v>
      </c>
      <c r="B3078" s="65">
        <v>43552</v>
      </c>
      <c r="C3078" s="66" t="s">
        <v>219</v>
      </c>
      <c r="D3078" s="3" t="s">
        <v>19</v>
      </c>
      <c r="E3078" s="64">
        <v>1</v>
      </c>
    </row>
    <row r="3079" spans="1:5">
      <c r="A3079" s="64" t="s">
        <v>1</v>
      </c>
      <c r="B3079" s="65">
        <v>43553</v>
      </c>
      <c r="C3079" s="66" t="s">
        <v>220</v>
      </c>
      <c r="D3079" s="3" t="s">
        <v>19</v>
      </c>
      <c r="E3079" s="64">
        <v>1</v>
      </c>
    </row>
    <row r="3080" spans="1:5">
      <c r="A3080" s="64" t="s">
        <v>1</v>
      </c>
      <c r="B3080" s="65">
        <v>43554</v>
      </c>
      <c r="C3080" s="66" t="s">
        <v>221</v>
      </c>
      <c r="D3080" s="3" t="s">
        <v>19</v>
      </c>
      <c r="E3080" s="64">
        <v>1</v>
      </c>
    </row>
    <row r="3081" spans="1:5">
      <c r="A3081" s="64" t="s">
        <v>1</v>
      </c>
      <c r="B3081" s="65">
        <v>43555</v>
      </c>
      <c r="C3081" s="66" t="s">
        <v>222</v>
      </c>
      <c r="D3081" s="3" t="s">
        <v>19</v>
      </c>
      <c r="E3081" s="64">
        <v>1</v>
      </c>
    </row>
    <row r="3082" spans="1:5">
      <c r="A3082" s="64" t="s">
        <v>1</v>
      </c>
      <c r="B3082" s="65">
        <v>43556</v>
      </c>
      <c r="C3082" s="66" t="s">
        <v>216</v>
      </c>
      <c r="D3082" s="3" t="s">
        <v>19</v>
      </c>
      <c r="E3082" s="64">
        <v>1</v>
      </c>
    </row>
    <row r="3083" spans="1:5">
      <c r="A3083" s="64" t="s">
        <v>1</v>
      </c>
      <c r="B3083" s="65">
        <v>43557</v>
      </c>
      <c r="C3083" s="66" t="s">
        <v>217</v>
      </c>
      <c r="D3083" s="3" t="s">
        <v>19</v>
      </c>
      <c r="E3083" s="64">
        <v>1</v>
      </c>
    </row>
    <row r="3084" spans="1:5">
      <c r="A3084" s="64" t="s">
        <v>1</v>
      </c>
      <c r="B3084" s="65">
        <v>43558</v>
      </c>
      <c r="C3084" s="66" t="s">
        <v>218</v>
      </c>
      <c r="D3084" s="3" t="s">
        <v>19</v>
      </c>
      <c r="E3084" s="64">
        <v>1</v>
      </c>
    </row>
    <row r="3085" spans="1:5">
      <c r="A3085" s="64" t="s">
        <v>1</v>
      </c>
      <c r="B3085" s="65">
        <v>43559</v>
      </c>
      <c r="C3085" s="66" t="s">
        <v>219</v>
      </c>
      <c r="D3085" s="3" t="s">
        <v>19</v>
      </c>
      <c r="E3085" s="64">
        <v>1</v>
      </c>
    </row>
    <row r="3086" spans="1:5">
      <c r="A3086" s="64" t="s">
        <v>1</v>
      </c>
      <c r="B3086" s="65">
        <v>43560</v>
      </c>
      <c r="C3086" s="66" t="s">
        <v>220</v>
      </c>
      <c r="D3086" s="3" t="s">
        <v>19</v>
      </c>
      <c r="E3086" s="64">
        <v>1</v>
      </c>
    </row>
    <row r="3087" spans="1:5">
      <c r="A3087" s="64" t="s">
        <v>1</v>
      </c>
      <c r="B3087" s="65">
        <v>43561</v>
      </c>
      <c r="C3087" s="66" t="s">
        <v>221</v>
      </c>
      <c r="D3087" s="3" t="s">
        <v>19</v>
      </c>
      <c r="E3087" s="64">
        <v>1</v>
      </c>
    </row>
    <row r="3088" spans="1:5">
      <c r="A3088" s="64" t="s">
        <v>1</v>
      </c>
      <c r="B3088" s="65">
        <v>43562</v>
      </c>
      <c r="C3088" s="66" t="s">
        <v>222</v>
      </c>
      <c r="D3088" s="3" t="s">
        <v>19</v>
      </c>
      <c r="E3088" s="64">
        <v>1</v>
      </c>
    </row>
    <row r="3089" spans="1:5">
      <c r="A3089" s="64" t="s">
        <v>1</v>
      </c>
      <c r="B3089" s="65">
        <v>43563</v>
      </c>
      <c r="C3089" s="66" t="s">
        <v>216</v>
      </c>
      <c r="D3089" s="3" t="s">
        <v>19</v>
      </c>
      <c r="E3089" s="64">
        <v>1</v>
      </c>
    </row>
    <row r="3090" spans="1:5">
      <c r="A3090" s="64" t="s">
        <v>1</v>
      </c>
      <c r="B3090" s="65">
        <v>43564</v>
      </c>
      <c r="C3090" s="66" t="s">
        <v>217</v>
      </c>
      <c r="D3090" s="3" t="s">
        <v>19</v>
      </c>
      <c r="E3090" s="64">
        <v>1</v>
      </c>
    </row>
    <row r="3091" spans="1:5">
      <c r="A3091" s="64" t="s">
        <v>1</v>
      </c>
      <c r="B3091" s="65">
        <v>43565</v>
      </c>
      <c r="C3091" s="66" t="s">
        <v>218</v>
      </c>
      <c r="D3091" s="3" t="s">
        <v>19</v>
      </c>
      <c r="E3091" s="64">
        <v>1</v>
      </c>
    </row>
    <row r="3092" spans="1:5">
      <c r="A3092" s="64" t="s">
        <v>1</v>
      </c>
      <c r="B3092" s="65">
        <v>43566</v>
      </c>
      <c r="C3092" s="66" t="s">
        <v>219</v>
      </c>
      <c r="D3092" s="3" t="s">
        <v>19</v>
      </c>
      <c r="E3092" s="64">
        <v>1</v>
      </c>
    </row>
    <row r="3093" spans="1:5">
      <c r="A3093" s="64" t="s">
        <v>1</v>
      </c>
      <c r="B3093" s="65">
        <v>43567</v>
      </c>
      <c r="C3093" s="66" t="s">
        <v>220</v>
      </c>
      <c r="D3093" s="3" t="s">
        <v>19</v>
      </c>
      <c r="E3093" s="64">
        <v>1</v>
      </c>
    </row>
    <row r="3094" spans="1:5">
      <c r="A3094" s="64" t="s">
        <v>1</v>
      </c>
      <c r="B3094" s="65">
        <v>43568</v>
      </c>
      <c r="C3094" s="66" t="s">
        <v>221</v>
      </c>
      <c r="D3094" s="3" t="s">
        <v>19</v>
      </c>
      <c r="E3094" s="64">
        <v>1</v>
      </c>
    </row>
    <row r="3095" spans="1:5">
      <c r="A3095" s="64" t="s">
        <v>1</v>
      </c>
      <c r="B3095" s="65">
        <v>43569</v>
      </c>
      <c r="C3095" s="66" t="s">
        <v>222</v>
      </c>
      <c r="D3095" s="3" t="s">
        <v>19</v>
      </c>
      <c r="E3095" s="64">
        <v>1</v>
      </c>
    </row>
    <row r="3096" spans="1:5">
      <c r="A3096" s="64" t="s">
        <v>1</v>
      </c>
      <c r="B3096" s="65">
        <v>43570</v>
      </c>
      <c r="C3096" s="66" t="s">
        <v>216</v>
      </c>
      <c r="D3096" s="3" t="s">
        <v>19</v>
      </c>
      <c r="E3096" s="64">
        <v>1</v>
      </c>
    </row>
    <row r="3097" spans="1:5">
      <c r="A3097" s="64" t="s">
        <v>1</v>
      </c>
      <c r="B3097" s="65">
        <v>43571</v>
      </c>
      <c r="C3097" s="66" t="s">
        <v>217</v>
      </c>
      <c r="D3097" s="3" t="s">
        <v>19</v>
      </c>
      <c r="E3097" s="64">
        <v>1</v>
      </c>
    </row>
    <row r="3098" spans="1:5">
      <c r="A3098" s="64" t="s">
        <v>1</v>
      </c>
      <c r="B3098" s="65">
        <v>43572</v>
      </c>
      <c r="C3098" s="66" t="s">
        <v>218</v>
      </c>
      <c r="D3098" s="3" t="s">
        <v>19</v>
      </c>
      <c r="E3098" s="64">
        <v>1</v>
      </c>
    </row>
    <row r="3099" spans="1:5">
      <c r="A3099" s="64" t="s">
        <v>1</v>
      </c>
      <c r="B3099" s="65">
        <v>43573</v>
      </c>
      <c r="C3099" s="66" t="s">
        <v>219</v>
      </c>
      <c r="D3099" s="3" t="s">
        <v>19</v>
      </c>
      <c r="E3099" s="64">
        <v>1</v>
      </c>
    </row>
    <row r="3100" spans="1:5">
      <c r="A3100" s="64" t="s">
        <v>1</v>
      </c>
      <c r="B3100" s="65">
        <v>43574</v>
      </c>
      <c r="C3100" s="66" t="s">
        <v>220</v>
      </c>
      <c r="D3100" s="3" t="s">
        <v>19</v>
      </c>
      <c r="E3100" s="64">
        <v>1</v>
      </c>
    </row>
    <row r="3101" spans="1:5">
      <c r="A3101" s="64" t="s">
        <v>1</v>
      </c>
      <c r="B3101" s="65">
        <v>43575</v>
      </c>
      <c r="C3101" s="66" t="s">
        <v>221</v>
      </c>
      <c r="D3101" s="3" t="s">
        <v>19</v>
      </c>
      <c r="E3101" s="64">
        <v>1</v>
      </c>
    </row>
    <row r="3102" spans="1:5">
      <c r="A3102" s="64" t="s">
        <v>1</v>
      </c>
      <c r="B3102" s="65">
        <v>43576</v>
      </c>
      <c r="C3102" s="66" t="s">
        <v>222</v>
      </c>
      <c r="D3102" s="3" t="s">
        <v>19</v>
      </c>
      <c r="E3102" s="64">
        <v>1</v>
      </c>
    </row>
    <row r="3103" spans="1:5">
      <c r="A3103" s="64" t="s">
        <v>1</v>
      </c>
      <c r="B3103" s="65">
        <v>43577</v>
      </c>
      <c r="C3103" s="66" t="s">
        <v>216</v>
      </c>
      <c r="D3103" s="3" t="s">
        <v>19</v>
      </c>
      <c r="E3103" s="64">
        <v>1</v>
      </c>
    </row>
    <row r="3104" spans="1:5">
      <c r="A3104" s="64" t="s">
        <v>1</v>
      </c>
      <c r="B3104" s="65">
        <v>43578</v>
      </c>
      <c r="C3104" s="66" t="s">
        <v>217</v>
      </c>
      <c r="D3104" s="3" t="s">
        <v>19</v>
      </c>
      <c r="E3104" s="64">
        <v>1</v>
      </c>
    </row>
    <row r="3105" spans="1:5">
      <c r="A3105" s="64" t="s">
        <v>1</v>
      </c>
      <c r="B3105" s="65">
        <v>43579</v>
      </c>
      <c r="C3105" s="66" t="s">
        <v>218</v>
      </c>
      <c r="D3105" s="3" t="s">
        <v>19</v>
      </c>
      <c r="E3105" s="64">
        <v>1</v>
      </c>
    </row>
    <row r="3106" spans="1:5">
      <c r="A3106" s="64" t="s">
        <v>1</v>
      </c>
      <c r="B3106" s="65">
        <v>43580</v>
      </c>
      <c r="C3106" s="66" t="s">
        <v>219</v>
      </c>
      <c r="D3106" s="3" t="s">
        <v>19</v>
      </c>
      <c r="E3106" s="64">
        <v>1</v>
      </c>
    </row>
    <row r="3107" spans="1:5">
      <c r="A3107" s="64" t="s">
        <v>1</v>
      </c>
      <c r="B3107" s="65">
        <v>43581</v>
      </c>
      <c r="C3107" s="66" t="s">
        <v>220</v>
      </c>
      <c r="D3107" s="3" t="s">
        <v>19</v>
      </c>
      <c r="E3107" s="64">
        <v>1</v>
      </c>
    </row>
    <row r="3108" spans="1:5">
      <c r="A3108" s="64" t="s">
        <v>1</v>
      </c>
      <c r="B3108" s="65">
        <v>43582</v>
      </c>
      <c r="C3108" s="66" t="s">
        <v>221</v>
      </c>
      <c r="D3108" s="3" t="s">
        <v>19</v>
      </c>
      <c r="E3108" s="64">
        <v>1</v>
      </c>
    </row>
    <row r="3109" spans="1:5">
      <c r="A3109" s="64" t="s">
        <v>1</v>
      </c>
      <c r="B3109" s="65">
        <v>43583</v>
      </c>
      <c r="C3109" s="66" t="s">
        <v>222</v>
      </c>
      <c r="D3109" s="3" t="s">
        <v>19</v>
      </c>
      <c r="E3109" s="64">
        <v>1</v>
      </c>
    </row>
    <row r="3110" spans="1:5">
      <c r="A3110" s="64" t="s">
        <v>1</v>
      </c>
      <c r="B3110" s="65">
        <v>43584</v>
      </c>
      <c r="C3110" s="66" t="s">
        <v>216</v>
      </c>
      <c r="D3110" s="3" t="s">
        <v>19</v>
      </c>
      <c r="E3110" s="64">
        <v>1</v>
      </c>
    </row>
    <row r="3111" spans="1:5">
      <c r="A3111" s="64" t="s">
        <v>1</v>
      </c>
      <c r="B3111" s="65">
        <v>43585</v>
      </c>
      <c r="C3111" s="66" t="s">
        <v>217</v>
      </c>
      <c r="D3111" s="3" t="s">
        <v>19</v>
      </c>
      <c r="E3111" s="64">
        <v>1</v>
      </c>
    </row>
    <row r="3112" spans="1:5">
      <c r="A3112" s="64" t="s">
        <v>1</v>
      </c>
      <c r="B3112" s="65">
        <v>43586</v>
      </c>
      <c r="C3112" s="66" t="s">
        <v>218</v>
      </c>
      <c r="D3112" s="3" t="s">
        <v>19</v>
      </c>
      <c r="E3112" s="64">
        <v>1</v>
      </c>
    </row>
    <row r="3113" spans="1:5">
      <c r="A3113" s="64" t="s">
        <v>1</v>
      </c>
      <c r="B3113" s="65">
        <v>43587</v>
      </c>
      <c r="C3113" s="66" t="s">
        <v>219</v>
      </c>
      <c r="D3113" s="3" t="s">
        <v>19</v>
      </c>
      <c r="E3113" s="64">
        <v>1</v>
      </c>
    </row>
    <row r="3114" spans="1:5">
      <c r="A3114" s="64" t="s">
        <v>1</v>
      </c>
      <c r="B3114" s="65">
        <v>43588</v>
      </c>
      <c r="C3114" s="66" t="s">
        <v>220</v>
      </c>
      <c r="D3114" s="3" t="s">
        <v>19</v>
      </c>
      <c r="E3114" s="64">
        <v>1</v>
      </c>
    </row>
    <row r="3115" spans="1:5">
      <c r="A3115" s="64" t="s">
        <v>1</v>
      </c>
      <c r="B3115" s="65">
        <v>43427</v>
      </c>
      <c r="C3115" s="66" t="s">
        <v>220</v>
      </c>
      <c r="D3115" s="3" t="s">
        <v>20</v>
      </c>
      <c r="E3115" s="64">
        <v>1</v>
      </c>
    </row>
    <row r="3116" spans="1:5">
      <c r="A3116" s="64" t="s">
        <v>1</v>
      </c>
      <c r="B3116" s="65">
        <v>43428</v>
      </c>
      <c r="C3116" s="66" t="s">
        <v>221</v>
      </c>
      <c r="D3116" s="3" t="s">
        <v>20</v>
      </c>
      <c r="E3116" s="64">
        <v>1</v>
      </c>
    </row>
    <row r="3117" spans="1:5">
      <c r="A3117" s="64" t="s">
        <v>1</v>
      </c>
      <c r="B3117" s="65">
        <v>43429</v>
      </c>
      <c r="C3117" s="66" t="s">
        <v>222</v>
      </c>
      <c r="D3117" s="3" t="s">
        <v>20</v>
      </c>
      <c r="E3117" s="64">
        <v>1</v>
      </c>
    </row>
    <row r="3118" spans="1:5">
      <c r="A3118" s="64" t="s">
        <v>1</v>
      </c>
      <c r="B3118" s="65">
        <v>43430</v>
      </c>
      <c r="C3118" s="66" t="s">
        <v>216</v>
      </c>
      <c r="D3118" s="3" t="s">
        <v>20</v>
      </c>
      <c r="E3118" s="64">
        <v>1</v>
      </c>
    </row>
    <row r="3119" spans="1:5">
      <c r="A3119" s="64" t="s">
        <v>1</v>
      </c>
      <c r="B3119" s="65">
        <v>43431</v>
      </c>
      <c r="C3119" s="66" t="s">
        <v>217</v>
      </c>
      <c r="D3119" s="3" t="s">
        <v>20</v>
      </c>
      <c r="E3119" s="64">
        <v>1</v>
      </c>
    </row>
    <row r="3120" spans="1:5">
      <c r="A3120" s="64" t="s">
        <v>1</v>
      </c>
      <c r="B3120" s="65">
        <v>43432</v>
      </c>
      <c r="C3120" s="66" t="s">
        <v>218</v>
      </c>
      <c r="D3120" s="3" t="s">
        <v>20</v>
      </c>
      <c r="E3120" s="64">
        <v>1</v>
      </c>
    </row>
    <row r="3121" spans="1:5">
      <c r="A3121" s="64" t="s">
        <v>1</v>
      </c>
      <c r="B3121" s="65">
        <v>43433</v>
      </c>
      <c r="C3121" s="66" t="s">
        <v>219</v>
      </c>
      <c r="D3121" s="3" t="s">
        <v>20</v>
      </c>
      <c r="E3121" s="64">
        <v>1</v>
      </c>
    </row>
    <row r="3122" spans="1:5">
      <c r="A3122" s="64" t="s">
        <v>1</v>
      </c>
      <c r="B3122" s="65">
        <v>43434</v>
      </c>
      <c r="C3122" s="66" t="s">
        <v>220</v>
      </c>
      <c r="D3122" s="3" t="s">
        <v>20</v>
      </c>
      <c r="E3122" s="64">
        <v>1</v>
      </c>
    </row>
    <row r="3123" spans="1:5">
      <c r="A3123" s="64" t="s">
        <v>1</v>
      </c>
      <c r="B3123" s="65">
        <v>43435</v>
      </c>
      <c r="C3123" s="66" t="s">
        <v>221</v>
      </c>
      <c r="D3123" s="3" t="s">
        <v>20</v>
      </c>
      <c r="E3123" s="64">
        <v>1</v>
      </c>
    </row>
    <row r="3124" spans="1:5">
      <c r="A3124" s="64" t="s">
        <v>1</v>
      </c>
      <c r="B3124" s="65">
        <v>43436</v>
      </c>
      <c r="C3124" s="66" t="s">
        <v>222</v>
      </c>
      <c r="D3124" s="3" t="s">
        <v>20</v>
      </c>
      <c r="E3124" s="64">
        <v>1</v>
      </c>
    </row>
    <row r="3125" spans="1:5">
      <c r="A3125" s="64" t="s">
        <v>1</v>
      </c>
      <c r="B3125" s="65">
        <v>43437</v>
      </c>
      <c r="C3125" s="66" t="s">
        <v>216</v>
      </c>
      <c r="D3125" s="3" t="s">
        <v>20</v>
      </c>
      <c r="E3125" s="64">
        <v>1</v>
      </c>
    </row>
    <row r="3126" spans="1:5">
      <c r="A3126" s="64" t="s">
        <v>1</v>
      </c>
      <c r="B3126" s="65">
        <v>43438</v>
      </c>
      <c r="C3126" s="66" t="s">
        <v>217</v>
      </c>
      <c r="D3126" s="3" t="s">
        <v>20</v>
      </c>
      <c r="E3126" s="64">
        <v>1</v>
      </c>
    </row>
    <row r="3127" spans="1:5">
      <c r="A3127" s="64" t="s">
        <v>1</v>
      </c>
      <c r="B3127" s="65">
        <v>43439</v>
      </c>
      <c r="C3127" s="66" t="s">
        <v>218</v>
      </c>
      <c r="D3127" s="3" t="s">
        <v>20</v>
      </c>
      <c r="E3127" s="64">
        <v>1</v>
      </c>
    </row>
    <row r="3128" spans="1:5">
      <c r="A3128" s="64" t="s">
        <v>1</v>
      </c>
      <c r="B3128" s="65">
        <v>43440</v>
      </c>
      <c r="C3128" s="66" t="s">
        <v>219</v>
      </c>
      <c r="D3128" s="3" t="s">
        <v>20</v>
      </c>
      <c r="E3128" s="64">
        <v>1</v>
      </c>
    </row>
    <row r="3129" spans="1:5">
      <c r="A3129" s="64" t="s">
        <v>1</v>
      </c>
      <c r="B3129" s="65">
        <v>43441</v>
      </c>
      <c r="C3129" s="66" t="s">
        <v>220</v>
      </c>
      <c r="D3129" s="3" t="s">
        <v>20</v>
      </c>
      <c r="E3129" s="64">
        <v>1</v>
      </c>
    </row>
    <row r="3130" spans="1:5">
      <c r="A3130" s="64" t="s">
        <v>1</v>
      </c>
      <c r="B3130" s="65">
        <v>43442</v>
      </c>
      <c r="C3130" s="66" t="s">
        <v>221</v>
      </c>
      <c r="D3130" s="3" t="s">
        <v>20</v>
      </c>
      <c r="E3130" s="64">
        <v>1</v>
      </c>
    </row>
    <row r="3131" spans="1:5">
      <c r="A3131" s="64" t="s">
        <v>1</v>
      </c>
      <c r="B3131" s="65">
        <v>43443</v>
      </c>
      <c r="C3131" s="66" t="s">
        <v>222</v>
      </c>
      <c r="D3131" s="3" t="s">
        <v>20</v>
      </c>
      <c r="E3131" s="64">
        <v>1</v>
      </c>
    </row>
    <row r="3132" spans="1:5">
      <c r="A3132" s="64" t="s">
        <v>1</v>
      </c>
      <c r="B3132" s="65">
        <v>43444</v>
      </c>
      <c r="C3132" s="66" t="s">
        <v>216</v>
      </c>
      <c r="D3132" s="3" t="s">
        <v>20</v>
      </c>
      <c r="E3132" s="64">
        <v>1</v>
      </c>
    </row>
    <row r="3133" spans="1:5">
      <c r="A3133" s="64" t="s">
        <v>1</v>
      </c>
      <c r="B3133" s="65">
        <v>43445</v>
      </c>
      <c r="C3133" s="66" t="s">
        <v>217</v>
      </c>
      <c r="D3133" s="3" t="s">
        <v>20</v>
      </c>
      <c r="E3133" s="64">
        <v>1</v>
      </c>
    </row>
    <row r="3134" spans="1:5">
      <c r="A3134" s="64" t="s">
        <v>1</v>
      </c>
      <c r="B3134" s="65">
        <v>43446</v>
      </c>
      <c r="C3134" s="66" t="s">
        <v>218</v>
      </c>
      <c r="D3134" s="3" t="s">
        <v>20</v>
      </c>
      <c r="E3134" s="64">
        <v>1</v>
      </c>
    </row>
    <row r="3135" spans="1:5">
      <c r="A3135" s="64" t="s">
        <v>1</v>
      </c>
      <c r="B3135" s="65">
        <v>43447</v>
      </c>
      <c r="C3135" s="66" t="s">
        <v>219</v>
      </c>
      <c r="D3135" s="3" t="s">
        <v>20</v>
      </c>
      <c r="E3135" s="64">
        <v>1</v>
      </c>
    </row>
    <row r="3136" spans="1:5">
      <c r="A3136" s="64" t="s">
        <v>1</v>
      </c>
      <c r="B3136" s="65">
        <v>43448</v>
      </c>
      <c r="C3136" s="66" t="s">
        <v>220</v>
      </c>
      <c r="D3136" s="3" t="s">
        <v>20</v>
      </c>
      <c r="E3136" s="64">
        <v>1</v>
      </c>
    </row>
    <row r="3137" spans="1:5">
      <c r="A3137" s="64" t="s">
        <v>1</v>
      </c>
      <c r="B3137" s="65">
        <v>43449</v>
      </c>
      <c r="C3137" s="66" t="s">
        <v>221</v>
      </c>
      <c r="D3137" s="3" t="s">
        <v>20</v>
      </c>
      <c r="E3137" s="64">
        <v>1</v>
      </c>
    </row>
    <row r="3138" spans="1:5">
      <c r="A3138" s="64" t="s">
        <v>1</v>
      </c>
      <c r="B3138" s="65">
        <v>43450</v>
      </c>
      <c r="C3138" s="66" t="s">
        <v>222</v>
      </c>
      <c r="D3138" s="3" t="s">
        <v>20</v>
      </c>
      <c r="E3138" s="64">
        <v>1</v>
      </c>
    </row>
    <row r="3139" spans="1:5">
      <c r="A3139" s="64" t="s">
        <v>1</v>
      </c>
      <c r="B3139" s="65">
        <v>43451</v>
      </c>
      <c r="C3139" s="66" t="s">
        <v>216</v>
      </c>
      <c r="D3139" s="3" t="s">
        <v>20</v>
      </c>
      <c r="E3139" s="64">
        <v>1</v>
      </c>
    </row>
    <row r="3140" spans="1:5">
      <c r="A3140" s="64" t="s">
        <v>1</v>
      </c>
      <c r="B3140" s="65">
        <v>43452</v>
      </c>
      <c r="C3140" s="66" t="s">
        <v>217</v>
      </c>
      <c r="D3140" s="3" t="s">
        <v>20</v>
      </c>
      <c r="E3140" s="64">
        <v>1</v>
      </c>
    </row>
    <row r="3141" spans="1:5">
      <c r="A3141" s="64" t="s">
        <v>1</v>
      </c>
      <c r="B3141" s="65">
        <v>43453</v>
      </c>
      <c r="C3141" s="66" t="s">
        <v>218</v>
      </c>
      <c r="D3141" s="3" t="s">
        <v>20</v>
      </c>
      <c r="E3141" s="64">
        <v>1</v>
      </c>
    </row>
    <row r="3142" spans="1:5">
      <c r="A3142" s="64" t="s">
        <v>1</v>
      </c>
      <c r="B3142" s="65">
        <v>43454</v>
      </c>
      <c r="C3142" s="66" t="s">
        <v>219</v>
      </c>
      <c r="D3142" s="3" t="s">
        <v>20</v>
      </c>
      <c r="E3142" s="64">
        <v>1</v>
      </c>
    </row>
    <row r="3143" spans="1:5">
      <c r="A3143" s="64" t="s">
        <v>1</v>
      </c>
      <c r="B3143" s="65">
        <v>43455</v>
      </c>
      <c r="C3143" s="66" t="s">
        <v>220</v>
      </c>
      <c r="D3143" s="3" t="s">
        <v>20</v>
      </c>
      <c r="E3143" s="64">
        <v>1</v>
      </c>
    </row>
    <row r="3144" spans="1:5">
      <c r="A3144" s="64" t="s">
        <v>1</v>
      </c>
      <c r="B3144" s="65">
        <v>43456</v>
      </c>
      <c r="C3144" s="66" t="s">
        <v>221</v>
      </c>
      <c r="D3144" s="3" t="s">
        <v>20</v>
      </c>
      <c r="E3144" s="64">
        <v>1</v>
      </c>
    </row>
    <row r="3145" spans="1:5">
      <c r="A3145" s="64" t="s">
        <v>1</v>
      </c>
      <c r="B3145" s="65">
        <v>43457</v>
      </c>
      <c r="C3145" s="66" t="s">
        <v>222</v>
      </c>
      <c r="D3145" s="3" t="s">
        <v>20</v>
      </c>
      <c r="E3145" s="64">
        <v>1</v>
      </c>
    </row>
    <row r="3146" spans="1:5">
      <c r="A3146" s="64" t="s">
        <v>1</v>
      </c>
      <c r="B3146" s="65">
        <v>43458</v>
      </c>
      <c r="C3146" s="66" t="s">
        <v>216</v>
      </c>
      <c r="D3146" s="3" t="s">
        <v>20</v>
      </c>
      <c r="E3146" s="64">
        <v>1</v>
      </c>
    </row>
    <row r="3147" spans="1:5">
      <c r="A3147" s="64" t="s">
        <v>1</v>
      </c>
      <c r="B3147" s="65">
        <v>43459</v>
      </c>
      <c r="C3147" s="66" t="s">
        <v>217</v>
      </c>
      <c r="D3147" s="3" t="s">
        <v>20</v>
      </c>
      <c r="E3147" s="64">
        <v>1</v>
      </c>
    </row>
    <row r="3148" spans="1:5">
      <c r="A3148" s="64" t="s">
        <v>1</v>
      </c>
      <c r="B3148" s="65">
        <v>43460</v>
      </c>
      <c r="C3148" s="66" t="s">
        <v>218</v>
      </c>
      <c r="D3148" s="3" t="s">
        <v>20</v>
      </c>
      <c r="E3148" s="64">
        <v>1</v>
      </c>
    </row>
    <row r="3149" spans="1:5">
      <c r="A3149" s="64" t="s">
        <v>1</v>
      </c>
      <c r="B3149" s="65">
        <v>43461</v>
      </c>
      <c r="C3149" s="66" t="s">
        <v>219</v>
      </c>
      <c r="D3149" s="3" t="s">
        <v>20</v>
      </c>
      <c r="E3149" s="64">
        <v>1</v>
      </c>
    </row>
    <row r="3150" spans="1:5">
      <c r="A3150" s="64" t="s">
        <v>1</v>
      </c>
      <c r="B3150" s="65">
        <v>43462</v>
      </c>
      <c r="C3150" s="66" t="s">
        <v>220</v>
      </c>
      <c r="D3150" s="3" t="s">
        <v>20</v>
      </c>
      <c r="E3150" s="64">
        <v>1</v>
      </c>
    </row>
    <row r="3151" spans="1:5">
      <c r="A3151" s="64" t="s">
        <v>1</v>
      </c>
      <c r="B3151" s="65">
        <v>43463</v>
      </c>
      <c r="C3151" s="66" t="s">
        <v>221</v>
      </c>
      <c r="D3151" s="3" t="s">
        <v>20</v>
      </c>
      <c r="E3151" s="64">
        <v>1</v>
      </c>
    </row>
    <row r="3152" spans="1:5">
      <c r="A3152" s="64" t="s">
        <v>1</v>
      </c>
      <c r="B3152" s="65">
        <v>43464</v>
      </c>
      <c r="C3152" s="66" t="s">
        <v>222</v>
      </c>
      <c r="D3152" s="3" t="s">
        <v>20</v>
      </c>
      <c r="E3152" s="64">
        <v>1</v>
      </c>
    </row>
    <row r="3153" spans="1:5">
      <c r="A3153" s="64" t="s">
        <v>1</v>
      </c>
      <c r="B3153" s="65">
        <v>43465</v>
      </c>
      <c r="C3153" s="66" t="s">
        <v>216</v>
      </c>
      <c r="D3153" s="3" t="s">
        <v>20</v>
      </c>
      <c r="E3153" s="64">
        <v>1</v>
      </c>
    </row>
    <row r="3154" spans="1:5">
      <c r="A3154" s="64" t="s">
        <v>1</v>
      </c>
      <c r="B3154" s="65">
        <v>43466</v>
      </c>
      <c r="C3154" s="66" t="s">
        <v>217</v>
      </c>
      <c r="D3154" s="3" t="s">
        <v>20</v>
      </c>
      <c r="E3154" s="64">
        <v>1</v>
      </c>
    </row>
    <row r="3155" spans="1:5">
      <c r="A3155" s="64" t="s">
        <v>1</v>
      </c>
      <c r="B3155" s="65">
        <v>43467</v>
      </c>
      <c r="C3155" s="66" t="s">
        <v>218</v>
      </c>
      <c r="D3155" s="3" t="s">
        <v>20</v>
      </c>
      <c r="E3155" s="64">
        <v>1</v>
      </c>
    </row>
    <row r="3156" spans="1:5">
      <c r="A3156" s="64" t="s">
        <v>1</v>
      </c>
      <c r="B3156" s="65">
        <v>43468</v>
      </c>
      <c r="C3156" s="66" t="s">
        <v>219</v>
      </c>
      <c r="D3156" s="3" t="s">
        <v>20</v>
      </c>
      <c r="E3156" s="64">
        <v>1</v>
      </c>
    </row>
    <row r="3157" spans="1:5">
      <c r="A3157" s="64" t="s">
        <v>1</v>
      </c>
      <c r="B3157" s="65">
        <v>43469</v>
      </c>
      <c r="C3157" s="66" t="s">
        <v>220</v>
      </c>
      <c r="D3157" s="3" t="s">
        <v>20</v>
      </c>
      <c r="E3157" s="64">
        <v>1</v>
      </c>
    </row>
    <row r="3158" spans="1:5">
      <c r="A3158" s="64" t="s">
        <v>1</v>
      </c>
      <c r="B3158" s="65">
        <v>43470</v>
      </c>
      <c r="C3158" s="66" t="s">
        <v>221</v>
      </c>
      <c r="D3158" s="3" t="s">
        <v>20</v>
      </c>
      <c r="E3158" s="64">
        <v>1</v>
      </c>
    </row>
    <row r="3159" spans="1:5">
      <c r="A3159" s="64" t="s">
        <v>1</v>
      </c>
      <c r="B3159" s="65">
        <v>43471</v>
      </c>
      <c r="C3159" s="66" t="s">
        <v>222</v>
      </c>
      <c r="D3159" s="3" t="s">
        <v>20</v>
      </c>
      <c r="E3159" s="64">
        <v>1</v>
      </c>
    </row>
    <row r="3160" spans="1:5">
      <c r="A3160" s="64" t="s">
        <v>1</v>
      </c>
      <c r="B3160" s="65">
        <v>43472</v>
      </c>
      <c r="C3160" s="66" t="s">
        <v>216</v>
      </c>
      <c r="D3160" s="3" t="s">
        <v>20</v>
      </c>
      <c r="E3160" s="64">
        <v>1</v>
      </c>
    </row>
    <row r="3161" spans="1:5">
      <c r="A3161" s="64" t="s">
        <v>1</v>
      </c>
      <c r="B3161" s="65">
        <v>43473</v>
      </c>
      <c r="C3161" s="66" t="s">
        <v>217</v>
      </c>
      <c r="D3161" s="3" t="s">
        <v>20</v>
      </c>
      <c r="E3161" s="64">
        <v>1</v>
      </c>
    </row>
    <row r="3162" spans="1:5">
      <c r="A3162" s="64" t="s">
        <v>1</v>
      </c>
      <c r="B3162" s="65">
        <v>43474</v>
      </c>
      <c r="C3162" s="66" t="s">
        <v>218</v>
      </c>
      <c r="D3162" s="3" t="s">
        <v>20</v>
      </c>
      <c r="E3162" s="64">
        <v>1</v>
      </c>
    </row>
    <row r="3163" spans="1:5">
      <c r="A3163" s="64" t="s">
        <v>1</v>
      </c>
      <c r="B3163" s="65">
        <v>43475</v>
      </c>
      <c r="C3163" s="66" t="s">
        <v>219</v>
      </c>
      <c r="D3163" s="3" t="s">
        <v>20</v>
      </c>
      <c r="E3163" s="64">
        <v>1</v>
      </c>
    </row>
    <row r="3164" spans="1:5">
      <c r="A3164" s="64" t="s">
        <v>1</v>
      </c>
      <c r="B3164" s="65">
        <v>43476</v>
      </c>
      <c r="C3164" s="66" t="s">
        <v>220</v>
      </c>
      <c r="D3164" s="3" t="s">
        <v>20</v>
      </c>
      <c r="E3164" s="64">
        <v>1</v>
      </c>
    </row>
    <row r="3165" spans="1:5">
      <c r="A3165" s="64" t="s">
        <v>1</v>
      </c>
      <c r="B3165" s="65">
        <v>43477</v>
      </c>
      <c r="C3165" s="66" t="s">
        <v>221</v>
      </c>
      <c r="D3165" s="3" t="s">
        <v>20</v>
      </c>
      <c r="E3165" s="64">
        <v>1</v>
      </c>
    </row>
    <row r="3166" spans="1:5">
      <c r="A3166" s="64" t="s">
        <v>1</v>
      </c>
      <c r="B3166" s="65">
        <v>43478</v>
      </c>
      <c r="C3166" s="66" t="s">
        <v>222</v>
      </c>
      <c r="D3166" s="3" t="s">
        <v>20</v>
      </c>
      <c r="E3166" s="64">
        <v>1</v>
      </c>
    </row>
    <row r="3167" spans="1:5">
      <c r="A3167" s="64" t="s">
        <v>1</v>
      </c>
      <c r="B3167" s="65">
        <v>43479</v>
      </c>
      <c r="C3167" s="66" t="s">
        <v>216</v>
      </c>
      <c r="D3167" s="3" t="s">
        <v>20</v>
      </c>
      <c r="E3167" s="64">
        <v>1</v>
      </c>
    </row>
    <row r="3168" spans="1:5">
      <c r="A3168" s="64" t="s">
        <v>1</v>
      </c>
      <c r="B3168" s="65">
        <v>43480</v>
      </c>
      <c r="C3168" s="66" t="s">
        <v>217</v>
      </c>
      <c r="D3168" s="3" t="s">
        <v>20</v>
      </c>
      <c r="E3168" s="64">
        <v>1</v>
      </c>
    </row>
    <row r="3169" spans="1:5">
      <c r="A3169" s="64" t="s">
        <v>1</v>
      </c>
      <c r="B3169" s="65">
        <v>43481</v>
      </c>
      <c r="C3169" s="66" t="s">
        <v>218</v>
      </c>
      <c r="D3169" s="3" t="s">
        <v>20</v>
      </c>
      <c r="E3169" s="64">
        <v>1</v>
      </c>
    </row>
    <row r="3170" spans="1:5">
      <c r="A3170" s="64" t="s">
        <v>1</v>
      </c>
      <c r="B3170" s="65">
        <v>43482</v>
      </c>
      <c r="C3170" s="66" t="s">
        <v>219</v>
      </c>
      <c r="D3170" s="3" t="s">
        <v>20</v>
      </c>
      <c r="E3170" s="64">
        <v>1</v>
      </c>
    </row>
    <row r="3171" spans="1:5">
      <c r="A3171" s="64" t="s">
        <v>1</v>
      </c>
      <c r="B3171" s="65">
        <v>43483</v>
      </c>
      <c r="C3171" s="66" t="s">
        <v>220</v>
      </c>
      <c r="D3171" s="3" t="s">
        <v>20</v>
      </c>
      <c r="E3171" s="64">
        <v>1</v>
      </c>
    </row>
    <row r="3172" spans="1:5">
      <c r="A3172" s="64" t="s">
        <v>1</v>
      </c>
      <c r="B3172" s="65">
        <v>43484</v>
      </c>
      <c r="C3172" s="66" t="s">
        <v>221</v>
      </c>
      <c r="D3172" s="3" t="s">
        <v>20</v>
      </c>
      <c r="E3172" s="64">
        <v>1</v>
      </c>
    </row>
    <row r="3173" spans="1:5">
      <c r="A3173" s="64" t="s">
        <v>1</v>
      </c>
      <c r="B3173" s="65">
        <v>43485</v>
      </c>
      <c r="C3173" s="66" t="s">
        <v>222</v>
      </c>
      <c r="D3173" s="3" t="s">
        <v>20</v>
      </c>
      <c r="E3173" s="64">
        <v>1</v>
      </c>
    </row>
    <row r="3174" spans="1:5">
      <c r="A3174" s="64" t="s">
        <v>1</v>
      </c>
      <c r="B3174" s="65">
        <v>43486</v>
      </c>
      <c r="C3174" s="66" t="s">
        <v>216</v>
      </c>
      <c r="D3174" s="3" t="s">
        <v>20</v>
      </c>
      <c r="E3174" s="64">
        <v>1</v>
      </c>
    </row>
    <row r="3175" spans="1:5">
      <c r="A3175" s="64" t="s">
        <v>1</v>
      </c>
      <c r="B3175" s="65">
        <v>43487</v>
      </c>
      <c r="C3175" s="66" t="s">
        <v>217</v>
      </c>
      <c r="D3175" s="3" t="s">
        <v>20</v>
      </c>
      <c r="E3175" s="64">
        <v>1</v>
      </c>
    </row>
    <row r="3176" spans="1:5">
      <c r="A3176" s="64" t="s">
        <v>1</v>
      </c>
      <c r="B3176" s="65">
        <v>43488</v>
      </c>
      <c r="C3176" s="66" t="s">
        <v>218</v>
      </c>
      <c r="D3176" s="3" t="s">
        <v>20</v>
      </c>
      <c r="E3176" s="64">
        <v>1</v>
      </c>
    </row>
    <row r="3177" spans="1:5">
      <c r="A3177" s="64" t="s">
        <v>1</v>
      </c>
      <c r="B3177" s="65">
        <v>43489</v>
      </c>
      <c r="C3177" s="66" t="s">
        <v>219</v>
      </c>
      <c r="D3177" s="3" t="s">
        <v>20</v>
      </c>
      <c r="E3177" s="64">
        <v>1</v>
      </c>
    </row>
    <row r="3178" spans="1:5">
      <c r="A3178" s="64" t="s">
        <v>1</v>
      </c>
      <c r="B3178" s="65">
        <v>43490</v>
      </c>
      <c r="C3178" s="66" t="s">
        <v>220</v>
      </c>
      <c r="D3178" s="3" t="s">
        <v>20</v>
      </c>
      <c r="E3178" s="64">
        <v>1</v>
      </c>
    </row>
    <row r="3179" spans="1:5">
      <c r="A3179" s="64" t="s">
        <v>1</v>
      </c>
      <c r="B3179" s="65">
        <v>43491</v>
      </c>
      <c r="C3179" s="66" t="s">
        <v>221</v>
      </c>
      <c r="D3179" s="3" t="s">
        <v>20</v>
      </c>
      <c r="E3179" s="64">
        <v>1</v>
      </c>
    </row>
    <row r="3180" spans="1:5">
      <c r="A3180" s="64" t="s">
        <v>1</v>
      </c>
      <c r="B3180" s="65">
        <v>43492</v>
      </c>
      <c r="C3180" s="66" t="s">
        <v>222</v>
      </c>
      <c r="D3180" s="3" t="s">
        <v>20</v>
      </c>
      <c r="E3180" s="64">
        <v>1</v>
      </c>
    </row>
    <row r="3181" spans="1:5">
      <c r="A3181" s="64" t="s">
        <v>1</v>
      </c>
      <c r="B3181" s="65">
        <v>43493</v>
      </c>
      <c r="C3181" s="66" t="s">
        <v>216</v>
      </c>
      <c r="D3181" s="3" t="s">
        <v>20</v>
      </c>
      <c r="E3181" s="64">
        <v>1</v>
      </c>
    </row>
    <row r="3182" spans="1:5">
      <c r="A3182" s="64" t="s">
        <v>1</v>
      </c>
      <c r="B3182" s="65">
        <v>43494</v>
      </c>
      <c r="C3182" s="66" t="s">
        <v>217</v>
      </c>
      <c r="D3182" s="3" t="s">
        <v>20</v>
      </c>
      <c r="E3182" s="64">
        <v>1</v>
      </c>
    </row>
    <row r="3183" spans="1:5">
      <c r="A3183" s="64" t="s">
        <v>1</v>
      </c>
      <c r="B3183" s="65">
        <v>43495</v>
      </c>
      <c r="C3183" s="66" t="s">
        <v>218</v>
      </c>
      <c r="D3183" s="3" t="s">
        <v>20</v>
      </c>
      <c r="E3183" s="64">
        <v>1</v>
      </c>
    </row>
    <row r="3184" spans="1:5">
      <c r="A3184" s="64" t="s">
        <v>1</v>
      </c>
      <c r="B3184" s="65">
        <v>43496</v>
      </c>
      <c r="C3184" s="66" t="s">
        <v>219</v>
      </c>
      <c r="D3184" s="3" t="s">
        <v>20</v>
      </c>
      <c r="E3184" s="64">
        <v>1</v>
      </c>
    </row>
    <row r="3185" spans="1:5">
      <c r="A3185" s="64" t="s">
        <v>1</v>
      </c>
      <c r="B3185" s="65">
        <v>43497</v>
      </c>
      <c r="C3185" s="66" t="s">
        <v>220</v>
      </c>
      <c r="D3185" s="3" t="s">
        <v>20</v>
      </c>
      <c r="E3185" s="64">
        <v>1</v>
      </c>
    </row>
    <row r="3186" spans="1:5">
      <c r="A3186" s="64" t="s">
        <v>1</v>
      </c>
      <c r="B3186" s="65">
        <v>43498</v>
      </c>
      <c r="C3186" s="66" t="s">
        <v>221</v>
      </c>
      <c r="D3186" s="3" t="s">
        <v>20</v>
      </c>
      <c r="E3186" s="64">
        <v>1</v>
      </c>
    </row>
    <row r="3187" spans="1:5">
      <c r="A3187" s="64" t="s">
        <v>1</v>
      </c>
      <c r="B3187" s="65">
        <v>43499</v>
      </c>
      <c r="C3187" s="66" t="s">
        <v>222</v>
      </c>
      <c r="D3187" s="3" t="s">
        <v>20</v>
      </c>
      <c r="E3187" s="64">
        <v>1</v>
      </c>
    </row>
    <row r="3188" spans="1:5">
      <c r="A3188" s="64" t="s">
        <v>1</v>
      </c>
      <c r="B3188" s="65">
        <v>43500</v>
      </c>
      <c r="C3188" s="66" t="s">
        <v>216</v>
      </c>
      <c r="D3188" s="3" t="s">
        <v>20</v>
      </c>
      <c r="E3188" s="64">
        <v>1</v>
      </c>
    </row>
    <row r="3189" spans="1:5">
      <c r="A3189" s="64" t="s">
        <v>1</v>
      </c>
      <c r="B3189" s="65">
        <v>43501</v>
      </c>
      <c r="C3189" s="66" t="s">
        <v>217</v>
      </c>
      <c r="D3189" s="3" t="s">
        <v>20</v>
      </c>
      <c r="E3189" s="64">
        <v>1</v>
      </c>
    </row>
    <row r="3190" spans="1:5">
      <c r="A3190" s="64" t="s">
        <v>1</v>
      </c>
      <c r="B3190" s="65">
        <v>43502</v>
      </c>
      <c r="C3190" s="66" t="s">
        <v>218</v>
      </c>
      <c r="D3190" s="3" t="s">
        <v>20</v>
      </c>
      <c r="E3190" s="64">
        <v>1</v>
      </c>
    </row>
    <row r="3191" spans="1:5">
      <c r="A3191" s="64" t="s">
        <v>1</v>
      </c>
      <c r="B3191" s="65">
        <v>43503</v>
      </c>
      <c r="C3191" s="66" t="s">
        <v>219</v>
      </c>
      <c r="D3191" s="3" t="s">
        <v>20</v>
      </c>
      <c r="E3191" s="64">
        <v>1</v>
      </c>
    </row>
    <row r="3192" spans="1:5">
      <c r="A3192" s="64" t="s">
        <v>1</v>
      </c>
      <c r="B3192" s="65">
        <v>43504</v>
      </c>
      <c r="C3192" s="66" t="s">
        <v>220</v>
      </c>
      <c r="D3192" s="3" t="s">
        <v>20</v>
      </c>
      <c r="E3192" s="64">
        <v>1</v>
      </c>
    </row>
    <row r="3193" spans="1:5">
      <c r="A3193" s="64" t="s">
        <v>1</v>
      </c>
      <c r="B3193" s="65">
        <v>43505</v>
      </c>
      <c r="C3193" s="66" t="s">
        <v>221</v>
      </c>
      <c r="D3193" s="3" t="s">
        <v>20</v>
      </c>
      <c r="E3193" s="64">
        <v>1</v>
      </c>
    </row>
    <row r="3194" spans="1:5">
      <c r="A3194" s="64" t="s">
        <v>1</v>
      </c>
      <c r="B3194" s="65">
        <v>43506</v>
      </c>
      <c r="C3194" s="66" t="s">
        <v>222</v>
      </c>
      <c r="D3194" s="3" t="s">
        <v>20</v>
      </c>
      <c r="E3194" s="64">
        <v>1</v>
      </c>
    </row>
    <row r="3195" spans="1:5">
      <c r="A3195" s="64" t="s">
        <v>1</v>
      </c>
      <c r="B3195" s="65">
        <v>43507</v>
      </c>
      <c r="C3195" s="66" t="s">
        <v>216</v>
      </c>
      <c r="D3195" s="3" t="s">
        <v>20</v>
      </c>
      <c r="E3195" s="64">
        <v>1</v>
      </c>
    </row>
    <row r="3196" spans="1:5">
      <c r="A3196" s="64" t="s">
        <v>1</v>
      </c>
      <c r="B3196" s="65">
        <v>43508</v>
      </c>
      <c r="C3196" s="66" t="s">
        <v>217</v>
      </c>
      <c r="D3196" s="3" t="s">
        <v>20</v>
      </c>
      <c r="E3196" s="64">
        <v>1</v>
      </c>
    </row>
    <row r="3197" spans="1:5">
      <c r="A3197" s="64" t="s">
        <v>1</v>
      </c>
      <c r="B3197" s="65">
        <v>43509</v>
      </c>
      <c r="C3197" s="66" t="s">
        <v>218</v>
      </c>
      <c r="D3197" s="3" t="s">
        <v>20</v>
      </c>
      <c r="E3197" s="64">
        <v>1</v>
      </c>
    </row>
    <row r="3198" spans="1:5">
      <c r="A3198" s="64" t="s">
        <v>1</v>
      </c>
      <c r="B3198" s="65">
        <v>43510</v>
      </c>
      <c r="C3198" s="66" t="s">
        <v>219</v>
      </c>
      <c r="D3198" s="3" t="s">
        <v>20</v>
      </c>
      <c r="E3198" s="64">
        <v>1</v>
      </c>
    </row>
    <row r="3199" spans="1:5">
      <c r="A3199" s="64" t="s">
        <v>1</v>
      </c>
      <c r="B3199" s="65">
        <v>43511</v>
      </c>
      <c r="C3199" s="66" t="s">
        <v>220</v>
      </c>
      <c r="D3199" s="3" t="s">
        <v>20</v>
      </c>
      <c r="E3199" s="64">
        <v>1</v>
      </c>
    </row>
    <row r="3200" spans="1:5">
      <c r="A3200" s="64" t="s">
        <v>1</v>
      </c>
      <c r="B3200" s="65">
        <v>43512</v>
      </c>
      <c r="C3200" s="66" t="s">
        <v>221</v>
      </c>
      <c r="D3200" s="3" t="s">
        <v>20</v>
      </c>
      <c r="E3200" s="64">
        <v>1</v>
      </c>
    </row>
    <row r="3201" spans="1:5">
      <c r="A3201" s="64" t="s">
        <v>1</v>
      </c>
      <c r="B3201" s="65">
        <v>43513</v>
      </c>
      <c r="C3201" s="66" t="s">
        <v>222</v>
      </c>
      <c r="D3201" s="3" t="s">
        <v>20</v>
      </c>
      <c r="E3201" s="64">
        <v>1</v>
      </c>
    </row>
    <row r="3202" spans="1:5">
      <c r="A3202" s="64" t="s">
        <v>1</v>
      </c>
      <c r="B3202" s="65">
        <v>43514</v>
      </c>
      <c r="C3202" s="66" t="s">
        <v>216</v>
      </c>
      <c r="D3202" s="3" t="s">
        <v>20</v>
      </c>
      <c r="E3202" s="64">
        <v>1</v>
      </c>
    </row>
    <row r="3203" spans="1:5">
      <c r="A3203" s="64" t="s">
        <v>1</v>
      </c>
      <c r="B3203" s="65">
        <v>43515</v>
      </c>
      <c r="C3203" s="66" t="s">
        <v>217</v>
      </c>
      <c r="D3203" s="3" t="s">
        <v>20</v>
      </c>
      <c r="E3203" s="64">
        <v>1</v>
      </c>
    </row>
    <row r="3204" spans="1:5">
      <c r="A3204" s="64" t="s">
        <v>1</v>
      </c>
      <c r="B3204" s="65">
        <v>43516</v>
      </c>
      <c r="C3204" s="66" t="s">
        <v>218</v>
      </c>
      <c r="D3204" s="3" t="s">
        <v>20</v>
      </c>
      <c r="E3204" s="64">
        <v>1</v>
      </c>
    </row>
    <row r="3205" spans="1:5">
      <c r="A3205" s="64" t="s">
        <v>1</v>
      </c>
      <c r="B3205" s="65">
        <v>43517</v>
      </c>
      <c r="C3205" s="66" t="s">
        <v>219</v>
      </c>
      <c r="D3205" s="3" t="s">
        <v>20</v>
      </c>
      <c r="E3205" s="64">
        <v>1</v>
      </c>
    </row>
    <row r="3206" spans="1:5">
      <c r="A3206" s="64" t="s">
        <v>1</v>
      </c>
      <c r="B3206" s="65">
        <v>43518</v>
      </c>
      <c r="C3206" s="66" t="s">
        <v>220</v>
      </c>
      <c r="D3206" s="3" t="s">
        <v>20</v>
      </c>
      <c r="E3206" s="64">
        <v>1</v>
      </c>
    </row>
    <row r="3207" spans="1:5">
      <c r="A3207" s="64" t="s">
        <v>1</v>
      </c>
      <c r="B3207" s="65">
        <v>43519</v>
      </c>
      <c r="C3207" s="66" t="s">
        <v>221</v>
      </c>
      <c r="D3207" s="3" t="s">
        <v>20</v>
      </c>
      <c r="E3207" s="64">
        <v>1</v>
      </c>
    </row>
    <row r="3208" spans="1:5">
      <c r="A3208" s="64" t="s">
        <v>1</v>
      </c>
      <c r="B3208" s="65">
        <v>43520</v>
      </c>
      <c r="C3208" s="66" t="s">
        <v>222</v>
      </c>
      <c r="D3208" s="3" t="s">
        <v>20</v>
      </c>
      <c r="E3208" s="64">
        <v>1</v>
      </c>
    </row>
    <row r="3209" spans="1:5">
      <c r="A3209" s="64" t="s">
        <v>1</v>
      </c>
      <c r="B3209" s="65">
        <v>43521</v>
      </c>
      <c r="C3209" s="66" t="s">
        <v>216</v>
      </c>
      <c r="D3209" s="3" t="s">
        <v>20</v>
      </c>
      <c r="E3209" s="64">
        <v>1</v>
      </c>
    </row>
    <row r="3210" spans="1:5">
      <c r="A3210" s="64" t="s">
        <v>1</v>
      </c>
      <c r="B3210" s="65">
        <v>43522</v>
      </c>
      <c r="C3210" s="66" t="s">
        <v>217</v>
      </c>
      <c r="D3210" s="3" t="s">
        <v>20</v>
      </c>
      <c r="E3210" s="64">
        <v>1</v>
      </c>
    </row>
    <row r="3211" spans="1:5">
      <c r="A3211" s="64" t="s">
        <v>1</v>
      </c>
      <c r="B3211" s="65">
        <v>43523</v>
      </c>
      <c r="C3211" s="66" t="s">
        <v>218</v>
      </c>
      <c r="D3211" s="3" t="s">
        <v>20</v>
      </c>
      <c r="E3211" s="64">
        <v>1</v>
      </c>
    </row>
    <row r="3212" spans="1:5">
      <c r="A3212" s="64" t="s">
        <v>1</v>
      </c>
      <c r="B3212" s="65">
        <v>43524</v>
      </c>
      <c r="C3212" s="66" t="s">
        <v>219</v>
      </c>
      <c r="D3212" s="3" t="s">
        <v>20</v>
      </c>
      <c r="E3212" s="64">
        <v>1</v>
      </c>
    </row>
    <row r="3213" spans="1:5">
      <c r="A3213" s="64" t="s">
        <v>1</v>
      </c>
      <c r="B3213" s="65">
        <v>43525</v>
      </c>
      <c r="C3213" s="66" t="s">
        <v>220</v>
      </c>
      <c r="D3213" s="3" t="s">
        <v>20</v>
      </c>
      <c r="E3213" s="64">
        <v>1</v>
      </c>
    </row>
    <row r="3214" spans="1:5">
      <c r="A3214" s="64" t="s">
        <v>1</v>
      </c>
      <c r="B3214" s="65">
        <v>43526</v>
      </c>
      <c r="C3214" s="66" t="s">
        <v>221</v>
      </c>
      <c r="D3214" s="3" t="s">
        <v>20</v>
      </c>
      <c r="E3214" s="64">
        <v>1</v>
      </c>
    </row>
    <row r="3215" spans="1:5">
      <c r="A3215" s="64" t="s">
        <v>1</v>
      </c>
      <c r="B3215" s="65">
        <v>43527</v>
      </c>
      <c r="C3215" s="66" t="s">
        <v>222</v>
      </c>
      <c r="D3215" s="3" t="s">
        <v>20</v>
      </c>
      <c r="E3215" s="64">
        <v>1</v>
      </c>
    </row>
    <row r="3216" spans="1:5">
      <c r="A3216" s="64" t="s">
        <v>1</v>
      </c>
      <c r="B3216" s="65">
        <v>43528</v>
      </c>
      <c r="C3216" s="66" t="s">
        <v>216</v>
      </c>
      <c r="D3216" s="3" t="s">
        <v>20</v>
      </c>
      <c r="E3216" s="64">
        <v>1</v>
      </c>
    </row>
    <row r="3217" spans="1:5">
      <c r="A3217" s="64" t="s">
        <v>1</v>
      </c>
      <c r="B3217" s="65">
        <v>43529</v>
      </c>
      <c r="C3217" s="66" t="s">
        <v>217</v>
      </c>
      <c r="D3217" s="3" t="s">
        <v>20</v>
      </c>
      <c r="E3217" s="64">
        <v>1</v>
      </c>
    </row>
    <row r="3218" spans="1:5">
      <c r="A3218" s="64" t="s">
        <v>1</v>
      </c>
      <c r="B3218" s="65">
        <v>43530</v>
      </c>
      <c r="C3218" s="66" t="s">
        <v>218</v>
      </c>
      <c r="D3218" s="3" t="s">
        <v>20</v>
      </c>
      <c r="E3218" s="64">
        <v>1</v>
      </c>
    </row>
    <row r="3219" spans="1:5">
      <c r="A3219" s="64" t="s">
        <v>1</v>
      </c>
      <c r="B3219" s="65">
        <v>43531</v>
      </c>
      <c r="C3219" s="66" t="s">
        <v>219</v>
      </c>
      <c r="D3219" s="3" t="s">
        <v>20</v>
      </c>
      <c r="E3219" s="64">
        <v>1</v>
      </c>
    </row>
    <row r="3220" spans="1:5">
      <c r="A3220" s="64" t="s">
        <v>1</v>
      </c>
      <c r="B3220" s="65">
        <v>43532</v>
      </c>
      <c r="C3220" s="66" t="s">
        <v>220</v>
      </c>
      <c r="D3220" s="3" t="s">
        <v>20</v>
      </c>
      <c r="E3220" s="64">
        <v>1</v>
      </c>
    </row>
    <row r="3221" spans="1:5">
      <c r="A3221" s="64" t="s">
        <v>1</v>
      </c>
      <c r="B3221" s="65">
        <v>43533</v>
      </c>
      <c r="C3221" s="66" t="s">
        <v>221</v>
      </c>
      <c r="D3221" s="3" t="s">
        <v>20</v>
      </c>
      <c r="E3221" s="64">
        <v>1</v>
      </c>
    </row>
    <row r="3222" spans="1:5">
      <c r="A3222" s="64" t="s">
        <v>1</v>
      </c>
      <c r="B3222" s="65">
        <v>43534</v>
      </c>
      <c r="C3222" s="66" t="s">
        <v>222</v>
      </c>
      <c r="D3222" s="3" t="s">
        <v>20</v>
      </c>
      <c r="E3222" s="64">
        <v>1</v>
      </c>
    </row>
    <row r="3223" spans="1:5">
      <c r="A3223" s="64" t="s">
        <v>1</v>
      </c>
      <c r="B3223" s="65">
        <v>43535</v>
      </c>
      <c r="C3223" s="66" t="s">
        <v>216</v>
      </c>
      <c r="D3223" s="3" t="s">
        <v>20</v>
      </c>
      <c r="E3223" s="64">
        <v>1</v>
      </c>
    </row>
    <row r="3224" spans="1:5">
      <c r="A3224" s="64" t="s">
        <v>1</v>
      </c>
      <c r="B3224" s="65">
        <v>43536</v>
      </c>
      <c r="C3224" s="66" t="s">
        <v>217</v>
      </c>
      <c r="D3224" s="3" t="s">
        <v>20</v>
      </c>
      <c r="E3224" s="64">
        <v>1</v>
      </c>
    </row>
    <row r="3225" spans="1:5">
      <c r="A3225" s="64" t="s">
        <v>1</v>
      </c>
      <c r="B3225" s="65">
        <v>43537</v>
      </c>
      <c r="C3225" s="66" t="s">
        <v>218</v>
      </c>
      <c r="D3225" s="3" t="s">
        <v>20</v>
      </c>
      <c r="E3225" s="64">
        <v>1</v>
      </c>
    </row>
    <row r="3226" spans="1:5">
      <c r="A3226" s="64" t="s">
        <v>1</v>
      </c>
      <c r="B3226" s="65">
        <v>43538</v>
      </c>
      <c r="C3226" s="66" t="s">
        <v>219</v>
      </c>
      <c r="D3226" s="3" t="s">
        <v>20</v>
      </c>
      <c r="E3226" s="64">
        <v>1</v>
      </c>
    </row>
    <row r="3227" spans="1:5">
      <c r="A3227" s="64" t="s">
        <v>1</v>
      </c>
      <c r="B3227" s="65">
        <v>43539</v>
      </c>
      <c r="C3227" s="66" t="s">
        <v>220</v>
      </c>
      <c r="D3227" s="3" t="s">
        <v>20</v>
      </c>
      <c r="E3227" s="64">
        <v>1</v>
      </c>
    </row>
    <row r="3228" spans="1:5">
      <c r="A3228" s="64" t="s">
        <v>1</v>
      </c>
      <c r="B3228" s="65">
        <v>43540</v>
      </c>
      <c r="C3228" s="66" t="s">
        <v>221</v>
      </c>
      <c r="D3228" s="3" t="s">
        <v>20</v>
      </c>
      <c r="E3228" s="64">
        <v>1</v>
      </c>
    </row>
    <row r="3229" spans="1:5">
      <c r="A3229" s="64" t="s">
        <v>1</v>
      </c>
      <c r="B3229" s="65">
        <v>43541</v>
      </c>
      <c r="C3229" s="66" t="s">
        <v>222</v>
      </c>
      <c r="D3229" s="3" t="s">
        <v>20</v>
      </c>
      <c r="E3229" s="64">
        <v>1</v>
      </c>
    </row>
    <row r="3230" spans="1:5">
      <c r="A3230" s="64" t="s">
        <v>1</v>
      </c>
      <c r="B3230" s="65">
        <v>43542</v>
      </c>
      <c r="C3230" s="66" t="s">
        <v>216</v>
      </c>
      <c r="D3230" s="3" t="s">
        <v>20</v>
      </c>
      <c r="E3230" s="64">
        <v>1</v>
      </c>
    </row>
    <row r="3231" spans="1:5">
      <c r="A3231" s="64" t="s">
        <v>1</v>
      </c>
      <c r="B3231" s="65">
        <v>43543</v>
      </c>
      <c r="C3231" s="66" t="s">
        <v>217</v>
      </c>
      <c r="D3231" s="3" t="s">
        <v>20</v>
      </c>
      <c r="E3231" s="64">
        <v>1</v>
      </c>
    </row>
    <row r="3232" spans="1:5">
      <c r="A3232" s="64" t="s">
        <v>1</v>
      </c>
      <c r="B3232" s="65">
        <v>43544</v>
      </c>
      <c r="C3232" s="66" t="s">
        <v>218</v>
      </c>
      <c r="D3232" s="3" t="s">
        <v>20</v>
      </c>
      <c r="E3232" s="64">
        <v>1</v>
      </c>
    </row>
    <row r="3233" spans="1:5">
      <c r="A3233" s="64" t="s">
        <v>1</v>
      </c>
      <c r="B3233" s="65">
        <v>43545</v>
      </c>
      <c r="C3233" s="66" t="s">
        <v>219</v>
      </c>
      <c r="D3233" s="3" t="s">
        <v>20</v>
      </c>
      <c r="E3233" s="64">
        <v>1</v>
      </c>
    </row>
    <row r="3234" spans="1:5">
      <c r="A3234" s="64" t="s">
        <v>1</v>
      </c>
      <c r="B3234" s="65">
        <v>43546</v>
      </c>
      <c r="C3234" s="66" t="s">
        <v>220</v>
      </c>
      <c r="D3234" s="3" t="s">
        <v>20</v>
      </c>
      <c r="E3234" s="64">
        <v>1</v>
      </c>
    </row>
    <row r="3235" spans="1:5">
      <c r="A3235" s="64" t="s">
        <v>1</v>
      </c>
      <c r="B3235" s="65">
        <v>43547</v>
      </c>
      <c r="C3235" s="66" t="s">
        <v>221</v>
      </c>
      <c r="D3235" s="3" t="s">
        <v>20</v>
      </c>
      <c r="E3235" s="64">
        <v>1</v>
      </c>
    </row>
    <row r="3236" spans="1:5">
      <c r="A3236" s="64" t="s">
        <v>1</v>
      </c>
      <c r="B3236" s="65">
        <v>43548</v>
      </c>
      <c r="C3236" s="66" t="s">
        <v>222</v>
      </c>
      <c r="D3236" s="3" t="s">
        <v>20</v>
      </c>
      <c r="E3236" s="64">
        <v>1</v>
      </c>
    </row>
    <row r="3237" spans="1:5">
      <c r="A3237" s="64" t="s">
        <v>1</v>
      </c>
      <c r="B3237" s="65">
        <v>43549</v>
      </c>
      <c r="C3237" s="66" t="s">
        <v>216</v>
      </c>
      <c r="D3237" s="3" t="s">
        <v>20</v>
      </c>
      <c r="E3237" s="64">
        <v>1</v>
      </c>
    </row>
    <row r="3238" spans="1:5">
      <c r="A3238" s="64" t="s">
        <v>1</v>
      </c>
      <c r="B3238" s="65">
        <v>43550</v>
      </c>
      <c r="C3238" s="66" t="s">
        <v>217</v>
      </c>
      <c r="D3238" s="3" t="s">
        <v>20</v>
      </c>
      <c r="E3238" s="64">
        <v>1</v>
      </c>
    </row>
    <row r="3239" spans="1:5">
      <c r="A3239" s="64" t="s">
        <v>1</v>
      </c>
      <c r="B3239" s="65">
        <v>43551</v>
      </c>
      <c r="C3239" s="66" t="s">
        <v>218</v>
      </c>
      <c r="D3239" s="3" t="s">
        <v>20</v>
      </c>
      <c r="E3239" s="64">
        <v>1</v>
      </c>
    </row>
    <row r="3240" spans="1:5">
      <c r="A3240" s="64" t="s">
        <v>1</v>
      </c>
      <c r="B3240" s="65">
        <v>43552</v>
      </c>
      <c r="C3240" s="66" t="s">
        <v>219</v>
      </c>
      <c r="D3240" s="3" t="s">
        <v>20</v>
      </c>
      <c r="E3240" s="64">
        <v>1</v>
      </c>
    </row>
    <row r="3241" spans="1:5">
      <c r="A3241" s="64" t="s">
        <v>1</v>
      </c>
      <c r="B3241" s="65">
        <v>43553</v>
      </c>
      <c r="C3241" s="66" t="s">
        <v>220</v>
      </c>
      <c r="D3241" s="3" t="s">
        <v>20</v>
      </c>
      <c r="E3241" s="64">
        <v>1</v>
      </c>
    </row>
    <row r="3242" spans="1:5">
      <c r="A3242" s="64" t="s">
        <v>1</v>
      </c>
      <c r="B3242" s="65">
        <v>43554</v>
      </c>
      <c r="C3242" s="66" t="s">
        <v>221</v>
      </c>
      <c r="D3242" s="3" t="s">
        <v>20</v>
      </c>
      <c r="E3242" s="64">
        <v>1</v>
      </c>
    </row>
    <row r="3243" spans="1:5">
      <c r="A3243" s="64" t="s">
        <v>1</v>
      </c>
      <c r="B3243" s="65">
        <v>43555</v>
      </c>
      <c r="C3243" s="66" t="s">
        <v>222</v>
      </c>
      <c r="D3243" s="3" t="s">
        <v>20</v>
      </c>
      <c r="E3243" s="64">
        <v>1</v>
      </c>
    </row>
    <row r="3244" spans="1:5">
      <c r="A3244" s="64" t="s">
        <v>1</v>
      </c>
      <c r="B3244" s="65">
        <v>43556</v>
      </c>
      <c r="C3244" s="66" t="s">
        <v>216</v>
      </c>
      <c r="D3244" s="3" t="s">
        <v>20</v>
      </c>
      <c r="E3244" s="64">
        <v>1</v>
      </c>
    </row>
    <row r="3245" spans="1:5">
      <c r="A3245" s="64" t="s">
        <v>1</v>
      </c>
      <c r="B3245" s="65">
        <v>43557</v>
      </c>
      <c r="C3245" s="66" t="s">
        <v>217</v>
      </c>
      <c r="D3245" s="3" t="s">
        <v>20</v>
      </c>
      <c r="E3245" s="64">
        <v>1</v>
      </c>
    </row>
    <row r="3246" spans="1:5">
      <c r="A3246" s="64" t="s">
        <v>1</v>
      </c>
      <c r="B3246" s="65">
        <v>43558</v>
      </c>
      <c r="C3246" s="66" t="s">
        <v>218</v>
      </c>
      <c r="D3246" s="3" t="s">
        <v>20</v>
      </c>
      <c r="E3246" s="64">
        <v>1</v>
      </c>
    </row>
    <row r="3247" spans="1:5">
      <c r="A3247" s="64" t="s">
        <v>1</v>
      </c>
      <c r="B3247" s="65">
        <v>43559</v>
      </c>
      <c r="C3247" s="66" t="s">
        <v>219</v>
      </c>
      <c r="D3247" s="3" t="s">
        <v>20</v>
      </c>
      <c r="E3247" s="64">
        <v>1</v>
      </c>
    </row>
    <row r="3248" spans="1:5">
      <c r="A3248" s="64" t="s">
        <v>1</v>
      </c>
      <c r="B3248" s="65">
        <v>43560</v>
      </c>
      <c r="C3248" s="66" t="s">
        <v>220</v>
      </c>
      <c r="D3248" s="3" t="s">
        <v>20</v>
      </c>
      <c r="E3248" s="64">
        <v>1</v>
      </c>
    </row>
    <row r="3249" spans="1:5">
      <c r="A3249" s="64" t="s">
        <v>1</v>
      </c>
      <c r="B3249" s="65">
        <v>43561</v>
      </c>
      <c r="C3249" s="66" t="s">
        <v>221</v>
      </c>
      <c r="D3249" s="3" t="s">
        <v>20</v>
      </c>
      <c r="E3249" s="64">
        <v>1</v>
      </c>
    </row>
    <row r="3250" spans="1:5">
      <c r="A3250" s="64" t="s">
        <v>1</v>
      </c>
      <c r="B3250" s="65">
        <v>43562</v>
      </c>
      <c r="C3250" s="66" t="s">
        <v>222</v>
      </c>
      <c r="D3250" s="3" t="s">
        <v>20</v>
      </c>
      <c r="E3250" s="64">
        <v>1</v>
      </c>
    </row>
    <row r="3251" spans="1:5">
      <c r="A3251" s="64" t="s">
        <v>1</v>
      </c>
      <c r="B3251" s="65">
        <v>43563</v>
      </c>
      <c r="C3251" s="66" t="s">
        <v>216</v>
      </c>
      <c r="D3251" s="3" t="s">
        <v>20</v>
      </c>
      <c r="E3251" s="64">
        <v>1</v>
      </c>
    </row>
    <row r="3252" spans="1:5">
      <c r="A3252" s="64" t="s">
        <v>1</v>
      </c>
      <c r="B3252" s="65">
        <v>43564</v>
      </c>
      <c r="C3252" s="66" t="s">
        <v>217</v>
      </c>
      <c r="D3252" s="3" t="s">
        <v>20</v>
      </c>
      <c r="E3252" s="64">
        <v>1</v>
      </c>
    </row>
    <row r="3253" spans="1:5">
      <c r="A3253" s="64" t="s">
        <v>1</v>
      </c>
      <c r="B3253" s="65">
        <v>43565</v>
      </c>
      <c r="C3253" s="66" t="s">
        <v>218</v>
      </c>
      <c r="D3253" s="3" t="s">
        <v>20</v>
      </c>
      <c r="E3253" s="64">
        <v>1</v>
      </c>
    </row>
    <row r="3254" spans="1:5">
      <c r="A3254" s="64" t="s">
        <v>1</v>
      </c>
      <c r="B3254" s="65">
        <v>43566</v>
      </c>
      <c r="C3254" s="66" t="s">
        <v>219</v>
      </c>
      <c r="D3254" s="3" t="s">
        <v>20</v>
      </c>
      <c r="E3254" s="64">
        <v>1</v>
      </c>
    </row>
    <row r="3255" spans="1:5">
      <c r="A3255" s="64" t="s">
        <v>1</v>
      </c>
      <c r="B3255" s="65">
        <v>43567</v>
      </c>
      <c r="C3255" s="66" t="s">
        <v>220</v>
      </c>
      <c r="D3255" s="3" t="s">
        <v>20</v>
      </c>
      <c r="E3255" s="64">
        <v>1</v>
      </c>
    </row>
    <row r="3256" spans="1:5">
      <c r="A3256" s="64" t="s">
        <v>1</v>
      </c>
      <c r="B3256" s="65">
        <v>43568</v>
      </c>
      <c r="C3256" s="66" t="s">
        <v>221</v>
      </c>
      <c r="D3256" s="3" t="s">
        <v>20</v>
      </c>
      <c r="E3256" s="64">
        <v>1</v>
      </c>
    </row>
    <row r="3257" spans="1:5">
      <c r="A3257" s="64" t="s">
        <v>1</v>
      </c>
      <c r="B3257" s="65">
        <v>43569</v>
      </c>
      <c r="C3257" s="66" t="s">
        <v>222</v>
      </c>
      <c r="D3257" s="3" t="s">
        <v>20</v>
      </c>
      <c r="E3257" s="64">
        <v>1</v>
      </c>
    </row>
    <row r="3258" spans="1:5">
      <c r="A3258" s="64" t="s">
        <v>1</v>
      </c>
      <c r="B3258" s="65">
        <v>43570</v>
      </c>
      <c r="C3258" s="66" t="s">
        <v>216</v>
      </c>
      <c r="D3258" s="3" t="s">
        <v>20</v>
      </c>
      <c r="E3258" s="64">
        <v>1</v>
      </c>
    </row>
    <row r="3259" spans="1:5">
      <c r="A3259" s="64" t="s">
        <v>1</v>
      </c>
      <c r="B3259" s="65">
        <v>43571</v>
      </c>
      <c r="C3259" s="66" t="s">
        <v>217</v>
      </c>
      <c r="D3259" s="3" t="s">
        <v>20</v>
      </c>
      <c r="E3259" s="64">
        <v>1</v>
      </c>
    </row>
    <row r="3260" spans="1:5">
      <c r="A3260" s="64" t="s">
        <v>1</v>
      </c>
      <c r="B3260" s="65">
        <v>43572</v>
      </c>
      <c r="C3260" s="66" t="s">
        <v>218</v>
      </c>
      <c r="D3260" s="3" t="s">
        <v>20</v>
      </c>
      <c r="E3260" s="64">
        <v>1</v>
      </c>
    </row>
    <row r="3261" spans="1:5">
      <c r="A3261" s="64" t="s">
        <v>1</v>
      </c>
      <c r="B3261" s="65">
        <v>43573</v>
      </c>
      <c r="C3261" s="66" t="s">
        <v>219</v>
      </c>
      <c r="D3261" s="3" t="s">
        <v>20</v>
      </c>
      <c r="E3261" s="64">
        <v>1</v>
      </c>
    </row>
    <row r="3262" spans="1:5">
      <c r="A3262" s="64" t="s">
        <v>1</v>
      </c>
      <c r="B3262" s="65">
        <v>43574</v>
      </c>
      <c r="C3262" s="66" t="s">
        <v>220</v>
      </c>
      <c r="D3262" s="3" t="s">
        <v>20</v>
      </c>
      <c r="E3262" s="64">
        <v>1</v>
      </c>
    </row>
    <row r="3263" spans="1:5">
      <c r="A3263" s="64" t="s">
        <v>1</v>
      </c>
      <c r="B3263" s="65">
        <v>43575</v>
      </c>
      <c r="C3263" s="66" t="s">
        <v>221</v>
      </c>
      <c r="D3263" s="3" t="s">
        <v>20</v>
      </c>
      <c r="E3263" s="64">
        <v>1</v>
      </c>
    </row>
    <row r="3264" spans="1:5">
      <c r="A3264" s="64" t="s">
        <v>1</v>
      </c>
      <c r="B3264" s="65">
        <v>43576</v>
      </c>
      <c r="C3264" s="66" t="s">
        <v>222</v>
      </c>
      <c r="D3264" s="3" t="s">
        <v>20</v>
      </c>
      <c r="E3264" s="64">
        <v>1</v>
      </c>
    </row>
    <row r="3265" spans="1:5">
      <c r="A3265" s="64" t="s">
        <v>1</v>
      </c>
      <c r="B3265" s="65">
        <v>43577</v>
      </c>
      <c r="C3265" s="66" t="s">
        <v>216</v>
      </c>
      <c r="D3265" s="3" t="s">
        <v>20</v>
      </c>
      <c r="E3265" s="64">
        <v>1</v>
      </c>
    </row>
    <row r="3266" spans="1:5">
      <c r="A3266" s="64" t="s">
        <v>1</v>
      </c>
      <c r="B3266" s="65">
        <v>43578</v>
      </c>
      <c r="C3266" s="66" t="s">
        <v>217</v>
      </c>
      <c r="D3266" s="3" t="s">
        <v>20</v>
      </c>
      <c r="E3266" s="64">
        <v>1</v>
      </c>
    </row>
    <row r="3267" spans="1:5">
      <c r="A3267" s="64" t="s">
        <v>1</v>
      </c>
      <c r="B3267" s="65">
        <v>43579</v>
      </c>
      <c r="C3267" s="66" t="s">
        <v>218</v>
      </c>
      <c r="D3267" s="3" t="s">
        <v>20</v>
      </c>
      <c r="E3267" s="64">
        <v>1</v>
      </c>
    </row>
    <row r="3268" spans="1:5">
      <c r="A3268" s="64" t="s">
        <v>1</v>
      </c>
      <c r="B3268" s="65">
        <v>43580</v>
      </c>
      <c r="C3268" s="66" t="s">
        <v>219</v>
      </c>
      <c r="D3268" s="3" t="s">
        <v>20</v>
      </c>
      <c r="E3268" s="64">
        <v>1</v>
      </c>
    </row>
    <row r="3269" spans="1:5">
      <c r="A3269" s="64" t="s">
        <v>1</v>
      </c>
      <c r="B3269" s="65">
        <v>43581</v>
      </c>
      <c r="C3269" s="66" t="s">
        <v>220</v>
      </c>
      <c r="D3269" s="3" t="s">
        <v>20</v>
      </c>
      <c r="E3269" s="64">
        <v>1</v>
      </c>
    </row>
    <row r="3270" spans="1:5">
      <c r="A3270" s="64" t="s">
        <v>1</v>
      </c>
      <c r="B3270" s="65">
        <v>43582</v>
      </c>
      <c r="C3270" s="66" t="s">
        <v>221</v>
      </c>
      <c r="D3270" s="3" t="s">
        <v>20</v>
      </c>
      <c r="E3270" s="64">
        <v>1</v>
      </c>
    </row>
    <row r="3271" spans="1:5">
      <c r="A3271" s="64" t="s">
        <v>1</v>
      </c>
      <c r="B3271" s="65">
        <v>43583</v>
      </c>
      <c r="C3271" s="66" t="s">
        <v>222</v>
      </c>
      <c r="D3271" s="3" t="s">
        <v>20</v>
      </c>
      <c r="E3271" s="64">
        <v>1</v>
      </c>
    </row>
    <row r="3272" spans="1:5">
      <c r="A3272" s="64" t="s">
        <v>1</v>
      </c>
      <c r="B3272" s="65">
        <v>43584</v>
      </c>
      <c r="C3272" s="66" t="s">
        <v>216</v>
      </c>
      <c r="D3272" s="3" t="s">
        <v>20</v>
      </c>
      <c r="E3272" s="64">
        <v>1</v>
      </c>
    </row>
    <row r="3273" spans="1:5">
      <c r="A3273" s="64" t="s">
        <v>1</v>
      </c>
      <c r="B3273" s="65">
        <v>43585</v>
      </c>
      <c r="C3273" s="66" t="s">
        <v>217</v>
      </c>
      <c r="D3273" s="3" t="s">
        <v>20</v>
      </c>
      <c r="E3273" s="64">
        <v>1</v>
      </c>
    </row>
    <row r="3274" spans="1:5">
      <c r="A3274" s="64" t="s">
        <v>1</v>
      </c>
      <c r="B3274" s="65">
        <v>43586</v>
      </c>
      <c r="C3274" s="66" t="s">
        <v>218</v>
      </c>
      <c r="D3274" s="3" t="s">
        <v>20</v>
      </c>
      <c r="E3274" s="64">
        <v>1</v>
      </c>
    </row>
    <row r="3275" spans="1:5">
      <c r="A3275" s="64" t="s">
        <v>1</v>
      </c>
      <c r="B3275" s="65">
        <v>43587</v>
      </c>
      <c r="C3275" s="66" t="s">
        <v>219</v>
      </c>
      <c r="D3275" s="3" t="s">
        <v>20</v>
      </c>
      <c r="E3275" s="64">
        <v>1</v>
      </c>
    </row>
    <row r="3276" spans="1:5">
      <c r="A3276" s="64" t="s">
        <v>1</v>
      </c>
      <c r="B3276" s="65">
        <v>43588</v>
      </c>
      <c r="C3276" s="66" t="s">
        <v>220</v>
      </c>
      <c r="D3276" s="3" t="s">
        <v>20</v>
      </c>
      <c r="E3276" s="64">
        <v>1</v>
      </c>
    </row>
    <row r="3277" spans="1:5">
      <c r="A3277" s="64" t="s">
        <v>1</v>
      </c>
      <c r="B3277" s="65">
        <v>43589</v>
      </c>
      <c r="C3277" s="66" t="s">
        <v>221</v>
      </c>
      <c r="D3277" s="3" t="s">
        <v>20</v>
      </c>
      <c r="E3277" s="64">
        <v>1</v>
      </c>
    </row>
    <row r="3278" spans="1:5">
      <c r="A3278" s="64" t="s">
        <v>1</v>
      </c>
      <c r="B3278" s="65">
        <v>43590</v>
      </c>
      <c r="C3278" s="66" t="s">
        <v>222</v>
      </c>
      <c r="D3278" s="3" t="s">
        <v>20</v>
      </c>
      <c r="E3278" s="64">
        <v>1</v>
      </c>
    </row>
    <row r="3279" spans="1:5">
      <c r="A3279" s="64" t="s">
        <v>1</v>
      </c>
      <c r="B3279" s="65">
        <v>43591</v>
      </c>
      <c r="C3279" s="66" t="s">
        <v>216</v>
      </c>
      <c r="D3279" s="3" t="s">
        <v>20</v>
      </c>
      <c r="E3279" s="64">
        <v>1</v>
      </c>
    </row>
    <row r="3280" spans="1:5">
      <c r="A3280" s="64" t="s">
        <v>1</v>
      </c>
      <c r="B3280" s="65">
        <v>43592</v>
      </c>
      <c r="C3280" s="66" t="s">
        <v>217</v>
      </c>
      <c r="D3280" s="3" t="s">
        <v>20</v>
      </c>
      <c r="E3280" s="64">
        <v>1</v>
      </c>
    </row>
    <row r="3281" spans="1:5">
      <c r="A3281" s="64" t="s">
        <v>1</v>
      </c>
      <c r="B3281" s="65">
        <v>43593</v>
      </c>
      <c r="C3281" s="66" t="s">
        <v>218</v>
      </c>
      <c r="D3281" s="3" t="s">
        <v>20</v>
      </c>
      <c r="E3281" s="64">
        <v>1</v>
      </c>
    </row>
    <row r="3282" spans="1:5">
      <c r="A3282" s="64" t="s">
        <v>1</v>
      </c>
      <c r="B3282" s="65">
        <v>43594</v>
      </c>
      <c r="C3282" s="66" t="s">
        <v>219</v>
      </c>
      <c r="D3282" s="3" t="s">
        <v>20</v>
      </c>
      <c r="E3282" s="64">
        <v>1</v>
      </c>
    </row>
    <row r="3283" spans="1:5">
      <c r="A3283" s="64" t="s">
        <v>1</v>
      </c>
      <c r="B3283" s="65">
        <v>43595</v>
      </c>
      <c r="C3283" s="66" t="s">
        <v>220</v>
      </c>
      <c r="D3283" s="3" t="s">
        <v>20</v>
      </c>
      <c r="E3283" s="64">
        <v>1</v>
      </c>
    </row>
    <row r="3284" spans="1:5">
      <c r="A3284" s="64" t="s">
        <v>1</v>
      </c>
      <c r="B3284" s="65">
        <v>43467</v>
      </c>
      <c r="C3284" s="66" t="s">
        <v>218</v>
      </c>
      <c r="D3284" s="3" t="s">
        <v>21</v>
      </c>
      <c r="E3284" s="64">
        <v>1</v>
      </c>
    </row>
    <row r="3285" spans="1:5">
      <c r="A3285" s="64" t="s">
        <v>1</v>
      </c>
      <c r="B3285" s="65">
        <v>43468</v>
      </c>
      <c r="C3285" s="66" t="s">
        <v>219</v>
      </c>
      <c r="D3285" s="3" t="s">
        <v>21</v>
      </c>
      <c r="E3285" s="64">
        <v>1</v>
      </c>
    </row>
    <row r="3286" spans="1:5">
      <c r="A3286" s="64" t="s">
        <v>1</v>
      </c>
      <c r="B3286" s="65">
        <v>43469</v>
      </c>
      <c r="C3286" s="66" t="s">
        <v>220</v>
      </c>
      <c r="D3286" s="3" t="s">
        <v>21</v>
      </c>
      <c r="E3286" s="64">
        <v>1</v>
      </c>
    </row>
    <row r="3287" spans="1:5">
      <c r="A3287" s="64" t="s">
        <v>1</v>
      </c>
      <c r="B3287" s="65">
        <v>43470</v>
      </c>
      <c r="C3287" s="66" t="s">
        <v>221</v>
      </c>
      <c r="D3287" s="3" t="s">
        <v>21</v>
      </c>
      <c r="E3287" s="64">
        <v>1</v>
      </c>
    </row>
    <row r="3288" spans="1:5">
      <c r="A3288" s="64" t="s">
        <v>1</v>
      </c>
      <c r="B3288" s="65">
        <v>43471</v>
      </c>
      <c r="C3288" s="66" t="s">
        <v>222</v>
      </c>
      <c r="D3288" s="3" t="s">
        <v>21</v>
      </c>
      <c r="E3288" s="64">
        <v>1</v>
      </c>
    </row>
    <row r="3289" spans="1:5">
      <c r="A3289" s="64" t="s">
        <v>1</v>
      </c>
      <c r="B3289" s="65">
        <v>43472</v>
      </c>
      <c r="C3289" s="66" t="s">
        <v>216</v>
      </c>
      <c r="D3289" s="3" t="s">
        <v>21</v>
      </c>
      <c r="E3289" s="64">
        <v>1</v>
      </c>
    </row>
    <row r="3290" spans="1:5">
      <c r="A3290" s="64" t="s">
        <v>1</v>
      </c>
      <c r="B3290" s="65">
        <v>43473</v>
      </c>
      <c r="C3290" s="66" t="s">
        <v>217</v>
      </c>
      <c r="D3290" s="3" t="s">
        <v>21</v>
      </c>
      <c r="E3290" s="64">
        <v>1</v>
      </c>
    </row>
    <row r="3291" spans="1:5">
      <c r="A3291" s="64" t="s">
        <v>1</v>
      </c>
      <c r="B3291" s="65">
        <v>43474</v>
      </c>
      <c r="C3291" s="66" t="s">
        <v>218</v>
      </c>
      <c r="D3291" s="3" t="s">
        <v>21</v>
      </c>
      <c r="E3291" s="64">
        <v>1</v>
      </c>
    </row>
    <row r="3292" spans="1:5">
      <c r="A3292" s="64" t="s">
        <v>1</v>
      </c>
      <c r="B3292" s="65">
        <v>43475</v>
      </c>
      <c r="C3292" s="66" t="s">
        <v>219</v>
      </c>
      <c r="D3292" s="3" t="s">
        <v>21</v>
      </c>
      <c r="E3292" s="64">
        <v>1</v>
      </c>
    </row>
    <row r="3293" spans="1:5">
      <c r="A3293" s="64" t="s">
        <v>1</v>
      </c>
      <c r="B3293" s="65">
        <v>43476</v>
      </c>
      <c r="C3293" s="66" t="s">
        <v>220</v>
      </c>
      <c r="D3293" s="3" t="s">
        <v>21</v>
      </c>
      <c r="E3293" s="64">
        <v>1</v>
      </c>
    </row>
    <row r="3294" spans="1:5">
      <c r="A3294" s="64" t="s">
        <v>1</v>
      </c>
      <c r="B3294" s="65">
        <v>43477</v>
      </c>
      <c r="C3294" s="66" t="s">
        <v>221</v>
      </c>
      <c r="D3294" s="3" t="s">
        <v>21</v>
      </c>
      <c r="E3294" s="64">
        <v>1</v>
      </c>
    </row>
    <row r="3295" spans="1:5">
      <c r="A3295" s="64" t="s">
        <v>1</v>
      </c>
      <c r="B3295" s="65">
        <v>43478</v>
      </c>
      <c r="C3295" s="66" t="s">
        <v>222</v>
      </c>
      <c r="D3295" s="3" t="s">
        <v>21</v>
      </c>
      <c r="E3295" s="64">
        <v>1</v>
      </c>
    </row>
    <row r="3296" spans="1:5">
      <c r="A3296" s="64" t="s">
        <v>1</v>
      </c>
      <c r="B3296" s="65">
        <v>43479</v>
      </c>
      <c r="C3296" s="66" t="s">
        <v>216</v>
      </c>
      <c r="D3296" s="3" t="s">
        <v>21</v>
      </c>
      <c r="E3296" s="64">
        <v>1</v>
      </c>
    </row>
    <row r="3297" spans="1:5">
      <c r="A3297" s="64" t="s">
        <v>1</v>
      </c>
      <c r="B3297" s="65">
        <v>43480</v>
      </c>
      <c r="C3297" s="66" t="s">
        <v>217</v>
      </c>
      <c r="D3297" s="3" t="s">
        <v>21</v>
      </c>
      <c r="E3297" s="64">
        <v>1</v>
      </c>
    </row>
    <row r="3298" spans="1:5">
      <c r="A3298" s="64" t="s">
        <v>1</v>
      </c>
      <c r="B3298" s="65">
        <v>43481</v>
      </c>
      <c r="C3298" s="66" t="s">
        <v>218</v>
      </c>
      <c r="D3298" s="3" t="s">
        <v>21</v>
      </c>
      <c r="E3298" s="64">
        <v>1</v>
      </c>
    </row>
    <row r="3299" spans="1:5">
      <c r="A3299" s="64" t="s">
        <v>1</v>
      </c>
      <c r="B3299" s="65">
        <v>43482</v>
      </c>
      <c r="C3299" s="66" t="s">
        <v>219</v>
      </c>
      <c r="D3299" s="3" t="s">
        <v>21</v>
      </c>
      <c r="E3299" s="64">
        <v>1</v>
      </c>
    </row>
    <row r="3300" spans="1:5">
      <c r="A3300" s="64" t="s">
        <v>1</v>
      </c>
      <c r="B3300" s="65">
        <v>43483</v>
      </c>
      <c r="C3300" s="66" t="s">
        <v>220</v>
      </c>
      <c r="D3300" s="3" t="s">
        <v>21</v>
      </c>
      <c r="E3300" s="64">
        <v>1</v>
      </c>
    </row>
    <row r="3301" spans="1:5">
      <c r="A3301" s="64" t="s">
        <v>1</v>
      </c>
      <c r="B3301" s="65">
        <v>43484</v>
      </c>
      <c r="C3301" s="66" t="s">
        <v>221</v>
      </c>
      <c r="D3301" s="3" t="s">
        <v>21</v>
      </c>
      <c r="E3301" s="64">
        <v>1</v>
      </c>
    </row>
    <row r="3302" spans="1:5">
      <c r="A3302" s="64" t="s">
        <v>1</v>
      </c>
      <c r="B3302" s="65">
        <v>43485</v>
      </c>
      <c r="C3302" s="66" t="s">
        <v>222</v>
      </c>
      <c r="D3302" s="3" t="s">
        <v>21</v>
      </c>
      <c r="E3302" s="64">
        <v>1</v>
      </c>
    </row>
    <row r="3303" spans="1:5">
      <c r="A3303" s="64" t="s">
        <v>1</v>
      </c>
      <c r="B3303" s="65">
        <v>43486</v>
      </c>
      <c r="C3303" s="66" t="s">
        <v>216</v>
      </c>
      <c r="D3303" s="3" t="s">
        <v>21</v>
      </c>
      <c r="E3303" s="64">
        <v>1</v>
      </c>
    </row>
    <row r="3304" spans="1:5">
      <c r="A3304" s="64" t="s">
        <v>1</v>
      </c>
      <c r="B3304" s="65">
        <v>43487</v>
      </c>
      <c r="C3304" s="66" t="s">
        <v>217</v>
      </c>
      <c r="D3304" s="3" t="s">
        <v>21</v>
      </c>
      <c r="E3304" s="64">
        <v>1</v>
      </c>
    </row>
    <row r="3305" spans="1:5">
      <c r="A3305" s="64" t="s">
        <v>1</v>
      </c>
      <c r="B3305" s="65">
        <v>43488</v>
      </c>
      <c r="C3305" s="66" t="s">
        <v>218</v>
      </c>
      <c r="D3305" s="3" t="s">
        <v>21</v>
      </c>
      <c r="E3305" s="64">
        <v>1</v>
      </c>
    </row>
    <row r="3306" spans="1:5">
      <c r="A3306" s="64" t="s">
        <v>1</v>
      </c>
      <c r="B3306" s="65">
        <v>43489</v>
      </c>
      <c r="C3306" s="66" t="s">
        <v>219</v>
      </c>
      <c r="D3306" s="3" t="s">
        <v>21</v>
      </c>
      <c r="E3306" s="64">
        <v>1</v>
      </c>
    </row>
    <row r="3307" spans="1:5">
      <c r="A3307" s="64" t="s">
        <v>1</v>
      </c>
      <c r="B3307" s="65">
        <v>43490</v>
      </c>
      <c r="C3307" s="66" t="s">
        <v>220</v>
      </c>
      <c r="D3307" s="3" t="s">
        <v>21</v>
      </c>
      <c r="E3307" s="64">
        <v>1</v>
      </c>
    </row>
    <row r="3308" spans="1:5">
      <c r="A3308" s="64" t="s">
        <v>1</v>
      </c>
      <c r="B3308" s="65">
        <v>43491</v>
      </c>
      <c r="C3308" s="66" t="s">
        <v>221</v>
      </c>
      <c r="D3308" s="3" t="s">
        <v>21</v>
      </c>
      <c r="E3308" s="64">
        <v>1</v>
      </c>
    </row>
    <row r="3309" spans="1:5">
      <c r="A3309" s="64" t="s">
        <v>1</v>
      </c>
      <c r="B3309" s="65">
        <v>43492</v>
      </c>
      <c r="C3309" s="66" t="s">
        <v>222</v>
      </c>
      <c r="D3309" s="3" t="s">
        <v>21</v>
      </c>
      <c r="E3309" s="64">
        <v>1</v>
      </c>
    </row>
    <row r="3310" spans="1:5">
      <c r="A3310" s="64" t="s">
        <v>1</v>
      </c>
      <c r="B3310" s="65">
        <v>43493</v>
      </c>
      <c r="C3310" s="66" t="s">
        <v>216</v>
      </c>
      <c r="D3310" s="3" t="s">
        <v>21</v>
      </c>
      <c r="E3310" s="64">
        <v>1</v>
      </c>
    </row>
    <row r="3311" spans="1:5">
      <c r="A3311" s="64" t="s">
        <v>1</v>
      </c>
      <c r="B3311" s="65">
        <v>43494</v>
      </c>
      <c r="C3311" s="66" t="s">
        <v>217</v>
      </c>
      <c r="D3311" s="3" t="s">
        <v>21</v>
      </c>
      <c r="E3311" s="64">
        <v>1</v>
      </c>
    </row>
    <row r="3312" spans="1:5">
      <c r="A3312" s="64" t="s">
        <v>1</v>
      </c>
      <c r="B3312" s="65">
        <v>43495</v>
      </c>
      <c r="C3312" s="66" t="s">
        <v>218</v>
      </c>
      <c r="D3312" s="3" t="s">
        <v>21</v>
      </c>
      <c r="E3312" s="64">
        <v>1</v>
      </c>
    </row>
    <row r="3313" spans="1:5">
      <c r="A3313" s="64" t="s">
        <v>1</v>
      </c>
      <c r="B3313" s="65">
        <v>43496</v>
      </c>
      <c r="C3313" s="66" t="s">
        <v>219</v>
      </c>
      <c r="D3313" s="3" t="s">
        <v>21</v>
      </c>
      <c r="E3313" s="64">
        <v>1</v>
      </c>
    </row>
    <row r="3314" spans="1:5">
      <c r="A3314" s="64" t="s">
        <v>1</v>
      </c>
      <c r="B3314" s="65">
        <v>43497</v>
      </c>
      <c r="C3314" s="66" t="s">
        <v>220</v>
      </c>
      <c r="D3314" s="3" t="s">
        <v>21</v>
      </c>
      <c r="E3314" s="64">
        <v>1</v>
      </c>
    </row>
    <row r="3315" spans="1:5">
      <c r="A3315" s="64" t="s">
        <v>1</v>
      </c>
      <c r="B3315" s="65">
        <v>43498</v>
      </c>
      <c r="C3315" s="66" t="s">
        <v>221</v>
      </c>
      <c r="D3315" s="3" t="s">
        <v>21</v>
      </c>
      <c r="E3315" s="64">
        <v>1</v>
      </c>
    </row>
    <row r="3316" spans="1:5">
      <c r="A3316" s="64" t="s">
        <v>1</v>
      </c>
      <c r="B3316" s="65">
        <v>43499</v>
      </c>
      <c r="C3316" s="66" t="s">
        <v>222</v>
      </c>
      <c r="D3316" s="3" t="s">
        <v>21</v>
      </c>
      <c r="E3316" s="64">
        <v>1</v>
      </c>
    </row>
    <row r="3317" spans="1:5">
      <c r="A3317" s="64" t="s">
        <v>1</v>
      </c>
      <c r="B3317" s="65">
        <v>43500</v>
      </c>
      <c r="C3317" s="66" t="s">
        <v>216</v>
      </c>
      <c r="D3317" s="3" t="s">
        <v>21</v>
      </c>
      <c r="E3317" s="64">
        <v>1</v>
      </c>
    </row>
    <row r="3318" spans="1:5">
      <c r="A3318" s="64" t="s">
        <v>1</v>
      </c>
      <c r="B3318" s="65">
        <v>43501</v>
      </c>
      <c r="C3318" s="66" t="s">
        <v>217</v>
      </c>
      <c r="D3318" s="3" t="s">
        <v>21</v>
      </c>
      <c r="E3318" s="64">
        <v>1</v>
      </c>
    </row>
    <row r="3319" spans="1:5">
      <c r="A3319" s="64" t="s">
        <v>1</v>
      </c>
      <c r="B3319" s="65">
        <v>43502</v>
      </c>
      <c r="C3319" s="66" t="s">
        <v>218</v>
      </c>
      <c r="D3319" s="3" t="s">
        <v>21</v>
      </c>
      <c r="E3319" s="64">
        <v>1</v>
      </c>
    </row>
    <row r="3320" spans="1:5">
      <c r="A3320" s="64" t="s">
        <v>1</v>
      </c>
      <c r="B3320" s="65">
        <v>43503</v>
      </c>
      <c r="C3320" s="66" t="s">
        <v>219</v>
      </c>
      <c r="D3320" s="3" t="s">
        <v>21</v>
      </c>
      <c r="E3320" s="64">
        <v>1</v>
      </c>
    </row>
    <row r="3321" spans="1:5">
      <c r="A3321" s="64" t="s">
        <v>1</v>
      </c>
      <c r="B3321" s="65">
        <v>43504</v>
      </c>
      <c r="C3321" s="66" t="s">
        <v>220</v>
      </c>
      <c r="D3321" s="3" t="s">
        <v>21</v>
      </c>
      <c r="E3321" s="64">
        <v>1</v>
      </c>
    </row>
    <row r="3322" spans="1:5">
      <c r="A3322" s="64" t="s">
        <v>1</v>
      </c>
      <c r="B3322" s="65">
        <v>43505</v>
      </c>
      <c r="C3322" s="66" t="s">
        <v>221</v>
      </c>
      <c r="D3322" s="3" t="s">
        <v>21</v>
      </c>
      <c r="E3322" s="64">
        <v>1</v>
      </c>
    </row>
    <row r="3323" spans="1:5">
      <c r="A3323" s="64" t="s">
        <v>1</v>
      </c>
      <c r="B3323" s="65">
        <v>43506</v>
      </c>
      <c r="C3323" s="66" t="s">
        <v>222</v>
      </c>
      <c r="D3323" s="3" t="s">
        <v>21</v>
      </c>
      <c r="E3323" s="64">
        <v>1</v>
      </c>
    </row>
    <row r="3324" spans="1:5">
      <c r="A3324" s="64" t="s">
        <v>1</v>
      </c>
      <c r="B3324" s="65">
        <v>43507</v>
      </c>
      <c r="C3324" s="66" t="s">
        <v>216</v>
      </c>
      <c r="D3324" s="3" t="s">
        <v>21</v>
      </c>
      <c r="E3324" s="64">
        <v>1</v>
      </c>
    </row>
    <row r="3325" spans="1:5">
      <c r="A3325" s="64" t="s">
        <v>1</v>
      </c>
      <c r="B3325" s="65">
        <v>43508</v>
      </c>
      <c r="C3325" s="66" t="s">
        <v>217</v>
      </c>
      <c r="D3325" s="3" t="s">
        <v>21</v>
      </c>
      <c r="E3325" s="64">
        <v>1</v>
      </c>
    </row>
    <row r="3326" spans="1:5">
      <c r="A3326" s="64" t="s">
        <v>1</v>
      </c>
      <c r="B3326" s="65">
        <v>43509</v>
      </c>
      <c r="C3326" s="66" t="s">
        <v>218</v>
      </c>
      <c r="D3326" s="3" t="s">
        <v>21</v>
      </c>
      <c r="E3326" s="64">
        <v>1</v>
      </c>
    </row>
    <row r="3327" spans="1:5">
      <c r="A3327" s="64" t="s">
        <v>1</v>
      </c>
      <c r="B3327" s="65">
        <v>43510</v>
      </c>
      <c r="C3327" s="66" t="s">
        <v>219</v>
      </c>
      <c r="D3327" s="3" t="s">
        <v>21</v>
      </c>
      <c r="E3327" s="64">
        <v>1</v>
      </c>
    </row>
    <row r="3328" spans="1:5">
      <c r="A3328" s="64" t="s">
        <v>1</v>
      </c>
      <c r="B3328" s="65">
        <v>43511</v>
      </c>
      <c r="C3328" s="66" t="s">
        <v>220</v>
      </c>
      <c r="D3328" s="3" t="s">
        <v>21</v>
      </c>
      <c r="E3328" s="64">
        <v>1</v>
      </c>
    </row>
    <row r="3329" spans="1:5">
      <c r="A3329" s="64" t="s">
        <v>1</v>
      </c>
      <c r="B3329" s="65">
        <v>43512</v>
      </c>
      <c r="C3329" s="66" t="s">
        <v>221</v>
      </c>
      <c r="D3329" s="3" t="s">
        <v>21</v>
      </c>
      <c r="E3329" s="64">
        <v>1</v>
      </c>
    </row>
    <row r="3330" spans="1:5">
      <c r="A3330" s="64" t="s">
        <v>1</v>
      </c>
      <c r="B3330" s="65">
        <v>43513</v>
      </c>
      <c r="C3330" s="66" t="s">
        <v>222</v>
      </c>
      <c r="D3330" s="3" t="s">
        <v>21</v>
      </c>
      <c r="E3330" s="64">
        <v>1</v>
      </c>
    </row>
    <row r="3331" spans="1:5">
      <c r="A3331" s="64" t="s">
        <v>1</v>
      </c>
      <c r="B3331" s="65">
        <v>43514</v>
      </c>
      <c r="C3331" s="66" t="s">
        <v>216</v>
      </c>
      <c r="D3331" s="3" t="s">
        <v>21</v>
      </c>
      <c r="E3331" s="64">
        <v>1</v>
      </c>
    </row>
    <row r="3332" spans="1:5">
      <c r="A3332" s="64" t="s">
        <v>1</v>
      </c>
      <c r="B3332" s="65">
        <v>43515</v>
      </c>
      <c r="C3332" s="66" t="s">
        <v>217</v>
      </c>
      <c r="D3332" s="3" t="s">
        <v>21</v>
      </c>
      <c r="E3332" s="64">
        <v>1</v>
      </c>
    </row>
    <row r="3333" spans="1:5">
      <c r="A3333" s="64" t="s">
        <v>1</v>
      </c>
      <c r="B3333" s="65">
        <v>43516</v>
      </c>
      <c r="C3333" s="66" t="s">
        <v>218</v>
      </c>
      <c r="D3333" s="3" t="s">
        <v>21</v>
      </c>
      <c r="E3333" s="64">
        <v>1</v>
      </c>
    </row>
    <row r="3334" spans="1:5">
      <c r="A3334" s="64" t="s">
        <v>1</v>
      </c>
      <c r="B3334" s="65">
        <v>43517</v>
      </c>
      <c r="C3334" s="66" t="s">
        <v>219</v>
      </c>
      <c r="D3334" s="3" t="s">
        <v>21</v>
      </c>
      <c r="E3334" s="64">
        <v>1</v>
      </c>
    </row>
    <row r="3335" spans="1:5">
      <c r="A3335" s="64" t="s">
        <v>1</v>
      </c>
      <c r="B3335" s="65">
        <v>43518</v>
      </c>
      <c r="C3335" s="66" t="s">
        <v>220</v>
      </c>
      <c r="D3335" s="3" t="s">
        <v>21</v>
      </c>
      <c r="E3335" s="64">
        <v>1</v>
      </c>
    </row>
    <row r="3336" spans="1:5">
      <c r="A3336" s="64" t="s">
        <v>1</v>
      </c>
      <c r="B3336" s="65">
        <v>43519</v>
      </c>
      <c r="C3336" s="66" t="s">
        <v>221</v>
      </c>
      <c r="D3336" s="3" t="s">
        <v>21</v>
      </c>
      <c r="E3336" s="64">
        <v>1</v>
      </c>
    </row>
    <row r="3337" spans="1:5">
      <c r="A3337" s="64" t="s">
        <v>1</v>
      </c>
      <c r="B3337" s="65">
        <v>43520</v>
      </c>
      <c r="C3337" s="66" t="s">
        <v>222</v>
      </c>
      <c r="D3337" s="3" t="s">
        <v>21</v>
      </c>
      <c r="E3337" s="64">
        <v>1</v>
      </c>
    </row>
    <row r="3338" spans="1:5">
      <c r="A3338" s="64" t="s">
        <v>1</v>
      </c>
      <c r="B3338" s="65">
        <v>43521</v>
      </c>
      <c r="C3338" s="66" t="s">
        <v>216</v>
      </c>
      <c r="D3338" s="3" t="s">
        <v>21</v>
      </c>
      <c r="E3338" s="64">
        <v>1</v>
      </c>
    </row>
    <row r="3339" spans="1:5">
      <c r="A3339" s="64" t="s">
        <v>1</v>
      </c>
      <c r="B3339" s="65">
        <v>43522</v>
      </c>
      <c r="C3339" s="66" t="s">
        <v>217</v>
      </c>
      <c r="D3339" s="3" t="s">
        <v>21</v>
      </c>
      <c r="E3339" s="64">
        <v>1</v>
      </c>
    </row>
    <row r="3340" spans="1:5">
      <c r="A3340" s="64" t="s">
        <v>1</v>
      </c>
      <c r="B3340" s="65">
        <v>43523</v>
      </c>
      <c r="C3340" s="66" t="s">
        <v>218</v>
      </c>
      <c r="D3340" s="3" t="s">
        <v>21</v>
      </c>
      <c r="E3340" s="64">
        <v>1</v>
      </c>
    </row>
    <row r="3341" spans="1:5">
      <c r="A3341" s="64" t="s">
        <v>1</v>
      </c>
      <c r="B3341" s="65">
        <v>43524</v>
      </c>
      <c r="C3341" s="66" t="s">
        <v>219</v>
      </c>
      <c r="D3341" s="3" t="s">
        <v>21</v>
      </c>
      <c r="E3341" s="64">
        <v>1</v>
      </c>
    </row>
    <row r="3342" spans="1:5">
      <c r="A3342" s="64" t="s">
        <v>1</v>
      </c>
      <c r="B3342" s="65">
        <v>43525</v>
      </c>
      <c r="C3342" s="66" t="s">
        <v>220</v>
      </c>
      <c r="D3342" s="3" t="s">
        <v>21</v>
      </c>
      <c r="E3342" s="64">
        <v>1</v>
      </c>
    </row>
    <row r="3343" spans="1:5">
      <c r="A3343" s="64" t="s">
        <v>1</v>
      </c>
      <c r="B3343" s="65">
        <v>43526</v>
      </c>
      <c r="C3343" s="66" t="s">
        <v>221</v>
      </c>
      <c r="D3343" s="3" t="s">
        <v>21</v>
      </c>
      <c r="E3343" s="64">
        <v>1</v>
      </c>
    </row>
    <row r="3344" spans="1:5">
      <c r="A3344" s="64" t="s">
        <v>1</v>
      </c>
      <c r="B3344" s="65">
        <v>43527</v>
      </c>
      <c r="C3344" s="66" t="s">
        <v>222</v>
      </c>
      <c r="D3344" s="3" t="s">
        <v>21</v>
      </c>
      <c r="E3344" s="64">
        <v>1</v>
      </c>
    </row>
    <row r="3345" spans="1:5">
      <c r="A3345" s="64" t="s">
        <v>1</v>
      </c>
      <c r="B3345" s="65">
        <v>43528</v>
      </c>
      <c r="C3345" s="66" t="s">
        <v>216</v>
      </c>
      <c r="D3345" s="3" t="s">
        <v>21</v>
      </c>
      <c r="E3345" s="64">
        <v>1</v>
      </c>
    </row>
    <row r="3346" spans="1:5">
      <c r="A3346" s="64" t="s">
        <v>1</v>
      </c>
      <c r="B3346" s="65">
        <v>43529</v>
      </c>
      <c r="C3346" s="66" t="s">
        <v>217</v>
      </c>
      <c r="D3346" s="3" t="s">
        <v>21</v>
      </c>
      <c r="E3346" s="64">
        <v>1</v>
      </c>
    </row>
    <row r="3347" spans="1:5">
      <c r="A3347" s="64" t="s">
        <v>1</v>
      </c>
      <c r="B3347" s="65">
        <v>43530</v>
      </c>
      <c r="C3347" s="66" t="s">
        <v>218</v>
      </c>
      <c r="D3347" s="3" t="s">
        <v>21</v>
      </c>
      <c r="E3347" s="64">
        <v>1</v>
      </c>
    </row>
    <row r="3348" spans="1:5">
      <c r="A3348" s="64" t="s">
        <v>1</v>
      </c>
      <c r="B3348" s="65">
        <v>43531</v>
      </c>
      <c r="C3348" s="66" t="s">
        <v>219</v>
      </c>
      <c r="D3348" s="3" t="s">
        <v>21</v>
      </c>
      <c r="E3348" s="64">
        <v>1</v>
      </c>
    </row>
    <row r="3349" spans="1:5">
      <c r="A3349" s="64" t="s">
        <v>1</v>
      </c>
      <c r="B3349" s="65">
        <v>43532</v>
      </c>
      <c r="C3349" s="66" t="s">
        <v>220</v>
      </c>
      <c r="D3349" s="3" t="s">
        <v>21</v>
      </c>
      <c r="E3349" s="64">
        <v>1</v>
      </c>
    </row>
    <row r="3350" spans="1:5">
      <c r="A3350" s="64" t="s">
        <v>1</v>
      </c>
      <c r="B3350" s="65">
        <v>43533</v>
      </c>
      <c r="C3350" s="66" t="s">
        <v>221</v>
      </c>
      <c r="D3350" s="3" t="s">
        <v>21</v>
      </c>
      <c r="E3350" s="64">
        <v>1</v>
      </c>
    </row>
    <row r="3351" spans="1:5">
      <c r="A3351" s="64" t="s">
        <v>1</v>
      </c>
      <c r="B3351" s="65">
        <v>43534</v>
      </c>
      <c r="C3351" s="66" t="s">
        <v>222</v>
      </c>
      <c r="D3351" s="3" t="s">
        <v>21</v>
      </c>
      <c r="E3351" s="64">
        <v>1</v>
      </c>
    </row>
    <row r="3352" spans="1:5">
      <c r="A3352" s="64" t="s">
        <v>1</v>
      </c>
      <c r="B3352" s="65">
        <v>43535</v>
      </c>
      <c r="C3352" s="66" t="s">
        <v>216</v>
      </c>
      <c r="D3352" s="3" t="s">
        <v>21</v>
      </c>
      <c r="E3352" s="64">
        <v>1</v>
      </c>
    </row>
    <row r="3353" spans="1:5">
      <c r="A3353" s="64" t="s">
        <v>1</v>
      </c>
      <c r="B3353" s="65">
        <v>43536</v>
      </c>
      <c r="C3353" s="66" t="s">
        <v>217</v>
      </c>
      <c r="D3353" s="3" t="s">
        <v>21</v>
      </c>
      <c r="E3353" s="64">
        <v>1</v>
      </c>
    </row>
    <row r="3354" spans="1:5">
      <c r="A3354" s="64" t="s">
        <v>1</v>
      </c>
      <c r="B3354" s="65">
        <v>43537</v>
      </c>
      <c r="C3354" s="66" t="s">
        <v>218</v>
      </c>
      <c r="D3354" s="3" t="s">
        <v>21</v>
      </c>
      <c r="E3354" s="64">
        <v>1</v>
      </c>
    </row>
    <row r="3355" spans="1:5">
      <c r="A3355" s="64" t="s">
        <v>1</v>
      </c>
      <c r="B3355" s="65">
        <v>43538</v>
      </c>
      <c r="C3355" s="66" t="s">
        <v>219</v>
      </c>
      <c r="D3355" s="3" t="s">
        <v>21</v>
      </c>
      <c r="E3355" s="64">
        <v>1</v>
      </c>
    </row>
    <row r="3356" spans="1:5">
      <c r="A3356" s="64" t="s">
        <v>1</v>
      </c>
      <c r="B3356" s="65">
        <v>43539</v>
      </c>
      <c r="C3356" s="66" t="s">
        <v>220</v>
      </c>
      <c r="D3356" s="3" t="s">
        <v>21</v>
      </c>
      <c r="E3356" s="64">
        <v>1</v>
      </c>
    </row>
    <row r="3357" spans="1:5">
      <c r="A3357" s="64" t="s">
        <v>1</v>
      </c>
      <c r="B3357" s="65">
        <v>43540</v>
      </c>
      <c r="C3357" s="66" t="s">
        <v>221</v>
      </c>
      <c r="D3357" s="3" t="s">
        <v>21</v>
      </c>
      <c r="E3357" s="64">
        <v>1</v>
      </c>
    </row>
    <row r="3358" spans="1:5">
      <c r="A3358" s="64" t="s">
        <v>1</v>
      </c>
      <c r="B3358" s="65">
        <v>43541</v>
      </c>
      <c r="C3358" s="66" t="s">
        <v>222</v>
      </c>
      <c r="D3358" s="3" t="s">
        <v>21</v>
      </c>
      <c r="E3358" s="64">
        <v>1</v>
      </c>
    </row>
    <row r="3359" spans="1:5">
      <c r="A3359" s="64" t="s">
        <v>1</v>
      </c>
      <c r="B3359" s="65">
        <v>43542</v>
      </c>
      <c r="C3359" s="66" t="s">
        <v>216</v>
      </c>
      <c r="D3359" s="3" t="s">
        <v>21</v>
      </c>
      <c r="E3359" s="64">
        <v>1</v>
      </c>
    </row>
    <row r="3360" spans="1:5">
      <c r="A3360" s="64" t="s">
        <v>1</v>
      </c>
      <c r="B3360" s="65">
        <v>43543</v>
      </c>
      <c r="C3360" s="66" t="s">
        <v>217</v>
      </c>
      <c r="D3360" s="3" t="s">
        <v>21</v>
      </c>
      <c r="E3360" s="64">
        <v>1</v>
      </c>
    </row>
    <row r="3361" spans="1:5">
      <c r="A3361" s="64" t="s">
        <v>1</v>
      </c>
      <c r="B3361" s="65">
        <v>43544</v>
      </c>
      <c r="C3361" s="66" t="s">
        <v>218</v>
      </c>
      <c r="D3361" s="3" t="s">
        <v>21</v>
      </c>
      <c r="E3361" s="64">
        <v>1</v>
      </c>
    </row>
    <row r="3362" spans="1:5">
      <c r="A3362" s="64" t="s">
        <v>1</v>
      </c>
      <c r="B3362" s="65">
        <v>43545</v>
      </c>
      <c r="C3362" s="66" t="s">
        <v>219</v>
      </c>
      <c r="D3362" s="3" t="s">
        <v>21</v>
      </c>
      <c r="E3362" s="64">
        <v>1</v>
      </c>
    </row>
    <row r="3363" spans="1:5">
      <c r="A3363" s="64" t="s">
        <v>1</v>
      </c>
      <c r="B3363" s="65">
        <v>43546</v>
      </c>
      <c r="C3363" s="66" t="s">
        <v>220</v>
      </c>
      <c r="D3363" s="3" t="s">
        <v>21</v>
      </c>
      <c r="E3363" s="64">
        <v>1</v>
      </c>
    </row>
    <row r="3364" spans="1:5">
      <c r="A3364" s="64" t="s">
        <v>1</v>
      </c>
      <c r="B3364" s="65">
        <v>43547</v>
      </c>
      <c r="C3364" s="66" t="s">
        <v>221</v>
      </c>
      <c r="D3364" s="3" t="s">
        <v>21</v>
      </c>
      <c r="E3364" s="64">
        <v>1</v>
      </c>
    </row>
    <row r="3365" spans="1:5">
      <c r="A3365" s="64" t="s">
        <v>1</v>
      </c>
      <c r="B3365" s="65">
        <v>43548</v>
      </c>
      <c r="C3365" s="66" t="s">
        <v>222</v>
      </c>
      <c r="D3365" s="3" t="s">
        <v>21</v>
      </c>
      <c r="E3365" s="64">
        <v>1</v>
      </c>
    </row>
    <row r="3366" spans="1:5">
      <c r="A3366" s="64" t="s">
        <v>1</v>
      </c>
      <c r="B3366" s="65">
        <v>43549</v>
      </c>
      <c r="C3366" s="66" t="s">
        <v>216</v>
      </c>
      <c r="D3366" s="3" t="s">
        <v>21</v>
      </c>
      <c r="E3366" s="64">
        <v>1</v>
      </c>
    </row>
    <row r="3367" spans="1:5">
      <c r="A3367" s="64" t="s">
        <v>1</v>
      </c>
      <c r="B3367" s="65">
        <v>43550</v>
      </c>
      <c r="C3367" s="66" t="s">
        <v>217</v>
      </c>
      <c r="D3367" s="3" t="s">
        <v>21</v>
      </c>
      <c r="E3367" s="64">
        <v>1</v>
      </c>
    </row>
    <row r="3368" spans="1:5">
      <c r="A3368" s="64" t="s">
        <v>1</v>
      </c>
      <c r="B3368" s="65">
        <v>43551</v>
      </c>
      <c r="C3368" s="66" t="s">
        <v>218</v>
      </c>
      <c r="D3368" s="3" t="s">
        <v>21</v>
      </c>
      <c r="E3368" s="64">
        <v>1</v>
      </c>
    </row>
    <row r="3369" spans="1:5">
      <c r="A3369" s="64" t="s">
        <v>1</v>
      </c>
      <c r="B3369" s="65">
        <v>43552</v>
      </c>
      <c r="C3369" s="66" t="s">
        <v>219</v>
      </c>
      <c r="D3369" s="3" t="s">
        <v>21</v>
      </c>
      <c r="E3369" s="64">
        <v>1</v>
      </c>
    </row>
    <row r="3370" spans="1:5">
      <c r="A3370" s="64" t="s">
        <v>1</v>
      </c>
      <c r="B3370" s="65">
        <v>43553</v>
      </c>
      <c r="C3370" s="66" t="s">
        <v>220</v>
      </c>
      <c r="D3370" s="3" t="s">
        <v>21</v>
      </c>
      <c r="E3370" s="64">
        <v>1</v>
      </c>
    </row>
    <row r="3371" spans="1:5">
      <c r="A3371" s="64" t="s">
        <v>1</v>
      </c>
      <c r="B3371" s="65">
        <v>43554</v>
      </c>
      <c r="C3371" s="66" t="s">
        <v>221</v>
      </c>
      <c r="D3371" s="3" t="s">
        <v>21</v>
      </c>
      <c r="E3371" s="64">
        <v>1</v>
      </c>
    </row>
    <row r="3372" spans="1:5">
      <c r="A3372" s="64" t="s">
        <v>1</v>
      </c>
      <c r="B3372" s="65">
        <v>43555</v>
      </c>
      <c r="C3372" s="66" t="s">
        <v>222</v>
      </c>
      <c r="D3372" s="3" t="s">
        <v>21</v>
      </c>
      <c r="E3372" s="64">
        <v>1</v>
      </c>
    </row>
    <row r="3373" spans="1:5">
      <c r="A3373" s="64" t="s">
        <v>1</v>
      </c>
      <c r="B3373" s="65">
        <v>43556</v>
      </c>
      <c r="C3373" s="66" t="s">
        <v>216</v>
      </c>
      <c r="D3373" s="3" t="s">
        <v>21</v>
      </c>
      <c r="E3373" s="64">
        <v>1</v>
      </c>
    </row>
    <row r="3374" spans="1:5">
      <c r="A3374" s="64" t="s">
        <v>1</v>
      </c>
      <c r="B3374" s="65">
        <v>43557</v>
      </c>
      <c r="C3374" s="66" t="s">
        <v>217</v>
      </c>
      <c r="D3374" s="3" t="s">
        <v>21</v>
      </c>
      <c r="E3374" s="64">
        <v>1</v>
      </c>
    </row>
    <row r="3375" spans="1:5">
      <c r="A3375" s="64" t="s">
        <v>1</v>
      </c>
      <c r="B3375" s="65">
        <v>43558</v>
      </c>
      <c r="C3375" s="66" t="s">
        <v>218</v>
      </c>
      <c r="D3375" s="3" t="s">
        <v>21</v>
      </c>
      <c r="E3375" s="64">
        <v>1</v>
      </c>
    </row>
    <row r="3376" spans="1:5">
      <c r="A3376" s="64" t="s">
        <v>1</v>
      </c>
      <c r="B3376" s="65">
        <v>43559</v>
      </c>
      <c r="C3376" s="66" t="s">
        <v>219</v>
      </c>
      <c r="D3376" s="3" t="s">
        <v>21</v>
      </c>
      <c r="E3376" s="64">
        <v>1</v>
      </c>
    </row>
    <row r="3377" spans="1:5">
      <c r="A3377" s="64" t="s">
        <v>1</v>
      </c>
      <c r="B3377" s="65">
        <v>43560</v>
      </c>
      <c r="C3377" s="66" t="s">
        <v>220</v>
      </c>
      <c r="D3377" s="3" t="s">
        <v>21</v>
      </c>
      <c r="E3377" s="64">
        <v>1</v>
      </c>
    </row>
    <row r="3378" spans="1:5">
      <c r="A3378" s="64" t="s">
        <v>1</v>
      </c>
      <c r="B3378" s="65">
        <v>43561</v>
      </c>
      <c r="C3378" s="66" t="s">
        <v>221</v>
      </c>
      <c r="D3378" s="3" t="s">
        <v>21</v>
      </c>
      <c r="E3378" s="64">
        <v>1</v>
      </c>
    </row>
    <row r="3379" spans="1:5">
      <c r="A3379" s="64" t="s">
        <v>1</v>
      </c>
      <c r="B3379" s="65">
        <v>43562</v>
      </c>
      <c r="C3379" s="66" t="s">
        <v>222</v>
      </c>
      <c r="D3379" s="3" t="s">
        <v>21</v>
      </c>
      <c r="E3379" s="64">
        <v>1</v>
      </c>
    </row>
    <row r="3380" spans="1:5">
      <c r="A3380" s="64" t="s">
        <v>1</v>
      </c>
      <c r="B3380" s="65">
        <v>43563</v>
      </c>
      <c r="C3380" s="66" t="s">
        <v>216</v>
      </c>
      <c r="D3380" s="3" t="s">
        <v>21</v>
      </c>
      <c r="E3380" s="64">
        <v>1</v>
      </c>
    </row>
    <row r="3381" spans="1:5">
      <c r="A3381" s="64" t="s">
        <v>1</v>
      </c>
      <c r="B3381" s="65">
        <v>43564</v>
      </c>
      <c r="C3381" s="66" t="s">
        <v>217</v>
      </c>
      <c r="D3381" s="3" t="s">
        <v>21</v>
      </c>
      <c r="E3381" s="64">
        <v>1</v>
      </c>
    </row>
    <row r="3382" spans="1:5">
      <c r="A3382" s="64" t="s">
        <v>1</v>
      </c>
      <c r="B3382" s="65">
        <v>43565</v>
      </c>
      <c r="C3382" s="66" t="s">
        <v>218</v>
      </c>
      <c r="D3382" s="3" t="s">
        <v>21</v>
      </c>
      <c r="E3382" s="64">
        <v>1</v>
      </c>
    </row>
    <row r="3383" spans="1:5">
      <c r="A3383" s="64" t="s">
        <v>1</v>
      </c>
      <c r="B3383" s="65">
        <v>43566</v>
      </c>
      <c r="C3383" s="66" t="s">
        <v>219</v>
      </c>
      <c r="D3383" s="3" t="s">
        <v>21</v>
      </c>
      <c r="E3383" s="64">
        <v>1</v>
      </c>
    </row>
    <row r="3384" spans="1:5">
      <c r="A3384" s="64" t="s">
        <v>1</v>
      </c>
      <c r="B3384" s="65">
        <v>43567</v>
      </c>
      <c r="C3384" s="66" t="s">
        <v>220</v>
      </c>
      <c r="D3384" s="3" t="s">
        <v>21</v>
      </c>
      <c r="E3384" s="64">
        <v>1</v>
      </c>
    </row>
    <row r="3385" spans="1:5">
      <c r="A3385" s="64" t="s">
        <v>1</v>
      </c>
      <c r="B3385" s="65">
        <v>43568</v>
      </c>
      <c r="C3385" s="66" t="s">
        <v>221</v>
      </c>
      <c r="D3385" s="3" t="s">
        <v>21</v>
      </c>
      <c r="E3385" s="64">
        <v>1</v>
      </c>
    </row>
    <row r="3386" spans="1:5">
      <c r="A3386" s="64" t="s">
        <v>1</v>
      </c>
      <c r="B3386" s="65">
        <v>43569</v>
      </c>
      <c r="C3386" s="66" t="s">
        <v>222</v>
      </c>
      <c r="D3386" s="3" t="s">
        <v>21</v>
      </c>
      <c r="E3386" s="64">
        <v>1</v>
      </c>
    </row>
    <row r="3387" spans="1:5">
      <c r="A3387" s="64" t="s">
        <v>1</v>
      </c>
      <c r="B3387" s="65">
        <v>43570</v>
      </c>
      <c r="C3387" s="66" t="s">
        <v>216</v>
      </c>
      <c r="D3387" s="3" t="s">
        <v>21</v>
      </c>
      <c r="E3387" s="64">
        <v>1</v>
      </c>
    </row>
    <row r="3388" spans="1:5">
      <c r="A3388" s="64" t="s">
        <v>1</v>
      </c>
      <c r="B3388" s="65">
        <v>43571</v>
      </c>
      <c r="C3388" s="66" t="s">
        <v>217</v>
      </c>
      <c r="D3388" s="3" t="s">
        <v>21</v>
      </c>
      <c r="E3388" s="64">
        <v>1</v>
      </c>
    </row>
    <row r="3389" spans="1:5">
      <c r="A3389" s="64" t="s">
        <v>1</v>
      </c>
      <c r="B3389" s="65">
        <v>43572</v>
      </c>
      <c r="C3389" s="66" t="s">
        <v>218</v>
      </c>
      <c r="D3389" s="3" t="s">
        <v>21</v>
      </c>
      <c r="E3389" s="64">
        <v>1</v>
      </c>
    </row>
    <row r="3390" spans="1:5">
      <c r="A3390" s="64" t="s">
        <v>1</v>
      </c>
      <c r="B3390" s="65">
        <v>43573</v>
      </c>
      <c r="C3390" s="66" t="s">
        <v>219</v>
      </c>
      <c r="D3390" s="3" t="s">
        <v>21</v>
      </c>
      <c r="E3390" s="64">
        <v>1</v>
      </c>
    </row>
    <row r="3391" spans="1:5">
      <c r="A3391" s="64" t="s">
        <v>1</v>
      </c>
      <c r="B3391" s="65">
        <v>43574</v>
      </c>
      <c r="C3391" s="66" t="s">
        <v>220</v>
      </c>
      <c r="D3391" s="3" t="s">
        <v>21</v>
      </c>
      <c r="E3391" s="64">
        <v>1</v>
      </c>
    </row>
    <row r="3392" spans="1:5">
      <c r="A3392" s="64" t="s">
        <v>1</v>
      </c>
      <c r="B3392" s="65">
        <v>43575</v>
      </c>
      <c r="C3392" s="66" t="s">
        <v>221</v>
      </c>
      <c r="D3392" s="3" t="s">
        <v>21</v>
      </c>
      <c r="E3392" s="64">
        <v>1</v>
      </c>
    </row>
    <row r="3393" spans="1:5">
      <c r="A3393" s="64" t="s">
        <v>1</v>
      </c>
      <c r="B3393" s="65">
        <v>43576</v>
      </c>
      <c r="C3393" s="66" t="s">
        <v>222</v>
      </c>
      <c r="D3393" s="3" t="s">
        <v>21</v>
      </c>
      <c r="E3393" s="64">
        <v>1</v>
      </c>
    </row>
    <row r="3394" spans="1:5">
      <c r="A3394" s="64" t="s">
        <v>1</v>
      </c>
      <c r="B3394" s="65">
        <v>43577</v>
      </c>
      <c r="C3394" s="66" t="s">
        <v>216</v>
      </c>
      <c r="D3394" s="3" t="s">
        <v>21</v>
      </c>
      <c r="E3394" s="64">
        <v>1</v>
      </c>
    </row>
    <row r="3395" spans="1:5">
      <c r="A3395" s="64" t="s">
        <v>1</v>
      </c>
      <c r="B3395" s="65">
        <v>43578</v>
      </c>
      <c r="C3395" s="66" t="s">
        <v>217</v>
      </c>
      <c r="D3395" s="3" t="s">
        <v>21</v>
      </c>
      <c r="E3395" s="64">
        <v>1</v>
      </c>
    </row>
    <row r="3396" spans="1:5">
      <c r="A3396" s="64" t="s">
        <v>1</v>
      </c>
      <c r="B3396" s="65">
        <v>43579</v>
      </c>
      <c r="C3396" s="66" t="s">
        <v>218</v>
      </c>
      <c r="D3396" s="3" t="s">
        <v>21</v>
      </c>
      <c r="E3396" s="64">
        <v>1</v>
      </c>
    </row>
    <row r="3397" spans="1:5">
      <c r="A3397" s="64" t="s">
        <v>1</v>
      </c>
      <c r="B3397" s="65">
        <v>43580</v>
      </c>
      <c r="C3397" s="66" t="s">
        <v>219</v>
      </c>
      <c r="D3397" s="3" t="s">
        <v>21</v>
      </c>
      <c r="E3397" s="64">
        <v>1</v>
      </c>
    </row>
    <row r="3398" spans="1:5">
      <c r="A3398" s="64" t="s">
        <v>1</v>
      </c>
      <c r="B3398" s="65">
        <v>43581</v>
      </c>
      <c r="C3398" s="66" t="s">
        <v>220</v>
      </c>
      <c r="D3398" s="3" t="s">
        <v>21</v>
      </c>
      <c r="E3398" s="64">
        <v>1</v>
      </c>
    </row>
    <row r="3399" spans="1:5">
      <c r="A3399" s="64" t="s">
        <v>1</v>
      </c>
      <c r="B3399" s="65">
        <v>43582</v>
      </c>
      <c r="C3399" s="66" t="s">
        <v>221</v>
      </c>
      <c r="D3399" s="3" t="s">
        <v>21</v>
      </c>
      <c r="E3399" s="64">
        <v>1</v>
      </c>
    </row>
    <row r="3400" spans="1:5">
      <c r="A3400" s="64" t="s">
        <v>1</v>
      </c>
      <c r="B3400" s="65">
        <v>43583</v>
      </c>
      <c r="C3400" s="66" t="s">
        <v>222</v>
      </c>
      <c r="D3400" s="3" t="s">
        <v>21</v>
      </c>
      <c r="E3400" s="64">
        <v>1</v>
      </c>
    </row>
    <row r="3401" spans="1:5">
      <c r="A3401" s="64" t="s">
        <v>1</v>
      </c>
      <c r="B3401" s="65">
        <v>43584</v>
      </c>
      <c r="C3401" s="66" t="s">
        <v>216</v>
      </c>
      <c r="D3401" s="3" t="s">
        <v>21</v>
      </c>
      <c r="E3401" s="64">
        <v>1</v>
      </c>
    </row>
    <row r="3402" spans="1:5">
      <c r="A3402" s="64" t="s">
        <v>1</v>
      </c>
      <c r="B3402" s="65">
        <v>43585</v>
      </c>
      <c r="C3402" s="66" t="s">
        <v>217</v>
      </c>
      <c r="D3402" s="3" t="s">
        <v>21</v>
      </c>
      <c r="E3402" s="64">
        <v>1</v>
      </c>
    </row>
    <row r="3403" spans="1:5">
      <c r="A3403" s="64" t="s">
        <v>1</v>
      </c>
      <c r="B3403" s="65">
        <v>43586</v>
      </c>
      <c r="C3403" s="66" t="s">
        <v>218</v>
      </c>
      <c r="D3403" s="3" t="s">
        <v>21</v>
      </c>
      <c r="E3403" s="64">
        <v>1</v>
      </c>
    </row>
    <row r="3404" spans="1:5">
      <c r="A3404" s="64" t="s">
        <v>1</v>
      </c>
      <c r="B3404" s="65">
        <v>43587</v>
      </c>
      <c r="C3404" s="66" t="s">
        <v>219</v>
      </c>
      <c r="D3404" s="3" t="s">
        <v>21</v>
      </c>
      <c r="E3404" s="64">
        <v>1</v>
      </c>
    </row>
    <row r="3405" spans="1:5">
      <c r="A3405" s="64" t="s">
        <v>1</v>
      </c>
      <c r="B3405" s="65">
        <v>43588</v>
      </c>
      <c r="C3405" s="66" t="s">
        <v>220</v>
      </c>
      <c r="D3405" s="3" t="s">
        <v>21</v>
      </c>
      <c r="E3405" s="64">
        <v>1</v>
      </c>
    </row>
    <row r="3406" spans="1:5">
      <c r="A3406" s="64" t="s">
        <v>1</v>
      </c>
      <c r="B3406" s="65">
        <v>43589</v>
      </c>
      <c r="C3406" s="66" t="s">
        <v>221</v>
      </c>
      <c r="D3406" s="3" t="s">
        <v>21</v>
      </c>
      <c r="E3406" s="64">
        <v>1</v>
      </c>
    </row>
    <row r="3407" spans="1:5">
      <c r="A3407" s="64" t="s">
        <v>1</v>
      </c>
      <c r="B3407" s="65">
        <v>43590</v>
      </c>
      <c r="C3407" s="66" t="s">
        <v>222</v>
      </c>
      <c r="D3407" s="3" t="s">
        <v>21</v>
      </c>
      <c r="E3407" s="64">
        <v>1</v>
      </c>
    </row>
    <row r="3408" spans="1:5">
      <c r="A3408" s="64" t="s">
        <v>1</v>
      </c>
      <c r="B3408" s="65">
        <v>43591</v>
      </c>
      <c r="C3408" s="66" t="s">
        <v>216</v>
      </c>
      <c r="D3408" s="3" t="s">
        <v>21</v>
      </c>
      <c r="E3408" s="64">
        <v>1</v>
      </c>
    </row>
    <row r="3409" spans="1:5">
      <c r="A3409" s="64" t="s">
        <v>1</v>
      </c>
      <c r="B3409" s="65">
        <v>43592</v>
      </c>
      <c r="C3409" s="66" t="s">
        <v>217</v>
      </c>
      <c r="D3409" s="3" t="s">
        <v>21</v>
      </c>
      <c r="E3409" s="64">
        <v>1</v>
      </c>
    </row>
    <row r="3410" spans="1:5">
      <c r="A3410" s="64" t="s">
        <v>1</v>
      </c>
      <c r="B3410" s="65">
        <v>43593</v>
      </c>
      <c r="C3410" s="66" t="s">
        <v>218</v>
      </c>
      <c r="D3410" s="3" t="s">
        <v>21</v>
      </c>
      <c r="E3410" s="64">
        <v>1</v>
      </c>
    </row>
    <row r="3411" spans="1:5">
      <c r="A3411" s="64" t="s">
        <v>1</v>
      </c>
      <c r="B3411" s="65">
        <v>43594</v>
      </c>
      <c r="C3411" s="66" t="s">
        <v>219</v>
      </c>
      <c r="D3411" s="3" t="s">
        <v>21</v>
      </c>
      <c r="E3411" s="64">
        <v>1</v>
      </c>
    </row>
    <row r="3412" spans="1:5">
      <c r="A3412" s="64" t="s">
        <v>1</v>
      </c>
      <c r="B3412" s="65">
        <v>43595</v>
      </c>
      <c r="C3412" s="66" t="s">
        <v>220</v>
      </c>
      <c r="D3412" s="3" t="s">
        <v>21</v>
      </c>
      <c r="E3412" s="64">
        <v>1</v>
      </c>
    </row>
    <row r="3413" spans="1:5">
      <c r="A3413" s="64" t="s">
        <v>1</v>
      </c>
      <c r="B3413" s="65">
        <v>43596</v>
      </c>
      <c r="C3413" s="66" t="s">
        <v>221</v>
      </c>
      <c r="D3413" s="3" t="s">
        <v>21</v>
      </c>
      <c r="E3413" s="64">
        <v>1</v>
      </c>
    </row>
    <row r="3414" spans="1:5">
      <c r="A3414" s="64" t="s">
        <v>1</v>
      </c>
      <c r="B3414" s="65">
        <v>43597</v>
      </c>
      <c r="C3414" s="66" t="s">
        <v>222</v>
      </c>
      <c r="D3414" s="3" t="s">
        <v>21</v>
      </c>
      <c r="E3414" s="64">
        <v>1</v>
      </c>
    </row>
    <row r="3415" spans="1:5">
      <c r="A3415" s="64" t="s">
        <v>1</v>
      </c>
      <c r="B3415" s="65">
        <v>43598</v>
      </c>
      <c r="C3415" s="66" t="s">
        <v>216</v>
      </c>
      <c r="D3415" s="3" t="s">
        <v>21</v>
      </c>
      <c r="E3415" s="64">
        <v>1</v>
      </c>
    </row>
    <row r="3416" spans="1:5">
      <c r="A3416" s="64" t="s">
        <v>1</v>
      </c>
      <c r="B3416" s="65">
        <v>43599</v>
      </c>
      <c r="C3416" s="66" t="s">
        <v>217</v>
      </c>
      <c r="D3416" s="3" t="s">
        <v>21</v>
      </c>
      <c r="E3416" s="64">
        <v>1</v>
      </c>
    </row>
    <row r="3417" spans="1:5">
      <c r="A3417" s="64" t="s">
        <v>1</v>
      </c>
      <c r="B3417" s="65">
        <v>43600</v>
      </c>
      <c r="C3417" s="66" t="s">
        <v>218</v>
      </c>
      <c r="D3417" s="3" t="s">
        <v>21</v>
      </c>
      <c r="E3417" s="64">
        <v>1</v>
      </c>
    </row>
    <row r="3418" spans="1:5">
      <c r="A3418" s="64" t="s">
        <v>1</v>
      </c>
      <c r="B3418" s="65">
        <v>43601</v>
      </c>
      <c r="C3418" s="66" t="s">
        <v>219</v>
      </c>
      <c r="D3418" s="3" t="s">
        <v>21</v>
      </c>
      <c r="E3418" s="64">
        <v>1</v>
      </c>
    </row>
    <row r="3419" spans="1:5">
      <c r="A3419" s="64" t="s">
        <v>1</v>
      </c>
      <c r="B3419" s="65">
        <v>43602</v>
      </c>
      <c r="C3419" s="66" t="s">
        <v>220</v>
      </c>
      <c r="D3419" s="3" t="s">
        <v>21</v>
      </c>
      <c r="E3419" s="64">
        <v>1</v>
      </c>
    </row>
    <row r="3420" spans="1:5">
      <c r="A3420" s="64" t="s">
        <v>1</v>
      </c>
      <c r="B3420" s="65">
        <v>43603</v>
      </c>
      <c r="C3420" s="66" t="s">
        <v>221</v>
      </c>
      <c r="D3420" s="3" t="s">
        <v>21</v>
      </c>
      <c r="E3420" s="64">
        <v>1</v>
      </c>
    </row>
    <row r="3421" spans="1:5">
      <c r="A3421" s="64" t="s">
        <v>1</v>
      </c>
      <c r="B3421" s="65">
        <v>43604</v>
      </c>
      <c r="C3421" s="66" t="s">
        <v>222</v>
      </c>
      <c r="D3421" s="3" t="s">
        <v>21</v>
      </c>
      <c r="E3421" s="64">
        <v>1</v>
      </c>
    </row>
    <row r="3422" spans="1:5">
      <c r="A3422" s="64" t="s">
        <v>1</v>
      </c>
      <c r="B3422" s="65">
        <v>43605</v>
      </c>
      <c r="C3422" s="66" t="s">
        <v>216</v>
      </c>
      <c r="D3422" s="3" t="s">
        <v>21</v>
      </c>
      <c r="E3422" s="64">
        <v>1</v>
      </c>
    </row>
    <row r="3423" spans="1:5">
      <c r="A3423" s="64" t="s">
        <v>1</v>
      </c>
      <c r="B3423" s="65">
        <v>43606</v>
      </c>
      <c r="C3423" s="66" t="s">
        <v>217</v>
      </c>
      <c r="D3423" s="3" t="s">
        <v>21</v>
      </c>
      <c r="E3423" s="64">
        <v>1</v>
      </c>
    </row>
    <row r="3424" spans="1:5">
      <c r="A3424" s="64" t="s">
        <v>1</v>
      </c>
      <c r="B3424" s="65">
        <v>43607</v>
      </c>
      <c r="C3424" s="66" t="s">
        <v>218</v>
      </c>
      <c r="D3424" s="3" t="s">
        <v>21</v>
      </c>
      <c r="E3424" s="64">
        <v>1</v>
      </c>
    </row>
    <row r="3425" spans="1:5">
      <c r="A3425" s="64" t="s">
        <v>1</v>
      </c>
      <c r="B3425" s="65">
        <v>43608</v>
      </c>
      <c r="C3425" s="66" t="s">
        <v>219</v>
      </c>
      <c r="D3425" s="3" t="s">
        <v>21</v>
      </c>
      <c r="E3425" s="64">
        <v>1</v>
      </c>
    </row>
    <row r="3426" spans="1:5">
      <c r="A3426" s="64" t="s">
        <v>1</v>
      </c>
      <c r="B3426" s="65">
        <v>43609</v>
      </c>
      <c r="C3426" s="66" t="s">
        <v>220</v>
      </c>
      <c r="D3426" s="3" t="s">
        <v>21</v>
      </c>
      <c r="E3426" s="64">
        <v>1</v>
      </c>
    </row>
    <row r="3427" spans="1:5">
      <c r="A3427" s="64" t="s">
        <v>1</v>
      </c>
      <c r="B3427" s="65">
        <v>43610</v>
      </c>
      <c r="C3427" s="66" t="s">
        <v>221</v>
      </c>
      <c r="D3427" s="3" t="s">
        <v>21</v>
      </c>
      <c r="E3427" s="64">
        <v>1</v>
      </c>
    </row>
    <row r="3428" spans="1:5">
      <c r="A3428" s="64" t="s">
        <v>1</v>
      </c>
      <c r="B3428" s="65">
        <v>43611</v>
      </c>
      <c r="C3428" s="66" t="s">
        <v>222</v>
      </c>
      <c r="D3428" s="3" t="s">
        <v>21</v>
      </c>
      <c r="E3428" s="64">
        <v>1</v>
      </c>
    </row>
    <row r="3429" spans="1:5">
      <c r="A3429" s="64" t="s">
        <v>1</v>
      </c>
      <c r="B3429" s="65">
        <v>43612</v>
      </c>
      <c r="C3429" s="66" t="s">
        <v>216</v>
      </c>
      <c r="D3429" s="3" t="s">
        <v>21</v>
      </c>
      <c r="E3429" s="64">
        <v>1</v>
      </c>
    </row>
    <row r="3430" spans="1:5">
      <c r="A3430" s="64" t="s">
        <v>1</v>
      </c>
      <c r="B3430" s="65">
        <v>43613</v>
      </c>
      <c r="C3430" s="66" t="s">
        <v>217</v>
      </c>
      <c r="D3430" s="3" t="s">
        <v>21</v>
      </c>
      <c r="E3430" s="64">
        <v>1</v>
      </c>
    </row>
    <row r="3431" spans="1:5">
      <c r="A3431" s="64" t="s">
        <v>1</v>
      </c>
      <c r="B3431" s="65">
        <v>43614</v>
      </c>
      <c r="C3431" s="66" t="s">
        <v>218</v>
      </c>
      <c r="D3431" s="3" t="s">
        <v>21</v>
      </c>
      <c r="E3431" s="64">
        <v>1</v>
      </c>
    </row>
    <row r="3432" spans="1:5">
      <c r="A3432" s="64" t="s">
        <v>1</v>
      </c>
      <c r="B3432" s="65">
        <v>43615</v>
      </c>
      <c r="C3432" s="66" t="s">
        <v>219</v>
      </c>
      <c r="D3432" s="3" t="s">
        <v>21</v>
      </c>
      <c r="E3432" s="64">
        <v>1</v>
      </c>
    </row>
    <row r="3433" spans="1:5">
      <c r="A3433" s="64" t="s">
        <v>1</v>
      </c>
      <c r="B3433" s="65">
        <v>43616</v>
      </c>
      <c r="C3433" s="66" t="s">
        <v>220</v>
      </c>
      <c r="D3433" s="3" t="s">
        <v>21</v>
      </c>
      <c r="E3433" s="64">
        <v>1</v>
      </c>
    </row>
    <row r="3434" spans="1:5">
      <c r="A3434" s="64" t="s">
        <v>1</v>
      </c>
      <c r="B3434" s="65">
        <v>43409</v>
      </c>
      <c r="C3434" s="66" t="s">
        <v>216</v>
      </c>
      <c r="D3434" s="3" t="s">
        <v>22</v>
      </c>
      <c r="E3434" s="64">
        <v>1</v>
      </c>
    </row>
    <row r="3435" spans="1:5">
      <c r="A3435" s="64" t="s">
        <v>1</v>
      </c>
      <c r="B3435" s="65">
        <v>43410</v>
      </c>
      <c r="C3435" s="66" t="s">
        <v>217</v>
      </c>
      <c r="D3435" s="3" t="s">
        <v>22</v>
      </c>
      <c r="E3435" s="64">
        <v>1</v>
      </c>
    </row>
    <row r="3436" spans="1:5">
      <c r="A3436" s="64" t="s">
        <v>1</v>
      </c>
      <c r="B3436" s="65">
        <v>43411</v>
      </c>
      <c r="C3436" s="66" t="s">
        <v>218</v>
      </c>
      <c r="D3436" s="3" t="s">
        <v>22</v>
      </c>
      <c r="E3436" s="64">
        <v>1</v>
      </c>
    </row>
    <row r="3437" spans="1:5">
      <c r="A3437" s="64" t="s">
        <v>1</v>
      </c>
      <c r="B3437" s="65">
        <v>43412</v>
      </c>
      <c r="C3437" s="66" t="s">
        <v>219</v>
      </c>
      <c r="D3437" s="3" t="s">
        <v>22</v>
      </c>
      <c r="E3437" s="64">
        <v>1</v>
      </c>
    </row>
    <row r="3438" spans="1:5">
      <c r="A3438" s="64" t="s">
        <v>1</v>
      </c>
      <c r="B3438" s="65">
        <v>43413</v>
      </c>
      <c r="C3438" s="66" t="s">
        <v>220</v>
      </c>
      <c r="D3438" s="3" t="s">
        <v>22</v>
      </c>
      <c r="E3438" s="64">
        <v>1</v>
      </c>
    </row>
    <row r="3439" spans="1:5">
      <c r="A3439" s="64" t="s">
        <v>1</v>
      </c>
      <c r="B3439" s="65">
        <v>43414</v>
      </c>
      <c r="C3439" s="66" t="s">
        <v>221</v>
      </c>
      <c r="D3439" s="3" t="s">
        <v>22</v>
      </c>
      <c r="E3439" s="64">
        <v>1</v>
      </c>
    </row>
    <row r="3440" spans="1:5">
      <c r="A3440" s="64" t="s">
        <v>1</v>
      </c>
      <c r="B3440" s="65">
        <v>43415</v>
      </c>
      <c r="C3440" s="66" t="s">
        <v>222</v>
      </c>
      <c r="D3440" s="3" t="s">
        <v>22</v>
      </c>
      <c r="E3440" s="64">
        <v>1</v>
      </c>
    </row>
    <row r="3441" spans="1:5">
      <c r="A3441" s="64" t="s">
        <v>1</v>
      </c>
      <c r="B3441" s="65">
        <v>43416</v>
      </c>
      <c r="C3441" s="66" t="s">
        <v>216</v>
      </c>
      <c r="D3441" s="3" t="s">
        <v>22</v>
      </c>
      <c r="E3441" s="64">
        <v>1</v>
      </c>
    </row>
    <row r="3442" spans="1:5">
      <c r="A3442" s="64" t="s">
        <v>1</v>
      </c>
      <c r="B3442" s="65">
        <v>43417</v>
      </c>
      <c r="C3442" s="66" t="s">
        <v>217</v>
      </c>
      <c r="D3442" s="3" t="s">
        <v>22</v>
      </c>
      <c r="E3442" s="64">
        <v>1</v>
      </c>
    </row>
    <row r="3443" spans="1:5">
      <c r="A3443" s="64" t="s">
        <v>1</v>
      </c>
      <c r="B3443" s="65">
        <v>43418</v>
      </c>
      <c r="C3443" s="66" t="s">
        <v>218</v>
      </c>
      <c r="D3443" s="3" t="s">
        <v>22</v>
      </c>
      <c r="E3443" s="64">
        <v>1</v>
      </c>
    </row>
    <row r="3444" spans="1:5">
      <c r="A3444" s="64" t="s">
        <v>1</v>
      </c>
      <c r="B3444" s="65">
        <v>43419</v>
      </c>
      <c r="C3444" s="66" t="s">
        <v>219</v>
      </c>
      <c r="D3444" s="3" t="s">
        <v>22</v>
      </c>
      <c r="E3444" s="64">
        <v>1</v>
      </c>
    </row>
    <row r="3445" spans="1:5">
      <c r="A3445" s="64" t="s">
        <v>1</v>
      </c>
      <c r="B3445" s="65">
        <v>43420</v>
      </c>
      <c r="C3445" s="66" t="s">
        <v>220</v>
      </c>
      <c r="D3445" s="3" t="s">
        <v>22</v>
      </c>
      <c r="E3445" s="64">
        <v>1</v>
      </c>
    </row>
    <row r="3446" spans="1:5">
      <c r="A3446" s="64" t="s">
        <v>1</v>
      </c>
      <c r="B3446" s="65">
        <v>43421</v>
      </c>
      <c r="C3446" s="66" t="s">
        <v>221</v>
      </c>
      <c r="D3446" s="3" t="s">
        <v>22</v>
      </c>
      <c r="E3446" s="64">
        <v>1</v>
      </c>
    </row>
    <row r="3447" spans="1:5">
      <c r="A3447" s="64" t="s">
        <v>1</v>
      </c>
      <c r="B3447" s="65">
        <v>43422</v>
      </c>
      <c r="C3447" s="66" t="s">
        <v>222</v>
      </c>
      <c r="D3447" s="3" t="s">
        <v>22</v>
      </c>
      <c r="E3447" s="64">
        <v>1</v>
      </c>
    </row>
    <row r="3448" spans="1:5">
      <c r="A3448" s="64" t="s">
        <v>1</v>
      </c>
      <c r="B3448" s="65">
        <v>43423</v>
      </c>
      <c r="C3448" s="66" t="s">
        <v>216</v>
      </c>
      <c r="D3448" s="3" t="s">
        <v>22</v>
      </c>
      <c r="E3448" s="64">
        <v>1</v>
      </c>
    </row>
    <row r="3449" spans="1:5">
      <c r="A3449" s="64" t="s">
        <v>1</v>
      </c>
      <c r="B3449" s="65">
        <v>43424</v>
      </c>
      <c r="C3449" s="66" t="s">
        <v>217</v>
      </c>
      <c r="D3449" s="3" t="s">
        <v>22</v>
      </c>
      <c r="E3449" s="64">
        <v>1</v>
      </c>
    </row>
    <row r="3450" spans="1:5">
      <c r="A3450" s="64" t="s">
        <v>1</v>
      </c>
      <c r="B3450" s="65">
        <v>43425</v>
      </c>
      <c r="C3450" s="66" t="s">
        <v>218</v>
      </c>
      <c r="D3450" s="3" t="s">
        <v>22</v>
      </c>
      <c r="E3450" s="64">
        <v>1</v>
      </c>
    </row>
    <row r="3451" spans="1:5">
      <c r="A3451" s="64" t="s">
        <v>1</v>
      </c>
      <c r="B3451" s="65">
        <v>43426</v>
      </c>
      <c r="C3451" s="66" t="s">
        <v>219</v>
      </c>
      <c r="D3451" s="3" t="s">
        <v>22</v>
      </c>
      <c r="E3451" s="64">
        <v>1</v>
      </c>
    </row>
    <row r="3452" spans="1:5">
      <c r="A3452" s="64" t="s">
        <v>1</v>
      </c>
      <c r="B3452" s="65">
        <v>43427</v>
      </c>
      <c r="C3452" s="66" t="s">
        <v>220</v>
      </c>
      <c r="D3452" s="3" t="s">
        <v>22</v>
      </c>
      <c r="E3452" s="64">
        <v>1</v>
      </c>
    </row>
    <row r="3453" spans="1:5">
      <c r="A3453" s="64" t="s">
        <v>1</v>
      </c>
      <c r="B3453" s="65">
        <v>43428</v>
      </c>
      <c r="C3453" s="66" t="s">
        <v>221</v>
      </c>
      <c r="D3453" s="3" t="s">
        <v>22</v>
      </c>
      <c r="E3453" s="64">
        <v>1</v>
      </c>
    </row>
    <row r="3454" spans="1:5">
      <c r="A3454" s="64" t="s">
        <v>1</v>
      </c>
      <c r="B3454" s="65">
        <v>43429</v>
      </c>
      <c r="C3454" s="66" t="s">
        <v>222</v>
      </c>
      <c r="D3454" s="3" t="s">
        <v>22</v>
      </c>
      <c r="E3454" s="64">
        <v>1</v>
      </c>
    </row>
    <row r="3455" spans="1:5">
      <c r="A3455" s="64" t="s">
        <v>1</v>
      </c>
      <c r="B3455" s="65">
        <v>43430</v>
      </c>
      <c r="C3455" s="66" t="s">
        <v>216</v>
      </c>
      <c r="D3455" s="3" t="s">
        <v>22</v>
      </c>
      <c r="E3455" s="64">
        <v>1</v>
      </c>
    </row>
    <row r="3456" spans="1:5">
      <c r="A3456" s="64" t="s">
        <v>1</v>
      </c>
      <c r="B3456" s="65">
        <v>43431</v>
      </c>
      <c r="C3456" s="66" t="s">
        <v>217</v>
      </c>
      <c r="D3456" s="3" t="s">
        <v>22</v>
      </c>
      <c r="E3456" s="64">
        <v>1</v>
      </c>
    </row>
    <row r="3457" spans="1:5">
      <c r="A3457" s="64" t="s">
        <v>1</v>
      </c>
      <c r="B3457" s="65">
        <v>43432</v>
      </c>
      <c r="C3457" s="66" t="s">
        <v>218</v>
      </c>
      <c r="D3457" s="3" t="s">
        <v>22</v>
      </c>
      <c r="E3457" s="64">
        <v>1</v>
      </c>
    </row>
    <row r="3458" spans="1:5">
      <c r="A3458" s="64" t="s">
        <v>1</v>
      </c>
      <c r="B3458" s="65">
        <v>43433</v>
      </c>
      <c r="C3458" s="66" t="s">
        <v>219</v>
      </c>
      <c r="D3458" s="3" t="s">
        <v>22</v>
      </c>
      <c r="E3458" s="64">
        <v>1</v>
      </c>
    </row>
    <row r="3459" spans="1:5">
      <c r="A3459" s="64" t="s">
        <v>1</v>
      </c>
      <c r="B3459" s="65">
        <v>43434</v>
      </c>
      <c r="C3459" s="66" t="s">
        <v>220</v>
      </c>
      <c r="D3459" s="3" t="s">
        <v>22</v>
      </c>
      <c r="E3459" s="64">
        <v>1</v>
      </c>
    </row>
    <row r="3460" spans="1:5">
      <c r="A3460" s="64" t="s">
        <v>1</v>
      </c>
      <c r="B3460" s="65">
        <v>43435</v>
      </c>
      <c r="C3460" s="66" t="s">
        <v>221</v>
      </c>
      <c r="D3460" s="3" t="s">
        <v>22</v>
      </c>
      <c r="E3460" s="64">
        <v>1</v>
      </c>
    </row>
    <row r="3461" spans="1:5">
      <c r="A3461" s="64" t="s">
        <v>1</v>
      </c>
      <c r="B3461" s="65">
        <v>43436</v>
      </c>
      <c r="C3461" s="66" t="s">
        <v>222</v>
      </c>
      <c r="D3461" s="3" t="s">
        <v>22</v>
      </c>
      <c r="E3461" s="64">
        <v>1</v>
      </c>
    </row>
    <row r="3462" spans="1:5">
      <c r="A3462" s="64" t="s">
        <v>1</v>
      </c>
      <c r="B3462" s="65">
        <v>43437</v>
      </c>
      <c r="C3462" s="66" t="s">
        <v>216</v>
      </c>
      <c r="D3462" s="3" t="s">
        <v>22</v>
      </c>
      <c r="E3462" s="64">
        <v>1</v>
      </c>
    </row>
    <row r="3463" spans="1:5">
      <c r="A3463" s="64" t="s">
        <v>1</v>
      </c>
      <c r="B3463" s="65">
        <v>43438</v>
      </c>
      <c r="C3463" s="66" t="s">
        <v>217</v>
      </c>
      <c r="D3463" s="3" t="s">
        <v>22</v>
      </c>
      <c r="E3463" s="64">
        <v>1</v>
      </c>
    </row>
    <row r="3464" spans="1:5">
      <c r="A3464" s="64" t="s">
        <v>1</v>
      </c>
      <c r="B3464" s="65">
        <v>43439</v>
      </c>
      <c r="C3464" s="66" t="s">
        <v>218</v>
      </c>
      <c r="D3464" s="3" t="s">
        <v>22</v>
      </c>
      <c r="E3464" s="64">
        <v>1</v>
      </c>
    </row>
    <row r="3465" spans="1:5">
      <c r="A3465" s="64" t="s">
        <v>1</v>
      </c>
      <c r="B3465" s="65">
        <v>43440</v>
      </c>
      <c r="C3465" s="66" t="s">
        <v>219</v>
      </c>
      <c r="D3465" s="3" t="s">
        <v>22</v>
      </c>
      <c r="E3465" s="64">
        <v>1</v>
      </c>
    </row>
    <row r="3466" spans="1:5">
      <c r="A3466" s="64" t="s">
        <v>1</v>
      </c>
      <c r="B3466" s="65">
        <v>43441</v>
      </c>
      <c r="C3466" s="66" t="s">
        <v>220</v>
      </c>
      <c r="D3466" s="3" t="s">
        <v>22</v>
      </c>
      <c r="E3466" s="64">
        <v>1</v>
      </c>
    </row>
    <row r="3467" spans="1:5">
      <c r="A3467" s="64" t="s">
        <v>1</v>
      </c>
      <c r="B3467" s="65">
        <v>43442</v>
      </c>
      <c r="C3467" s="66" t="s">
        <v>221</v>
      </c>
      <c r="D3467" s="3" t="s">
        <v>22</v>
      </c>
      <c r="E3467" s="64">
        <v>1</v>
      </c>
    </row>
    <row r="3468" spans="1:5">
      <c r="A3468" s="64" t="s">
        <v>1</v>
      </c>
      <c r="B3468" s="65">
        <v>43443</v>
      </c>
      <c r="C3468" s="66" t="s">
        <v>222</v>
      </c>
      <c r="D3468" s="3" t="s">
        <v>22</v>
      </c>
      <c r="E3468" s="64">
        <v>1</v>
      </c>
    </row>
    <row r="3469" spans="1:5">
      <c r="A3469" s="64" t="s">
        <v>1</v>
      </c>
      <c r="B3469" s="65">
        <v>43444</v>
      </c>
      <c r="C3469" s="66" t="s">
        <v>216</v>
      </c>
      <c r="D3469" s="3" t="s">
        <v>22</v>
      </c>
      <c r="E3469" s="64">
        <v>1</v>
      </c>
    </row>
    <row r="3470" spans="1:5">
      <c r="A3470" s="64" t="s">
        <v>1</v>
      </c>
      <c r="B3470" s="65">
        <v>43445</v>
      </c>
      <c r="C3470" s="66" t="s">
        <v>217</v>
      </c>
      <c r="D3470" s="3" t="s">
        <v>22</v>
      </c>
      <c r="E3470" s="64">
        <v>1</v>
      </c>
    </row>
    <row r="3471" spans="1:5">
      <c r="A3471" s="64" t="s">
        <v>1</v>
      </c>
      <c r="B3471" s="65">
        <v>43446</v>
      </c>
      <c r="C3471" s="66" t="s">
        <v>218</v>
      </c>
      <c r="D3471" s="3" t="s">
        <v>22</v>
      </c>
      <c r="E3471" s="64">
        <v>1</v>
      </c>
    </row>
    <row r="3472" spans="1:5">
      <c r="A3472" s="64" t="s">
        <v>1</v>
      </c>
      <c r="B3472" s="65">
        <v>43447</v>
      </c>
      <c r="C3472" s="66" t="s">
        <v>219</v>
      </c>
      <c r="D3472" s="3" t="s">
        <v>22</v>
      </c>
      <c r="E3472" s="64">
        <v>1</v>
      </c>
    </row>
    <row r="3473" spans="1:5">
      <c r="A3473" s="64" t="s">
        <v>1</v>
      </c>
      <c r="B3473" s="65">
        <v>43448</v>
      </c>
      <c r="C3473" s="66" t="s">
        <v>220</v>
      </c>
      <c r="D3473" s="3" t="s">
        <v>22</v>
      </c>
      <c r="E3473" s="64">
        <v>1</v>
      </c>
    </row>
    <row r="3474" spans="1:5">
      <c r="A3474" s="64" t="s">
        <v>1</v>
      </c>
      <c r="B3474" s="65">
        <v>43449</v>
      </c>
      <c r="C3474" s="66" t="s">
        <v>221</v>
      </c>
      <c r="D3474" s="3" t="s">
        <v>22</v>
      </c>
      <c r="E3474" s="64">
        <v>1</v>
      </c>
    </row>
    <row r="3475" spans="1:5">
      <c r="A3475" s="64" t="s">
        <v>1</v>
      </c>
      <c r="B3475" s="65">
        <v>43450</v>
      </c>
      <c r="C3475" s="66" t="s">
        <v>222</v>
      </c>
      <c r="D3475" s="3" t="s">
        <v>22</v>
      </c>
      <c r="E3475" s="64">
        <v>1</v>
      </c>
    </row>
    <row r="3476" spans="1:5">
      <c r="A3476" s="64" t="s">
        <v>1</v>
      </c>
      <c r="B3476" s="65">
        <v>43451</v>
      </c>
      <c r="C3476" s="66" t="s">
        <v>216</v>
      </c>
      <c r="D3476" s="3" t="s">
        <v>22</v>
      </c>
      <c r="E3476" s="64">
        <v>1</v>
      </c>
    </row>
    <row r="3477" spans="1:5">
      <c r="A3477" s="64" t="s">
        <v>1</v>
      </c>
      <c r="B3477" s="65">
        <v>43452</v>
      </c>
      <c r="C3477" s="66" t="s">
        <v>217</v>
      </c>
      <c r="D3477" s="3" t="s">
        <v>22</v>
      </c>
      <c r="E3477" s="64">
        <v>1</v>
      </c>
    </row>
    <row r="3478" spans="1:5">
      <c r="A3478" s="64" t="s">
        <v>1</v>
      </c>
      <c r="B3478" s="65">
        <v>43453</v>
      </c>
      <c r="C3478" s="66" t="s">
        <v>218</v>
      </c>
      <c r="D3478" s="3" t="s">
        <v>22</v>
      </c>
      <c r="E3478" s="64">
        <v>1</v>
      </c>
    </row>
    <row r="3479" spans="1:5">
      <c r="A3479" s="64" t="s">
        <v>1</v>
      </c>
      <c r="B3479" s="65">
        <v>43454</v>
      </c>
      <c r="C3479" s="66" t="s">
        <v>219</v>
      </c>
      <c r="D3479" s="3" t="s">
        <v>22</v>
      </c>
      <c r="E3479" s="64">
        <v>1</v>
      </c>
    </row>
    <row r="3480" spans="1:5">
      <c r="A3480" s="64" t="s">
        <v>1</v>
      </c>
      <c r="B3480" s="65">
        <v>43455</v>
      </c>
      <c r="C3480" s="66" t="s">
        <v>220</v>
      </c>
      <c r="D3480" s="3" t="s">
        <v>22</v>
      </c>
      <c r="E3480" s="64">
        <v>1</v>
      </c>
    </row>
    <row r="3481" spans="1:5">
      <c r="A3481" s="64" t="s">
        <v>1</v>
      </c>
      <c r="B3481" s="65">
        <v>43456</v>
      </c>
      <c r="C3481" s="66" t="s">
        <v>221</v>
      </c>
      <c r="D3481" s="3" t="s">
        <v>22</v>
      </c>
      <c r="E3481" s="64">
        <v>1</v>
      </c>
    </row>
    <row r="3482" spans="1:5">
      <c r="A3482" s="64" t="s">
        <v>1</v>
      </c>
      <c r="B3482" s="65">
        <v>43457</v>
      </c>
      <c r="C3482" s="66" t="s">
        <v>222</v>
      </c>
      <c r="D3482" s="3" t="s">
        <v>22</v>
      </c>
      <c r="E3482" s="64">
        <v>1</v>
      </c>
    </row>
    <row r="3483" spans="1:5">
      <c r="A3483" s="64" t="s">
        <v>1</v>
      </c>
      <c r="B3483" s="65">
        <v>43458</v>
      </c>
      <c r="C3483" s="66" t="s">
        <v>216</v>
      </c>
      <c r="D3483" s="3" t="s">
        <v>22</v>
      </c>
      <c r="E3483" s="64">
        <v>1</v>
      </c>
    </row>
    <row r="3484" spans="1:5">
      <c r="A3484" s="64" t="s">
        <v>1</v>
      </c>
      <c r="B3484" s="65">
        <v>43459</v>
      </c>
      <c r="C3484" s="66" t="s">
        <v>217</v>
      </c>
      <c r="D3484" s="3" t="s">
        <v>22</v>
      </c>
      <c r="E3484" s="64">
        <v>1</v>
      </c>
    </row>
    <row r="3485" spans="1:5">
      <c r="A3485" s="64" t="s">
        <v>1</v>
      </c>
      <c r="B3485" s="65">
        <v>43460</v>
      </c>
      <c r="C3485" s="66" t="s">
        <v>218</v>
      </c>
      <c r="D3485" s="3" t="s">
        <v>22</v>
      </c>
      <c r="E3485" s="64">
        <v>1</v>
      </c>
    </row>
    <row r="3486" spans="1:5">
      <c r="A3486" s="64" t="s">
        <v>1</v>
      </c>
      <c r="B3486" s="65">
        <v>43461</v>
      </c>
      <c r="C3486" s="66" t="s">
        <v>219</v>
      </c>
      <c r="D3486" s="3" t="s">
        <v>22</v>
      </c>
      <c r="E3486" s="64">
        <v>1</v>
      </c>
    </row>
    <row r="3487" spans="1:5">
      <c r="A3487" s="64" t="s">
        <v>1</v>
      </c>
      <c r="B3487" s="65">
        <v>43462</v>
      </c>
      <c r="C3487" s="66" t="s">
        <v>220</v>
      </c>
      <c r="D3487" s="3" t="s">
        <v>22</v>
      </c>
      <c r="E3487" s="64">
        <v>1</v>
      </c>
    </row>
    <row r="3488" spans="1:5">
      <c r="A3488" s="64" t="s">
        <v>1</v>
      </c>
      <c r="B3488" s="65">
        <v>43463</v>
      </c>
      <c r="C3488" s="66" t="s">
        <v>221</v>
      </c>
      <c r="D3488" s="3" t="s">
        <v>22</v>
      </c>
      <c r="E3488" s="64">
        <v>1</v>
      </c>
    </row>
    <row r="3489" spans="1:5">
      <c r="A3489" s="64" t="s">
        <v>1</v>
      </c>
      <c r="B3489" s="65">
        <v>43464</v>
      </c>
      <c r="C3489" s="66" t="s">
        <v>222</v>
      </c>
      <c r="D3489" s="3" t="s">
        <v>22</v>
      </c>
      <c r="E3489" s="64">
        <v>1</v>
      </c>
    </row>
    <row r="3490" spans="1:5">
      <c r="A3490" s="64" t="s">
        <v>1</v>
      </c>
      <c r="B3490" s="65">
        <v>43465</v>
      </c>
      <c r="C3490" s="66" t="s">
        <v>216</v>
      </c>
      <c r="D3490" s="3" t="s">
        <v>22</v>
      </c>
      <c r="E3490" s="64">
        <v>1</v>
      </c>
    </row>
    <row r="3491" spans="1:5">
      <c r="A3491" s="64" t="s">
        <v>1</v>
      </c>
      <c r="B3491" s="65">
        <v>43466</v>
      </c>
      <c r="C3491" s="66" t="s">
        <v>217</v>
      </c>
      <c r="D3491" s="3" t="s">
        <v>22</v>
      </c>
      <c r="E3491" s="64">
        <v>1</v>
      </c>
    </row>
    <row r="3492" spans="1:5">
      <c r="A3492" s="64" t="s">
        <v>1</v>
      </c>
      <c r="B3492" s="65">
        <v>43467</v>
      </c>
      <c r="C3492" s="66" t="s">
        <v>218</v>
      </c>
      <c r="D3492" s="3" t="s">
        <v>22</v>
      </c>
      <c r="E3492" s="64">
        <v>1</v>
      </c>
    </row>
    <row r="3493" spans="1:5">
      <c r="A3493" s="64" t="s">
        <v>1</v>
      </c>
      <c r="B3493" s="65">
        <v>43468</v>
      </c>
      <c r="C3493" s="66" t="s">
        <v>219</v>
      </c>
      <c r="D3493" s="3" t="s">
        <v>22</v>
      </c>
      <c r="E3493" s="64">
        <v>1</v>
      </c>
    </row>
    <row r="3494" spans="1:5">
      <c r="A3494" s="64" t="s">
        <v>1</v>
      </c>
      <c r="B3494" s="65">
        <v>43469</v>
      </c>
      <c r="C3494" s="66" t="s">
        <v>220</v>
      </c>
      <c r="D3494" s="3" t="s">
        <v>22</v>
      </c>
      <c r="E3494" s="64">
        <v>1</v>
      </c>
    </row>
    <row r="3495" spans="1:5">
      <c r="A3495" s="64" t="s">
        <v>1</v>
      </c>
      <c r="B3495" s="65">
        <v>43470</v>
      </c>
      <c r="C3495" s="66" t="s">
        <v>221</v>
      </c>
      <c r="D3495" s="3" t="s">
        <v>22</v>
      </c>
      <c r="E3495" s="64">
        <v>1</v>
      </c>
    </row>
    <row r="3496" spans="1:5">
      <c r="A3496" s="64" t="s">
        <v>1</v>
      </c>
      <c r="B3496" s="65">
        <v>43471</v>
      </c>
      <c r="C3496" s="66" t="s">
        <v>222</v>
      </c>
      <c r="D3496" s="3" t="s">
        <v>22</v>
      </c>
      <c r="E3496" s="64">
        <v>1</v>
      </c>
    </row>
    <row r="3497" spans="1:5">
      <c r="A3497" s="64" t="s">
        <v>1</v>
      </c>
      <c r="B3497" s="65">
        <v>43472</v>
      </c>
      <c r="C3497" s="66" t="s">
        <v>216</v>
      </c>
      <c r="D3497" s="3" t="s">
        <v>22</v>
      </c>
      <c r="E3497" s="64">
        <v>1</v>
      </c>
    </row>
    <row r="3498" spans="1:5">
      <c r="A3498" s="64" t="s">
        <v>1</v>
      </c>
      <c r="B3498" s="65">
        <v>43473</v>
      </c>
      <c r="C3498" s="66" t="s">
        <v>217</v>
      </c>
      <c r="D3498" s="3" t="s">
        <v>22</v>
      </c>
      <c r="E3498" s="64">
        <v>1</v>
      </c>
    </row>
    <row r="3499" spans="1:5">
      <c r="A3499" s="64" t="s">
        <v>1</v>
      </c>
      <c r="B3499" s="65">
        <v>43474</v>
      </c>
      <c r="C3499" s="66" t="s">
        <v>218</v>
      </c>
      <c r="D3499" s="3" t="s">
        <v>22</v>
      </c>
      <c r="E3499" s="64">
        <v>1</v>
      </c>
    </row>
    <row r="3500" spans="1:5">
      <c r="A3500" s="64" t="s">
        <v>1</v>
      </c>
      <c r="B3500" s="65">
        <v>43475</v>
      </c>
      <c r="C3500" s="66" t="s">
        <v>219</v>
      </c>
      <c r="D3500" s="3" t="s">
        <v>22</v>
      </c>
      <c r="E3500" s="64">
        <v>1</v>
      </c>
    </row>
    <row r="3501" spans="1:5">
      <c r="A3501" s="64" t="s">
        <v>1</v>
      </c>
      <c r="B3501" s="65">
        <v>43476</v>
      </c>
      <c r="C3501" s="66" t="s">
        <v>220</v>
      </c>
      <c r="D3501" s="3" t="s">
        <v>22</v>
      </c>
      <c r="E3501" s="64">
        <v>1</v>
      </c>
    </row>
    <row r="3502" spans="1:5">
      <c r="A3502" s="64" t="s">
        <v>1</v>
      </c>
      <c r="B3502" s="65">
        <v>43477</v>
      </c>
      <c r="C3502" s="66" t="s">
        <v>221</v>
      </c>
      <c r="D3502" s="3" t="s">
        <v>22</v>
      </c>
      <c r="E3502" s="64">
        <v>1</v>
      </c>
    </row>
    <row r="3503" spans="1:5">
      <c r="A3503" s="64" t="s">
        <v>1</v>
      </c>
      <c r="B3503" s="65">
        <v>43478</v>
      </c>
      <c r="C3503" s="66" t="s">
        <v>222</v>
      </c>
      <c r="D3503" s="3" t="s">
        <v>22</v>
      </c>
      <c r="E3503" s="64">
        <v>1</v>
      </c>
    </row>
    <row r="3504" spans="1:5">
      <c r="A3504" s="64" t="s">
        <v>1</v>
      </c>
      <c r="B3504" s="65">
        <v>43479</v>
      </c>
      <c r="C3504" s="66" t="s">
        <v>216</v>
      </c>
      <c r="D3504" s="3" t="s">
        <v>22</v>
      </c>
      <c r="E3504" s="64">
        <v>1</v>
      </c>
    </row>
    <row r="3505" spans="1:5">
      <c r="A3505" s="64" t="s">
        <v>1</v>
      </c>
      <c r="B3505" s="65">
        <v>43480</v>
      </c>
      <c r="C3505" s="66" t="s">
        <v>217</v>
      </c>
      <c r="D3505" s="3" t="s">
        <v>22</v>
      </c>
      <c r="E3505" s="64">
        <v>1</v>
      </c>
    </row>
    <row r="3506" spans="1:5">
      <c r="A3506" s="64" t="s">
        <v>1</v>
      </c>
      <c r="B3506" s="65">
        <v>43481</v>
      </c>
      <c r="C3506" s="66" t="s">
        <v>218</v>
      </c>
      <c r="D3506" s="3" t="s">
        <v>22</v>
      </c>
      <c r="E3506" s="64">
        <v>1</v>
      </c>
    </row>
    <row r="3507" spans="1:5">
      <c r="A3507" s="64" t="s">
        <v>1</v>
      </c>
      <c r="B3507" s="65">
        <v>43482</v>
      </c>
      <c r="C3507" s="66" t="s">
        <v>219</v>
      </c>
      <c r="D3507" s="3" t="s">
        <v>22</v>
      </c>
      <c r="E3507" s="64">
        <v>1</v>
      </c>
    </row>
    <row r="3508" spans="1:5">
      <c r="A3508" s="64" t="s">
        <v>1</v>
      </c>
      <c r="B3508" s="65">
        <v>43483</v>
      </c>
      <c r="C3508" s="66" t="s">
        <v>220</v>
      </c>
      <c r="D3508" s="3" t="s">
        <v>22</v>
      </c>
      <c r="E3508" s="64">
        <v>1</v>
      </c>
    </row>
    <row r="3509" spans="1:5">
      <c r="A3509" s="64" t="s">
        <v>1</v>
      </c>
      <c r="B3509" s="65">
        <v>43484</v>
      </c>
      <c r="C3509" s="66" t="s">
        <v>221</v>
      </c>
      <c r="D3509" s="3" t="s">
        <v>22</v>
      </c>
      <c r="E3509" s="64">
        <v>1</v>
      </c>
    </row>
    <row r="3510" spans="1:5">
      <c r="A3510" s="64" t="s">
        <v>1</v>
      </c>
      <c r="B3510" s="65">
        <v>43485</v>
      </c>
      <c r="C3510" s="66" t="s">
        <v>222</v>
      </c>
      <c r="D3510" s="3" t="s">
        <v>22</v>
      </c>
      <c r="E3510" s="64">
        <v>1</v>
      </c>
    </row>
    <row r="3511" spans="1:5">
      <c r="A3511" s="64" t="s">
        <v>1</v>
      </c>
      <c r="B3511" s="65">
        <v>43486</v>
      </c>
      <c r="C3511" s="66" t="s">
        <v>216</v>
      </c>
      <c r="D3511" s="3" t="s">
        <v>22</v>
      </c>
      <c r="E3511" s="64">
        <v>1</v>
      </c>
    </row>
    <row r="3512" spans="1:5">
      <c r="A3512" s="64" t="s">
        <v>1</v>
      </c>
      <c r="B3512" s="65">
        <v>43487</v>
      </c>
      <c r="C3512" s="66" t="s">
        <v>217</v>
      </c>
      <c r="D3512" s="3" t="s">
        <v>22</v>
      </c>
      <c r="E3512" s="64">
        <v>1</v>
      </c>
    </row>
    <row r="3513" spans="1:5">
      <c r="A3513" s="64" t="s">
        <v>1</v>
      </c>
      <c r="B3513" s="65">
        <v>43488</v>
      </c>
      <c r="C3513" s="66" t="s">
        <v>218</v>
      </c>
      <c r="D3513" s="3" t="s">
        <v>22</v>
      </c>
      <c r="E3513" s="64">
        <v>1</v>
      </c>
    </row>
    <row r="3514" spans="1:5">
      <c r="A3514" s="64" t="s">
        <v>1</v>
      </c>
      <c r="B3514" s="65">
        <v>43489</v>
      </c>
      <c r="C3514" s="66" t="s">
        <v>219</v>
      </c>
      <c r="D3514" s="3" t="s">
        <v>22</v>
      </c>
      <c r="E3514" s="64">
        <v>1</v>
      </c>
    </row>
    <row r="3515" spans="1:5">
      <c r="A3515" s="64" t="s">
        <v>1</v>
      </c>
      <c r="B3515" s="65">
        <v>43490</v>
      </c>
      <c r="C3515" s="66" t="s">
        <v>220</v>
      </c>
      <c r="D3515" s="3" t="s">
        <v>22</v>
      </c>
      <c r="E3515" s="64">
        <v>1</v>
      </c>
    </row>
    <row r="3516" spans="1:5">
      <c r="A3516" s="64" t="s">
        <v>1</v>
      </c>
      <c r="B3516" s="65">
        <v>43491</v>
      </c>
      <c r="C3516" s="66" t="s">
        <v>221</v>
      </c>
      <c r="D3516" s="3" t="s">
        <v>22</v>
      </c>
      <c r="E3516" s="64">
        <v>1</v>
      </c>
    </row>
    <row r="3517" spans="1:5">
      <c r="A3517" s="64" t="s">
        <v>1</v>
      </c>
      <c r="B3517" s="65">
        <v>43492</v>
      </c>
      <c r="C3517" s="66" t="s">
        <v>222</v>
      </c>
      <c r="D3517" s="3" t="s">
        <v>22</v>
      </c>
      <c r="E3517" s="64">
        <v>1</v>
      </c>
    </row>
    <row r="3518" spans="1:5">
      <c r="A3518" s="64" t="s">
        <v>1</v>
      </c>
      <c r="B3518" s="65">
        <v>43493</v>
      </c>
      <c r="C3518" s="66" t="s">
        <v>216</v>
      </c>
      <c r="D3518" s="3" t="s">
        <v>22</v>
      </c>
      <c r="E3518" s="64">
        <v>1</v>
      </c>
    </row>
    <row r="3519" spans="1:5">
      <c r="A3519" s="64" t="s">
        <v>1</v>
      </c>
      <c r="B3519" s="65">
        <v>43494</v>
      </c>
      <c r="C3519" s="66" t="s">
        <v>217</v>
      </c>
      <c r="D3519" s="3" t="s">
        <v>22</v>
      </c>
      <c r="E3519" s="64">
        <v>1</v>
      </c>
    </row>
    <row r="3520" spans="1:5">
      <c r="A3520" s="64" t="s">
        <v>1</v>
      </c>
      <c r="B3520" s="65">
        <v>43495</v>
      </c>
      <c r="C3520" s="66" t="s">
        <v>218</v>
      </c>
      <c r="D3520" s="3" t="s">
        <v>22</v>
      </c>
      <c r="E3520" s="64">
        <v>1</v>
      </c>
    </row>
    <row r="3521" spans="1:5">
      <c r="A3521" s="64" t="s">
        <v>1</v>
      </c>
      <c r="B3521" s="65">
        <v>43496</v>
      </c>
      <c r="C3521" s="66" t="s">
        <v>219</v>
      </c>
      <c r="D3521" s="3" t="s">
        <v>22</v>
      </c>
      <c r="E3521" s="64">
        <v>1</v>
      </c>
    </row>
    <row r="3522" spans="1:5">
      <c r="A3522" s="64" t="s">
        <v>1</v>
      </c>
      <c r="B3522" s="65">
        <v>43497</v>
      </c>
      <c r="C3522" s="66" t="s">
        <v>220</v>
      </c>
      <c r="D3522" s="3" t="s">
        <v>22</v>
      </c>
      <c r="E3522" s="64">
        <v>1</v>
      </c>
    </row>
    <row r="3523" spans="1:5">
      <c r="A3523" s="64" t="s">
        <v>1</v>
      </c>
      <c r="B3523" s="65">
        <v>43498</v>
      </c>
      <c r="C3523" s="66" t="s">
        <v>221</v>
      </c>
      <c r="D3523" s="3" t="s">
        <v>22</v>
      </c>
      <c r="E3523" s="64">
        <v>1</v>
      </c>
    </row>
    <row r="3524" spans="1:5">
      <c r="A3524" s="64" t="s">
        <v>1</v>
      </c>
      <c r="B3524" s="65">
        <v>43499</v>
      </c>
      <c r="C3524" s="66" t="s">
        <v>222</v>
      </c>
      <c r="D3524" s="3" t="s">
        <v>22</v>
      </c>
      <c r="E3524" s="64">
        <v>1</v>
      </c>
    </row>
    <row r="3525" spans="1:5">
      <c r="A3525" s="64" t="s">
        <v>1</v>
      </c>
      <c r="B3525" s="65">
        <v>43500</v>
      </c>
      <c r="C3525" s="66" t="s">
        <v>216</v>
      </c>
      <c r="D3525" s="3" t="s">
        <v>22</v>
      </c>
      <c r="E3525" s="64">
        <v>1</v>
      </c>
    </row>
    <row r="3526" spans="1:5">
      <c r="A3526" s="64" t="s">
        <v>1</v>
      </c>
      <c r="B3526" s="65">
        <v>43501</v>
      </c>
      <c r="C3526" s="66" t="s">
        <v>217</v>
      </c>
      <c r="D3526" s="3" t="s">
        <v>22</v>
      </c>
      <c r="E3526" s="64">
        <v>1</v>
      </c>
    </row>
    <row r="3527" spans="1:5">
      <c r="A3527" s="64" t="s">
        <v>1</v>
      </c>
      <c r="B3527" s="65">
        <v>43502</v>
      </c>
      <c r="C3527" s="66" t="s">
        <v>218</v>
      </c>
      <c r="D3527" s="3" t="s">
        <v>22</v>
      </c>
      <c r="E3527" s="64">
        <v>1</v>
      </c>
    </row>
    <row r="3528" spans="1:5">
      <c r="A3528" s="64" t="s">
        <v>1</v>
      </c>
      <c r="B3528" s="65">
        <v>43503</v>
      </c>
      <c r="C3528" s="66" t="s">
        <v>219</v>
      </c>
      <c r="D3528" s="3" t="s">
        <v>22</v>
      </c>
      <c r="E3528" s="64">
        <v>1</v>
      </c>
    </row>
    <row r="3529" spans="1:5">
      <c r="A3529" s="64" t="s">
        <v>1</v>
      </c>
      <c r="B3529" s="65">
        <v>43504</v>
      </c>
      <c r="C3529" s="66" t="s">
        <v>220</v>
      </c>
      <c r="D3529" s="3" t="s">
        <v>22</v>
      </c>
      <c r="E3529" s="64">
        <v>1</v>
      </c>
    </row>
    <row r="3530" spans="1:5">
      <c r="A3530" s="64" t="s">
        <v>1</v>
      </c>
      <c r="B3530" s="65">
        <v>43505</v>
      </c>
      <c r="C3530" s="66" t="s">
        <v>221</v>
      </c>
      <c r="D3530" s="3" t="s">
        <v>22</v>
      </c>
      <c r="E3530" s="64">
        <v>1</v>
      </c>
    </row>
    <row r="3531" spans="1:5">
      <c r="A3531" s="64" t="s">
        <v>1</v>
      </c>
      <c r="B3531" s="65">
        <v>43506</v>
      </c>
      <c r="C3531" s="66" t="s">
        <v>222</v>
      </c>
      <c r="D3531" s="3" t="s">
        <v>22</v>
      </c>
      <c r="E3531" s="64">
        <v>1</v>
      </c>
    </row>
    <row r="3532" spans="1:5">
      <c r="A3532" s="64" t="s">
        <v>1</v>
      </c>
      <c r="B3532" s="65">
        <v>43507</v>
      </c>
      <c r="C3532" s="66" t="s">
        <v>216</v>
      </c>
      <c r="D3532" s="3" t="s">
        <v>22</v>
      </c>
      <c r="E3532" s="64">
        <v>1</v>
      </c>
    </row>
    <row r="3533" spans="1:5">
      <c r="A3533" s="64" t="s">
        <v>1</v>
      </c>
      <c r="B3533" s="65">
        <v>43508</v>
      </c>
      <c r="C3533" s="66" t="s">
        <v>217</v>
      </c>
      <c r="D3533" s="3" t="s">
        <v>22</v>
      </c>
      <c r="E3533" s="64">
        <v>1</v>
      </c>
    </row>
    <row r="3534" spans="1:5">
      <c r="A3534" s="64" t="s">
        <v>1</v>
      </c>
      <c r="B3534" s="65">
        <v>43509</v>
      </c>
      <c r="C3534" s="66" t="s">
        <v>218</v>
      </c>
      <c r="D3534" s="3" t="s">
        <v>22</v>
      </c>
      <c r="E3534" s="64">
        <v>1</v>
      </c>
    </row>
    <row r="3535" spans="1:5">
      <c r="A3535" s="64" t="s">
        <v>1</v>
      </c>
      <c r="B3535" s="65">
        <v>43510</v>
      </c>
      <c r="C3535" s="66" t="s">
        <v>219</v>
      </c>
      <c r="D3535" s="3" t="s">
        <v>22</v>
      </c>
      <c r="E3535" s="64">
        <v>1</v>
      </c>
    </row>
    <row r="3536" spans="1:5">
      <c r="A3536" s="64" t="s">
        <v>1</v>
      </c>
      <c r="B3536" s="65">
        <v>43511</v>
      </c>
      <c r="C3536" s="66" t="s">
        <v>220</v>
      </c>
      <c r="D3536" s="3" t="s">
        <v>22</v>
      </c>
      <c r="E3536" s="64">
        <v>1</v>
      </c>
    </row>
    <row r="3537" spans="1:5">
      <c r="A3537" s="64" t="s">
        <v>1</v>
      </c>
      <c r="B3537" s="65">
        <v>43512</v>
      </c>
      <c r="C3537" s="66" t="s">
        <v>221</v>
      </c>
      <c r="D3537" s="3" t="s">
        <v>22</v>
      </c>
      <c r="E3537" s="64">
        <v>1</v>
      </c>
    </row>
    <row r="3538" spans="1:5">
      <c r="A3538" s="64" t="s">
        <v>1</v>
      </c>
      <c r="B3538" s="65">
        <v>43513</v>
      </c>
      <c r="C3538" s="66" t="s">
        <v>222</v>
      </c>
      <c r="D3538" s="3" t="s">
        <v>22</v>
      </c>
      <c r="E3538" s="64">
        <v>1</v>
      </c>
    </row>
    <row r="3539" spans="1:5">
      <c r="A3539" s="64" t="s">
        <v>1</v>
      </c>
      <c r="B3539" s="65">
        <v>43514</v>
      </c>
      <c r="C3539" s="66" t="s">
        <v>216</v>
      </c>
      <c r="D3539" s="3" t="s">
        <v>22</v>
      </c>
      <c r="E3539" s="64">
        <v>1</v>
      </c>
    </row>
    <row r="3540" spans="1:5">
      <c r="A3540" s="64" t="s">
        <v>1</v>
      </c>
      <c r="B3540" s="65">
        <v>43515</v>
      </c>
      <c r="C3540" s="66" t="s">
        <v>217</v>
      </c>
      <c r="D3540" s="3" t="s">
        <v>22</v>
      </c>
      <c r="E3540" s="64">
        <v>1</v>
      </c>
    </row>
    <row r="3541" spans="1:5">
      <c r="A3541" s="64" t="s">
        <v>1</v>
      </c>
      <c r="B3541" s="65">
        <v>43516</v>
      </c>
      <c r="C3541" s="66" t="s">
        <v>218</v>
      </c>
      <c r="D3541" s="3" t="s">
        <v>22</v>
      </c>
      <c r="E3541" s="64">
        <v>1</v>
      </c>
    </row>
    <row r="3542" spans="1:5">
      <c r="A3542" s="64" t="s">
        <v>1</v>
      </c>
      <c r="B3542" s="65">
        <v>43517</v>
      </c>
      <c r="C3542" s="66" t="s">
        <v>219</v>
      </c>
      <c r="D3542" s="3" t="s">
        <v>22</v>
      </c>
      <c r="E3542" s="64">
        <v>1</v>
      </c>
    </row>
    <row r="3543" spans="1:5">
      <c r="A3543" s="64" t="s">
        <v>1</v>
      </c>
      <c r="B3543" s="65">
        <v>43518</v>
      </c>
      <c r="C3543" s="66" t="s">
        <v>220</v>
      </c>
      <c r="D3543" s="3" t="s">
        <v>22</v>
      </c>
      <c r="E3543" s="64">
        <v>1</v>
      </c>
    </row>
    <row r="3544" spans="1:5">
      <c r="A3544" s="64" t="s">
        <v>1</v>
      </c>
      <c r="B3544" s="65">
        <v>43519</v>
      </c>
      <c r="C3544" s="66" t="s">
        <v>221</v>
      </c>
      <c r="D3544" s="3" t="s">
        <v>22</v>
      </c>
      <c r="E3544" s="64">
        <v>1</v>
      </c>
    </row>
    <row r="3545" spans="1:5">
      <c r="A3545" s="64" t="s">
        <v>1</v>
      </c>
      <c r="B3545" s="65">
        <v>43520</v>
      </c>
      <c r="C3545" s="66" t="s">
        <v>222</v>
      </c>
      <c r="D3545" s="3" t="s">
        <v>22</v>
      </c>
      <c r="E3545" s="64">
        <v>1</v>
      </c>
    </row>
    <row r="3546" spans="1:5">
      <c r="A3546" s="64" t="s">
        <v>1</v>
      </c>
      <c r="B3546" s="65">
        <v>43521</v>
      </c>
      <c r="C3546" s="66" t="s">
        <v>216</v>
      </c>
      <c r="D3546" s="3" t="s">
        <v>22</v>
      </c>
      <c r="E3546" s="64">
        <v>1</v>
      </c>
    </row>
    <row r="3547" spans="1:5">
      <c r="A3547" s="64" t="s">
        <v>1</v>
      </c>
      <c r="B3547" s="65">
        <v>43522</v>
      </c>
      <c r="C3547" s="66" t="s">
        <v>217</v>
      </c>
      <c r="D3547" s="3" t="s">
        <v>22</v>
      </c>
      <c r="E3547" s="64">
        <v>1</v>
      </c>
    </row>
    <row r="3548" spans="1:5">
      <c r="A3548" s="64" t="s">
        <v>1</v>
      </c>
      <c r="B3548" s="65">
        <v>43523</v>
      </c>
      <c r="C3548" s="66" t="s">
        <v>218</v>
      </c>
      <c r="D3548" s="3" t="s">
        <v>22</v>
      </c>
      <c r="E3548" s="64">
        <v>1</v>
      </c>
    </row>
    <row r="3549" spans="1:5">
      <c r="A3549" s="64" t="s">
        <v>1</v>
      </c>
      <c r="B3549" s="65">
        <v>43524</v>
      </c>
      <c r="C3549" s="66" t="s">
        <v>219</v>
      </c>
      <c r="D3549" s="3" t="s">
        <v>22</v>
      </c>
      <c r="E3549" s="64">
        <v>1</v>
      </c>
    </row>
    <row r="3550" spans="1:5">
      <c r="A3550" s="64" t="s">
        <v>1</v>
      </c>
      <c r="B3550" s="65">
        <v>43525</v>
      </c>
      <c r="C3550" s="66" t="s">
        <v>220</v>
      </c>
      <c r="D3550" s="3" t="s">
        <v>22</v>
      </c>
      <c r="E3550" s="64">
        <v>1</v>
      </c>
    </row>
    <row r="3551" spans="1:5">
      <c r="A3551" s="64" t="s">
        <v>1</v>
      </c>
      <c r="B3551" s="65">
        <v>43526</v>
      </c>
      <c r="C3551" s="66" t="s">
        <v>221</v>
      </c>
      <c r="D3551" s="3" t="s">
        <v>22</v>
      </c>
      <c r="E3551" s="64">
        <v>1</v>
      </c>
    </row>
    <row r="3552" spans="1:5">
      <c r="A3552" s="64" t="s">
        <v>1</v>
      </c>
      <c r="B3552" s="65">
        <v>43527</v>
      </c>
      <c r="C3552" s="66" t="s">
        <v>222</v>
      </c>
      <c r="D3552" s="3" t="s">
        <v>22</v>
      </c>
      <c r="E3552" s="64">
        <v>1</v>
      </c>
    </row>
    <row r="3553" spans="1:5">
      <c r="A3553" s="64" t="s">
        <v>1</v>
      </c>
      <c r="B3553" s="65">
        <v>43528</v>
      </c>
      <c r="C3553" s="66" t="s">
        <v>216</v>
      </c>
      <c r="D3553" s="3" t="s">
        <v>22</v>
      </c>
      <c r="E3553" s="64">
        <v>1</v>
      </c>
    </row>
    <row r="3554" spans="1:5">
      <c r="A3554" s="64" t="s">
        <v>1</v>
      </c>
      <c r="B3554" s="65">
        <v>43529</v>
      </c>
      <c r="C3554" s="66" t="s">
        <v>217</v>
      </c>
      <c r="D3554" s="3" t="s">
        <v>22</v>
      </c>
      <c r="E3554" s="64">
        <v>1</v>
      </c>
    </row>
    <row r="3555" spans="1:5">
      <c r="A3555" s="64" t="s">
        <v>1</v>
      </c>
      <c r="B3555" s="65">
        <v>43530</v>
      </c>
      <c r="C3555" s="66" t="s">
        <v>218</v>
      </c>
      <c r="D3555" s="3" t="s">
        <v>22</v>
      </c>
      <c r="E3555" s="64">
        <v>1</v>
      </c>
    </row>
    <row r="3556" spans="1:5">
      <c r="A3556" s="64" t="s">
        <v>1</v>
      </c>
      <c r="B3556" s="65">
        <v>43531</v>
      </c>
      <c r="C3556" s="66" t="s">
        <v>219</v>
      </c>
      <c r="D3556" s="3" t="s">
        <v>22</v>
      </c>
      <c r="E3556" s="64">
        <v>1</v>
      </c>
    </row>
    <row r="3557" spans="1:5">
      <c r="A3557" s="64" t="s">
        <v>1</v>
      </c>
      <c r="B3557" s="65">
        <v>43532</v>
      </c>
      <c r="C3557" s="66" t="s">
        <v>220</v>
      </c>
      <c r="D3557" s="3" t="s">
        <v>22</v>
      </c>
      <c r="E3557" s="64">
        <v>1</v>
      </c>
    </row>
    <row r="3558" spans="1:5">
      <c r="A3558" s="64" t="s">
        <v>1</v>
      </c>
      <c r="B3558" s="65">
        <v>43533</v>
      </c>
      <c r="C3558" s="66" t="s">
        <v>221</v>
      </c>
      <c r="D3558" s="3" t="s">
        <v>22</v>
      </c>
      <c r="E3558" s="64">
        <v>1</v>
      </c>
    </row>
    <row r="3559" spans="1:5">
      <c r="A3559" s="64" t="s">
        <v>1</v>
      </c>
      <c r="B3559" s="65">
        <v>43534</v>
      </c>
      <c r="C3559" s="66" t="s">
        <v>222</v>
      </c>
      <c r="D3559" s="3" t="s">
        <v>22</v>
      </c>
      <c r="E3559" s="64">
        <v>1</v>
      </c>
    </row>
    <row r="3560" spans="1:5">
      <c r="A3560" s="64" t="s">
        <v>1</v>
      </c>
      <c r="B3560" s="65">
        <v>43535</v>
      </c>
      <c r="C3560" s="66" t="s">
        <v>216</v>
      </c>
      <c r="D3560" s="3" t="s">
        <v>22</v>
      </c>
      <c r="E3560" s="64">
        <v>1</v>
      </c>
    </row>
    <row r="3561" spans="1:5">
      <c r="A3561" s="64" t="s">
        <v>1</v>
      </c>
      <c r="B3561" s="65">
        <v>43536</v>
      </c>
      <c r="C3561" s="66" t="s">
        <v>217</v>
      </c>
      <c r="D3561" s="3" t="s">
        <v>22</v>
      </c>
      <c r="E3561" s="64">
        <v>1</v>
      </c>
    </row>
    <row r="3562" spans="1:5">
      <c r="A3562" s="64" t="s">
        <v>1</v>
      </c>
      <c r="B3562" s="65">
        <v>43537</v>
      </c>
      <c r="C3562" s="66" t="s">
        <v>218</v>
      </c>
      <c r="D3562" s="3" t="s">
        <v>22</v>
      </c>
      <c r="E3562" s="64">
        <v>1</v>
      </c>
    </row>
    <row r="3563" spans="1:5">
      <c r="A3563" s="64" t="s">
        <v>1</v>
      </c>
      <c r="B3563" s="65">
        <v>43538</v>
      </c>
      <c r="C3563" s="66" t="s">
        <v>219</v>
      </c>
      <c r="D3563" s="3" t="s">
        <v>22</v>
      </c>
      <c r="E3563" s="64">
        <v>1</v>
      </c>
    </row>
    <row r="3564" spans="1:5">
      <c r="A3564" s="64" t="s">
        <v>1</v>
      </c>
      <c r="B3564" s="65">
        <v>43539</v>
      </c>
      <c r="C3564" s="66" t="s">
        <v>220</v>
      </c>
      <c r="D3564" s="3" t="s">
        <v>22</v>
      </c>
      <c r="E3564" s="64">
        <v>1</v>
      </c>
    </row>
    <row r="3565" spans="1:5">
      <c r="A3565" s="64" t="s">
        <v>1</v>
      </c>
      <c r="B3565" s="65">
        <v>43540</v>
      </c>
      <c r="C3565" s="66" t="s">
        <v>221</v>
      </c>
      <c r="D3565" s="3" t="s">
        <v>22</v>
      </c>
      <c r="E3565" s="64">
        <v>1</v>
      </c>
    </row>
    <row r="3566" spans="1:5">
      <c r="A3566" s="64" t="s">
        <v>1</v>
      </c>
      <c r="B3566" s="65">
        <v>43541</v>
      </c>
      <c r="C3566" s="66" t="s">
        <v>222</v>
      </c>
      <c r="D3566" s="3" t="s">
        <v>22</v>
      </c>
      <c r="E3566" s="64">
        <v>1</v>
      </c>
    </row>
    <row r="3567" spans="1:5">
      <c r="A3567" s="64" t="s">
        <v>1</v>
      </c>
      <c r="B3567" s="65">
        <v>43542</v>
      </c>
      <c r="C3567" s="66" t="s">
        <v>216</v>
      </c>
      <c r="D3567" s="3" t="s">
        <v>22</v>
      </c>
      <c r="E3567" s="64">
        <v>1</v>
      </c>
    </row>
    <row r="3568" spans="1:5">
      <c r="A3568" s="64" t="s">
        <v>1</v>
      </c>
      <c r="B3568" s="65">
        <v>43543</v>
      </c>
      <c r="C3568" s="66" t="s">
        <v>217</v>
      </c>
      <c r="D3568" s="3" t="s">
        <v>22</v>
      </c>
      <c r="E3568" s="64">
        <v>1</v>
      </c>
    </row>
    <row r="3569" spans="1:5">
      <c r="A3569" s="64" t="s">
        <v>1</v>
      </c>
      <c r="B3569" s="65">
        <v>43544</v>
      </c>
      <c r="C3569" s="66" t="s">
        <v>218</v>
      </c>
      <c r="D3569" s="3" t="s">
        <v>22</v>
      </c>
      <c r="E3569" s="64">
        <v>1</v>
      </c>
    </row>
    <row r="3570" spans="1:5">
      <c r="A3570" s="64" t="s">
        <v>1</v>
      </c>
      <c r="B3570" s="65">
        <v>43545</v>
      </c>
      <c r="C3570" s="66" t="s">
        <v>219</v>
      </c>
      <c r="D3570" s="3" t="s">
        <v>22</v>
      </c>
      <c r="E3570" s="64">
        <v>1</v>
      </c>
    </row>
    <row r="3571" spans="1:5">
      <c r="A3571" s="64" t="s">
        <v>1</v>
      </c>
      <c r="B3571" s="65">
        <v>43546</v>
      </c>
      <c r="C3571" s="66" t="s">
        <v>220</v>
      </c>
      <c r="D3571" s="3" t="s">
        <v>22</v>
      </c>
      <c r="E3571" s="64">
        <v>1</v>
      </c>
    </row>
    <row r="3572" spans="1:5">
      <c r="A3572" s="64" t="s">
        <v>1</v>
      </c>
      <c r="B3572" s="65">
        <v>43547</v>
      </c>
      <c r="C3572" s="66" t="s">
        <v>221</v>
      </c>
      <c r="D3572" s="3" t="s">
        <v>22</v>
      </c>
      <c r="E3572" s="64">
        <v>1</v>
      </c>
    </row>
    <row r="3573" spans="1:5">
      <c r="A3573" s="64" t="s">
        <v>1</v>
      </c>
      <c r="B3573" s="65">
        <v>43548</v>
      </c>
      <c r="C3573" s="66" t="s">
        <v>222</v>
      </c>
      <c r="D3573" s="3" t="s">
        <v>22</v>
      </c>
      <c r="E3573" s="64">
        <v>1</v>
      </c>
    </row>
    <row r="3574" spans="1:5">
      <c r="A3574" s="64" t="s">
        <v>1</v>
      </c>
      <c r="B3574" s="65">
        <v>43549</v>
      </c>
      <c r="C3574" s="66" t="s">
        <v>216</v>
      </c>
      <c r="D3574" s="3" t="s">
        <v>22</v>
      </c>
      <c r="E3574" s="64">
        <v>1</v>
      </c>
    </row>
    <row r="3575" spans="1:5">
      <c r="A3575" s="64" t="s">
        <v>1</v>
      </c>
      <c r="B3575" s="65">
        <v>43550</v>
      </c>
      <c r="C3575" s="66" t="s">
        <v>217</v>
      </c>
      <c r="D3575" s="3" t="s">
        <v>22</v>
      </c>
      <c r="E3575" s="64">
        <v>1</v>
      </c>
    </row>
    <row r="3576" spans="1:5">
      <c r="A3576" s="64" t="s">
        <v>1</v>
      </c>
      <c r="B3576" s="65">
        <v>43551</v>
      </c>
      <c r="C3576" s="66" t="s">
        <v>218</v>
      </c>
      <c r="D3576" s="3" t="s">
        <v>22</v>
      </c>
      <c r="E3576" s="64">
        <v>1</v>
      </c>
    </row>
    <row r="3577" spans="1:5">
      <c r="A3577" s="64" t="s">
        <v>1</v>
      </c>
      <c r="B3577" s="65">
        <v>43552</v>
      </c>
      <c r="C3577" s="66" t="s">
        <v>219</v>
      </c>
      <c r="D3577" s="3" t="s">
        <v>22</v>
      </c>
      <c r="E3577" s="64">
        <v>1</v>
      </c>
    </row>
    <row r="3578" spans="1:5">
      <c r="A3578" s="64" t="s">
        <v>1</v>
      </c>
      <c r="B3578" s="65">
        <v>43553</v>
      </c>
      <c r="C3578" s="66" t="s">
        <v>220</v>
      </c>
      <c r="D3578" s="3" t="s">
        <v>22</v>
      </c>
      <c r="E3578" s="64">
        <v>1</v>
      </c>
    </row>
    <row r="3579" spans="1:5">
      <c r="A3579" s="64" t="s">
        <v>1</v>
      </c>
      <c r="B3579" s="65">
        <v>43554</v>
      </c>
      <c r="C3579" s="66" t="s">
        <v>221</v>
      </c>
      <c r="D3579" s="3" t="s">
        <v>22</v>
      </c>
      <c r="E3579" s="64">
        <v>1</v>
      </c>
    </row>
    <row r="3580" spans="1:5">
      <c r="A3580" s="64" t="s">
        <v>1</v>
      </c>
      <c r="B3580" s="65">
        <v>43555</v>
      </c>
      <c r="C3580" s="66" t="s">
        <v>222</v>
      </c>
      <c r="D3580" s="3" t="s">
        <v>22</v>
      </c>
      <c r="E3580" s="64">
        <v>1</v>
      </c>
    </row>
    <row r="3581" spans="1:5">
      <c r="A3581" s="64" t="s">
        <v>1</v>
      </c>
      <c r="B3581" s="65">
        <v>43556</v>
      </c>
      <c r="C3581" s="66" t="s">
        <v>216</v>
      </c>
      <c r="D3581" s="3" t="s">
        <v>22</v>
      </c>
      <c r="E3581" s="64">
        <v>1</v>
      </c>
    </row>
    <row r="3582" spans="1:5">
      <c r="A3582" s="64" t="s">
        <v>1</v>
      </c>
      <c r="B3582" s="65">
        <v>43557</v>
      </c>
      <c r="C3582" s="66" t="s">
        <v>217</v>
      </c>
      <c r="D3582" s="3" t="s">
        <v>22</v>
      </c>
      <c r="E3582" s="64">
        <v>1</v>
      </c>
    </row>
    <row r="3583" spans="1:5">
      <c r="A3583" s="64" t="s">
        <v>1</v>
      </c>
      <c r="B3583" s="65">
        <v>43558</v>
      </c>
      <c r="C3583" s="66" t="s">
        <v>218</v>
      </c>
      <c r="D3583" s="3" t="s">
        <v>22</v>
      </c>
      <c r="E3583" s="64">
        <v>1</v>
      </c>
    </row>
    <row r="3584" spans="1:5">
      <c r="A3584" s="64" t="s">
        <v>1</v>
      </c>
      <c r="B3584" s="65">
        <v>43559</v>
      </c>
      <c r="C3584" s="66" t="s">
        <v>219</v>
      </c>
      <c r="D3584" s="3" t="s">
        <v>22</v>
      </c>
      <c r="E3584" s="64">
        <v>1</v>
      </c>
    </row>
    <row r="3585" spans="1:5">
      <c r="A3585" s="64" t="s">
        <v>1</v>
      </c>
      <c r="B3585" s="65">
        <v>43560</v>
      </c>
      <c r="C3585" s="66" t="s">
        <v>220</v>
      </c>
      <c r="D3585" s="3" t="s">
        <v>22</v>
      </c>
      <c r="E3585" s="64">
        <v>1</v>
      </c>
    </row>
    <row r="3586" spans="1:5">
      <c r="A3586" s="64" t="s">
        <v>1</v>
      </c>
      <c r="B3586" s="65">
        <v>43561</v>
      </c>
      <c r="C3586" s="66" t="s">
        <v>221</v>
      </c>
      <c r="D3586" s="3" t="s">
        <v>22</v>
      </c>
      <c r="E3586" s="64">
        <v>1</v>
      </c>
    </row>
    <row r="3587" spans="1:5">
      <c r="A3587" s="64" t="s">
        <v>1</v>
      </c>
      <c r="B3587" s="65">
        <v>43562</v>
      </c>
      <c r="C3587" s="66" t="s">
        <v>222</v>
      </c>
      <c r="D3587" s="3" t="s">
        <v>22</v>
      </c>
      <c r="E3587" s="64">
        <v>1</v>
      </c>
    </row>
    <row r="3588" spans="1:5">
      <c r="A3588" s="64" t="s">
        <v>1</v>
      </c>
      <c r="B3588" s="65">
        <v>43563</v>
      </c>
      <c r="C3588" s="66" t="s">
        <v>216</v>
      </c>
      <c r="D3588" s="3" t="s">
        <v>22</v>
      </c>
      <c r="E3588" s="64">
        <v>1</v>
      </c>
    </row>
    <row r="3589" spans="1:5">
      <c r="A3589" s="64" t="s">
        <v>1</v>
      </c>
      <c r="B3589" s="65">
        <v>43564</v>
      </c>
      <c r="C3589" s="66" t="s">
        <v>217</v>
      </c>
      <c r="D3589" s="3" t="s">
        <v>22</v>
      </c>
      <c r="E3589" s="64">
        <v>1</v>
      </c>
    </row>
    <row r="3590" spans="1:5">
      <c r="A3590" s="64" t="s">
        <v>1</v>
      </c>
      <c r="B3590" s="65">
        <v>43565</v>
      </c>
      <c r="C3590" s="66" t="s">
        <v>218</v>
      </c>
      <c r="D3590" s="3" t="s">
        <v>22</v>
      </c>
      <c r="E3590" s="64">
        <v>1</v>
      </c>
    </row>
    <row r="3591" spans="1:5">
      <c r="A3591" s="64" t="s">
        <v>1</v>
      </c>
      <c r="B3591" s="65">
        <v>43566</v>
      </c>
      <c r="C3591" s="66" t="s">
        <v>219</v>
      </c>
      <c r="D3591" s="3" t="s">
        <v>22</v>
      </c>
      <c r="E3591" s="64">
        <v>1</v>
      </c>
    </row>
    <row r="3592" spans="1:5">
      <c r="A3592" s="64" t="s">
        <v>1</v>
      </c>
      <c r="B3592" s="65">
        <v>43567</v>
      </c>
      <c r="C3592" s="66" t="s">
        <v>220</v>
      </c>
      <c r="D3592" s="3" t="s">
        <v>22</v>
      </c>
      <c r="E3592" s="64">
        <v>1</v>
      </c>
    </row>
    <row r="3593" spans="1:5">
      <c r="A3593" s="64" t="s">
        <v>1</v>
      </c>
      <c r="B3593" s="65">
        <v>43568</v>
      </c>
      <c r="C3593" s="66" t="s">
        <v>221</v>
      </c>
      <c r="D3593" s="3" t="s">
        <v>22</v>
      </c>
      <c r="E3593" s="64">
        <v>1</v>
      </c>
    </row>
    <row r="3594" spans="1:5">
      <c r="A3594" s="64" t="s">
        <v>1</v>
      </c>
      <c r="B3594" s="65">
        <v>43569</v>
      </c>
      <c r="C3594" s="66" t="s">
        <v>222</v>
      </c>
      <c r="D3594" s="3" t="s">
        <v>22</v>
      </c>
      <c r="E3594" s="64">
        <v>1</v>
      </c>
    </row>
    <row r="3595" spans="1:5">
      <c r="A3595" s="64" t="s">
        <v>1</v>
      </c>
      <c r="B3595" s="65">
        <v>43570</v>
      </c>
      <c r="C3595" s="66" t="s">
        <v>216</v>
      </c>
      <c r="D3595" s="3" t="s">
        <v>22</v>
      </c>
      <c r="E3595" s="64">
        <v>1</v>
      </c>
    </row>
    <row r="3596" spans="1:5">
      <c r="A3596" s="64" t="s">
        <v>1</v>
      </c>
      <c r="B3596" s="65">
        <v>43571</v>
      </c>
      <c r="C3596" s="66" t="s">
        <v>217</v>
      </c>
      <c r="D3596" s="3" t="s">
        <v>22</v>
      </c>
      <c r="E3596" s="64">
        <v>1</v>
      </c>
    </row>
    <row r="3597" spans="1:5">
      <c r="A3597" s="64" t="s">
        <v>1</v>
      </c>
      <c r="B3597" s="65">
        <v>43572</v>
      </c>
      <c r="C3597" s="66" t="s">
        <v>218</v>
      </c>
      <c r="D3597" s="3" t="s">
        <v>22</v>
      </c>
      <c r="E3597" s="64">
        <v>1</v>
      </c>
    </row>
    <row r="3598" spans="1:5">
      <c r="A3598" s="64" t="s">
        <v>1</v>
      </c>
      <c r="B3598" s="65">
        <v>43573</v>
      </c>
      <c r="C3598" s="66" t="s">
        <v>219</v>
      </c>
      <c r="D3598" s="3" t="s">
        <v>22</v>
      </c>
      <c r="E3598" s="64">
        <v>1</v>
      </c>
    </row>
    <row r="3599" spans="1:5">
      <c r="A3599" s="64" t="s">
        <v>1</v>
      </c>
      <c r="B3599" s="65">
        <v>43574</v>
      </c>
      <c r="C3599" s="66" t="s">
        <v>220</v>
      </c>
      <c r="D3599" s="3" t="s">
        <v>22</v>
      </c>
      <c r="E3599" s="64">
        <v>1</v>
      </c>
    </row>
    <row r="3600" spans="1:5">
      <c r="A3600" s="64" t="s">
        <v>1</v>
      </c>
      <c r="B3600" s="65">
        <v>43575</v>
      </c>
      <c r="C3600" s="66" t="s">
        <v>221</v>
      </c>
      <c r="D3600" s="3" t="s">
        <v>22</v>
      </c>
      <c r="E3600" s="64">
        <v>1</v>
      </c>
    </row>
    <row r="3601" spans="1:5">
      <c r="A3601" s="64" t="s">
        <v>1</v>
      </c>
      <c r="B3601" s="65">
        <v>43576</v>
      </c>
      <c r="C3601" s="66" t="s">
        <v>222</v>
      </c>
      <c r="D3601" s="3" t="s">
        <v>22</v>
      </c>
      <c r="E3601" s="64">
        <v>1</v>
      </c>
    </row>
    <row r="3602" spans="1:5">
      <c r="A3602" s="64" t="s">
        <v>1</v>
      </c>
      <c r="B3602" s="65">
        <v>43577</v>
      </c>
      <c r="C3602" s="66" t="s">
        <v>216</v>
      </c>
      <c r="D3602" s="3" t="s">
        <v>22</v>
      </c>
      <c r="E3602" s="64">
        <v>1</v>
      </c>
    </row>
    <row r="3603" spans="1:5">
      <c r="A3603" s="64" t="s">
        <v>1</v>
      </c>
      <c r="B3603" s="65">
        <v>43578</v>
      </c>
      <c r="C3603" s="66" t="s">
        <v>217</v>
      </c>
      <c r="D3603" s="3" t="s">
        <v>22</v>
      </c>
      <c r="E3603" s="64">
        <v>1</v>
      </c>
    </row>
    <row r="3604" spans="1:5">
      <c r="A3604" s="64" t="s">
        <v>1</v>
      </c>
      <c r="B3604" s="65">
        <v>43579</v>
      </c>
      <c r="C3604" s="66" t="s">
        <v>218</v>
      </c>
      <c r="D3604" s="3" t="s">
        <v>22</v>
      </c>
      <c r="E3604" s="64">
        <v>1</v>
      </c>
    </row>
    <row r="3605" spans="1:5">
      <c r="A3605" s="64" t="s">
        <v>1</v>
      </c>
      <c r="B3605" s="65">
        <v>43580</v>
      </c>
      <c r="C3605" s="66" t="s">
        <v>219</v>
      </c>
      <c r="D3605" s="3" t="s">
        <v>22</v>
      </c>
      <c r="E3605" s="64">
        <v>1</v>
      </c>
    </row>
    <row r="3606" spans="1:5">
      <c r="A3606" s="64" t="s">
        <v>1</v>
      </c>
      <c r="B3606" s="65">
        <v>43581</v>
      </c>
      <c r="C3606" s="66" t="s">
        <v>220</v>
      </c>
      <c r="D3606" s="3" t="s">
        <v>22</v>
      </c>
      <c r="E3606" s="64">
        <v>1</v>
      </c>
    </row>
    <row r="3607" spans="1:5">
      <c r="A3607" s="64" t="s">
        <v>1</v>
      </c>
      <c r="B3607" s="65">
        <v>43582</v>
      </c>
      <c r="C3607" s="66" t="s">
        <v>221</v>
      </c>
      <c r="D3607" s="3" t="s">
        <v>22</v>
      </c>
      <c r="E3607" s="64">
        <v>1</v>
      </c>
    </row>
    <row r="3608" spans="1:5">
      <c r="A3608" s="64" t="s">
        <v>1</v>
      </c>
      <c r="B3608" s="65">
        <v>43583</v>
      </c>
      <c r="C3608" s="66" t="s">
        <v>222</v>
      </c>
      <c r="D3608" s="3" t="s">
        <v>22</v>
      </c>
      <c r="E3608" s="64">
        <v>1</v>
      </c>
    </row>
    <row r="3609" spans="1:5">
      <c r="A3609" s="64" t="s">
        <v>1</v>
      </c>
      <c r="B3609" s="65">
        <v>43584</v>
      </c>
      <c r="C3609" s="66" t="s">
        <v>216</v>
      </c>
      <c r="D3609" s="3" t="s">
        <v>22</v>
      </c>
      <c r="E3609" s="64">
        <v>1</v>
      </c>
    </row>
    <row r="3610" spans="1:5">
      <c r="A3610" s="64" t="s">
        <v>1</v>
      </c>
      <c r="B3610" s="65">
        <v>43585</v>
      </c>
      <c r="C3610" s="66" t="s">
        <v>217</v>
      </c>
      <c r="D3610" s="3" t="s">
        <v>22</v>
      </c>
      <c r="E3610" s="64">
        <v>1</v>
      </c>
    </row>
    <row r="3611" spans="1:5">
      <c r="A3611" s="64" t="s">
        <v>1</v>
      </c>
      <c r="B3611" s="65">
        <v>43586</v>
      </c>
      <c r="C3611" s="66" t="s">
        <v>218</v>
      </c>
      <c r="D3611" s="3" t="s">
        <v>22</v>
      </c>
      <c r="E3611" s="64">
        <v>1</v>
      </c>
    </row>
    <row r="3612" spans="1:5">
      <c r="A3612" s="64" t="s">
        <v>1</v>
      </c>
      <c r="B3612" s="65">
        <v>43587</v>
      </c>
      <c r="C3612" s="66" t="s">
        <v>219</v>
      </c>
      <c r="D3612" s="3" t="s">
        <v>22</v>
      </c>
      <c r="E3612" s="64">
        <v>1</v>
      </c>
    </row>
    <row r="3613" spans="1:5">
      <c r="A3613" s="64" t="s">
        <v>1</v>
      </c>
      <c r="B3613" s="65">
        <v>43588</v>
      </c>
      <c r="C3613" s="66" t="s">
        <v>220</v>
      </c>
      <c r="D3613" s="3" t="s">
        <v>22</v>
      </c>
      <c r="E3613" s="64">
        <v>1</v>
      </c>
    </row>
    <row r="3614" spans="1:5">
      <c r="A3614" s="64" t="s">
        <v>1</v>
      </c>
      <c r="B3614" s="65">
        <v>43589</v>
      </c>
      <c r="C3614" s="66" t="s">
        <v>221</v>
      </c>
      <c r="D3614" s="3" t="s">
        <v>22</v>
      </c>
      <c r="E3614" s="64">
        <v>1</v>
      </c>
    </row>
    <row r="3615" spans="1:5">
      <c r="A3615" s="64" t="s">
        <v>1</v>
      </c>
      <c r="B3615" s="65">
        <v>43590</v>
      </c>
      <c r="C3615" s="66" t="s">
        <v>222</v>
      </c>
      <c r="D3615" s="3" t="s">
        <v>22</v>
      </c>
      <c r="E3615" s="64">
        <v>1</v>
      </c>
    </row>
    <row r="3616" spans="1:5">
      <c r="A3616" s="64" t="s">
        <v>1</v>
      </c>
      <c r="B3616" s="65">
        <v>43591</v>
      </c>
      <c r="C3616" s="66" t="s">
        <v>216</v>
      </c>
      <c r="D3616" s="3" t="s">
        <v>22</v>
      </c>
      <c r="E3616" s="64">
        <v>1</v>
      </c>
    </row>
    <row r="3617" spans="1:5">
      <c r="A3617" s="64" t="s">
        <v>1</v>
      </c>
      <c r="B3617" s="65">
        <v>43592</v>
      </c>
      <c r="C3617" s="66" t="s">
        <v>217</v>
      </c>
      <c r="D3617" s="3" t="s">
        <v>22</v>
      </c>
      <c r="E3617" s="64">
        <v>1</v>
      </c>
    </row>
    <row r="3618" spans="1:5">
      <c r="A3618" s="64" t="s">
        <v>1</v>
      </c>
      <c r="B3618" s="65">
        <v>43593</v>
      </c>
      <c r="C3618" s="66" t="s">
        <v>218</v>
      </c>
      <c r="D3618" s="3" t="s">
        <v>22</v>
      </c>
      <c r="E3618" s="64">
        <v>1</v>
      </c>
    </row>
    <row r="3619" spans="1:5">
      <c r="A3619" s="64" t="s">
        <v>1</v>
      </c>
      <c r="B3619" s="65">
        <v>43594</v>
      </c>
      <c r="C3619" s="66" t="s">
        <v>219</v>
      </c>
      <c r="D3619" s="3" t="s">
        <v>22</v>
      </c>
      <c r="E3619" s="64">
        <v>1</v>
      </c>
    </row>
    <row r="3620" spans="1:5">
      <c r="A3620" s="64" t="s">
        <v>1</v>
      </c>
      <c r="B3620" s="65">
        <v>43595</v>
      </c>
      <c r="C3620" s="66" t="s">
        <v>220</v>
      </c>
      <c r="D3620" s="3" t="s">
        <v>22</v>
      </c>
      <c r="E3620" s="64">
        <v>1</v>
      </c>
    </row>
    <row r="3621" spans="1:5">
      <c r="A3621" s="64" t="s">
        <v>1</v>
      </c>
      <c r="B3621" s="65">
        <v>43596</v>
      </c>
      <c r="C3621" s="66" t="s">
        <v>221</v>
      </c>
      <c r="D3621" s="3" t="s">
        <v>22</v>
      </c>
      <c r="E3621" s="64">
        <v>1</v>
      </c>
    </row>
    <row r="3622" spans="1:5">
      <c r="A3622" s="64" t="s">
        <v>1</v>
      </c>
      <c r="B3622" s="65">
        <v>43597</v>
      </c>
      <c r="C3622" s="66" t="s">
        <v>222</v>
      </c>
      <c r="D3622" s="3" t="s">
        <v>22</v>
      </c>
      <c r="E3622" s="64">
        <v>1</v>
      </c>
    </row>
    <row r="3623" spans="1:5">
      <c r="A3623" s="64" t="s">
        <v>1</v>
      </c>
      <c r="B3623" s="65">
        <v>43598</v>
      </c>
      <c r="C3623" s="66" t="s">
        <v>216</v>
      </c>
      <c r="D3623" s="3" t="s">
        <v>22</v>
      </c>
      <c r="E3623" s="64">
        <v>1</v>
      </c>
    </row>
    <row r="3624" spans="1:5">
      <c r="A3624" s="64" t="s">
        <v>1</v>
      </c>
      <c r="B3624" s="65">
        <v>43599</v>
      </c>
      <c r="C3624" s="66" t="s">
        <v>217</v>
      </c>
      <c r="D3624" s="3" t="s">
        <v>22</v>
      </c>
      <c r="E3624" s="64">
        <v>1</v>
      </c>
    </row>
    <row r="3625" spans="1:5">
      <c r="A3625" s="64" t="s">
        <v>1</v>
      </c>
      <c r="B3625" s="65">
        <v>43600</v>
      </c>
      <c r="C3625" s="66" t="s">
        <v>218</v>
      </c>
      <c r="D3625" s="3" t="s">
        <v>22</v>
      </c>
      <c r="E3625" s="64">
        <v>1</v>
      </c>
    </row>
    <row r="3626" spans="1:5">
      <c r="A3626" s="64" t="s">
        <v>1</v>
      </c>
      <c r="B3626" s="65">
        <v>43601</v>
      </c>
      <c r="C3626" s="66" t="s">
        <v>219</v>
      </c>
      <c r="D3626" s="3" t="s">
        <v>22</v>
      </c>
      <c r="E3626" s="64">
        <v>1</v>
      </c>
    </row>
    <row r="3627" spans="1:5">
      <c r="A3627" s="64" t="s">
        <v>1</v>
      </c>
      <c r="B3627" s="65">
        <v>43602</v>
      </c>
      <c r="C3627" s="66" t="s">
        <v>220</v>
      </c>
      <c r="D3627" s="3" t="s">
        <v>22</v>
      </c>
      <c r="E3627" s="64">
        <v>1</v>
      </c>
    </row>
    <row r="3628" spans="1:5">
      <c r="A3628" s="64" t="s">
        <v>1</v>
      </c>
      <c r="B3628" s="65">
        <v>43603</v>
      </c>
      <c r="C3628" s="66" t="s">
        <v>221</v>
      </c>
      <c r="D3628" s="3" t="s">
        <v>22</v>
      </c>
      <c r="E3628" s="64">
        <v>1</v>
      </c>
    </row>
    <row r="3629" spans="1:5">
      <c r="A3629" s="64" t="s">
        <v>1</v>
      </c>
      <c r="B3629" s="65">
        <v>43604</v>
      </c>
      <c r="C3629" s="66" t="s">
        <v>222</v>
      </c>
      <c r="D3629" s="3" t="s">
        <v>22</v>
      </c>
      <c r="E3629" s="64">
        <v>1</v>
      </c>
    </row>
    <row r="3630" spans="1:5">
      <c r="A3630" s="64" t="s">
        <v>1</v>
      </c>
      <c r="B3630" s="65">
        <v>43605</v>
      </c>
      <c r="C3630" s="66" t="s">
        <v>216</v>
      </c>
      <c r="D3630" s="3" t="s">
        <v>22</v>
      </c>
      <c r="E3630" s="64">
        <v>1</v>
      </c>
    </row>
    <row r="3631" spans="1:5">
      <c r="A3631" s="64" t="s">
        <v>1</v>
      </c>
      <c r="B3631" s="65">
        <v>43606</v>
      </c>
      <c r="C3631" s="66" t="s">
        <v>217</v>
      </c>
      <c r="D3631" s="3" t="s">
        <v>22</v>
      </c>
      <c r="E3631" s="64">
        <v>1</v>
      </c>
    </row>
    <row r="3632" spans="1:5">
      <c r="A3632" s="64" t="s">
        <v>1</v>
      </c>
      <c r="B3632" s="65">
        <v>43607</v>
      </c>
      <c r="C3632" s="66" t="s">
        <v>218</v>
      </c>
      <c r="D3632" s="3" t="s">
        <v>22</v>
      </c>
      <c r="E3632" s="64">
        <v>1</v>
      </c>
    </row>
    <row r="3633" spans="1:5">
      <c r="A3633" s="64" t="s">
        <v>1</v>
      </c>
      <c r="B3633" s="65">
        <v>43608</v>
      </c>
      <c r="C3633" s="66" t="s">
        <v>219</v>
      </c>
      <c r="D3633" s="3" t="s">
        <v>22</v>
      </c>
      <c r="E3633" s="64">
        <v>1</v>
      </c>
    </row>
    <row r="3634" spans="1:5">
      <c r="A3634" s="64" t="s">
        <v>1</v>
      </c>
      <c r="B3634" s="65">
        <v>43609</v>
      </c>
      <c r="C3634" s="66" t="s">
        <v>220</v>
      </c>
      <c r="D3634" s="3" t="s">
        <v>22</v>
      </c>
      <c r="E3634" s="64">
        <v>1</v>
      </c>
    </row>
    <row r="3635" spans="1:5">
      <c r="A3635" s="64" t="s">
        <v>1</v>
      </c>
      <c r="B3635" s="65">
        <v>43610</v>
      </c>
      <c r="C3635" s="66" t="s">
        <v>221</v>
      </c>
      <c r="D3635" s="3" t="s">
        <v>22</v>
      </c>
      <c r="E3635" s="64">
        <v>1</v>
      </c>
    </row>
    <row r="3636" spans="1:5">
      <c r="A3636" s="64" t="s">
        <v>1</v>
      </c>
      <c r="B3636" s="65">
        <v>43611</v>
      </c>
      <c r="C3636" s="66" t="s">
        <v>222</v>
      </c>
      <c r="D3636" s="3" t="s">
        <v>22</v>
      </c>
      <c r="E3636" s="64">
        <v>1</v>
      </c>
    </row>
    <row r="3637" spans="1:5">
      <c r="A3637" s="64" t="s">
        <v>1</v>
      </c>
      <c r="B3637" s="65">
        <v>43612</v>
      </c>
      <c r="C3637" s="66" t="s">
        <v>216</v>
      </c>
      <c r="D3637" s="3" t="s">
        <v>22</v>
      </c>
      <c r="E3637" s="64">
        <v>1</v>
      </c>
    </row>
    <row r="3638" spans="1:5">
      <c r="A3638" s="64" t="s">
        <v>1</v>
      </c>
      <c r="B3638" s="65">
        <v>43613</v>
      </c>
      <c r="C3638" s="66" t="s">
        <v>217</v>
      </c>
      <c r="D3638" s="3" t="s">
        <v>22</v>
      </c>
      <c r="E3638" s="64">
        <v>1</v>
      </c>
    </row>
    <row r="3639" spans="1:5">
      <c r="A3639" s="64" t="s">
        <v>1</v>
      </c>
      <c r="B3639" s="65">
        <v>43614</v>
      </c>
      <c r="C3639" s="66" t="s">
        <v>218</v>
      </c>
      <c r="D3639" s="3" t="s">
        <v>22</v>
      </c>
      <c r="E3639" s="64">
        <v>1</v>
      </c>
    </row>
    <row r="3640" spans="1:5">
      <c r="A3640" s="64" t="s">
        <v>1</v>
      </c>
      <c r="B3640" s="65">
        <v>43615</v>
      </c>
      <c r="C3640" s="66" t="s">
        <v>219</v>
      </c>
      <c r="D3640" s="3" t="s">
        <v>22</v>
      </c>
      <c r="E3640" s="64">
        <v>1</v>
      </c>
    </row>
    <row r="3641" spans="1:5">
      <c r="A3641" s="64" t="s">
        <v>1</v>
      </c>
      <c r="B3641" s="65">
        <v>43616</v>
      </c>
      <c r="C3641" s="66" t="s">
        <v>220</v>
      </c>
      <c r="D3641" s="3" t="s">
        <v>22</v>
      </c>
      <c r="E3641" s="64">
        <v>1</v>
      </c>
    </row>
    <row r="3642" spans="1:5">
      <c r="A3642" s="64" t="s">
        <v>1</v>
      </c>
      <c r="B3642" s="65">
        <v>43102</v>
      </c>
      <c r="C3642" s="66" t="s">
        <v>217</v>
      </c>
      <c r="D3642" s="3" t="s">
        <v>23</v>
      </c>
      <c r="E3642" s="64">
        <v>1</v>
      </c>
    </row>
    <row r="3643" spans="1:5">
      <c r="A3643" s="64" t="s">
        <v>1</v>
      </c>
      <c r="B3643" s="65">
        <v>43103</v>
      </c>
      <c r="C3643" s="66" t="s">
        <v>218</v>
      </c>
      <c r="D3643" s="3" t="s">
        <v>23</v>
      </c>
      <c r="E3643" s="64">
        <v>1</v>
      </c>
    </row>
    <row r="3644" spans="1:5">
      <c r="A3644" s="64" t="s">
        <v>1</v>
      </c>
      <c r="B3644" s="65">
        <v>43104</v>
      </c>
      <c r="C3644" s="66" t="s">
        <v>219</v>
      </c>
      <c r="D3644" s="3" t="s">
        <v>23</v>
      </c>
      <c r="E3644" s="64">
        <v>1</v>
      </c>
    </row>
    <row r="3645" spans="1:5">
      <c r="A3645" s="64" t="s">
        <v>1</v>
      </c>
      <c r="B3645" s="65">
        <v>43105</v>
      </c>
      <c r="C3645" s="66" t="s">
        <v>220</v>
      </c>
      <c r="D3645" s="3" t="s">
        <v>23</v>
      </c>
      <c r="E3645" s="64">
        <v>1</v>
      </c>
    </row>
    <row r="3646" spans="1:5">
      <c r="A3646" s="64" t="s">
        <v>1</v>
      </c>
      <c r="B3646" s="65">
        <v>43106</v>
      </c>
      <c r="C3646" s="66" t="s">
        <v>221</v>
      </c>
      <c r="D3646" s="3" t="s">
        <v>23</v>
      </c>
      <c r="E3646" s="64">
        <v>1</v>
      </c>
    </row>
    <row r="3647" spans="1:5">
      <c r="A3647" s="64" t="s">
        <v>1</v>
      </c>
      <c r="B3647" s="65">
        <v>43107</v>
      </c>
      <c r="C3647" s="66" t="s">
        <v>222</v>
      </c>
      <c r="D3647" s="3" t="s">
        <v>23</v>
      </c>
      <c r="E3647" s="64">
        <v>1</v>
      </c>
    </row>
    <row r="3648" spans="1:5">
      <c r="A3648" s="64" t="s">
        <v>1</v>
      </c>
      <c r="B3648" s="65">
        <v>43108</v>
      </c>
      <c r="C3648" s="66" t="s">
        <v>216</v>
      </c>
      <c r="D3648" s="3" t="s">
        <v>23</v>
      </c>
      <c r="E3648" s="64">
        <v>1</v>
      </c>
    </row>
    <row r="3649" spans="1:5">
      <c r="A3649" s="64" t="s">
        <v>1</v>
      </c>
      <c r="B3649" s="65">
        <v>43109</v>
      </c>
      <c r="C3649" s="66" t="s">
        <v>217</v>
      </c>
      <c r="D3649" s="3" t="s">
        <v>23</v>
      </c>
      <c r="E3649" s="64">
        <v>1</v>
      </c>
    </row>
    <row r="3650" spans="1:5">
      <c r="A3650" s="64" t="s">
        <v>1</v>
      </c>
      <c r="B3650" s="65">
        <v>43110</v>
      </c>
      <c r="C3650" s="66" t="s">
        <v>218</v>
      </c>
      <c r="D3650" s="3" t="s">
        <v>23</v>
      </c>
      <c r="E3650" s="64">
        <v>1</v>
      </c>
    </row>
    <row r="3651" spans="1:5">
      <c r="A3651" s="64" t="s">
        <v>1</v>
      </c>
      <c r="B3651" s="65">
        <v>43111</v>
      </c>
      <c r="C3651" s="66" t="s">
        <v>219</v>
      </c>
      <c r="D3651" s="3" t="s">
        <v>23</v>
      </c>
      <c r="E3651" s="64">
        <v>1</v>
      </c>
    </row>
    <row r="3652" spans="1:5">
      <c r="A3652" s="64" t="s">
        <v>1</v>
      </c>
      <c r="B3652" s="65">
        <v>43112</v>
      </c>
      <c r="C3652" s="66" t="s">
        <v>220</v>
      </c>
      <c r="D3652" s="3" t="s">
        <v>23</v>
      </c>
      <c r="E3652" s="64">
        <v>1</v>
      </c>
    </row>
    <row r="3653" spans="1:5">
      <c r="A3653" s="64" t="s">
        <v>1</v>
      </c>
      <c r="B3653" s="65">
        <v>43113</v>
      </c>
      <c r="C3653" s="66" t="s">
        <v>221</v>
      </c>
      <c r="D3653" s="3" t="s">
        <v>23</v>
      </c>
      <c r="E3653" s="64">
        <v>1</v>
      </c>
    </row>
    <row r="3654" spans="1:5">
      <c r="A3654" s="64" t="s">
        <v>1</v>
      </c>
      <c r="B3654" s="65">
        <v>43114</v>
      </c>
      <c r="C3654" s="66" t="s">
        <v>222</v>
      </c>
      <c r="D3654" s="3" t="s">
        <v>23</v>
      </c>
      <c r="E3654" s="64">
        <v>1</v>
      </c>
    </row>
    <row r="3655" spans="1:5">
      <c r="A3655" s="64" t="s">
        <v>1</v>
      </c>
      <c r="B3655" s="65">
        <v>43115</v>
      </c>
      <c r="C3655" s="66" t="s">
        <v>216</v>
      </c>
      <c r="D3655" s="3" t="s">
        <v>23</v>
      </c>
      <c r="E3655" s="64">
        <v>1</v>
      </c>
    </row>
    <row r="3656" spans="1:5">
      <c r="A3656" s="64" t="s">
        <v>1</v>
      </c>
      <c r="B3656" s="65">
        <v>43116</v>
      </c>
      <c r="C3656" s="66" t="s">
        <v>217</v>
      </c>
      <c r="D3656" s="3" t="s">
        <v>23</v>
      </c>
      <c r="E3656" s="64">
        <v>1</v>
      </c>
    </row>
    <row r="3657" spans="1:5">
      <c r="A3657" s="64" t="s">
        <v>1</v>
      </c>
      <c r="B3657" s="65">
        <v>43117</v>
      </c>
      <c r="C3657" s="66" t="s">
        <v>218</v>
      </c>
      <c r="D3657" s="3" t="s">
        <v>23</v>
      </c>
      <c r="E3657" s="64">
        <v>1</v>
      </c>
    </row>
    <row r="3658" spans="1:5">
      <c r="A3658" s="64" t="s">
        <v>1</v>
      </c>
      <c r="B3658" s="65">
        <v>43118</v>
      </c>
      <c r="C3658" s="66" t="s">
        <v>219</v>
      </c>
      <c r="D3658" s="3" t="s">
        <v>23</v>
      </c>
      <c r="E3658" s="64">
        <v>1</v>
      </c>
    </row>
    <row r="3659" spans="1:5">
      <c r="A3659" s="64" t="s">
        <v>1</v>
      </c>
      <c r="B3659" s="65">
        <v>43119</v>
      </c>
      <c r="C3659" s="66" t="s">
        <v>220</v>
      </c>
      <c r="D3659" s="3" t="s">
        <v>23</v>
      </c>
      <c r="E3659" s="64">
        <v>1</v>
      </c>
    </row>
    <row r="3660" spans="1:5">
      <c r="A3660" s="64" t="s">
        <v>1</v>
      </c>
      <c r="B3660" s="65">
        <v>43120</v>
      </c>
      <c r="C3660" s="66" t="s">
        <v>221</v>
      </c>
      <c r="D3660" s="3" t="s">
        <v>23</v>
      </c>
      <c r="E3660" s="64">
        <v>1</v>
      </c>
    </row>
    <row r="3661" spans="1:5">
      <c r="A3661" s="64" t="s">
        <v>1</v>
      </c>
      <c r="B3661" s="65">
        <v>43121</v>
      </c>
      <c r="C3661" s="66" t="s">
        <v>222</v>
      </c>
      <c r="D3661" s="3" t="s">
        <v>23</v>
      </c>
      <c r="E3661" s="64">
        <v>1</v>
      </c>
    </row>
    <row r="3662" spans="1:5">
      <c r="A3662" s="64" t="s">
        <v>1</v>
      </c>
      <c r="B3662" s="65">
        <v>43122</v>
      </c>
      <c r="C3662" s="66" t="s">
        <v>216</v>
      </c>
      <c r="D3662" s="3" t="s">
        <v>23</v>
      </c>
      <c r="E3662" s="64">
        <v>1</v>
      </c>
    </row>
    <row r="3663" spans="1:5">
      <c r="A3663" s="64" t="s">
        <v>1</v>
      </c>
      <c r="B3663" s="65">
        <v>43123</v>
      </c>
      <c r="C3663" s="66" t="s">
        <v>217</v>
      </c>
      <c r="D3663" s="3" t="s">
        <v>23</v>
      </c>
      <c r="E3663" s="64">
        <v>1</v>
      </c>
    </row>
    <row r="3664" spans="1:5">
      <c r="A3664" s="64" t="s">
        <v>1</v>
      </c>
      <c r="B3664" s="65">
        <v>43124</v>
      </c>
      <c r="C3664" s="66" t="s">
        <v>218</v>
      </c>
      <c r="D3664" s="3" t="s">
        <v>23</v>
      </c>
      <c r="E3664" s="64">
        <v>1</v>
      </c>
    </row>
    <row r="3665" spans="1:5">
      <c r="A3665" s="64" t="s">
        <v>1</v>
      </c>
      <c r="B3665" s="65">
        <v>43125</v>
      </c>
      <c r="C3665" s="66" t="s">
        <v>219</v>
      </c>
      <c r="D3665" s="3" t="s">
        <v>23</v>
      </c>
      <c r="E3665" s="64">
        <v>1</v>
      </c>
    </row>
    <row r="3666" spans="1:5">
      <c r="A3666" s="64" t="s">
        <v>1</v>
      </c>
      <c r="B3666" s="65">
        <v>43126</v>
      </c>
      <c r="C3666" s="66" t="s">
        <v>220</v>
      </c>
      <c r="D3666" s="3" t="s">
        <v>23</v>
      </c>
      <c r="E3666" s="64">
        <v>1</v>
      </c>
    </row>
    <row r="3667" spans="1:5">
      <c r="A3667" s="64" t="s">
        <v>1</v>
      </c>
      <c r="B3667" s="65">
        <v>43127</v>
      </c>
      <c r="C3667" s="66" t="s">
        <v>221</v>
      </c>
      <c r="D3667" s="3" t="s">
        <v>23</v>
      </c>
      <c r="E3667" s="64">
        <v>1</v>
      </c>
    </row>
    <row r="3668" spans="1:5">
      <c r="A3668" s="64" t="s">
        <v>1</v>
      </c>
      <c r="B3668" s="65">
        <v>43128</v>
      </c>
      <c r="C3668" s="66" t="s">
        <v>222</v>
      </c>
      <c r="D3668" s="3" t="s">
        <v>23</v>
      </c>
      <c r="E3668" s="64">
        <v>1</v>
      </c>
    </row>
    <row r="3669" spans="1:5">
      <c r="A3669" s="64" t="s">
        <v>1</v>
      </c>
      <c r="B3669" s="65">
        <v>43129</v>
      </c>
      <c r="C3669" s="66" t="s">
        <v>216</v>
      </c>
      <c r="D3669" s="3" t="s">
        <v>23</v>
      </c>
      <c r="E3669" s="64">
        <v>1</v>
      </c>
    </row>
    <row r="3670" spans="1:5">
      <c r="A3670" s="64" t="s">
        <v>1</v>
      </c>
      <c r="B3670" s="65">
        <v>43130</v>
      </c>
      <c r="C3670" s="66" t="s">
        <v>217</v>
      </c>
      <c r="D3670" s="3" t="s">
        <v>23</v>
      </c>
      <c r="E3670" s="64">
        <v>1</v>
      </c>
    </row>
    <row r="3671" spans="1:5">
      <c r="A3671" s="64" t="s">
        <v>1</v>
      </c>
      <c r="B3671" s="65">
        <v>43131</v>
      </c>
      <c r="C3671" s="66" t="s">
        <v>218</v>
      </c>
      <c r="D3671" s="3" t="s">
        <v>23</v>
      </c>
      <c r="E3671" s="64">
        <v>1</v>
      </c>
    </row>
    <row r="3672" spans="1:5">
      <c r="A3672" s="64" t="s">
        <v>1</v>
      </c>
      <c r="B3672" s="65">
        <v>43132</v>
      </c>
      <c r="C3672" s="66" t="s">
        <v>219</v>
      </c>
      <c r="D3672" s="3" t="s">
        <v>23</v>
      </c>
      <c r="E3672" s="64">
        <v>1</v>
      </c>
    </row>
    <row r="3673" spans="1:5">
      <c r="A3673" s="64" t="s">
        <v>1</v>
      </c>
      <c r="B3673" s="65">
        <v>43133</v>
      </c>
      <c r="C3673" s="66" t="s">
        <v>220</v>
      </c>
      <c r="D3673" s="3" t="s">
        <v>23</v>
      </c>
      <c r="E3673" s="64">
        <v>1</v>
      </c>
    </row>
    <row r="3674" spans="1:5">
      <c r="A3674" s="64" t="s">
        <v>1</v>
      </c>
      <c r="B3674" s="65">
        <v>43134</v>
      </c>
      <c r="C3674" s="66" t="s">
        <v>221</v>
      </c>
      <c r="D3674" s="3" t="s">
        <v>23</v>
      </c>
      <c r="E3674" s="64">
        <v>1</v>
      </c>
    </row>
    <row r="3675" spans="1:5">
      <c r="A3675" s="64" t="s">
        <v>1</v>
      </c>
      <c r="B3675" s="65">
        <v>43135</v>
      </c>
      <c r="C3675" s="66" t="s">
        <v>222</v>
      </c>
      <c r="D3675" s="3" t="s">
        <v>23</v>
      </c>
      <c r="E3675" s="64">
        <v>1</v>
      </c>
    </row>
    <row r="3676" spans="1:5">
      <c r="A3676" s="64" t="s">
        <v>1</v>
      </c>
      <c r="B3676" s="65">
        <v>43136</v>
      </c>
      <c r="C3676" s="66" t="s">
        <v>216</v>
      </c>
      <c r="D3676" s="3" t="s">
        <v>23</v>
      </c>
      <c r="E3676" s="64">
        <v>1</v>
      </c>
    </row>
    <row r="3677" spans="1:5">
      <c r="A3677" s="64" t="s">
        <v>1</v>
      </c>
      <c r="B3677" s="65">
        <v>43137</v>
      </c>
      <c r="C3677" s="66" t="s">
        <v>217</v>
      </c>
      <c r="D3677" s="3" t="s">
        <v>23</v>
      </c>
      <c r="E3677" s="64">
        <v>1</v>
      </c>
    </row>
    <row r="3678" spans="1:5">
      <c r="A3678" s="64" t="s">
        <v>1</v>
      </c>
      <c r="B3678" s="65">
        <v>43138</v>
      </c>
      <c r="C3678" s="66" t="s">
        <v>218</v>
      </c>
      <c r="D3678" s="3" t="s">
        <v>23</v>
      </c>
      <c r="E3678" s="64">
        <v>1</v>
      </c>
    </row>
    <row r="3679" spans="1:5">
      <c r="A3679" s="64" t="s">
        <v>1</v>
      </c>
      <c r="B3679" s="65">
        <v>43139</v>
      </c>
      <c r="C3679" s="66" t="s">
        <v>219</v>
      </c>
      <c r="D3679" s="3" t="s">
        <v>23</v>
      </c>
      <c r="E3679" s="64">
        <v>1</v>
      </c>
    </row>
    <row r="3680" spans="1:5">
      <c r="A3680" s="64" t="s">
        <v>1</v>
      </c>
      <c r="B3680" s="65">
        <v>43140</v>
      </c>
      <c r="C3680" s="66" t="s">
        <v>220</v>
      </c>
      <c r="D3680" s="3" t="s">
        <v>23</v>
      </c>
      <c r="E3680" s="64">
        <v>1</v>
      </c>
    </row>
    <row r="3681" spans="1:5">
      <c r="A3681" s="64" t="s">
        <v>1</v>
      </c>
      <c r="B3681" s="65">
        <v>43141</v>
      </c>
      <c r="C3681" s="66" t="s">
        <v>221</v>
      </c>
      <c r="D3681" s="3" t="s">
        <v>23</v>
      </c>
      <c r="E3681" s="64">
        <v>1</v>
      </c>
    </row>
    <row r="3682" spans="1:5">
      <c r="A3682" s="64" t="s">
        <v>1</v>
      </c>
      <c r="B3682" s="65">
        <v>43142</v>
      </c>
      <c r="C3682" s="66" t="s">
        <v>222</v>
      </c>
      <c r="D3682" s="3" t="s">
        <v>23</v>
      </c>
      <c r="E3682" s="64">
        <v>1</v>
      </c>
    </row>
    <row r="3683" spans="1:5">
      <c r="A3683" s="64" t="s">
        <v>1</v>
      </c>
      <c r="B3683" s="65">
        <v>43143</v>
      </c>
      <c r="C3683" s="66" t="s">
        <v>216</v>
      </c>
      <c r="D3683" s="3" t="s">
        <v>23</v>
      </c>
      <c r="E3683" s="64">
        <v>1</v>
      </c>
    </row>
    <row r="3684" spans="1:5">
      <c r="A3684" s="64" t="s">
        <v>1</v>
      </c>
      <c r="B3684" s="65">
        <v>43144</v>
      </c>
      <c r="C3684" s="66" t="s">
        <v>217</v>
      </c>
      <c r="D3684" s="3" t="s">
        <v>23</v>
      </c>
      <c r="E3684" s="64">
        <v>1</v>
      </c>
    </row>
    <row r="3685" spans="1:5">
      <c r="A3685" s="64" t="s">
        <v>1</v>
      </c>
      <c r="B3685" s="65">
        <v>43145</v>
      </c>
      <c r="C3685" s="66" t="s">
        <v>218</v>
      </c>
      <c r="D3685" s="3" t="s">
        <v>23</v>
      </c>
      <c r="E3685" s="64">
        <v>1</v>
      </c>
    </row>
    <row r="3686" spans="1:5">
      <c r="A3686" s="64" t="s">
        <v>1</v>
      </c>
      <c r="B3686" s="65">
        <v>43146</v>
      </c>
      <c r="C3686" s="66" t="s">
        <v>219</v>
      </c>
      <c r="D3686" s="3" t="s">
        <v>23</v>
      </c>
      <c r="E3686" s="64">
        <v>1</v>
      </c>
    </row>
    <row r="3687" spans="1:5">
      <c r="A3687" s="64" t="s">
        <v>1</v>
      </c>
      <c r="B3687" s="65">
        <v>43147</v>
      </c>
      <c r="C3687" s="66" t="s">
        <v>220</v>
      </c>
      <c r="D3687" s="3" t="s">
        <v>23</v>
      </c>
      <c r="E3687" s="64">
        <v>1</v>
      </c>
    </row>
    <row r="3688" spans="1:5">
      <c r="A3688" s="64" t="s">
        <v>1</v>
      </c>
      <c r="B3688" s="65">
        <v>43148</v>
      </c>
      <c r="C3688" s="66" t="s">
        <v>221</v>
      </c>
      <c r="D3688" s="3" t="s">
        <v>23</v>
      </c>
      <c r="E3688" s="64">
        <v>1</v>
      </c>
    </row>
    <row r="3689" spans="1:5">
      <c r="A3689" s="64" t="s">
        <v>1</v>
      </c>
      <c r="B3689" s="65">
        <v>43149</v>
      </c>
      <c r="C3689" s="66" t="s">
        <v>222</v>
      </c>
      <c r="D3689" s="3" t="s">
        <v>23</v>
      </c>
      <c r="E3689" s="64">
        <v>1</v>
      </c>
    </row>
    <row r="3690" spans="1:5">
      <c r="A3690" s="64" t="s">
        <v>1</v>
      </c>
      <c r="B3690" s="65">
        <v>43150</v>
      </c>
      <c r="C3690" s="66" t="s">
        <v>216</v>
      </c>
      <c r="D3690" s="3" t="s">
        <v>23</v>
      </c>
      <c r="E3690" s="64">
        <v>1</v>
      </c>
    </row>
    <row r="3691" spans="1:5">
      <c r="A3691" s="64" t="s">
        <v>1</v>
      </c>
      <c r="B3691" s="65">
        <v>43151</v>
      </c>
      <c r="C3691" s="66" t="s">
        <v>217</v>
      </c>
      <c r="D3691" s="3" t="s">
        <v>23</v>
      </c>
      <c r="E3691" s="64">
        <v>1</v>
      </c>
    </row>
    <row r="3692" spans="1:5">
      <c r="A3692" s="64" t="s">
        <v>1</v>
      </c>
      <c r="B3692" s="65">
        <v>43152</v>
      </c>
      <c r="C3692" s="66" t="s">
        <v>218</v>
      </c>
      <c r="D3692" s="3" t="s">
        <v>23</v>
      </c>
      <c r="E3692" s="64">
        <v>1</v>
      </c>
    </row>
    <row r="3693" spans="1:5">
      <c r="A3693" s="64" t="s">
        <v>1</v>
      </c>
      <c r="B3693" s="65">
        <v>43153</v>
      </c>
      <c r="C3693" s="66" t="s">
        <v>219</v>
      </c>
      <c r="D3693" s="3" t="s">
        <v>23</v>
      </c>
      <c r="E3693" s="64">
        <v>1</v>
      </c>
    </row>
    <row r="3694" spans="1:5">
      <c r="A3694" s="64" t="s">
        <v>1</v>
      </c>
      <c r="B3694" s="65">
        <v>43154</v>
      </c>
      <c r="C3694" s="66" t="s">
        <v>220</v>
      </c>
      <c r="D3694" s="3" t="s">
        <v>23</v>
      </c>
      <c r="E3694" s="64">
        <v>1</v>
      </c>
    </row>
    <row r="3695" spans="1:5">
      <c r="A3695" s="64" t="s">
        <v>1</v>
      </c>
      <c r="B3695" s="65">
        <v>43155</v>
      </c>
      <c r="C3695" s="66" t="s">
        <v>221</v>
      </c>
      <c r="D3695" s="3" t="s">
        <v>23</v>
      </c>
      <c r="E3695" s="64">
        <v>1</v>
      </c>
    </row>
    <row r="3696" spans="1:5">
      <c r="A3696" s="64" t="s">
        <v>1</v>
      </c>
      <c r="B3696" s="65">
        <v>43156</v>
      </c>
      <c r="C3696" s="66" t="s">
        <v>222</v>
      </c>
      <c r="D3696" s="3" t="s">
        <v>23</v>
      </c>
      <c r="E3696" s="64">
        <v>1</v>
      </c>
    </row>
    <row r="3697" spans="1:5">
      <c r="A3697" s="64" t="s">
        <v>1</v>
      </c>
      <c r="B3697" s="65">
        <v>43157</v>
      </c>
      <c r="C3697" s="66" t="s">
        <v>216</v>
      </c>
      <c r="D3697" s="3" t="s">
        <v>23</v>
      </c>
      <c r="E3697" s="64">
        <v>1</v>
      </c>
    </row>
    <row r="3698" spans="1:5">
      <c r="A3698" s="64" t="s">
        <v>1</v>
      </c>
      <c r="B3698" s="65">
        <v>43158</v>
      </c>
      <c r="C3698" s="66" t="s">
        <v>217</v>
      </c>
      <c r="D3698" s="3" t="s">
        <v>23</v>
      </c>
      <c r="E3698" s="64">
        <v>1</v>
      </c>
    </row>
    <row r="3699" spans="1:5">
      <c r="A3699" s="64" t="s">
        <v>1</v>
      </c>
      <c r="B3699" s="65">
        <v>43159</v>
      </c>
      <c r="C3699" s="66" t="s">
        <v>218</v>
      </c>
      <c r="D3699" s="3" t="s">
        <v>23</v>
      </c>
      <c r="E3699" s="64">
        <v>1</v>
      </c>
    </row>
    <row r="3700" spans="1:5">
      <c r="A3700" s="64" t="s">
        <v>1</v>
      </c>
      <c r="B3700" s="65">
        <v>43160</v>
      </c>
      <c r="C3700" s="66" t="s">
        <v>219</v>
      </c>
      <c r="D3700" s="3" t="s">
        <v>23</v>
      </c>
      <c r="E3700" s="64">
        <v>1</v>
      </c>
    </row>
    <row r="3701" spans="1:5">
      <c r="A3701" s="64" t="s">
        <v>1</v>
      </c>
      <c r="B3701" s="65">
        <v>43161</v>
      </c>
      <c r="C3701" s="66" t="s">
        <v>220</v>
      </c>
      <c r="D3701" s="3" t="s">
        <v>23</v>
      </c>
      <c r="E3701" s="64">
        <v>1</v>
      </c>
    </row>
    <row r="3702" spans="1:5">
      <c r="A3702" s="64" t="s">
        <v>1</v>
      </c>
      <c r="B3702" s="65">
        <v>43162</v>
      </c>
      <c r="C3702" s="66" t="s">
        <v>221</v>
      </c>
      <c r="D3702" s="3" t="s">
        <v>23</v>
      </c>
      <c r="E3702" s="64">
        <v>1</v>
      </c>
    </row>
    <row r="3703" spans="1:5">
      <c r="A3703" s="64" t="s">
        <v>1</v>
      </c>
      <c r="B3703" s="65">
        <v>43163</v>
      </c>
      <c r="C3703" s="66" t="s">
        <v>222</v>
      </c>
      <c r="D3703" s="3" t="s">
        <v>23</v>
      </c>
      <c r="E3703" s="64">
        <v>1</v>
      </c>
    </row>
    <row r="3704" spans="1:5">
      <c r="A3704" s="64" t="s">
        <v>1</v>
      </c>
      <c r="B3704" s="65">
        <v>43164</v>
      </c>
      <c r="C3704" s="66" t="s">
        <v>216</v>
      </c>
      <c r="D3704" s="3" t="s">
        <v>23</v>
      </c>
      <c r="E3704" s="64">
        <v>1</v>
      </c>
    </row>
    <row r="3705" spans="1:5">
      <c r="A3705" s="64" t="s">
        <v>1</v>
      </c>
      <c r="B3705" s="65">
        <v>43165</v>
      </c>
      <c r="C3705" s="66" t="s">
        <v>217</v>
      </c>
      <c r="D3705" s="3" t="s">
        <v>23</v>
      </c>
      <c r="E3705" s="64">
        <v>1</v>
      </c>
    </row>
    <row r="3706" spans="1:5">
      <c r="A3706" s="64" t="s">
        <v>1</v>
      </c>
      <c r="B3706" s="65">
        <v>43166</v>
      </c>
      <c r="C3706" s="66" t="s">
        <v>218</v>
      </c>
      <c r="D3706" s="3" t="s">
        <v>23</v>
      </c>
      <c r="E3706" s="64">
        <v>1</v>
      </c>
    </row>
    <row r="3707" spans="1:5">
      <c r="A3707" s="64" t="s">
        <v>1</v>
      </c>
      <c r="B3707" s="65">
        <v>43167</v>
      </c>
      <c r="C3707" s="66" t="s">
        <v>219</v>
      </c>
      <c r="D3707" s="3" t="s">
        <v>23</v>
      </c>
      <c r="E3707" s="64">
        <v>1</v>
      </c>
    </row>
    <row r="3708" spans="1:5">
      <c r="A3708" s="64" t="s">
        <v>1</v>
      </c>
      <c r="B3708" s="65">
        <v>43168</v>
      </c>
      <c r="C3708" s="66" t="s">
        <v>220</v>
      </c>
      <c r="D3708" s="3" t="s">
        <v>23</v>
      </c>
      <c r="E3708" s="64">
        <v>1</v>
      </c>
    </row>
    <row r="3709" spans="1:5">
      <c r="A3709" s="64" t="s">
        <v>1</v>
      </c>
      <c r="B3709" s="65">
        <v>43169</v>
      </c>
      <c r="C3709" s="66" t="s">
        <v>221</v>
      </c>
      <c r="D3709" s="3" t="s">
        <v>23</v>
      </c>
      <c r="E3709" s="64">
        <v>1</v>
      </c>
    </row>
    <row r="3710" spans="1:5">
      <c r="A3710" s="64" t="s">
        <v>1</v>
      </c>
      <c r="B3710" s="65">
        <v>43170</v>
      </c>
      <c r="C3710" s="66" t="s">
        <v>222</v>
      </c>
      <c r="D3710" s="3" t="s">
        <v>23</v>
      </c>
      <c r="E3710" s="64">
        <v>1</v>
      </c>
    </row>
    <row r="3711" spans="1:5">
      <c r="A3711" s="64" t="s">
        <v>1</v>
      </c>
      <c r="B3711" s="65">
        <v>43171</v>
      </c>
      <c r="C3711" s="66" t="s">
        <v>216</v>
      </c>
      <c r="D3711" s="3" t="s">
        <v>23</v>
      </c>
      <c r="E3711" s="64">
        <v>1</v>
      </c>
    </row>
    <row r="3712" spans="1:5">
      <c r="A3712" s="64" t="s">
        <v>1</v>
      </c>
      <c r="B3712" s="65">
        <v>43172</v>
      </c>
      <c r="C3712" s="66" t="s">
        <v>217</v>
      </c>
      <c r="D3712" s="3" t="s">
        <v>23</v>
      </c>
      <c r="E3712" s="64">
        <v>1</v>
      </c>
    </row>
    <row r="3713" spans="1:5">
      <c r="A3713" s="64" t="s">
        <v>1</v>
      </c>
      <c r="B3713" s="65">
        <v>43173</v>
      </c>
      <c r="C3713" s="66" t="s">
        <v>218</v>
      </c>
      <c r="D3713" s="3" t="s">
        <v>23</v>
      </c>
      <c r="E3713" s="64">
        <v>1</v>
      </c>
    </row>
    <row r="3714" spans="1:5">
      <c r="A3714" s="64" t="s">
        <v>1</v>
      </c>
      <c r="B3714" s="65">
        <v>43174</v>
      </c>
      <c r="C3714" s="66" t="s">
        <v>219</v>
      </c>
      <c r="D3714" s="3" t="s">
        <v>23</v>
      </c>
      <c r="E3714" s="64">
        <v>1</v>
      </c>
    </row>
    <row r="3715" spans="1:5">
      <c r="A3715" s="64" t="s">
        <v>1</v>
      </c>
      <c r="B3715" s="65">
        <v>43175</v>
      </c>
      <c r="C3715" s="66" t="s">
        <v>220</v>
      </c>
      <c r="D3715" s="3" t="s">
        <v>23</v>
      </c>
      <c r="E3715" s="64">
        <v>1</v>
      </c>
    </row>
    <row r="3716" spans="1:5">
      <c r="A3716" s="64" t="s">
        <v>1</v>
      </c>
      <c r="B3716" s="65">
        <v>43176</v>
      </c>
      <c r="C3716" s="66" t="s">
        <v>221</v>
      </c>
      <c r="D3716" s="3" t="s">
        <v>23</v>
      </c>
      <c r="E3716" s="64">
        <v>1</v>
      </c>
    </row>
    <row r="3717" spans="1:5">
      <c r="A3717" s="64" t="s">
        <v>1</v>
      </c>
      <c r="B3717" s="65">
        <v>43177</v>
      </c>
      <c r="C3717" s="66" t="s">
        <v>222</v>
      </c>
      <c r="D3717" s="3" t="s">
        <v>23</v>
      </c>
      <c r="E3717" s="64">
        <v>1</v>
      </c>
    </row>
    <row r="3718" spans="1:5">
      <c r="A3718" s="64" t="s">
        <v>1</v>
      </c>
      <c r="B3718" s="65">
        <v>43178</v>
      </c>
      <c r="C3718" s="66" t="s">
        <v>216</v>
      </c>
      <c r="D3718" s="3" t="s">
        <v>23</v>
      </c>
      <c r="E3718" s="64">
        <v>1</v>
      </c>
    </row>
    <row r="3719" spans="1:5">
      <c r="A3719" s="64" t="s">
        <v>1</v>
      </c>
      <c r="B3719" s="65">
        <v>43179</v>
      </c>
      <c r="C3719" s="66" t="s">
        <v>217</v>
      </c>
      <c r="D3719" s="3" t="s">
        <v>23</v>
      </c>
      <c r="E3719" s="64">
        <v>1</v>
      </c>
    </row>
    <row r="3720" spans="1:5">
      <c r="A3720" s="64" t="s">
        <v>1</v>
      </c>
      <c r="B3720" s="65">
        <v>43180</v>
      </c>
      <c r="C3720" s="66" t="s">
        <v>218</v>
      </c>
      <c r="D3720" s="3" t="s">
        <v>23</v>
      </c>
      <c r="E3720" s="64">
        <v>1</v>
      </c>
    </row>
    <row r="3721" spans="1:5">
      <c r="A3721" s="64" t="s">
        <v>1</v>
      </c>
      <c r="B3721" s="65">
        <v>43181</v>
      </c>
      <c r="C3721" s="66" t="s">
        <v>219</v>
      </c>
      <c r="D3721" s="3" t="s">
        <v>23</v>
      </c>
      <c r="E3721" s="64">
        <v>1</v>
      </c>
    </row>
    <row r="3722" spans="1:5">
      <c r="A3722" s="64" t="s">
        <v>1</v>
      </c>
      <c r="B3722" s="65">
        <v>43182</v>
      </c>
      <c r="C3722" s="66" t="s">
        <v>220</v>
      </c>
      <c r="D3722" s="3" t="s">
        <v>23</v>
      </c>
      <c r="E3722" s="64">
        <v>1</v>
      </c>
    </row>
    <row r="3723" spans="1:5">
      <c r="A3723" s="64" t="s">
        <v>1</v>
      </c>
      <c r="B3723" s="65">
        <v>43183</v>
      </c>
      <c r="C3723" s="66" t="s">
        <v>221</v>
      </c>
      <c r="D3723" s="3" t="s">
        <v>23</v>
      </c>
      <c r="E3723" s="64">
        <v>1</v>
      </c>
    </row>
    <row r="3724" spans="1:5">
      <c r="A3724" s="64" t="s">
        <v>1</v>
      </c>
      <c r="B3724" s="65">
        <v>43184</v>
      </c>
      <c r="C3724" s="66" t="s">
        <v>222</v>
      </c>
      <c r="D3724" s="3" t="s">
        <v>23</v>
      </c>
      <c r="E3724" s="64">
        <v>1</v>
      </c>
    </row>
    <row r="3725" spans="1:5">
      <c r="A3725" s="64" t="s">
        <v>1</v>
      </c>
      <c r="B3725" s="65">
        <v>43185</v>
      </c>
      <c r="C3725" s="66" t="s">
        <v>216</v>
      </c>
      <c r="D3725" s="3" t="s">
        <v>23</v>
      </c>
      <c r="E3725" s="64">
        <v>1</v>
      </c>
    </row>
    <row r="3726" spans="1:5">
      <c r="A3726" s="64" t="s">
        <v>1</v>
      </c>
      <c r="B3726" s="65">
        <v>43186</v>
      </c>
      <c r="C3726" s="66" t="s">
        <v>217</v>
      </c>
      <c r="D3726" s="3" t="s">
        <v>23</v>
      </c>
      <c r="E3726" s="64">
        <v>1</v>
      </c>
    </row>
    <row r="3727" spans="1:5">
      <c r="A3727" s="64" t="s">
        <v>1</v>
      </c>
      <c r="B3727" s="65">
        <v>43187</v>
      </c>
      <c r="C3727" s="66" t="s">
        <v>218</v>
      </c>
      <c r="D3727" s="3" t="s">
        <v>23</v>
      </c>
      <c r="E3727" s="64">
        <v>1</v>
      </c>
    </row>
    <row r="3728" spans="1:5">
      <c r="A3728" s="64" t="s">
        <v>1</v>
      </c>
      <c r="B3728" s="65">
        <v>43188</v>
      </c>
      <c r="C3728" s="66" t="s">
        <v>219</v>
      </c>
      <c r="D3728" s="3" t="s">
        <v>23</v>
      </c>
      <c r="E3728" s="64">
        <v>1</v>
      </c>
    </row>
    <row r="3729" spans="1:5">
      <c r="A3729" s="64" t="s">
        <v>1</v>
      </c>
      <c r="B3729" s="65">
        <v>43189</v>
      </c>
      <c r="C3729" s="66" t="s">
        <v>220</v>
      </c>
      <c r="D3729" s="3" t="s">
        <v>23</v>
      </c>
      <c r="E3729" s="64">
        <v>1</v>
      </c>
    </row>
    <row r="3730" spans="1:5">
      <c r="A3730" s="64" t="s">
        <v>1</v>
      </c>
      <c r="B3730" s="65">
        <v>43190</v>
      </c>
      <c r="C3730" s="66" t="s">
        <v>221</v>
      </c>
      <c r="D3730" s="3" t="s">
        <v>23</v>
      </c>
      <c r="E3730" s="64">
        <v>1</v>
      </c>
    </row>
    <row r="3731" spans="1:5">
      <c r="A3731" s="64" t="s">
        <v>1</v>
      </c>
      <c r="B3731" s="65">
        <v>43191</v>
      </c>
      <c r="C3731" s="66" t="s">
        <v>222</v>
      </c>
      <c r="D3731" s="3" t="s">
        <v>23</v>
      </c>
      <c r="E3731" s="64">
        <v>1</v>
      </c>
    </row>
    <row r="3732" spans="1:5">
      <c r="A3732" s="64" t="s">
        <v>1</v>
      </c>
      <c r="B3732" s="65">
        <v>43192</v>
      </c>
      <c r="C3732" s="66" t="s">
        <v>216</v>
      </c>
      <c r="D3732" s="3" t="s">
        <v>23</v>
      </c>
      <c r="E3732" s="64">
        <v>1</v>
      </c>
    </row>
    <row r="3733" spans="1:5">
      <c r="A3733" s="64" t="s">
        <v>1</v>
      </c>
      <c r="B3733" s="65">
        <v>43193</v>
      </c>
      <c r="C3733" s="66" t="s">
        <v>217</v>
      </c>
      <c r="D3733" s="3" t="s">
        <v>23</v>
      </c>
      <c r="E3733" s="64">
        <v>1</v>
      </c>
    </row>
    <row r="3734" spans="1:5">
      <c r="A3734" s="64" t="s">
        <v>1</v>
      </c>
      <c r="B3734" s="65">
        <v>43194</v>
      </c>
      <c r="C3734" s="66" t="s">
        <v>218</v>
      </c>
      <c r="D3734" s="3" t="s">
        <v>23</v>
      </c>
      <c r="E3734" s="64">
        <v>1</v>
      </c>
    </row>
    <row r="3735" spans="1:5">
      <c r="A3735" s="64" t="s">
        <v>1</v>
      </c>
      <c r="B3735" s="65">
        <v>43195</v>
      </c>
      <c r="C3735" s="66" t="s">
        <v>219</v>
      </c>
      <c r="D3735" s="3" t="s">
        <v>23</v>
      </c>
      <c r="E3735" s="64">
        <v>1</v>
      </c>
    </row>
    <row r="3736" spans="1:5">
      <c r="A3736" s="64" t="s">
        <v>1</v>
      </c>
      <c r="B3736" s="65">
        <v>43196</v>
      </c>
      <c r="C3736" s="66" t="s">
        <v>220</v>
      </c>
      <c r="D3736" s="3" t="s">
        <v>23</v>
      </c>
      <c r="E3736" s="64">
        <v>1</v>
      </c>
    </row>
    <row r="3737" spans="1:5">
      <c r="A3737" s="64" t="s">
        <v>1</v>
      </c>
      <c r="B3737" s="65">
        <v>43197</v>
      </c>
      <c r="C3737" s="66" t="s">
        <v>221</v>
      </c>
      <c r="D3737" s="3" t="s">
        <v>23</v>
      </c>
      <c r="E3737" s="64">
        <v>1</v>
      </c>
    </row>
    <row r="3738" spans="1:5">
      <c r="A3738" s="64" t="s">
        <v>1</v>
      </c>
      <c r="B3738" s="65">
        <v>43198</v>
      </c>
      <c r="C3738" s="66" t="s">
        <v>222</v>
      </c>
      <c r="D3738" s="3" t="s">
        <v>23</v>
      </c>
      <c r="E3738" s="64">
        <v>1</v>
      </c>
    </row>
    <row r="3739" spans="1:5">
      <c r="A3739" s="64" t="s">
        <v>1</v>
      </c>
      <c r="B3739" s="65">
        <v>43199</v>
      </c>
      <c r="C3739" s="66" t="s">
        <v>216</v>
      </c>
      <c r="D3739" s="3" t="s">
        <v>23</v>
      </c>
      <c r="E3739" s="64">
        <v>1</v>
      </c>
    </row>
    <row r="3740" spans="1:5">
      <c r="A3740" s="64" t="s">
        <v>1</v>
      </c>
      <c r="B3740" s="65">
        <v>43200</v>
      </c>
      <c r="C3740" s="66" t="s">
        <v>217</v>
      </c>
      <c r="D3740" s="3" t="s">
        <v>23</v>
      </c>
      <c r="E3740" s="64">
        <v>1</v>
      </c>
    </row>
    <row r="3741" spans="1:5">
      <c r="A3741" s="64" t="s">
        <v>1</v>
      </c>
      <c r="B3741" s="65">
        <v>43201</v>
      </c>
      <c r="C3741" s="66" t="s">
        <v>218</v>
      </c>
      <c r="D3741" s="3" t="s">
        <v>23</v>
      </c>
      <c r="E3741" s="64">
        <v>1</v>
      </c>
    </row>
    <row r="3742" spans="1:5">
      <c r="A3742" s="64" t="s">
        <v>1</v>
      </c>
      <c r="B3742" s="65">
        <v>43202</v>
      </c>
      <c r="C3742" s="66" t="s">
        <v>219</v>
      </c>
      <c r="D3742" s="3" t="s">
        <v>23</v>
      </c>
      <c r="E3742" s="64">
        <v>1</v>
      </c>
    </row>
    <row r="3743" spans="1:5">
      <c r="A3743" s="64" t="s">
        <v>1</v>
      </c>
      <c r="B3743" s="65">
        <v>43203</v>
      </c>
      <c r="C3743" s="66" t="s">
        <v>220</v>
      </c>
      <c r="D3743" s="3" t="s">
        <v>23</v>
      </c>
      <c r="E3743" s="64">
        <v>1</v>
      </c>
    </row>
    <row r="3744" spans="1:5">
      <c r="A3744" s="64" t="s">
        <v>1</v>
      </c>
      <c r="B3744" s="65">
        <v>43204</v>
      </c>
      <c r="C3744" s="66" t="s">
        <v>221</v>
      </c>
      <c r="D3744" s="3" t="s">
        <v>23</v>
      </c>
      <c r="E3744" s="64">
        <v>1</v>
      </c>
    </row>
    <row r="3745" spans="1:5">
      <c r="A3745" s="64" t="s">
        <v>1</v>
      </c>
      <c r="B3745" s="65">
        <v>43205</v>
      </c>
      <c r="C3745" s="66" t="s">
        <v>222</v>
      </c>
      <c r="D3745" s="3" t="s">
        <v>23</v>
      </c>
      <c r="E3745" s="64">
        <v>1</v>
      </c>
    </row>
    <row r="3746" spans="1:5">
      <c r="A3746" s="64" t="s">
        <v>1</v>
      </c>
      <c r="B3746" s="65">
        <v>43206</v>
      </c>
      <c r="C3746" s="66" t="s">
        <v>216</v>
      </c>
      <c r="D3746" s="3" t="s">
        <v>23</v>
      </c>
      <c r="E3746" s="64">
        <v>1</v>
      </c>
    </row>
    <row r="3747" spans="1:5">
      <c r="A3747" s="64" t="s">
        <v>1</v>
      </c>
      <c r="B3747" s="65">
        <v>43207</v>
      </c>
      <c r="C3747" s="66" t="s">
        <v>217</v>
      </c>
      <c r="D3747" s="3" t="s">
        <v>23</v>
      </c>
      <c r="E3747" s="64">
        <v>1</v>
      </c>
    </row>
    <row r="3748" spans="1:5">
      <c r="A3748" s="64" t="s">
        <v>1</v>
      </c>
      <c r="B3748" s="65">
        <v>43208</v>
      </c>
      <c r="C3748" s="66" t="s">
        <v>218</v>
      </c>
      <c r="D3748" s="3" t="s">
        <v>23</v>
      </c>
      <c r="E3748" s="64">
        <v>1</v>
      </c>
    </row>
    <row r="3749" spans="1:5">
      <c r="A3749" s="64" t="s">
        <v>1</v>
      </c>
      <c r="B3749" s="65">
        <v>43209</v>
      </c>
      <c r="C3749" s="66" t="s">
        <v>219</v>
      </c>
      <c r="D3749" s="3" t="s">
        <v>23</v>
      </c>
      <c r="E3749" s="64">
        <v>1</v>
      </c>
    </row>
    <row r="3750" spans="1:5">
      <c r="A3750" s="64" t="s">
        <v>1</v>
      </c>
      <c r="B3750" s="65">
        <v>43210</v>
      </c>
      <c r="C3750" s="66" t="s">
        <v>220</v>
      </c>
      <c r="D3750" s="3" t="s">
        <v>23</v>
      </c>
      <c r="E3750" s="64">
        <v>1</v>
      </c>
    </row>
    <row r="3751" spans="1:5">
      <c r="A3751" s="64" t="s">
        <v>1</v>
      </c>
      <c r="B3751" s="65">
        <v>43211</v>
      </c>
      <c r="C3751" s="66" t="s">
        <v>221</v>
      </c>
      <c r="D3751" s="3" t="s">
        <v>23</v>
      </c>
      <c r="E3751" s="64">
        <v>1</v>
      </c>
    </row>
    <row r="3752" spans="1:5">
      <c r="A3752" s="64" t="s">
        <v>1</v>
      </c>
      <c r="B3752" s="65">
        <v>43212</v>
      </c>
      <c r="C3752" s="66" t="s">
        <v>222</v>
      </c>
      <c r="D3752" s="3" t="s">
        <v>23</v>
      </c>
      <c r="E3752" s="64">
        <v>1</v>
      </c>
    </row>
    <row r="3753" spans="1:5">
      <c r="A3753" s="64" t="s">
        <v>1</v>
      </c>
      <c r="B3753" s="65">
        <v>43213</v>
      </c>
      <c r="C3753" s="66" t="s">
        <v>216</v>
      </c>
      <c r="D3753" s="3" t="s">
        <v>23</v>
      </c>
      <c r="E3753" s="64">
        <v>1</v>
      </c>
    </row>
    <row r="3754" spans="1:5">
      <c r="A3754" s="64" t="s">
        <v>1</v>
      </c>
      <c r="B3754" s="65">
        <v>43214</v>
      </c>
      <c r="C3754" s="66" t="s">
        <v>217</v>
      </c>
      <c r="D3754" s="3" t="s">
        <v>23</v>
      </c>
      <c r="E3754" s="64">
        <v>1</v>
      </c>
    </row>
    <row r="3755" spans="1:5">
      <c r="A3755" s="64" t="s">
        <v>1</v>
      </c>
      <c r="B3755" s="65">
        <v>43215</v>
      </c>
      <c r="C3755" s="66" t="s">
        <v>218</v>
      </c>
      <c r="D3755" s="3" t="s">
        <v>23</v>
      </c>
      <c r="E3755" s="64">
        <v>1</v>
      </c>
    </row>
    <row r="3756" spans="1:5">
      <c r="A3756" s="64" t="s">
        <v>1</v>
      </c>
      <c r="B3756" s="65">
        <v>43216</v>
      </c>
      <c r="C3756" s="66" t="s">
        <v>219</v>
      </c>
      <c r="D3756" s="3" t="s">
        <v>23</v>
      </c>
      <c r="E3756" s="64">
        <v>1</v>
      </c>
    </row>
    <row r="3757" spans="1:5">
      <c r="A3757" s="64" t="s">
        <v>1</v>
      </c>
      <c r="B3757" s="65">
        <v>43217</v>
      </c>
      <c r="C3757" s="66" t="s">
        <v>220</v>
      </c>
      <c r="D3757" s="3" t="s">
        <v>23</v>
      </c>
      <c r="E3757" s="64">
        <v>1</v>
      </c>
    </row>
    <row r="3758" spans="1:5">
      <c r="A3758" s="64" t="s">
        <v>1</v>
      </c>
      <c r="B3758" s="65">
        <v>43218</v>
      </c>
      <c r="C3758" s="66" t="s">
        <v>221</v>
      </c>
      <c r="D3758" s="3" t="s">
        <v>23</v>
      </c>
      <c r="E3758" s="64">
        <v>1</v>
      </c>
    </row>
    <row r="3759" spans="1:5">
      <c r="A3759" s="64" t="s">
        <v>1</v>
      </c>
      <c r="B3759" s="65">
        <v>43219</v>
      </c>
      <c r="C3759" s="66" t="s">
        <v>222</v>
      </c>
      <c r="D3759" s="3" t="s">
        <v>23</v>
      </c>
      <c r="E3759" s="64">
        <v>1</v>
      </c>
    </row>
    <row r="3760" spans="1:5">
      <c r="A3760" s="64" t="s">
        <v>1</v>
      </c>
      <c r="B3760" s="65">
        <v>43220</v>
      </c>
      <c r="C3760" s="66" t="s">
        <v>216</v>
      </c>
      <c r="D3760" s="3" t="s">
        <v>23</v>
      </c>
      <c r="E3760" s="64">
        <v>1</v>
      </c>
    </row>
    <row r="3761" spans="1:5">
      <c r="A3761" s="64" t="s">
        <v>1</v>
      </c>
      <c r="B3761" s="65">
        <v>43221</v>
      </c>
      <c r="C3761" s="66" t="s">
        <v>217</v>
      </c>
      <c r="D3761" s="3" t="s">
        <v>23</v>
      </c>
      <c r="E3761" s="64">
        <v>1</v>
      </c>
    </row>
    <row r="3762" spans="1:5">
      <c r="A3762" s="64" t="s">
        <v>1</v>
      </c>
      <c r="B3762" s="65">
        <v>43222</v>
      </c>
      <c r="C3762" s="66" t="s">
        <v>218</v>
      </c>
      <c r="D3762" s="3" t="s">
        <v>23</v>
      </c>
      <c r="E3762" s="64">
        <v>1</v>
      </c>
    </row>
    <row r="3763" spans="1:5">
      <c r="A3763" s="64" t="s">
        <v>1</v>
      </c>
      <c r="B3763" s="65">
        <v>43223</v>
      </c>
      <c r="C3763" s="66" t="s">
        <v>219</v>
      </c>
      <c r="D3763" s="3" t="s">
        <v>23</v>
      </c>
      <c r="E3763" s="64">
        <v>1</v>
      </c>
    </row>
    <row r="3764" spans="1:5">
      <c r="A3764" s="64" t="s">
        <v>1</v>
      </c>
      <c r="B3764" s="65">
        <v>43224</v>
      </c>
      <c r="C3764" s="66" t="s">
        <v>220</v>
      </c>
      <c r="D3764" s="3" t="s">
        <v>23</v>
      </c>
      <c r="E3764" s="64">
        <v>1</v>
      </c>
    </row>
    <row r="3765" spans="1:5">
      <c r="A3765" s="64" t="s">
        <v>1</v>
      </c>
      <c r="B3765" s="65">
        <v>43225</v>
      </c>
      <c r="C3765" s="66" t="s">
        <v>221</v>
      </c>
      <c r="D3765" s="3" t="s">
        <v>23</v>
      </c>
      <c r="E3765" s="64">
        <v>1</v>
      </c>
    </row>
    <row r="3766" spans="1:5">
      <c r="A3766" s="64" t="s">
        <v>1</v>
      </c>
      <c r="B3766" s="65">
        <v>43226</v>
      </c>
      <c r="C3766" s="66" t="s">
        <v>222</v>
      </c>
      <c r="D3766" s="3" t="s">
        <v>23</v>
      </c>
      <c r="E3766" s="64">
        <v>1</v>
      </c>
    </row>
    <row r="3767" spans="1:5">
      <c r="A3767" s="64" t="s">
        <v>1</v>
      </c>
      <c r="B3767" s="65">
        <v>43227</v>
      </c>
      <c r="C3767" s="66" t="s">
        <v>216</v>
      </c>
      <c r="D3767" s="3" t="s">
        <v>23</v>
      </c>
      <c r="E3767" s="64">
        <v>1</v>
      </c>
    </row>
    <row r="3768" spans="1:5">
      <c r="A3768" s="64" t="s">
        <v>1</v>
      </c>
      <c r="B3768" s="65">
        <v>43228</v>
      </c>
      <c r="C3768" s="66" t="s">
        <v>217</v>
      </c>
      <c r="D3768" s="3" t="s">
        <v>23</v>
      </c>
      <c r="E3768" s="64">
        <v>1</v>
      </c>
    </row>
    <row r="3769" spans="1:5">
      <c r="A3769" s="64" t="s">
        <v>1</v>
      </c>
      <c r="B3769" s="65">
        <v>43229</v>
      </c>
      <c r="C3769" s="66" t="s">
        <v>218</v>
      </c>
      <c r="D3769" s="3" t="s">
        <v>23</v>
      </c>
      <c r="E3769" s="64">
        <v>1</v>
      </c>
    </row>
    <row r="3770" spans="1:5">
      <c r="A3770" s="64" t="s">
        <v>1</v>
      </c>
      <c r="B3770" s="65">
        <v>43230</v>
      </c>
      <c r="C3770" s="66" t="s">
        <v>219</v>
      </c>
      <c r="D3770" s="3" t="s">
        <v>23</v>
      </c>
      <c r="E3770" s="64">
        <v>1</v>
      </c>
    </row>
    <row r="3771" spans="1:5">
      <c r="A3771" s="64" t="s">
        <v>1</v>
      </c>
      <c r="B3771" s="65">
        <v>43231</v>
      </c>
      <c r="C3771" s="66" t="s">
        <v>220</v>
      </c>
      <c r="D3771" s="3" t="s">
        <v>23</v>
      </c>
      <c r="E3771" s="64">
        <v>1</v>
      </c>
    </row>
    <row r="3772" spans="1:5">
      <c r="A3772" s="64" t="s">
        <v>1</v>
      </c>
      <c r="B3772" s="65">
        <v>43232</v>
      </c>
      <c r="C3772" s="66" t="s">
        <v>221</v>
      </c>
      <c r="D3772" s="3" t="s">
        <v>23</v>
      </c>
      <c r="E3772" s="64">
        <v>1</v>
      </c>
    </row>
    <row r="3773" spans="1:5">
      <c r="A3773" s="64" t="s">
        <v>1</v>
      </c>
      <c r="B3773" s="65">
        <v>43233</v>
      </c>
      <c r="C3773" s="66" t="s">
        <v>222</v>
      </c>
      <c r="D3773" s="3" t="s">
        <v>23</v>
      </c>
      <c r="E3773" s="64">
        <v>1</v>
      </c>
    </row>
    <row r="3774" spans="1:5">
      <c r="A3774" s="64" t="s">
        <v>1</v>
      </c>
      <c r="B3774" s="65">
        <v>43234</v>
      </c>
      <c r="C3774" s="66" t="s">
        <v>216</v>
      </c>
      <c r="D3774" s="3" t="s">
        <v>23</v>
      </c>
      <c r="E3774" s="64">
        <v>1</v>
      </c>
    </row>
    <row r="3775" spans="1:5">
      <c r="A3775" s="64" t="s">
        <v>1</v>
      </c>
      <c r="B3775" s="65">
        <v>43235</v>
      </c>
      <c r="C3775" s="66" t="s">
        <v>217</v>
      </c>
      <c r="D3775" s="3" t="s">
        <v>23</v>
      </c>
      <c r="E3775" s="64">
        <v>1</v>
      </c>
    </row>
    <row r="3776" spans="1:5">
      <c r="A3776" s="64" t="s">
        <v>1</v>
      </c>
      <c r="B3776" s="65">
        <v>43236</v>
      </c>
      <c r="C3776" s="66" t="s">
        <v>218</v>
      </c>
      <c r="D3776" s="3" t="s">
        <v>23</v>
      </c>
      <c r="E3776" s="64">
        <v>1</v>
      </c>
    </row>
    <row r="3777" spans="1:5">
      <c r="A3777" s="64" t="s">
        <v>1</v>
      </c>
      <c r="B3777" s="65">
        <v>43237</v>
      </c>
      <c r="C3777" s="66" t="s">
        <v>219</v>
      </c>
      <c r="D3777" s="3" t="s">
        <v>23</v>
      </c>
      <c r="E3777" s="64">
        <v>1</v>
      </c>
    </row>
    <row r="3778" spans="1:5">
      <c r="A3778" s="64" t="s">
        <v>1</v>
      </c>
      <c r="B3778" s="65">
        <v>43238</v>
      </c>
      <c r="C3778" s="66" t="s">
        <v>220</v>
      </c>
      <c r="D3778" s="3" t="s">
        <v>23</v>
      </c>
      <c r="E3778" s="64">
        <v>1</v>
      </c>
    </row>
    <row r="3779" spans="1:5">
      <c r="A3779" s="64" t="s">
        <v>1</v>
      </c>
      <c r="B3779" s="65">
        <v>43239</v>
      </c>
      <c r="C3779" s="66" t="s">
        <v>221</v>
      </c>
      <c r="D3779" s="3" t="s">
        <v>23</v>
      </c>
      <c r="E3779" s="64">
        <v>1</v>
      </c>
    </row>
    <row r="3780" spans="1:5">
      <c r="A3780" s="64" t="s">
        <v>1</v>
      </c>
      <c r="B3780" s="65">
        <v>43240</v>
      </c>
      <c r="C3780" s="66" t="s">
        <v>222</v>
      </c>
      <c r="D3780" s="3" t="s">
        <v>23</v>
      </c>
      <c r="E3780" s="64">
        <v>1</v>
      </c>
    </row>
    <row r="3781" spans="1:5">
      <c r="A3781" s="64" t="s">
        <v>1</v>
      </c>
      <c r="B3781" s="65">
        <v>43241</v>
      </c>
      <c r="C3781" s="66" t="s">
        <v>216</v>
      </c>
      <c r="D3781" s="3" t="s">
        <v>23</v>
      </c>
      <c r="E3781" s="64">
        <v>1</v>
      </c>
    </row>
    <row r="3782" spans="1:5">
      <c r="A3782" s="64" t="s">
        <v>1</v>
      </c>
      <c r="B3782" s="65">
        <v>43242</v>
      </c>
      <c r="C3782" s="66" t="s">
        <v>217</v>
      </c>
      <c r="D3782" s="3" t="s">
        <v>23</v>
      </c>
      <c r="E3782" s="64">
        <v>1</v>
      </c>
    </row>
    <row r="3783" spans="1:5">
      <c r="A3783" s="64" t="s">
        <v>1</v>
      </c>
      <c r="B3783" s="65">
        <v>43243</v>
      </c>
      <c r="C3783" s="66" t="s">
        <v>218</v>
      </c>
      <c r="D3783" s="3" t="s">
        <v>23</v>
      </c>
      <c r="E3783" s="64">
        <v>1</v>
      </c>
    </row>
    <row r="3784" spans="1:5">
      <c r="A3784" s="64" t="s">
        <v>1</v>
      </c>
      <c r="B3784" s="65">
        <v>43244</v>
      </c>
      <c r="C3784" s="66" t="s">
        <v>219</v>
      </c>
      <c r="D3784" s="3" t="s">
        <v>23</v>
      </c>
      <c r="E3784" s="64">
        <v>1</v>
      </c>
    </row>
    <row r="3785" spans="1:5">
      <c r="A3785" s="64" t="s">
        <v>1</v>
      </c>
      <c r="B3785" s="65">
        <v>43245</v>
      </c>
      <c r="C3785" s="66" t="s">
        <v>220</v>
      </c>
      <c r="D3785" s="3" t="s">
        <v>23</v>
      </c>
      <c r="E3785" s="64">
        <v>1</v>
      </c>
    </row>
    <row r="3786" spans="1:5">
      <c r="A3786" s="64" t="s">
        <v>1</v>
      </c>
      <c r="B3786" s="65">
        <v>43246</v>
      </c>
      <c r="C3786" s="66" t="s">
        <v>221</v>
      </c>
      <c r="D3786" s="3" t="s">
        <v>23</v>
      </c>
      <c r="E3786" s="64">
        <v>1</v>
      </c>
    </row>
    <row r="3787" spans="1:5">
      <c r="A3787" s="64" t="s">
        <v>1</v>
      </c>
      <c r="B3787" s="65">
        <v>43247</v>
      </c>
      <c r="C3787" s="66" t="s">
        <v>222</v>
      </c>
      <c r="D3787" s="3" t="s">
        <v>23</v>
      </c>
      <c r="E3787" s="64">
        <v>1</v>
      </c>
    </row>
    <row r="3788" spans="1:5">
      <c r="A3788" s="64" t="s">
        <v>1</v>
      </c>
      <c r="B3788" s="65">
        <v>43248</v>
      </c>
      <c r="C3788" s="66" t="s">
        <v>216</v>
      </c>
      <c r="D3788" s="3" t="s">
        <v>23</v>
      </c>
      <c r="E3788" s="64">
        <v>1</v>
      </c>
    </row>
    <row r="3789" spans="1:5">
      <c r="A3789" s="64" t="s">
        <v>1</v>
      </c>
      <c r="B3789" s="65">
        <v>43249</v>
      </c>
      <c r="C3789" s="66" t="s">
        <v>217</v>
      </c>
      <c r="D3789" s="3" t="s">
        <v>23</v>
      </c>
      <c r="E3789" s="64">
        <v>1</v>
      </c>
    </row>
    <row r="3790" spans="1:5">
      <c r="A3790" s="64" t="s">
        <v>1</v>
      </c>
      <c r="B3790" s="65">
        <v>43250</v>
      </c>
      <c r="C3790" s="66" t="s">
        <v>218</v>
      </c>
      <c r="D3790" s="3" t="s">
        <v>23</v>
      </c>
      <c r="E3790" s="64">
        <v>1</v>
      </c>
    </row>
    <row r="3791" spans="1:5">
      <c r="A3791" s="64" t="s">
        <v>1</v>
      </c>
      <c r="B3791" s="65">
        <v>43251</v>
      </c>
      <c r="C3791" s="66" t="s">
        <v>219</v>
      </c>
      <c r="D3791" s="3" t="s">
        <v>23</v>
      </c>
      <c r="E3791" s="64">
        <v>1</v>
      </c>
    </row>
    <row r="3792" spans="1:5">
      <c r="A3792" s="64" t="s">
        <v>1</v>
      </c>
      <c r="B3792" s="65">
        <v>43252</v>
      </c>
      <c r="C3792" s="66" t="s">
        <v>220</v>
      </c>
      <c r="D3792" s="3" t="s">
        <v>23</v>
      </c>
      <c r="E3792" s="64">
        <v>1</v>
      </c>
    </row>
    <row r="3793" spans="1:5">
      <c r="A3793" s="64" t="s">
        <v>1</v>
      </c>
      <c r="B3793" s="65">
        <v>43253</v>
      </c>
      <c r="C3793" s="66" t="s">
        <v>221</v>
      </c>
      <c r="D3793" s="3" t="s">
        <v>23</v>
      </c>
      <c r="E3793" s="64">
        <v>1</v>
      </c>
    </row>
    <row r="3794" spans="1:5">
      <c r="A3794" s="64" t="s">
        <v>1</v>
      </c>
      <c r="B3794" s="65">
        <v>43254</v>
      </c>
      <c r="C3794" s="66" t="s">
        <v>222</v>
      </c>
      <c r="D3794" s="3" t="s">
        <v>23</v>
      </c>
      <c r="E3794" s="64">
        <v>1</v>
      </c>
    </row>
    <row r="3795" spans="1:5">
      <c r="A3795" s="64" t="s">
        <v>1</v>
      </c>
      <c r="B3795" s="65">
        <v>43255</v>
      </c>
      <c r="C3795" s="66" t="s">
        <v>216</v>
      </c>
      <c r="D3795" s="3" t="s">
        <v>23</v>
      </c>
      <c r="E3795" s="64">
        <v>1</v>
      </c>
    </row>
    <row r="3796" spans="1:5">
      <c r="A3796" s="64" t="s">
        <v>1</v>
      </c>
      <c r="B3796" s="65">
        <v>43256</v>
      </c>
      <c r="C3796" s="66" t="s">
        <v>217</v>
      </c>
      <c r="D3796" s="3" t="s">
        <v>23</v>
      </c>
      <c r="E3796" s="64">
        <v>1</v>
      </c>
    </row>
    <row r="3797" spans="1:5">
      <c r="A3797" s="64" t="s">
        <v>1</v>
      </c>
      <c r="B3797" s="65">
        <v>43257</v>
      </c>
      <c r="C3797" s="66" t="s">
        <v>218</v>
      </c>
      <c r="D3797" s="3" t="s">
        <v>23</v>
      </c>
      <c r="E3797" s="64">
        <v>1</v>
      </c>
    </row>
    <row r="3798" spans="1:5">
      <c r="A3798" s="64" t="s">
        <v>1</v>
      </c>
      <c r="B3798" s="65">
        <v>43258</v>
      </c>
      <c r="C3798" s="66" t="s">
        <v>219</v>
      </c>
      <c r="D3798" s="3" t="s">
        <v>23</v>
      </c>
      <c r="E3798" s="64">
        <v>1</v>
      </c>
    </row>
    <row r="3799" spans="1:5">
      <c r="A3799" s="64" t="s">
        <v>1</v>
      </c>
      <c r="B3799" s="65">
        <v>43259</v>
      </c>
      <c r="C3799" s="66" t="s">
        <v>220</v>
      </c>
      <c r="D3799" s="3" t="s">
        <v>23</v>
      </c>
      <c r="E3799" s="64">
        <v>1</v>
      </c>
    </row>
    <row r="3800" spans="1:5">
      <c r="A3800" s="64" t="s">
        <v>1</v>
      </c>
      <c r="B3800" s="65">
        <v>43260</v>
      </c>
      <c r="C3800" s="66" t="s">
        <v>221</v>
      </c>
      <c r="D3800" s="3" t="s">
        <v>23</v>
      </c>
      <c r="E3800" s="64">
        <v>1</v>
      </c>
    </row>
    <row r="3801" spans="1:5">
      <c r="A3801" s="64" t="s">
        <v>1</v>
      </c>
      <c r="B3801" s="65">
        <v>43261</v>
      </c>
      <c r="C3801" s="66" t="s">
        <v>222</v>
      </c>
      <c r="D3801" s="3" t="s">
        <v>23</v>
      </c>
      <c r="E3801" s="64">
        <v>1</v>
      </c>
    </row>
    <row r="3802" spans="1:5">
      <c r="A3802" s="64" t="s">
        <v>1</v>
      </c>
      <c r="B3802" s="65">
        <v>43262</v>
      </c>
      <c r="C3802" s="66" t="s">
        <v>216</v>
      </c>
      <c r="D3802" s="3" t="s">
        <v>23</v>
      </c>
      <c r="E3802" s="64">
        <v>1</v>
      </c>
    </row>
    <row r="3803" spans="1:5">
      <c r="A3803" s="64" t="s">
        <v>1</v>
      </c>
      <c r="B3803" s="65">
        <v>43263</v>
      </c>
      <c r="C3803" s="66" t="s">
        <v>217</v>
      </c>
      <c r="D3803" s="3" t="s">
        <v>23</v>
      </c>
      <c r="E3803" s="64">
        <v>1</v>
      </c>
    </row>
    <row r="3804" spans="1:5">
      <c r="A3804" s="64" t="s">
        <v>1</v>
      </c>
      <c r="B3804" s="65">
        <v>43264</v>
      </c>
      <c r="C3804" s="66" t="s">
        <v>218</v>
      </c>
      <c r="D3804" s="3" t="s">
        <v>23</v>
      </c>
      <c r="E3804" s="64">
        <v>1</v>
      </c>
    </row>
    <row r="3805" spans="1:5">
      <c r="A3805" s="64" t="s">
        <v>1</v>
      </c>
      <c r="B3805" s="65">
        <v>43265</v>
      </c>
      <c r="C3805" s="66" t="s">
        <v>219</v>
      </c>
      <c r="D3805" s="3" t="s">
        <v>23</v>
      </c>
      <c r="E3805" s="64">
        <v>1</v>
      </c>
    </row>
    <row r="3806" spans="1:5">
      <c r="A3806" s="64" t="s">
        <v>1</v>
      </c>
      <c r="B3806" s="65">
        <v>43266</v>
      </c>
      <c r="C3806" s="66" t="s">
        <v>220</v>
      </c>
      <c r="D3806" s="3" t="s">
        <v>23</v>
      </c>
      <c r="E3806" s="64">
        <v>1</v>
      </c>
    </row>
    <row r="3807" spans="1:5">
      <c r="A3807" s="64" t="s">
        <v>1</v>
      </c>
      <c r="B3807" s="65">
        <v>43267</v>
      </c>
      <c r="C3807" s="66" t="s">
        <v>221</v>
      </c>
      <c r="D3807" s="3" t="s">
        <v>23</v>
      </c>
      <c r="E3807" s="64">
        <v>1</v>
      </c>
    </row>
    <row r="3808" spans="1:5">
      <c r="A3808" s="64" t="s">
        <v>1</v>
      </c>
      <c r="B3808" s="65">
        <v>43268</v>
      </c>
      <c r="C3808" s="66" t="s">
        <v>222</v>
      </c>
      <c r="D3808" s="3" t="s">
        <v>23</v>
      </c>
      <c r="E3808" s="64">
        <v>1</v>
      </c>
    </row>
    <row r="3809" spans="1:5">
      <c r="A3809" s="64" t="s">
        <v>1</v>
      </c>
      <c r="B3809" s="65">
        <v>43269</v>
      </c>
      <c r="C3809" s="66" t="s">
        <v>216</v>
      </c>
      <c r="D3809" s="3" t="s">
        <v>23</v>
      </c>
      <c r="E3809" s="64">
        <v>1</v>
      </c>
    </row>
    <row r="3810" spans="1:5">
      <c r="A3810" s="64" t="s">
        <v>1</v>
      </c>
      <c r="B3810" s="65">
        <v>43270</v>
      </c>
      <c r="C3810" s="66" t="s">
        <v>217</v>
      </c>
      <c r="D3810" s="3" t="s">
        <v>23</v>
      </c>
      <c r="E3810" s="64">
        <v>1</v>
      </c>
    </row>
    <row r="3811" spans="1:5">
      <c r="A3811" s="64" t="s">
        <v>1</v>
      </c>
      <c r="B3811" s="65">
        <v>43271</v>
      </c>
      <c r="C3811" s="66" t="s">
        <v>218</v>
      </c>
      <c r="D3811" s="3" t="s">
        <v>23</v>
      </c>
      <c r="E3811" s="64">
        <v>1</v>
      </c>
    </row>
    <row r="3812" spans="1:5">
      <c r="A3812" s="64" t="s">
        <v>1</v>
      </c>
      <c r="B3812" s="65">
        <v>43272</v>
      </c>
      <c r="C3812" s="66" t="s">
        <v>219</v>
      </c>
      <c r="D3812" s="3" t="s">
        <v>23</v>
      </c>
      <c r="E3812" s="64">
        <v>1</v>
      </c>
    </row>
    <row r="3813" spans="1:5">
      <c r="A3813" s="64" t="s">
        <v>1</v>
      </c>
      <c r="B3813" s="65">
        <v>43273</v>
      </c>
      <c r="C3813" s="66" t="s">
        <v>220</v>
      </c>
      <c r="D3813" s="3" t="s">
        <v>23</v>
      </c>
      <c r="E3813" s="64">
        <v>1</v>
      </c>
    </row>
    <row r="3814" spans="1:5">
      <c r="A3814" s="64" t="s">
        <v>1</v>
      </c>
      <c r="B3814" s="65">
        <v>43274</v>
      </c>
      <c r="C3814" s="66" t="s">
        <v>221</v>
      </c>
      <c r="D3814" s="3" t="s">
        <v>23</v>
      </c>
      <c r="E3814" s="64">
        <v>1</v>
      </c>
    </row>
    <row r="3815" spans="1:5">
      <c r="A3815" s="64" t="s">
        <v>1</v>
      </c>
      <c r="B3815" s="65">
        <v>43275</v>
      </c>
      <c r="C3815" s="66" t="s">
        <v>222</v>
      </c>
      <c r="D3815" s="3" t="s">
        <v>23</v>
      </c>
      <c r="E3815" s="64">
        <v>1</v>
      </c>
    </row>
    <row r="3816" spans="1:5">
      <c r="A3816" s="64" t="s">
        <v>1</v>
      </c>
      <c r="B3816" s="65">
        <v>43276</v>
      </c>
      <c r="C3816" s="66" t="s">
        <v>216</v>
      </c>
      <c r="D3816" s="3" t="s">
        <v>23</v>
      </c>
      <c r="E3816" s="64">
        <v>1</v>
      </c>
    </row>
    <row r="3817" spans="1:5">
      <c r="A3817" s="64" t="s">
        <v>1</v>
      </c>
      <c r="B3817" s="65">
        <v>43277</v>
      </c>
      <c r="C3817" s="66" t="s">
        <v>217</v>
      </c>
      <c r="D3817" s="3" t="s">
        <v>23</v>
      </c>
      <c r="E3817" s="64">
        <v>1</v>
      </c>
    </row>
    <row r="3818" spans="1:5">
      <c r="A3818" s="64" t="s">
        <v>1</v>
      </c>
      <c r="B3818" s="65">
        <v>43278</v>
      </c>
      <c r="C3818" s="66" t="s">
        <v>218</v>
      </c>
      <c r="D3818" s="3" t="s">
        <v>23</v>
      </c>
      <c r="E3818" s="64">
        <v>1</v>
      </c>
    </row>
    <row r="3819" spans="1:5">
      <c r="A3819" s="64" t="s">
        <v>1</v>
      </c>
      <c r="B3819" s="65">
        <v>43279</v>
      </c>
      <c r="C3819" s="66" t="s">
        <v>219</v>
      </c>
      <c r="D3819" s="3" t="s">
        <v>23</v>
      </c>
      <c r="E3819" s="64">
        <v>1</v>
      </c>
    </row>
    <row r="3820" spans="1:5">
      <c r="A3820" s="64" t="s">
        <v>1</v>
      </c>
      <c r="B3820" s="65">
        <v>43280</v>
      </c>
      <c r="C3820" s="66" t="s">
        <v>220</v>
      </c>
      <c r="D3820" s="3" t="s">
        <v>23</v>
      </c>
      <c r="E3820" s="64">
        <v>1</v>
      </c>
    </row>
    <row r="3821" spans="1:5">
      <c r="A3821" s="64" t="s">
        <v>1</v>
      </c>
      <c r="B3821" s="65">
        <v>43281</v>
      </c>
      <c r="C3821" s="66" t="s">
        <v>221</v>
      </c>
      <c r="D3821" s="3" t="s">
        <v>23</v>
      </c>
      <c r="E3821" s="64">
        <v>1</v>
      </c>
    </row>
    <row r="3822" spans="1:5">
      <c r="A3822" s="64" t="s">
        <v>1</v>
      </c>
      <c r="B3822" s="65">
        <v>43282</v>
      </c>
      <c r="C3822" s="66" t="s">
        <v>222</v>
      </c>
      <c r="D3822" s="3" t="s">
        <v>23</v>
      </c>
      <c r="E3822" s="64">
        <v>1</v>
      </c>
    </row>
    <row r="3823" spans="1:5">
      <c r="A3823" s="64" t="s">
        <v>1</v>
      </c>
      <c r="B3823" s="65">
        <v>43283</v>
      </c>
      <c r="C3823" s="66" t="s">
        <v>216</v>
      </c>
      <c r="D3823" s="3" t="s">
        <v>23</v>
      </c>
      <c r="E3823" s="64">
        <v>1</v>
      </c>
    </row>
    <row r="3824" spans="1:5">
      <c r="A3824" s="64" t="s">
        <v>1</v>
      </c>
      <c r="B3824" s="65">
        <v>43284</v>
      </c>
      <c r="C3824" s="66" t="s">
        <v>217</v>
      </c>
      <c r="D3824" s="3" t="s">
        <v>23</v>
      </c>
      <c r="E3824" s="64">
        <v>1</v>
      </c>
    </row>
    <row r="3825" spans="1:5">
      <c r="A3825" s="64" t="s">
        <v>1</v>
      </c>
      <c r="B3825" s="65">
        <v>43285</v>
      </c>
      <c r="C3825" s="66" t="s">
        <v>218</v>
      </c>
      <c r="D3825" s="3" t="s">
        <v>23</v>
      </c>
      <c r="E3825" s="64">
        <v>1</v>
      </c>
    </row>
    <row r="3826" spans="1:5">
      <c r="A3826" s="64" t="s">
        <v>1</v>
      </c>
      <c r="B3826" s="65">
        <v>43286</v>
      </c>
      <c r="C3826" s="66" t="s">
        <v>219</v>
      </c>
      <c r="D3826" s="3" t="s">
        <v>23</v>
      </c>
      <c r="E3826" s="64">
        <v>1</v>
      </c>
    </row>
    <row r="3827" spans="1:5">
      <c r="A3827" s="64" t="s">
        <v>1</v>
      </c>
      <c r="B3827" s="65">
        <v>43287</v>
      </c>
      <c r="C3827" s="66" t="s">
        <v>220</v>
      </c>
      <c r="D3827" s="3" t="s">
        <v>23</v>
      </c>
      <c r="E3827" s="64">
        <v>1</v>
      </c>
    </row>
    <row r="3828" spans="1:5">
      <c r="A3828" s="64" t="s">
        <v>1</v>
      </c>
      <c r="B3828" s="65">
        <v>43288</v>
      </c>
      <c r="C3828" s="66" t="s">
        <v>221</v>
      </c>
      <c r="D3828" s="3" t="s">
        <v>23</v>
      </c>
      <c r="E3828" s="64">
        <v>1</v>
      </c>
    </row>
    <row r="3829" spans="1:5">
      <c r="A3829" s="64" t="s">
        <v>1</v>
      </c>
      <c r="B3829" s="65">
        <v>43289</v>
      </c>
      <c r="C3829" s="66" t="s">
        <v>222</v>
      </c>
      <c r="D3829" s="3" t="s">
        <v>23</v>
      </c>
      <c r="E3829" s="64">
        <v>1</v>
      </c>
    </row>
    <row r="3830" spans="1:5">
      <c r="A3830" s="64" t="s">
        <v>1</v>
      </c>
      <c r="B3830" s="65">
        <v>43290</v>
      </c>
      <c r="C3830" s="66" t="s">
        <v>216</v>
      </c>
      <c r="D3830" s="3" t="s">
        <v>23</v>
      </c>
      <c r="E3830" s="64">
        <v>1</v>
      </c>
    </row>
    <row r="3831" spans="1:5">
      <c r="A3831" s="64" t="s">
        <v>1</v>
      </c>
      <c r="B3831" s="65">
        <v>43291</v>
      </c>
      <c r="C3831" s="66" t="s">
        <v>217</v>
      </c>
      <c r="D3831" s="3" t="s">
        <v>23</v>
      </c>
      <c r="E3831" s="64">
        <v>1</v>
      </c>
    </row>
    <row r="3832" spans="1:5">
      <c r="A3832" s="64" t="s">
        <v>1</v>
      </c>
      <c r="B3832" s="65">
        <v>43292</v>
      </c>
      <c r="C3832" s="66" t="s">
        <v>218</v>
      </c>
      <c r="D3832" s="3" t="s">
        <v>23</v>
      </c>
      <c r="E3832" s="64">
        <v>1</v>
      </c>
    </row>
    <row r="3833" spans="1:5">
      <c r="A3833" s="64" t="s">
        <v>1</v>
      </c>
      <c r="B3833" s="65">
        <v>43293</v>
      </c>
      <c r="C3833" s="66" t="s">
        <v>219</v>
      </c>
      <c r="D3833" s="3" t="s">
        <v>23</v>
      </c>
      <c r="E3833" s="64">
        <v>1</v>
      </c>
    </row>
    <row r="3834" spans="1:5">
      <c r="A3834" s="64" t="s">
        <v>1</v>
      </c>
      <c r="B3834" s="65">
        <v>43294</v>
      </c>
      <c r="C3834" s="66" t="s">
        <v>220</v>
      </c>
      <c r="D3834" s="3" t="s">
        <v>23</v>
      </c>
      <c r="E3834" s="64">
        <v>1</v>
      </c>
    </row>
    <row r="3835" spans="1:5">
      <c r="A3835" s="64" t="s">
        <v>1</v>
      </c>
      <c r="B3835" s="65">
        <v>43295</v>
      </c>
      <c r="C3835" s="66" t="s">
        <v>221</v>
      </c>
      <c r="D3835" s="3" t="s">
        <v>23</v>
      </c>
      <c r="E3835" s="64">
        <v>1</v>
      </c>
    </row>
    <row r="3836" spans="1:5">
      <c r="A3836" s="64" t="s">
        <v>1</v>
      </c>
      <c r="B3836" s="65">
        <v>43296</v>
      </c>
      <c r="C3836" s="66" t="s">
        <v>222</v>
      </c>
      <c r="D3836" s="3" t="s">
        <v>23</v>
      </c>
      <c r="E3836" s="64">
        <v>1</v>
      </c>
    </row>
    <row r="3837" spans="1:5">
      <c r="A3837" s="64" t="s">
        <v>1</v>
      </c>
      <c r="B3837" s="65">
        <v>43297</v>
      </c>
      <c r="C3837" s="66" t="s">
        <v>216</v>
      </c>
      <c r="D3837" s="3" t="s">
        <v>23</v>
      </c>
      <c r="E3837" s="64">
        <v>1</v>
      </c>
    </row>
    <row r="3838" spans="1:5">
      <c r="A3838" s="64" t="s">
        <v>1</v>
      </c>
      <c r="B3838" s="65">
        <v>43298</v>
      </c>
      <c r="C3838" s="66" t="s">
        <v>217</v>
      </c>
      <c r="D3838" s="3" t="s">
        <v>23</v>
      </c>
      <c r="E3838" s="64">
        <v>1</v>
      </c>
    </row>
    <row r="3839" spans="1:5">
      <c r="A3839" s="64" t="s">
        <v>1</v>
      </c>
      <c r="B3839" s="65">
        <v>43299</v>
      </c>
      <c r="C3839" s="66" t="s">
        <v>218</v>
      </c>
      <c r="D3839" s="3" t="s">
        <v>23</v>
      </c>
      <c r="E3839" s="64">
        <v>1</v>
      </c>
    </row>
    <row r="3840" spans="1:5">
      <c r="A3840" s="64" t="s">
        <v>1</v>
      </c>
      <c r="B3840" s="65">
        <v>43300</v>
      </c>
      <c r="C3840" s="66" t="s">
        <v>219</v>
      </c>
      <c r="D3840" s="3" t="s">
        <v>23</v>
      </c>
      <c r="E3840" s="64">
        <v>1</v>
      </c>
    </row>
    <row r="3841" spans="1:5">
      <c r="A3841" s="64" t="s">
        <v>1</v>
      </c>
      <c r="B3841" s="65">
        <v>43301</v>
      </c>
      <c r="C3841" s="66" t="s">
        <v>220</v>
      </c>
      <c r="D3841" s="3" t="s">
        <v>23</v>
      </c>
      <c r="E3841" s="64">
        <v>1</v>
      </c>
    </row>
    <row r="3842" spans="1:5">
      <c r="A3842" s="64" t="s">
        <v>1</v>
      </c>
      <c r="B3842" s="65">
        <v>43302</v>
      </c>
      <c r="C3842" s="66" t="s">
        <v>221</v>
      </c>
      <c r="D3842" s="3" t="s">
        <v>23</v>
      </c>
      <c r="E3842" s="64">
        <v>1</v>
      </c>
    </row>
    <row r="3843" spans="1:5">
      <c r="A3843" s="64" t="s">
        <v>1</v>
      </c>
      <c r="B3843" s="65">
        <v>43303</v>
      </c>
      <c r="C3843" s="66" t="s">
        <v>222</v>
      </c>
      <c r="D3843" s="3" t="s">
        <v>23</v>
      </c>
      <c r="E3843" s="64">
        <v>1</v>
      </c>
    </row>
    <row r="3844" spans="1:5">
      <c r="A3844" s="64" t="s">
        <v>1</v>
      </c>
      <c r="B3844" s="65">
        <v>43304</v>
      </c>
      <c r="C3844" s="66" t="s">
        <v>216</v>
      </c>
      <c r="D3844" s="3" t="s">
        <v>23</v>
      </c>
      <c r="E3844" s="64">
        <v>1</v>
      </c>
    </row>
    <row r="3845" spans="1:5">
      <c r="A3845" s="64" t="s">
        <v>1</v>
      </c>
      <c r="B3845" s="65">
        <v>43305</v>
      </c>
      <c r="C3845" s="66" t="s">
        <v>217</v>
      </c>
      <c r="D3845" s="3" t="s">
        <v>23</v>
      </c>
      <c r="E3845" s="64">
        <v>1</v>
      </c>
    </row>
    <row r="3846" spans="1:5">
      <c r="A3846" s="64" t="s">
        <v>1</v>
      </c>
      <c r="B3846" s="65">
        <v>43306</v>
      </c>
      <c r="C3846" s="66" t="s">
        <v>218</v>
      </c>
      <c r="D3846" s="3" t="s">
        <v>23</v>
      </c>
      <c r="E3846" s="64">
        <v>1</v>
      </c>
    </row>
    <row r="3847" spans="1:5">
      <c r="A3847" s="64" t="s">
        <v>1</v>
      </c>
      <c r="B3847" s="65">
        <v>43307</v>
      </c>
      <c r="C3847" s="66" t="s">
        <v>219</v>
      </c>
      <c r="D3847" s="3" t="s">
        <v>23</v>
      </c>
      <c r="E3847" s="64">
        <v>1</v>
      </c>
    </row>
    <row r="3848" spans="1:5">
      <c r="A3848" s="64" t="s">
        <v>1</v>
      </c>
      <c r="B3848" s="65">
        <v>43308</v>
      </c>
      <c r="C3848" s="66" t="s">
        <v>220</v>
      </c>
      <c r="D3848" s="3" t="s">
        <v>23</v>
      </c>
      <c r="E3848" s="64">
        <v>1</v>
      </c>
    </row>
    <row r="3849" spans="1:5">
      <c r="A3849" s="64" t="s">
        <v>1</v>
      </c>
      <c r="B3849" s="65">
        <v>43309</v>
      </c>
      <c r="C3849" s="66" t="s">
        <v>221</v>
      </c>
      <c r="D3849" s="3" t="s">
        <v>23</v>
      </c>
      <c r="E3849" s="64">
        <v>1</v>
      </c>
    </row>
    <row r="3850" spans="1:5">
      <c r="A3850" s="64" t="s">
        <v>1</v>
      </c>
      <c r="B3850" s="65">
        <v>43310</v>
      </c>
      <c r="C3850" s="66" t="s">
        <v>222</v>
      </c>
      <c r="D3850" s="3" t="s">
        <v>23</v>
      </c>
      <c r="E3850" s="64">
        <v>1</v>
      </c>
    </row>
    <row r="3851" spans="1:5">
      <c r="A3851" s="64" t="s">
        <v>1</v>
      </c>
      <c r="B3851" s="65">
        <v>43311</v>
      </c>
      <c r="C3851" s="66" t="s">
        <v>216</v>
      </c>
      <c r="D3851" s="3" t="s">
        <v>23</v>
      </c>
      <c r="E3851" s="64">
        <v>1</v>
      </c>
    </row>
    <row r="3852" spans="1:5">
      <c r="A3852" s="64" t="s">
        <v>1</v>
      </c>
      <c r="B3852" s="65">
        <v>43312</v>
      </c>
      <c r="C3852" s="66" t="s">
        <v>217</v>
      </c>
      <c r="D3852" s="3" t="s">
        <v>23</v>
      </c>
      <c r="E3852" s="64">
        <v>1</v>
      </c>
    </row>
    <row r="3853" spans="1:5">
      <c r="A3853" s="64" t="s">
        <v>1</v>
      </c>
      <c r="B3853" s="65">
        <v>43313</v>
      </c>
      <c r="C3853" s="66" t="s">
        <v>218</v>
      </c>
      <c r="D3853" s="3" t="s">
        <v>23</v>
      </c>
      <c r="E3853" s="64">
        <v>1</v>
      </c>
    </row>
    <row r="3854" spans="1:5">
      <c r="A3854" s="64" t="s">
        <v>1</v>
      </c>
      <c r="B3854" s="65">
        <v>43314</v>
      </c>
      <c r="C3854" s="66" t="s">
        <v>219</v>
      </c>
      <c r="D3854" s="3" t="s">
        <v>23</v>
      </c>
      <c r="E3854" s="64">
        <v>1</v>
      </c>
    </row>
    <row r="3855" spans="1:5">
      <c r="A3855" s="64" t="s">
        <v>1</v>
      </c>
      <c r="B3855" s="65">
        <v>43315</v>
      </c>
      <c r="C3855" s="66" t="s">
        <v>220</v>
      </c>
      <c r="D3855" s="3" t="s">
        <v>23</v>
      </c>
      <c r="E3855" s="64">
        <v>1</v>
      </c>
    </row>
    <row r="3856" spans="1:5">
      <c r="A3856" s="64" t="s">
        <v>1</v>
      </c>
      <c r="B3856" s="65">
        <v>43316</v>
      </c>
      <c r="C3856" s="66" t="s">
        <v>221</v>
      </c>
      <c r="D3856" s="3" t="s">
        <v>23</v>
      </c>
      <c r="E3856" s="64">
        <v>1</v>
      </c>
    </row>
    <row r="3857" spans="1:5">
      <c r="A3857" s="64" t="s">
        <v>1</v>
      </c>
      <c r="B3857" s="65">
        <v>43317</v>
      </c>
      <c r="C3857" s="66" t="s">
        <v>222</v>
      </c>
      <c r="D3857" s="3" t="s">
        <v>23</v>
      </c>
      <c r="E3857" s="64">
        <v>1</v>
      </c>
    </row>
    <row r="3858" spans="1:5">
      <c r="A3858" s="64" t="s">
        <v>1</v>
      </c>
      <c r="B3858" s="65">
        <v>43318</v>
      </c>
      <c r="C3858" s="66" t="s">
        <v>216</v>
      </c>
      <c r="D3858" s="3" t="s">
        <v>23</v>
      </c>
      <c r="E3858" s="64">
        <v>1</v>
      </c>
    </row>
    <row r="3859" spans="1:5">
      <c r="A3859" s="64" t="s">
        <v>1</v>
      </c>
      <c r="B3859" s="65">
        <v>43319</v>
      </c>
      <c r="C3859" s="66" t="s">
        <v>217</v>
      </c>
      <c r="D3859" s="3" t="s">
        <v>23</v>
      </c>
      <c r="E3859" s="64">
        <v>1</v>
      </c>
    </row>
    <row r="3860" spans="1:5">
      <c r="A3860" s="64" t="s">
        <v>1</v>
      </c>
      <c r="B3860" s="65">
        <v>43320</v>
      </c>
      <c r="C3860" s="66" t="s">
        <v>218</v>
      </c>
      <c r="D3860" s="3" t="s">
        <v>23</v>
      </c>
      <c r="E3860" s="64">
        <v>1</v>
      </c>
    </row>
    <row r="3861" spans="1:5">
      <c r="A3861" s="64" t="s">
        <v>1</v>
      </c>
      <c r="B3861" s="65">
        <v>43321</v>
      </c>
      <c r="C3861" s="66" t="s">
        <v>219</v>
      </c>
      <c r="D3861" s="3" t="s">
        <v>23</v>
      </c>
      <c r="E3861" s="64">
        <v>1</v>
      </c>
    </row>
    <row r="3862" spans="1:5">
      <c r="A3862" s="64" t="s">
        <v>1</v>
      </c>
      <c r="B3862" s="65">
        <v>43322</v>
      </c>
      <c r="C3862" s="66" t="s">
        <v>220</v>
      </c>
      <c r="D3862" s="3" t="s">
        <v>23</v>
      </c>
      <c r="E3862" s="64">
        <v>1</v>
      </c>
    </row>
    <row r="3863" spans="1:5">
      <c r="A3863" s="64" t="s">
        <v>1</v>
      </c>
      <c r="B3863" s="65">
        <v>43323</v>
      </c>
      <c r="C3863" s="66" t="s">
        <v>221</v>
      </c>
      <c r="D3863" s="3" t="s">
        <v>23</v>
      </c>
      <c r="E3863" s="64">
        <v>1</v>
      </c>
    </row>
    <row r="3864" spans="1:5">
      <c r="A3864" s="64" t="s">
        <v>1</v>
      </c>
      <c r="B3864" s="65">
        <v>43324</v>
      </c>
      <c r="C3864" s="66" t="s">
        <v>222</v>
      </c>
      <c r="D3864" s="3" t="s">
        <v>23</v>
      </c>
      <c r="E3864" s="64">
        <v>1</v>
      </c>
    </row>
    <row r="3865" spans="1:5">
      <c r="A3865" s="64" t="s">
        <v>1</v>
      </c>
      <c r="B3865" s="65">
        <v>43325</v>
      </c>
      <c r="C3865" s="66" t="s">
        <v>216</v>
      </c>
      <c r="D3865" s="3" t="s">
        <v>23</v>
      </c>
      <c r="E3865" s="64">
        <v>1</v>
      </c>
    </row>
    <row r="3866" spans="1:5">
      <c r="A3866" s="64" t="s">
        <v>1</v>
      </c>
      <c r="B3866" s="65">
        <v>43326</v>
      </c>
      <c r="C3866" s="66" t="s">
        <v>217</v>
      </c>
      <c r="D3866" s="3" t="s">
        <v>23</v>
      </c>
      <c r="E3866" s="64">
        <v>1</v>
      </c>
    </row>
    <row r="3867" spans="1:5">
      <c r="A3867" s="64" t="s">
        <v>1</v>
      </c>
      <c r="B3867" s="65">
        <v>43327</v>
      </c>
      <c r="C3867" s="66" t="s">
        <v>218</v>
      </c>
      <c r="D3867" s="3" t="s">
        <v>23</v>
      </c>
      <c r="E3867" s="64">
        <v>1</v>
      </c>
    </row>
    <row r="3868" spans="1:5">
      <c r="A3868" s="64" t="s">
        <v>1</v>
      </c>
      <c r="B3868" s="65">
        <v>43328</v>
      </c>
      <c r="C3868" s="66" t="s">
        <v>219</v>
      </c>
      <c r="D3868" s="3" t="s">
        <v>23</v>
      </c>
      <c r="E3868" s="64">
        <v>1</v>
      </c>
    </row>
    <row r="3869" spans="1:5">
      <c r="A3869" s="64" t="s">
        <v>1</v>
      </c>
      <c r="B3869" s="65">
        <v>43329</v>
      </c>
      <c r="C3869" s="66" t="s">
        <v>220</v>
      </c>
      <c r="D3869" s="3" t="s">
        <v>23</v>
      </c>
      <c r="E3869" s="64">
        <v>1</v>
      </c>
    </row>
    <row r="3870" spans="1:5">
      <c r="A3870" s="64" t="s">
        <v>1</v>
      </c>
      <c r="B3870" s="65">
        <v>43330</v>
      </c>
      <c r="C3870" s="66" t="s">
        <v>221</v>
      </c>
      <c r="D3870" s="3" t="s">
        <v>23</v>
      </c>
      <c r="E3870" s="64">
        <v>1</v>
      </c>
    </row>
    <row r="3871" spans="1:5">
      <c r="A3871" s="64" t="s">
        <v>1</v>
      </c>
      <c r="B3871" s="65">
        <v>43331</v>
      </c>
      <c r="C3871" s="66" t="s">
        <v>222</v>
      </c>
      <c r="D3871" s="3" t="s">
        <v>23</v>
      </c>
      <c r="E3871" s="64">
        <v>1</v>
      </c>
    </row>
    <row r="3872" spans="1:5">
      <c r="A3872" s="64" t="s">
        <v>1</v>
      </c>
      <c r="B3872" s="65">
        <v>43332</v>
      </c>
      <c r="C3872" s="66" t="s">
        <v>216</v>
      </c>
      <c r="D3872" s="3" t="s">
        <v>23</v>
      </c>
      <c r="E3872" s="64">
        <v>1</v>
      </c>
    </row>
    <row r="3873" spans="1:5">
      <c r="A3873" s="64" t="s">
        <v>1</v>
      </c>
      <c r="B3873" s="65">
        <v>43333</v>
      </c>
      <c r="C3873" s="66" t="s">
        <v>217</v>
      </c>
      <c r="D3873" s="3" t="s">
        <v>23</v>
      </c>
      <c r="E3873" s="64">
        <v>1</v>
      </c>
    </row>
    <row r="3874" spans="1:5">
      <c r="A3874" s="64" t="s">
        <v>1</v>
      </c>
      <c r="B3874" s="65">
        <v>43334</v>
      </c>
      <c r="C3874" s="66" t="s">
        <v>218</v>
      </c>
      <c r="D3874" s="3" t="s">
        <v>23</v>
      </c>
      <c r="E3874" s="64">
        <v>1</v>
      </c>
    </row>
    <row r="3875" spans="1:5">
      <c r="A3875" s="64" t="s">
        <v>1</v>
      </c>
      <c r="B3875" s="65">
        <v>43335</v>
      </c>
      <c r="C3875" s="66" t="s">
        <v>219</v>
      </c>
      <c r="D3875" s="3" t="s">
        <v>23</v>
      </c>
      <c r="E3875" s="64">
        <v>1</v>
      </c>
    </row>
    <row r="3876" spans="1:5">
      <c r="A3876" s="64" t="s">
        <v>1</v>
      </c>
      <c r="B3876" s="65">
        <v>43336</v>
      </c>
      <c r="C3876" s="66" t="s">
        <v>220</v>
      </c>
      <c r="D3876" s="3" t="s">
        <v>23</v>
      </c>
      <c r="E3876" s="64">
        <v>1</v>
      </c>
    </row>
    <row r="3877" spans="1:5">
      <c r="A3877" s="64" t="s">
        <v>1</v>
      </c>
      <c r="B3877" s="65">
        <v>43337</v>
      </c>
      <c r="C3877" s="66" t="s">
        <v>221</v>
      </c>
      <c r="D3877" s="3" t="s">
        <v>23</v>
      </c>
      <c r="E3877" s="64">
        <v>1</v>
      </c>
    </row>
    <row r="3878" spans="1:5">
      <c r="A3878" s="64" t="s">
        <v>1</v>
      </c>
      <c r="B3878" s="65">
        <v>43338</v>
      </c>
      <c r="C3878" s="66" t="s">
        <v>222</v>
      </c>
      <c r="D3878" s="3" t="s">
        <v>23</v>
      </c>
      <c r="E3878" s="64">
        <v>1</v>
      </c>
    </row>
    <row r="3879" spans="1:5">
      <c r="A3879" s="64" t="s">
        <v>1</v>
      </c>
      <c r="B3879" s="65">
        <v>43339</v>
      </c>
      <c r="C3879" s="66" t="s">
        <v>216</v>
      </c>
      <c r="D3879" s="3" t="s">
        <v>23</v>
      </c>
      <c r="E3879" s="64">
        <v>1</v>
      </c>
    </row>
    <row r="3880" spans="1:5">
      <c r="A3880" s="64" t="s">
        <v>1</v>
      </c>
      <c r="B3880" s="65">
        <v>43340</v>
      </c>
      <c r="C3880" s="66" t="s">
        <v>217</v>
      </c>
      <c r="D3880" s="3" t="s">
        <v>23</v>
      </c>
      <c r="E3880" s="64">
        <v>1</v>
      </c>
    </row>
    <row r="3881" spans="1:5">
      <c r="A3881" s="64" t="s">
        <v>1</v>
      </c>
      <c r="B3881" s="65">
        <v>43341</v>
      </c>
      <c r="C3881" s="66" t="s">
        <v>218</v>
      </c>
      <c r="D3881" s="3" t="s">
        <v>23</v>
      </c>
      <c r="E3881" s="64">
        <v>1</v>
      </c>
    </row>
    <row r="3882" spans="1:5">
      <c r="A3882" s="64" t="s">
        <v>1</v>
      </c>
      <c r="B3882" s="65">
        <v>43342</v>
      </c>
      <c r="C3882" s="66" t="s">
        <v>219</v>
      </c>
      <c r="D3882" s="3" t="s">
        <v>23</v>
      </c>
      <c r="E3882" s="64">
        <v>1</v>
      </c>
    </row>
    <row r="3883" spans="1:5">
      <c r="A3883" s="64" t="s">
        <v>1</v>
      </c>
      <c r="B3883" s="65">
        <v>43343</v>
      </c>
      <c r="C3883" s="66" t="s">
        <v>220</v>
      </c>
      <c r="D3883" s="3" t="s">
        <v>23</v>
      </c>
      <c r="E3883" s="64">
        <v>1</v>
      </c>
    </row>
    <row r="3884" spans="1:5">
      <c r="A3884" s="64" t="s">
        <v>1</v>
      </c>
      <c r="B3884" s="65">
        <v>43344</v>
      </c>
      <c r="C3884" s="66" t="s">
        <v>221</v>
      </c>
      <c r="D3884" s="3" t="s">
        <v>23</v>
      </c>
      <c r="E3884" s="64">
        <v>1</v>
      </c>
    </row>
    <row r="3885" spans="1:5">
      <c r="A3885" s="64" t="s">
        <v>1</v>
      </c>
      <c r="B3885" s="65">
        <v>43345</v>
      </c>
      <c r="C3885" s="66" t="s">
        <v>222</v>
      </c>
      <c r="D3885" s="3" t="s">
        <v>23</v>
      </c>
      <c r="E3885" s="64">
        <v>1</v>
      </c>
    </row>
    <row r="3886" spans="1:5">
      <c r="A3886" s="64" t="s">
        <v>1</v>
      </c>
      <c r="B3886" s="65">
        <v>43346</v>
      </c>
      <c r="C3886" s="66" t="s">
        <v>216</v>
      </c>
      <c r="D3886" s="3" t="s">
        <v>23</v>
      </c>
      <c r="E3886" s="64">
        <v>1</v>
      </c>
    </row>
    <row r="3887" spans="1:5">
      <c r="A3887" s="64" t="s">
        <v>1</v>
      </c>
      <c r="B3887" s="65">
        <v>43347</v>
      </c>
      <c r="C3887" s="66" t="s">
        <v>217</v>
      </c>
      <c r="D3887" s="3" t="s">
        <v>23</v>
      </c>
      <c r="E3887" s="64">
        <v>1</v>
      </c>
    </row>
    <row r="3888" spans="1:5">
      <c r="A3888" s="64" t="s">
        <v>1</v>
      </c>
      <c r="B3888" s="65">
        <v>43348</v>
      </c>
      <c r="C3888" s="66" t="s">
        <v>218</v>
      </c>
      <c r="D3888" s="3" t="s">
        <v>23</v>
      </c>
      <c r="E3888" s="64">
        <v>1</v>
      </c>
    </row>
    <row r="3889" spans="1:5">
      <c r="A3889" s="64" t="s">
        <v>1</v>
      </c>
      <c r="B3889" s="65">
        <v>43349</v>
      </c>
      <c r="C3889" s="66" t="s">
        <v>219</v>
      </c>
      <c r="D3889" s="3" t="s">
        <v>23</v>
      </c>
      <c r="E3889" s="64">
        <v>1</v>
      </c>
    </row>
    <row r="3890" spans="1:5">
      <c r="A3890" s="64" t="s">
        <v>1</v>
      </c>
      <c r="B3890" s="65">
        <v>43350</v>
      </c>
      <c r="C3890" s="66" t="s">
        <v>220</v>
      </c>
      <c r="D3890" s="3" t="s">
        <v>23</v>
      </c>
      <c r="E3890" s="64">
        <v>1</v>
      </c>
    </row>
    <row r="3891" spans="1:5">
      <c r="A3891" s="64" t="s">
        <v>1</v>
      </c>
      <c r="B3891" s="65">
        <v>43351</v>
      </c>
      <c r="C3891" s="66" t="s">
        <v>221</v>
      </c>
      <c r="D3891" s="3" t="s">
        <v>23</v>
      </c>
      <c r="E3891" s="64">
        <v>1</v>
      </c>
    </row>
    <row r="3892" spans="1:5">
      <c r="A3892" s="64" t="s">
        <v>1</v>
      </c>
      <c r="B3892" s="65">
        <v>43352</v>
      </c>
      <c r="C3892" s="66" t="s">
        <v>222</v>
      </c>
      <c r="D3892" s="3" t="s">
        <v>23</v>
      </c>
      <c r="E3892" s="64">
        <v>1</v>
      </c>
    </row>
    <row r="3893" spans="1:5">
      <c r="A3893" s="64" t="s">
        <v>1</v>
      </c>
      <c r="B3893" s="65">
        <v>43353</v>
      </c>
      <c r="C3893" s="66" t="s">
        <v>216</v>
      </c>
      <c r="D3893" s="3" t="s">
        <v>23</v>
      </c>
      <c r="E3893" s="64">
        <v>1</v>
      </c>
    </row>
    <row r="3894" spans="1:5">
      <c r="A3894" s="64" t="s">
        <v>1</v>
      </c>
      <c r="B3894" s="65">
        <v>43354</v>
      </c>
      <c r="C3894" s="66" t="s">
        <v>217</v>
      </c>
      <c r="D3894" s="3" t="s">
        <v>23</v>
      </c>
      <c r="E3894" s="64">
        <v>1</v>
      </c>
    </row>
    <row r="3895" spans="1:5">
      <c r="A3895" s="64" t="s">
        <v>1</v>
      </c>
      <c r="B3895" s="65">
        <v>43355</v>
      </c>
      <c r="C3895" s="66" t="s">
        <v>218</v>
      </c>
      <c r="D3895" s="3" t="s">
        <v>23</v>
      </c>
      <c r="E3895" s="64">
        <v>1</v>
      </c>
    </row>
    <row r="3896" spans="1:5">
      <c r="A3896" s="64" t="s">
        <v>1</v>
      </c>
      <c r="B3896" s="65">
        <v>43356</v>
      </c>
      <c r="C3896" s="66" t="s">
        <v>219</v>
      </c>
      <c r="D3896" s="3" t="s">
        <v>23</v>
      </c>
      <c r="E3896" s="64">
        <v>1</v>
      </c>
    </row>
    <row r="3897" spans="1:5">
      <c r="A3897" s="64" t="s">
        <v>1</v>
      </c>
      <c r="B3897" s="65">
        <v>43357</v>
      </c>
      <c r="C3897" s="66" t="s">
        <v>220</v>
      </c>
      <c r="D3897" s="3" t="s">
        <v>23</v>
      </c>
      <c r="E3897" s="64">
        <v>1</v>
      </c>
    </row>
    <row r="3898" spans="1:5">
      <c r="A3898" s="64" t="s">
        <v>1</v>
      </c>
      <c r="B3898" s="65">
        <v>43358</v>
      </c>
      <c r="C3898" s="66" t="s">
        <v>221</v>
      </c>
      <c r="D3898" s="3" t="s">
        <v>23</v>
      </c>
      <c r="E3898" s="64">
        <v>1</v>
      </c>
    </row>
    <row r="3899" spans="1:5">
      <c r="A3899" s="64" t="s">
        <v>1</v>
      </c>
      <c r="B3899" s="65">
        <v>43359</v>
      </c>
      <c r="C3899" s="66" t="s">
        <v>222</v>
      </c>
      <c r="D3899" s="3" t="s">
        <v>23</v>
      </c>
      <c r="E3899" s="64">
        <v>1</v>
      </c>
    </row>
    <row r="3900" spans="1:5">
      <c r="A3900" s="64" t="s">
        <v>1</v>
      </c>
      <c r="B3900" s="65">
        <v>43360</v>
      </c>
      <c r="C3900" s="66" t="s">
        <v>216</v>
      </c>
      <c r="D3900" s="3" t="s">
        <v>23</v>
      </c>
      <c r="E3900" s="64">
        <v>1</v>
      </c>
    </row>
    <row r="3901" spans="1:5">
      <c r="A3901" s="64" t="s">
        <v>1</v>
      </c>
      <c r="B3901" s="65">
        <v>43361</v>
      </c>
      <c r="C3901" s="66" t="s">
        <v>217</v>
      </c>
      <c r="D3901" s="3" t="s">
        <v>23</v>
      </c>
      <c r="E3901" s="64">
        <v>1</v>
      </c>
    </row>
    <row r="3902" spans="1:5">
      <c r="A3902" s="64" t="s">
        <v>1</v>
      </c>
      <c r="B3902" s="65">
        <v>43362</v>
      </c>
      <c r="C3902" s="66" t="s">
        <v>218</v>
      </c>
      <c r="D3902" s="3" t="s">
        <v>23</v>
      </c>
      <c r="E3902" s="64">
        <v>1</v>
      </c>
    </row>
    <row r="3903" spans="1:5">
      <c r="A3903" s="64" t="s">
        <v>1</v>
      </c>
      <c r="B3903" s="65">
        <v>43363</v>
      </c>
      <c r="C3903" s="66" t="s">
        <v>219</v>
      </c>
      <c r="D3903" s="3" t="s">
        <v>23</v>
      </c>
      <c r="E3903" s="64">
        <v>1</v>
      </c>
    </row>
    <row r="3904" spans="1:5">
      <c r="A3904" s="64" t="s">
        <v>1</v>
      </c>
      <c r="B3904" s="65">
        <v>43364</v>
      </c>
      <c r="C3904" s="66" t="s">
        <v>220</v>
      </c>
      <c r="D3904" s="3" t="s">
        <v>23</v>
      </c>
      <c r="E3904" s="64">
        <v>1</v>
      </c>
    </row>
    <row r="3905" spans="1:5">
      <c r="A3905" s="64" t="s">
        <v>1</v>
      </c>
      <c r="B3905" s="65">
        <v>43365</v>
      </c>
      <c r="C3905" s="66" t="s">
        <v>221</v>
      </c>
      <c r="D3905" s="3" t="s">
        <v>23</v>
      </c>
      <c r="E3905" s="64">
        <v>1</v>
      </c>
    </row>
    <row r="3906" spans="1:5">
      <c r="A3906" s="64" t="s">
        <v>1</v>
      </c>
      <c r="B3906" s="65">
        <v>43366</v>
      </c>
      <c r="C3906" s="66" t="s">
        <v>222</v>
      </c>
      <c r="D3906" s="3" t="s">
        <v>23</v>
      </c>
      <c r="E3906" s="64">
        <v>1</v>
      </c>
    </row>
    <row r="3907" spans="1:5">
      <c r="A3907" s="64" t="s">
        <v>1</v>
      </c>
      <c r="B3907" s="65">
        <v>43367</v>
      </c>
      <c r="C3907" s="66" t="s">
        <v>216</v>
      </c>
      <c r="D3907" s="3" t="s">
        <v>23</v>
      </c>
      <c r="E3907" s="64">
        <v>1</v>
      </c>
    </row>
    <row r="3908" spans="1:5">
      <c r="A3908" s="64" t="s">
        <v>1</v>
      </c>
      <c r="B3908" s="65">
        <v>43368</v>
      </c>
      <c r="C3908" s="66" t="s">
        <v>217</v>
      </c>
      <c r="D3908" s="3" t="s">
        <v>23</v>
      </c>
      <c r="E3908" s="64">
        <v>1</v>
      </c>
    </row>
    <row r="3909" spans="1:5">
      <c r="A3909" s="64" t="s">
        <v>1</v>
      </c>
      <c r="B3909" s="65">
        <v>43369</v>
      </c>
      <c r="C3909" s="66" t="s">
        <v>218</v>
      </c>
      <c r="D3909" s="3" t="s">
        <v>23</v>
      </c>
      <c r="E3909" s="64">
        <v>1</v>
      </c>
    </row>
    <row r="3910" spans="1:5">
      <c r="A3910" s="64" t="s">
        <v>1</v>
      </c>
      <c r="B3910" s="65">
        <v>43370</v>
      </c>
      <c r="C3910" s="66" t="s">
        <v>219</v>
      </c>
      <c r="D3910" s="3" t="s">
        <v>23</v>
      </c>
      <c r="E3910" s="64">
        <v>1</v>
      </c>
    </row>
    <row r="3911" spans="1:5">
      <c r="A3911" s="64" t="s">
        <v>1</v>
      </c>
      <c r="B3911" s="65">
        <v>43371</v>
      </c>
      <c r="C3911" s="66" t="s">
        <v>220</v>
      </c>
      <c r="D3911" s="3" t="s">
        <v>23</v>
      </c>
      <c r="E3911" s="64">
        <v>1</v>
      </c>
    </row>
    <row r="3912" spans="1:5">
      <c r="A3912" s="64" t="s">
        <v>1</v>
      </c>
      <c r="B3912" s="65">
        <v>43372</v>
      </c>
      <c r="C3912" s="66" t="s">
        <v>221</v>
      </c>
      <c r="D3912" s="3" t="s">
        <v>23</v>
      </c>
      <c r="E3912" s="64">
        <v>1</v>
      </c>
    </row>
    <row r="3913" spans="1:5">
      <c r="A3913" s="64" t="s">
        <v>1</v>
      </c>
      <c r="B3913" s="65">
        <v>43373</v>
      </c>
      <c r="C3913" s="66" t="s">
        <v>222</v>
      </c>
      <c r="D3913" s="3" t="s">
        <v>23</v>
      </c>
      <c r="E3913" s="64">
        <v>1</v>
      </c>
    </row>
    <row r="3914" spans="1:5">
      <c r="A3914" s="64" t="s">
        <v>1</v>
      </c>
      <c r="B3914" s="65">
        <v>43374</v>
      </c>
      <c r="C3914" s="66" t="s">
        <v>216</v>
      </c>
      <c r="D3914" s="3" t="s">
        <v>23</v>
      </c>
      <c r="E3914" s="64">
        <v>1</v>
      </c>
    </row>
    <row r="3915" spans="1:5">
      <c r="A3915" s="64" t="s">
        <v>1</v>
      </c>
      <c r="B3915" s="65">
        <v>43375</v>
      </c>
      <c r="C3915" s="66" t="s">
        <v>217</v>
      </c>
      <c r="D3915" s="3" t="s">
        <v>23</v>
      </c>
      <c r="E3915" s="64">
        <v>1</v>
      </c>
    </row>
    <row r="3916" spans="1:5">
      <c r="A3916" s="64" t="s">
        <v>1</v>
      </c>
      <c r="B3916" s="65">
        <v>43376</v>
      </c>
      <c r="C3916" s="66" t="s">
        <v>218</v>
      </c>
      <c r="D3916" s="3" t="s">
        <v>23</v>
      </c>
      <c r="E3916" s="64">
        <v>1</v>
      </c>
    </row>
    <row r="3917" spans="1:5">
      <c r="A3917" s="64" t="s">
        <v>1</v>
      </c>
      <c r="B3917" s="65">
        <v>43377</v>
      </c>
      <c r="C3917" s="66" t="s">
        <v>219</v>
      </c>
      <c r="D3917" s="3" t="s">
        <v>23</v>
      </c>
      <c r="E3917" s="64">
        <v>1</v>
      </c>
    </row>
    <row r="3918" spans="1:5">
      <c r="A3918" s="64" t="s">
        <v>1</v>
      </c>
      <c r="B3918" s="65">
        <v>43378</v>
      </c>
      <c r="C3918" s="66" t="s">
        <v>220</v>
      </c>
      <c r="D3918" s="3" t="s">
        <v>23</v>
      </c>
      <c r="E3918" s="64">
        <v>1</v>
      </c>
    </row>
    <row r="3919" spans="1:5">
      <c r="A3919" s="64" t="s">
        <v>1</v>
      </c>
      <c r="B3919" s="65">
        <v>43379</v>
      </c>
      <c r="C3919" s="66" t="s">
        <v>221</v>
      </c>
      <c r="D3919" s="3" t="s">
        <v>23</v>
      </c>
      <c r="E3919" s="64">
        <v>1</v>
      </c>
    </row>
    <row r="3920" spans="1:5">
      <c r="A3920" s="64" t="s">
        <v>1</v>
      </c>
      <c r="B3920" s="65">
        <v>43380</v>
      </c>
      <c r="C3920" s="66" t="s">
        <v>222</v>
      </c>
      <c r="D3920" s="3" t="s">
        <v>23</v>
      </c>
      <c r="E3920" s="64">
        <v>1</v>
      </c>
    </row>
    <row r="3921" spans="1:5">
      <c r="A3921" s="64" t="s">
        <v>1</v>
      </c>
      <c r="B3921" s="65">
        <v>43381</v>
      </c>
      <c r="C3921" s="66" t="s">
        <v>216</v>
      </c>
      <c r="D3921" s="3" t="s">
        <v>23</v>
      </c>
      <c r="E3921" s="64">
        <v>1</v>
      </c>
    </row>
    <row r="3922" spans="1:5">
      <c r="A3922" s="64" t="s">
        <v>1</v>
      </c>
      <c r="B3922" s="65">
        <v>43382</v>
      </c>
      <c r="C3922" s="66" t="s">
        <v>217</v>
      </c>
      <c r="D3922" s="3" t="s">
        <v>23</v>
      </c>
      <c r="E3922" s="64">
        <v>1</v>
      </c>
    </row>
    <row r="3923" spans="1:5">
      <c r="A3923" s="64" t="s">
        <v>1</v>
      </c>
      <c r="B3923" s="65">
        <v>43383</v>
      </c>
      <c r="C3923" s="66" t="s">
        <v>218</v>
      </c>
      <c r="D3923" s="3" t="s">
        <v>23</v>
      </c>
      <c r="E3923" s="64">
        <v>1</v>
      </c>
    </row>
    <row r="3924" spans="1:5">
      <c r="A3924" s="64" t="s">
        <v>1</v>
      </c>
      <c r="B3924" s="65">
        <v>43384</v>
      </c>
      <c r="C3924" s="66" t="s">
        <v>219</v>
      </c>
      <c r="D3924" s="3" t="s">
        <v>23</v>
      </c>
      <c r="E3924" s="64">
        <v>1</v>
      </c>
    </row>
    <row r="3925" spans="1:5">
      <c r="A3925" s="64" t="s">
        <v>1</v>
      </c>
      <c r="B3925" s="65">
        <v>43385</v>
      </c>
      <c r="C3925" s="66" t="s">
        <v>220</v>
      </c>
      <c r="D3925" s="3" t="s">
        <v>23</v>
      </c>
      <c r="E3925" s="64">
        <v>1</v>
      </c>
    </row>
    <row r="3926" spans="1:5">
      <c r="A3926" s="64" t="s">
        <v>1</v>
      </c>
      <c r="B3926" s="65">
        <v>43386</v>
      </c>
      <c r="C3926" s="66" t="s">
        <v>221</v>
      </c>
      <c r="D3926" s="3" t="s">
        <v>23</v>
      </c>
      <c r="E3926" s="64">
        <v>1</v>
      </c>
    </row>
    <row r="3927" spans="1:5">
      <c r="A3927" s="64" t="s">
        <v>1</v>
      </c>
      <c r="B3927" s="65">
        <v>43387</v>
      </c>
      <c r="C3927" s="66" t="s">
        <v>222</v>
      </c>
      <c r="D3927" s="3" t="s">
        <v>23</v>
      </c>
      <c r="E3927" s="64">
        <v>1</v>
      </c>
    </row>
    <row r="3928" spans="1:5">
      <c r="A3928" s="64" t="s">
        <v>1</v>
      </c>
      <c r="B3928" s="65">
        <v>43388</v>
      </c>
      <c r="C3928" s="66" t="s">
        <v>216</v>
      </c>
      <c r="D3928" s="3" t="s">
        <v>23</v>
      </c>
      <c r="E3928" s="64">
        <v>1</v>
      </c>
    </row>
    <row r="3929" spans="1:5">
      <c r="A3929" s="64" t="s">
        <v>1</v>
      </c>
      <c r="B3929" s="65">
        <v>43389</v>
      </c>
      <c r="C3929" s="66" t="s">
        <v>217</v>
      </c>
      <c r="D3929" s="3" t="s">
        <v>23</v>
      </c>
      <c r="E3929" s="64">
        <v>1</v>
      </c>
    </row>
    <row r="3930" spans="1:5">
      <c r="A3930" s="64" t="s">
        <v>1</v>
      </c>
      <c r="B3930" s="65">
        <v>43390</v>
      </c>
      <c r="C3930" s="66" t="s">
        <v>218</v>
      </c>
      <c r="D3930" s="3" t="s">
        <v>23</v>
      </c>
      <c r="E3930" s="64">
        <v>1</v>
      </c>
    </row>
    <row r="3931" spans="1:5">
      <c r="A3931" s="64" t="s">
        <v>1</v>
      </c>
      <c r="B3931" s="65">
        <v>43391</v>
      </c>
      <c r="C3931" s="66" t="s">
        <v>219</v>
      </c>
      <c r="D3931" s="3" t="s">
        <v>23</v>
      </c>
      <c r="E3931" s="64">
        <v>1</v>
      </c>
    </row>
    <row r="3932" spans="1:5">
      <c r="A3932" s="64" t="s">
        <v>1</v>
      </c>
      <c r="B3932" s="65">
        <v>43392</v>
      </c>
      <c r="C3932" s="66" t="s">
        <v>220</v>
      </c>
      <c r="D3932" s="3" t="s">
        <v>23</v>
      </c>
      <c r="E3932" s="64">
        <v>1</v>
      </c>
    </row>
    <row r="3933" spans="1:5">
      <c r="A3933" s="64" t="s">
        <v>1</v>
      </c>
      <c r="B3933" s="65">
        <v>43393</v>
      </c>
      <c r="C3933" s="66" t="s">
        <v>221</v>
      </c>
      <c r="D3933" s="3" t="s">
        <v>23</v>
      </c>
      <c r="E3933" s="64">
        <v>1</v>
      </c>
    </row>
    <row r="3934" spans="1:5">
      <c r="A3934" s="64" t="s">
        <v>1</v>
      </c>
      <c r="B3934" s="65">
        <v>43394</v>
      </c>
      <c r="C3934" s="66" t="s">
        <v>222</v>
      </c>
      <c r="D3934" s="3" t="s">
        <v>23</v>
      </c>
      <c r="E3934" s="64">
        <v>1</v>
      </c>
    </row>
    <row r="3935" spans="1:5">
      <c r="A3935" s="64" t="s">
        <v>1</v>
      </c>
      <c r="B3935" s="65">
        <v>43395</v>
      </c>
      <c r="C3935" s="66" t="s">
        <v>216</v>
      </c>
      <c r="D3935" s="3" t="s">
        <v>23</v>
      </c>
      <c r="E3935" s="64">
        <v>1</v>
      </c>
    </row>
    <row r="3936" spans="1:5">
      <c r="A3936" s="64" t="s">
        <v>1</v>
      </c>
      <c r="B3936" s="65">
        <v>43396</v>
      </c>
      <c r="C3936" s="66" t="s">
        <v>217</v>
      </c>
      <c r="D3936" s="3" t="s">
        <v>23</v>
      </c>
      <c r="E3936" s="64">
        <v>1</v>
      </c>
    </row>
    <row r="3937" spans="1:5">
      <c r="A3937" s="64" t="s">
        <v>1</v>
      </c>
      <c r="B3937" s="65">
        <v>43397</v>
      </c>
      <c r="C3937" s="66" t="s">
        <v>218</v>
      </c>
      <c r="D3937" s="3" t="s">
        <v>23</v>
      </c>
      <c r="E3937" s="64">
        <v>1</v>
      </c>
    </row>
    <row r="3938" spans="1:5">
      <c r="A3938" s="64" t="s">
        <v>1</v>
      </c>
      <c r="B3938" s="65">
        <v>43398</v>
      </c>
      <c r="C3938" s="66" t="s">
        <v>219</v>
      </c>
      <c r="D3938" s="3" t="s">
        <v>23</v>
      </c>
      <c r="E3938" s="64">
        <v>1</v>
      </c>
    </row>
    <row r="3939" spans="1:5">
      <c r="A3939" s="64" t="s">
        <v>1</v>
      </c>
      <c r="B3939" s="65">
        <v>43399</v>
      </c>
      <c r="C3939" s="66" t="s">
        <v>220</v>
      </c>
      <c r="D3939" s="3" t="s">
        <v>23</v>
      </c>
      <c r="E3939" s="64">
        <v>1</v>
      </c>
    </row>
    <row r="3940" spans="1:5">
      <c r="A3940" s="64" t="s">
        <v>1</v>
      </c>
      <c r="B3940" s="65">
        <v>43400</v>
      </c>
      <c r="C3940" s="66" t="s">
        <v>221</v>
      </c>
      <c r="D3940" s="3" t="s">
        <v>23</v>
      </c>
      <c r="E3940" s="64">
        <v>1</v>
      </c>
    </row>
    <row r="3941" spans="1:5">
      <c r="A3941" s="64" t="s">
        <v>1</v>
      </c>
      <c r="B3941" s="65">
        <v>43401</v>
      </c>
      <c r="C3941" s="66" t="s">
        <v>222</v>
      </c>
      <c r="D3941" s="3" t="s">
        <v>23</v>
      </c>
      <c r="E3941" s="64">
        <v>1</v>
      </c>
    </row>
    <row r="3942" spans="1:5">
      <c r="A3942" s="64" t="s">
        <v>1</v>
      </c>
      <c r="B3942" s="65">
        <v>43402</v>
      </c>
      <c r="C3942" s="66" t="s">
        <v>216</v>
      </c>
      <c r="D3942" s="3" t="s">
        <v>23</v>
      </c>
      <c r="E3942" s="64">
        <v>1</v>
      </c>
    </row>
    <row r="3943" spans="1:5">
      <c r="A3943" s="64" t="s">
        <v>1</v>
      </c>
      <c r="B3943" s="65">
        <v>43403</v>
      </c>
      <c r="C3943" s="66" t="s">
        <v>217</v>
      </c>
      <c r="D3943" s="3" t="s">
        <v>23</v>
      </c>
      <c r="E3943" s="64">
        <v>1</v>
      </c>
    </row>
    <row r="3944" spans="1:5">
      <c r="A3944" s="64" t="s">
        <v>1</v>
      </c>
      <c r="B3944" s="65">
        <v>43404</v>
      </c>
      <c r="C3944" s="66" t="s">
        <v>218</v>
      </c>
      <c r="D3944" s="3" t="s">
        <v>23</v>
      </c>
      <c r="E3944" s="64">
        <v>1</v>
      </c>
    </row>
    <row r="3945" spans="1:5">
      <c r="A3945" s="64" t="s">
        <v>1</v>
      </c>
      <c r="B3945" s="65">
        <v>43405</v>
      </c>
      <c r="C3945" s="66" t="s">
        <v>219</v>
      </c>
      <c r="D3945" s="3" t="s">
        <v>23</v>
      </c>
      <c r="E3945" s="64">
        <v>1</v>
      </c>
    </row>
    <row r="3946" spans="1:5">
      <c r="A3946" s="64" t="s">
        <v>1</v>
      </c>
      <c r="B3946" s="65">
        <v>43406</v>
      </c>
      <c r="C3946" s="66" t="s">
        <v>220</v>
      </c>
      <c r="D3946" s="3" t="s">
        <v>23</v>
      </c>
      <c r="E3946" s="64">
        <v>1</v>
      </c>
    </row>
    <row r="3947" spans="1:5">
      <c r="A3947" s="64" t="s">
        <v>1</v>
      </c>
      <c r="B3947" s="65">
        <v>43407</v>
      </c>
      <c r="C3947" s="66" t="s">
        <v>221</v>
      </c>
      <c r="D3947" s="3" t="s">
        <v>23</v>
      </c>
      <c r="E3947" s="64">
        <v>1</v>
      </c>
    </row>
    <row r="3948" spans="1:5">
      <c r="A3948" s="64" t="s">
        <v>1</v>
      </c>
      <c r="B3948" s="65">
        <v>43408</v>
      </c>
      <c r="C3948" s="66" t="s">
        <v>222</v>
      </c>
      <c r="D3948" s="3" t="s">
        <v>23</v>
      </c>
      <c r="E3948" s="64">
        <v>1</v>
      </c>
    </row>
    <row r="3949" spans="1:5">
      <c r="A3949" s="64" t="s">
        <v>1</v>
      </c>
      <c r="B3949" s="65">
        <v>43409</v>
      </c>
      <c r="C3949" s="66" t="s">
        <v>216</v>
      </c>
      <c r="D3949" s="3" t="s">
        <v>23</v>
      </c>
      <c r="E3949" s="64">
        <v>1</v>
      </c>
    </row>
    <row r="3950" spans="1:5">
      <c r="A3950" s="64" t="s">
        <v>1</v>
      </c>
      <c r="B3950" s="65">
        <v>43410</v>
      </c>
      <c r="C3950" s="66" t="s">
        <v>217</v>
      </c>
      <c r="D3950" s="3" t="s">
        <v>23</v>
      </c>
      <c r="E3950" s="64">
        <v>1</v>
      </c>
    </row>
    <row r="3951" spans="1:5">
      <c r="A3951" s="64" t="s">
        <v>1</v>
      </c>
      <c r="B3951" s="65">
        <v>43411</v>
      </c>
      <c r="C3951" s="66" t="s">
        <v>218</v>
      </c>
      <c r="D3951" s="3" t="s">
        <v>23</v>
      </c>
      <c r="E3951" s="64">
        <v>1</v>
      </c>
    </row>
    <row r="3952" spans="1:5">
      <c r="A3952" s="64" t="s">
        <v>1</v>
      </c>
      <c r="B3952" s="65">
        <v>43412</v>
      </c>
      <c r="C3952" s="66" t="s">
        <v>219</v>
      </c>
      <c r="D3952" s="3" t="s">
        <v>23</v>
      </c>
      <c r="E3952" s="64">
        <v>1</v>
      </c>
    </row>
    <row r="3953" spans="1:5">
      <c r="A3953" s="64" t="s">
        <v>1</v>
      </c>
      <c r="B3953" s="65">
        <v>43413</v>
      </c>
      <c r="C3953" s="66" t="s">
        <v>220</v>
      </c>
      <c r="D3953" s="3" t="s">
        <v>23</v>
      </c>
      <c r="E3953" s="64">
        <v>1</v>
      </c>
    </row>
    <row r="3954" spans="1:5">
      <c r="A3954" s="64" t="s">
        <v>1</v>
      </c>
      <c r="B3954" s="65">
        <v>43414</v>
      </c>
      <c r="C3954" s="66" t="s">
        <v>221</v>
      </c>
      <c r="D3954" s="3" t="s">
        <v>23</v>
      </c>
      <c r="E3954" s="64">
        <v>1</v>
      </c>
    </row>
    <row r="3955" spans="1:5">
      <c r="A3955" s="64" t="s">
        <v>1</v>
      </c>
      <c r="B3955" s="65">
        <v>43415</v>
      </c>
      <c r="C3955" s="66" t="s">
        <v>222</v>
      </c>
      <c r="D3955" s="3" t="s">
        <v>23</v>
      </c>
      <c r="E3955" s="64">
        <v>1</v>
      </c>
    </row>
    <row r="3956" spans="1:5">
      <c r="A3956" s="64" t="s">
        <v>1</v>
      </c>
      <c r="B3956" s="65">
        <v>43416</v>
      </c>
      <c r="C3956" s="66" t="s">
        <v>216</v>
      </c>
      <c r="D3956" s="3" t="s">
        <v>23</v>
      </c>
      <c r="E3956" s="64">
        <v>1</v>
      </c>
    </row>
    <row r="3957" spans="1:5">
      <c r="A3957" s="64" t="s">
        <v>1</v>
      </c>
      <c r="B3957" s="65">
        <v>43417</v>
      </c>
      <c r="C3957" s="66" t="s">
        <v>217</v>
      </c>
      <c r="D3957" s="3" t="s">
        <v>23</v>
      </c>
      <c r="E3957" s="64">
        <v>1</v>
      </c>
    </row>
    <row r="3958" spans="1:5">
      <c r="A3958" s="64" t="s">
        <v>1</v>
      </c>
      <c r="B3958" s="65">
        <v>43418</v>
      </c>
      <c r="C3958" s="66" t="s">
        <v>218</v>
      </c>
      <c r="D3958" s="3" t="s">
        <v>23</v>
      </c>
      <c r="E3958" s="64">
        <v>1</v>
      </c>
    </row>
    <row r="3959" spans="1:5">
      <c r="A3959" s="64" t="s">
        <v>1</v>
      </c>
      <c r="B3959" s="65">
        <v>43419</v>
      </c>
      <c r="C3959" s="66" t="s">
        <v>219</v>
      </c>
      <c r="D3959" s="3" t="s">
        <v>23</v>
      </c>
      <c r="E3959" s="64">
        <v>1</v>
      </c>
    </row>
    <row r="3960" spans="1:5">
      <c r="A3960" s="64" t="s">
        <v>1</v>
      </c>
      <c r="B3960" s="65">
        <v>43420</v>
      </c>
      <c r="C3960" s="66" t="s">
        <v>220</v>
      </c>
      <c r="D3960" s="3" t="s">
        <v>23</v>
      </c>
      <c r="E3960" s="64">
        <v>1</v>
      </c>
    </row>
    <row r="3961" spans="1:5">
      <c r="A3961" s="64" t="s">
        <v>1</v>
      </c>
      <c r="B3961" s="65">
        <v>43421</v>
      </c>
      <c r="C3961" s="66" t="s">
        <v>221</v>
      </c>
      <c r="D3961" s="3" t="s">
        <v>23</v>
      </c>
      <c r="E3961" s="64">
        <v>1</v>
      </c>
    </row>
    <row r="3962" spans="1:5">
      <c r="A3962" s="64" t="s">
        <v>1</v>
      </c>
      <c r="B3962" s="65">
        <v>43422</v>
      </c>
      <c r="C3962" s="66" t="s">
        <v>222</v>
      </c>
      <c r="D3962" s="3" t="s">
        <v>23</v>
      </c>
      <c r="E3962" s="64">
        <v>1</v>
      </c>
    </row>
    <row r="3963" spans="1:5">
      <c r="A3963" s="64" t="s">
        <v>1</v>
      </c>
      <c r="B3963" s="65">
        <v>43423</v>
      </c>
      <c r="C3963" s="66" t="s">
        <v>216</v>
      </c>
      <c r="D3963" s="3" t="s">
        <v>23</v>
      </c>
      <c r="E3963" s="64">
        <v>1</v>
      </c>
    </row>
    <row r="3964" spans="1:5">
      <c r="A3964" s="64" t="s">
        <v>1</v>
      </c>
      <c r="B3964" s="65">
        <v>43424</v>
      </c>
      <c r="C3964" s="66" t="s">
        <v>217</v>
      </c>
      <c r="D3964" s="3" t="s">
        <v>23</v>
      </c>
      <c r="E3964" s="64">
        <v>1</v>
      </c>
    </row>
    <row r="3965" spans="1:5">
      <c r="A3965" s="64" t="s">
        <v>1</v>
      </c>
      <c r="B3965" s="65">
        <v>43425</v>
      </c>
      <c r="C3965" s="66" t="s">
        <v>218</v>
      </c>
      <c r="D3965" s="3" t="s">
        <v>23</v>
      </c>
      <c r="E3965" s="64">
        <v>1</v>
      </c>
    </row>
    <row r="3966" spans="1:5">
      <c r="A3966" s="64" t="s">
        <v>1</v>
      </c>
      <c r="B3966" s="65">
        <v>43426</v>
      </c>
      <c r="C3966" s="66" t="s">
        <v>219</v>
      </c>
      <c r="D3966" s="3" t="s">
        <v>23</v>
      </c>
      <c r="E3966" s="64">
        <v>1</v>
      </c>
    </row>
    <row r="3967" spans="1:5">
      <c r="A3967" s="64" t="s">
        <v>1</v>
      </c>
      <c r="B3967" s="65">
        <v>43427</v>
      </c>
      <c r="C3967" s="66" t="s">
        <v>220</v>
      </c>
      <c r="D3967" s="3" t="s">
        <v>23</v>
      </c>
      <c r="E3967" s="64">
        <v>1</v>
      </c>
    </row>
    <row r="3968" spans="1:5">
      <c r="A3968" s="64" t="s">
        <v>1</v>
      </c>
      <c r="B3968" s="65">
        <v>43428</v>
      </c>
      <c r="C3968" s="66" t="s">
        <v>221</v>
      </c>
      <c r="D3968" s="3" t="s">
        <v>23</v>
      </c>
      <c r="E3968" s="64">
        <v>1</v>
      </c>
    </row>
    <row r="3969" spans="1:5">
      <c r="A3969" s="64" t="s">
        <v>1</v>
      </c>
      <c r="B3969" s="65">
        <v>43429</v>
      </c>
      <c r="C3969" s="66" t="s">
        <v>222</v>
      </c>
      <c r="D3969" s="3" t="s">
        <v>23</v>
      </c>
      <c r="E3969" s="64">
        <v>1</v>
      </c>
    </row>
    <row r="3970" spans="1:5">
      <c r="A3970" s="64" t="s">
        <v>1</v>
      </c>
      <c r="B3970" s="65">
        <v>43430</v>
      </c>
      <c r="C3970" s="66" t="s">
        <v>216</v>
      </c>
      <c r="D3970" s="3" t="s">
        <v>23</v>
      </c>
      <c r="E3970" s="64">
        <v>1</v>
      </c>
    </row>
    <row r="3971" spans="1:5">
      <c r="A3971" s="64" t="s">
        <v>1</v>
      </c>
      <c r="B3971" s="65">
        <v>43431</v>
      </c>
      <c r="C3971" s="66" t="s">
        <v>217</v>
      </c>
      <c r="D3971" s="3" t="s">
        <v>23</v>
      </c>
      <c r="E3971" s="64">
        <v>1</v>
      </c>
    </row>
    <row r="3972" spans="1:5">
      <c r="A3972" s="64" t="s">
        <v>1</v>
      </c>
      <c r="B3972" s="65">
        <v>43432</v>
      </c>
      <c r="C3972" s="66" t="s">
        <v>218</v>
      </c>
      <c r="D3972" s="3" t="s">
        <v>23</v>
      </c>
      <c r="E3972" s="64">
        <v>1</v>
      </c>
    </row>
    <row r="3973" spans="1:5">
      <c r="A3973" s="64" t="s">
        <v>1</v>
      </c>
      <c r="B3973" s="65">
        <v>43433</v>
      </c>
      <c r="C3973" s="66" t="s">
        <v>219</v>
      </c>
      <c r="D3973" s="3" t="s">
        <v>23</v>
      </c>
      <c r="E3973" s="64">
        <v>1</v>
      </c>
    </row>
    <row r="3974" spans="1:5">
      <c r="A3974" s="64" t="s">
        <v>1</v>
      </c>
      <c r="B3974" s="65">
        <v>43434</v>
      </c>
      <c r="C3974" s="66" t="s">
        <v>220</v>
      </c>
      <c r="D3974" s="3" t="s">
        <v>23</v>
      </c>
      <c r="E3974" s="64">
        <v>1</v>
      </c>
    </row>
    <row r="3975" spans="1:5">
      <c r="A3975" s="64" t="s">
        <v>1</v>
      </c>
      <c r="B3975" s="65">
        <v>43435</v>
      </c>
      <c r="C3975" s="66" t="s">
        <v>221</v>
      </c>
      <c r="D3975" s="3" t="s">
        <v>23</v>
      </c>
      <c r="E3975" s="64">
        <v>1</v>
      </c>
    </row>
    <row r="3976" spans="1:5">
      <c r="A3976" s="64" t="s">
        <v>1</v>
      </c>
      <c r="B3976" s="65">
        <v>43436</v>
      </c>
      <c r="C3976" s="66" t="s">
        <v>222</v>
      </c>
      <c r="D3976" s="3" t="s">
        <v>23</v>
      </c>
      <c r="E3976" s="64">
        <v>1</v>
      </c>
    </row>
    <row r="3977" spans="1:5">
      <c r="A3977" s="64" t="s">
        <v>1</v>
      </c>
      <c r="B3977" s="65">
        <v>43437</v>
      </c>
      <c r="C3977" s="66" t="s">
        <v>216</v>
      </c>
      <c r="D3977" s="3" t="s">
        <v>23</v>
      </c>
      <c r="E3977" s="64">
        <v>1</v>
      </c>
    </row>
    <row r="3978" spans="1:5">
      <c r="A3978" s="64" t="s">
        <v>1</v>
      </c>
      <c r="B3978" s="65">
        <v>43438</v>
      </c>
      <c r="C3978" s="66" t="s">
        <v>217</v>
      </c>
      <c r="D3978" s="3" t="s">
        <v>23</v>
      </c>
      <c r="E3978" s="64">
        <v>1</v>
      </c>
    </row>
    <row r="3979" spans="1:5">
      <c r="A3979" s="64" t="s">
        <v>1</v>
      </c>
      <c r="B3979" s="65">
        <v>43439</v>
      </c>
      <c r="C3979" s="66" t="s">
        <v>218</v>
      </c>
      <c r="D3979" s="3" t="s">
        <v>23</v>
      </c>
      <c r="E3979" s="64">
        <v>1</v>
      </c>
    </row>
    <row r="3980" spans="1:5">
      <c r="A3980" s="64" t="s">
        <v>1</v>
      </c>
      <c r="B3980" s="65">
        <v>43440</v>
      </c>
      <c r="C3980" s="66" t="s">
        <v>219</v>
      </c>
      <c r="D3980" s="3" t="s">
        <v>23</v>
      </c>
      <c r="E3980" s="64">
        <v>1</v>
      </c>
    </row>
    <row r="3981" spans="1:5">
      <c r="A3981" s="64" t="s">
        <v>1</v>
      </c>
      <c r="B3981" s="65">
        <v>43441</v>
      </c>
      <c r="C3981" s="66" t="s">
        <v>220</v>
      </c>
      <c r="D3981" s="3" t="s">
        <v>23</v>
      </c>
      <c r="E3981" s="64">
        <v>1</v>
      </c>
    </row>
    <row r="3982" spans="1:5">
      <c r="A3982" s="64" t="s">
        <v>1</v>
      </c>
      <c r="B3982" s="65">
        <v>43442</v>
      </c>
      <c r="C3982" s="66" t="s">
        <v>221</v>
      </c>
      <c r="D3982" s="3" t="s">
        <v>23</v>
      </c>
      <c r="E3982" s="64">
        <v>1</v>
      </c>
    </row>
    <row r="3983" spans="1:5">
      <c r="A3983" s="64" t="s">
        <v>1</v>
      </c>
      <c r="B3983" s="65">
        <v>43443</v>
      </c>
      <c r="C3983" s="66" t="s">
        <v>222</v>
      </c>
      <c r="D3983" s="3" t="s">
        <v>23</v>
      </c>
      <c r="E3983" s="64">
        <v>1</v>
      </c>
    </row>
    <row r="3984" spans="1:5">
      <c r="A3984" s="64" t="s">
        <v>1</v>
      </c>
      <c r="B3984" s="65">
        <v>43444</v>
      </c>
      <c r="C3984" s="66" t="s">
        <v>216</v>
      </c>
      <c r="D3984" s="3" t="s">
        <v>23</v>
      </c>
      <c r="E3984" s="64">
        <v>1</v>
      </c>
    </row>
    <row r="3985" spans="1:5">
      <c r="A3985" s="64" t="s">
        <v>1</v>
      </c>
      <c r="B3985" s="65">
        <v>43445</v>
      </c>
      <c r="C3985" s="66" t="s">
        <v>217</v>
      </c>
      <c r="D3985" s="3" t="s">
        <v>23</v>
      </c>
      <c r="E3985" s="64">
        <v>1</v>
      </c>
    </row>
    <row r="3986" spans="1:5">
      <c r="A3986" s="64" t="s">
        <v>1</v>
      </c>
      <c r="B3986" s="65">
        <v>43446</v>
      </c>
      <c r="C3986" s="66" t="s">
        <v>218</v>
      </c>
      <c r="D3986" s="3" t="s">
        <v>23</v>
      </c>
      <c r="E3986" s="64">
        <v>1</v>
      </c>
    </row>
    <row r="3987" spans="1:5">
      <c r="A3987" s="64" t="s">
        <v>1</v>
      </c>
      <c r="B3987" s="65">
        <v>43447</v>
      </c>
      <c r="C3987" s="66" t="s">
        <v>219</v>
      </c>
      <c r="D3987" s="3" t="s">
        <v>23</v>
      </c>
      <c r="E3987" s="64">
        <v>1</v>
      </c>
    </row>
    <row r="3988" spans="1:5">
      <c r="A3988" s="64" t="s">
        <v>1</v>
      </c>
      <c r="B3988" s="65">
        <v>43448</v>
      </c>
      <c r="C3988" s="66" t="s">
        <v>220</v>
      </c>
      <c r="D3988" s="3" t="s">
        <v>23</v>
      </c>
      <c r="E3988" s="64">
        <v>1</v>
      </c>
    </row>
    <row r="3989" spans="1:5">
      <c r="A3989" s="64" t="s">
        <v>1</v>
      </c>
      <c r="B3989" s="65">
        <v>43449</v>
      </c>
      <c r="C3989" s="66" t="s">
        <v>221</v>
      </c>
      <c r="D3989" s="3" t="s">
        <v>23</v>
      </c>
      <c r="E3989" s="64">
        <v>1</v>
      </c>
    </row>
    <row r="3990" spans="1:5">
      <c r="A3990" s="64" t="s">
        <v>1</v>
      </c>
      <c r="B3990" s="65">
        <v>43450</v>
      </c>
      <c r="C3990" s="66" t="s">
        <v>222</v>
      </c>
      <c r="D3990" s="3" t="s">
        <v>23</v>
      </c>
      <c r="E3990" s="64">
        <v>1</v>
      </c>
    </row>
    <row r="3991" spans="1:5">
      <c r="A3991" s="64" t="s">
        <v>1</v>
      </c>
      <c r="B3991" s="65">
        <v>43451</v>
      </c>
      <c r="C3991" s="66" t="s">
        <v>216</v>
      </c>
      <c r="D3991" s="3" t="s">
        <v>23</v>
      </c>
      <c r="E3991" s="64">
        <v>1</v>
      </c>
    </row>
    <row r="3992" spans="1:5">
      <c r="A3992" s="64" t="s">
        <v>1</v>
      </c>
      <c r="B3992" s="65">
        <v>43452</v>
      </c>
      <c r="C3992" s="66" t="s">
        <v>217</v>
      </c>
      <c r="D3992" s="3" t="s">
        <v>23</v>
      </c>
      <c r="E3992" s="64">
        <v>1</v>
      </c>
    </row>
    <row r="3993" spans="1:5">
      <c r="A3993" s="64" t="s">
        <v>1</v>
      </c>
      <c r="B3993" s="65">
        <v>43453</v>
      </c>
      <c r="C3993" s="66" t="s">
        <v>218</v>
      </c>
      <c r="D3993" s="3" t="s">
        <v>23</v>
      </c>
      <c r="E3993" s="64">
        <v>1</v>
      </c>
    </row>
    <row r="3994" spans="1:5">
      <c r="A3994" s="64" t="s">
        <v>1</v>
      </c>
      <c r="B3994" s="65">
        <v>43454</v>
      </c>
      <c r="C3994" s="66" t="s">
        <v>219</v>
      </c>
      <c r="D3994" s="3" t="s">
        <v>23</v>
      </c>
      <c r="E3994" s="64">
        <v>1</v>
      </c>
    </row>
    <row r="3995" spans="1:5">
      <c r="A3995" s="64" t="s">
        <v>1</v>
      </c>
      <c r="B3995" s="65">
        <v>43455</v>
      </c>
      <c r="C3995" s="66" t="s">
        <v>220</v>
      </c>
      <c r="D3995" s="3" t="s">
        <v>23</v>
      </c>
      <c r="E3995" s="64">
        <v>1</v>
      </c>
    </row>
    <row r="3996" spans="1:5">
      <c r="A3996" s="64" t="s">
        <v>1</v>
      </c>
      <c r="B3996" s="65">
        <v>43456</v>
      </c>
      <c r="C3996" s="66" t="s">
        <v>221</v>
      </c>
      <c r="D3996" s="3" t="s">
        <v>23</v>
      </c>
      <c r="E3996" s="64">
        <v>1</v>
      </c>
    </row>
    <row r="3997" spans="1:5">
      <c r="A3997" s="64" t="s">
        <v>1</v>
      </c>
      <c r="B3997" s="65">
        <v>43457</v>
      </c>
      <c r="C3997" s="66" t="s">
        <v>222</v>
      </c>
      <c r="D3997" s="3" t="s">
        <v>23</v>
      </c>
      <c r="E3997" s="64">
        <v>1</v>
      </c>
    </row>
    <row r="3998" spans="1:5">
      <c r="A3998" s="64" t="s">
        <v>1</v>
      </c>
      <c r="B3998" s="65">
        <v>43458</v>
      </c>
      <c r="C3998" s="66" t="s">
        <v>216</v>
      </c>
      <c r="D3998" s="3" t="s">
        <v>23</v>
      </c>
      <c r="E3998" s="64">
        <v>1</v>
      </c>
    </row>
    <row r="3999" spans="1:5">
      <c r="A3999" s="64" t="s">
        <v>1</v>
      </c>
      <c r="B3999" s="65">
        <v>43459</v>
      </c>
      <c r="C3999" s="66" t="s">
        <v>217</v>
      </c>
      <c r="D3999" s="3" t="s">
        <v>23</v>
      </c>
      <c r="E3999" s="64">
        <v>1</v>
      </c>
    </row>
    <row r="4000" spans="1:5">
      <c r="A4000" s="64" t="s">
        <v>1</v>
      </c>
      <c r="B4000" s="65">
        <v>43460</v>
      </c>
      <c r="C4000" s="66" t="s">
        <v>218</v>
      </c>
      <c r="D4000" s="3" t="s">
        <v>23</v>
      </c>
      <c r="E4000" s="64">
        <v>1</v>
      </c>
    </row>
    <row r="4001" spans="1:5">
      <c r="A4001" s="64" t="s">
        <v>1</v>
      </c>
      <c r="B4001" s="65">
        <v>43461</v>
      </c>
      <c r="C4001" s="66" t="s">
        <v>219</v>
      </c>
      <c r="D4001" s="3" t="s">
        <v>23</v>
      </c>
      <c r="E4001" s="64">
        <v>1</v>
      </c>
    </row>
    <row r="4002" spans="1:5">
      <c r="A4002" s="64" t="s">
        <v>1</v>
      </c>
      <c r="B4002" s="65">
        <v>43462</v>
      </c>
      <c r="C4002" s="66" t="s">
        <v>220</v>
      </c>
      <c r="D4002" s="3" t="s">
        <v>23</v>
      </c>
      <c r="E4002" s="64">
        <v>1</v>
      </c>
    </row>
    <row r="4003" spans="1:5">
      <c r="A4003" s="64" t="s">
        <v>1</v>
      </c>
      <c r="B4003" s="65">
        <v>43463</v>
      </c>
      <c r="C4003" s="66" t="s">
        <v>221</v>
      </c>
      <c r="D4003" s="3" t="s">
        <v>23</v>
      </c>
      <c r="E4003" s="64">
        <v>1</v>
      </c>
    </row>
    <row r="4004" spans="1:5">
      <c r="A4004" s="64" t="s">
        <v>1</v>
      </c>
      <c r="B4004" s="65">
        <v>43464</v>
      </c>
      <c r="C4004" s="66" t="s">
        <v>222</v>
      </c>
      <c r="D4004" s="3" t="s">
        <v>23</v>
      </c>
      <c r="E4004" s="64">
        <v>1</v>
      </c>
    </row>
    <row r="4005" spans="1:5">
      <c r="A4005" s="64" t="s">
        <v>1</v>
      </c>
      <c r="B4005" s="65">
        <v>43465</v>
      </c>
      <c r="C4005" s="66" t="s">
        <v>216</v>
      </c>
      <c r="D4005" s="3" t="s">
        <v>23</v>
      </c>
      <c r="E4005" s="64">
        <v>1</v>
      </c>
    </row>
    <row r="4006" spans="1:5">
      <c r="A4006" s="64" t="s">
        <v>1</v>
      </c>
      <c r="B4006" s="65">
        <v>43466</v>
      </c>
      <c r="C4006" s="66" t="s">
        <v>217</v>
      </c>
      <c r="D4006" s="3" t="s">
        <v>23</v>
      </c>
      <c r="E4006" s="64">
        <v>1</v>
      </c>
    </row>
    <row r="4007" spans="1:5">
      <c r="A4007" s="64" t="s">
        <v>1</v>
      </c>
      <c r="B4007" s="65">
        <v>43467</v>
      </c>
      <c r="C4007" s="66" t="s">
        <v>218</v>
      </c>
      <c r="D4007" s="3" t="s">
        <v>23</v>
      </c>
      <c r="E4007" s="64">
        <v>1</v>
      </c>
    </row>
    <row r="4008" spans="1:5">
      <c r="A4008" s="64" t="s">
        <v>1</v>
      </c>
      <c r="B4008" s="65">
        <v>43468</v>
      </c>
      <c r="C4008" s="66" t="s">
        <v>219</v>
      </c>
      <c r="D4008" s="3" t="s">
        <v>23</v>
      </c>
      <c r="E4008" s="64">
        <v>1</v>
      </c>
    </row>
    <row r="4009" spans="1:5">
      <c r="A4009" s="64" t="s">
        <v>1</v>
      </c>
      <c r="B4009" s="65">
        <v>43469</v>
      </c>
      <c r="C4009" s="66" t="s">
        <v>220</v>
      </c>
      <c r="D4009" s="3" t="s">
        <v>23</v>
      </c>
      <c r="E4009" s="64">
        <v>1</v>
      </c>
    </row>
    <row r="4010" spans="1:5">
      <c r="A4010" s="64" t="s">
        <v>1</v>
      </c>
      <c r="B4010" s="65">
        <v>43470</v>
      </c>
      <c r="C4010" s="66" t="s">
        <v>221</v>
      </c>
      <c r="D4010" s="3" t="s">
        <v>23</v>
      </c>
      <c r="E4010" s="64">
        <v>1</v>
      </c>
    </row>
    <row r="4011" spans="1:5">
      <c r="A4011" s="64" t="s">
        <v>1</v>
      </c>
      <c r="B4011" s="65">
        <v>43471</v>
      </c>
      <c r="C4011" s="66" t="s">
        <v>222</v>
      </c>
      <c r="D4011" s="3" t="s">
        <v>23</v>
      </c>
      <c r="E4011" s="64">
        <v>1</v>
      </c>
    </row>
    <row r="4012" spans="1:5">
      <c r="A4012" s="64" t="s">
        <v>1</v>
      </c>
      <c r="B4012" s="65">
        <v>43472</v>
      </c>
      <c r="C4012" s="66" t="s">
        <v>216</v>
      </c>
      <c r="D4012" s="3" t="s">
        <v>23</v>
      </c>
      <c r="E4012" s="64">
        <v>1</v>
      </c>
    </row>
    <row r="4013" spans="1:5">
      <c r="A4013" s="64" t="s">
        <v>1</v>
      </c>
      <c r="B4013" s="65">
        <v>43473</v>
      </c>
      <c r="C4013" s="66" t="s">
        <v>217</v>
      </c>
      <c r="D4013" s="3" t="s">
        <v>23</v>
      </c>
      <c r="E4013" s="64">
        <v>1</v>
      </c>
    </row>
    <row r="4014" spans="1:5">
      <c r="A4014" s="64" t="s">
        <v>1</v>
      </c>
      <c r="B4014" s="65">
        <v>43474</v>
      </c>
      <c r="C4014" s="66" t="s">
        <v>218</v>
      </c>
      <c r="D4014" s="3" t="s">
        <v>23</v>
      </c>
      <c r="E4014" s="64">
        <v>1</v>
      </c>
    </row>
    <row r="4015" spans="1:5">
      <c r="A4015" s="64" t="s">
        <v>1</v>
      </c>
      <c r="B4015" s="65">
        <v>43475</v>
      </c>
      <c r="C4015" s="66" t="s">
        <v>219</v>
      </c>
      <c r="D4015" s="3" t="s">
        <v>23</v>
      </c>
      <c r="E4015" s="64">
        <v>1</v>
      </c>
    </row>
    <row r="4016" spans="1:5">
      <c r="A4016" s="64" t="s">
        <v>1</v>
      </c>
      <c r="B4016" s="65">
        <v>43476</v>
      </c>
      <c r="C4016" s="66" t="s">
        <v>220</v>
      </c>
      <c r="D4016" s="3" t="s">
        <v>23</v>
      </c>
      <c r="E4016" s="64">
        <v>1</v>
      </c>
    </row>
    <row r="4017" spans="1:5">
      <c r="A4017" s="64" t="s">
        <v>1</v>
      </c>
      <c r="B4017" s="65">
        <v>43477</v>
      </c>
      <c r="C4017" s="66" t="s">
        <v>221</v>
      </c>
      <c r="D4017" s="3" t="s">
        <v>23</v>
      </c>
      <c r="E4017" s="64">
        <v>1</v>
      </c>
    </row>
    <row r="4018" spans="1:5">
      <c r="A4018" s="64" t="s">
        <v>1</v>
      </c>
      <c r="B4018" s="65">
        <v>43478</v>
      </c>
      <c r="C4018" s="66" t="s">
        <v>222</v>
      </c>
      <c r="D4018" s="3" t="s">
        <v>23</v>
      </c>
      <c r="E4018" s="64">
        <v>1</v>
      </c>
    </row>
    <row r="4019" spans="1:5">
      <c r="A4019" s="64" t="s">
        <v>1</v>
      </c>
      <c r="B4019" s="65">
        <v>43479</v>
      </c>
      <c r="C4019" s="66" t="s">
        <v>216</v>
      </c>
      <c r="D4019" s="3" t="s">
        <v>23</v>
      </c>
      <c r="E4019" s="64">
        <v>1</v>
      </c>
    </row>
    <row r="4020" spans="1:5">
      <c r="A4020" s="64" t="s">
        <v>1</v>
      </c>
      <c r="B4020" s="65">
        <v>43480</v>
      </c>
      <c r="C4020" s="66" t="s">
        <v>217</v>
      </c>
      <c r="D4020" s="3" t="s">
        <v>23</v>
      </c>
      <c r="E4020" s="64">
        <v>1</v>
      </c>
    </row>
    <row r="4021" spans="1:5">
      <c r="A4021" s="64" t="s">
        <v>1</v>
      </c>
      <c r="B4021" s="65">
        <v>43481</v>
      </c>
      <c r="C4021" s="66" t="s">
        <v>218</v>
      </c>
      <c r="D4021" s="3" t="s">
        <v>23</v>
      </c>
      <c r="E4021" s="64">
        <v>1</v>
      </c>
    </row>
    <row r="4022" spans="1:5">
      <c r="A4022" s="64" t="s">
        <v>1</v>
      </c>
      <c r="B4022" s="65">
        <v>43482</v>
      </c>
      <c r="C4022" s="66" t="s">
        <v>219</v>
      </c>
      <c r="D4022" s="3" t="s">
        <v>23</v>
      </c>
      <c r="E4022" s="64">
        <v>1</v>
      </c>
    </row>
    <row r="4023" spans="1:5">
      <c r="A4023" s="64" t="s">
        <v>1</v>
      </c>
      <c r="B4023" s="65">
        <v>43483</v>
      </c>
      <c r="C4023" s="66" t="s">
        <v>220</v>
      </c>
      <c r="D4023" s="3" t="s">
        <v>23</v>
      </c>
      <c r="E4023" s="64">
        <v>1</v>
      </c>
    </row>
    <row r="4024" spans="1:5">
      <c r="A4024" s="64" t="s">
        <v>1</v>
      </c>
      <c r="B4024" s="65">
        <v>43484</v>
      </c>
      <c r="C4024" s="66" t="s">
        <v>221</v>
      </c>
      <c r="D4024" s="3" t="s">
        <v>23</v>
      </c>
      <c r="E4024" s="64">
        <v>1</v>
      </c>
    </row>
    <row r="4025" spans="1:5">
      <c r="A4025" s="64" t="s">
        <v>1</v>
      </c>
      <c r="B4025" s="65">
        <v>43485</v>
      </c>
      <c r="C4025" s="66" t="s">
        <v>222</v>
      </c>
      <c r="D4025" s="3" t="s">
        <v>23</v>
      </c>
      <c r="E4025" s="64">
        <v>1</v>
      </c>
    </row>
    <row r="4026" spans="1:5">
      <c r="A4026" s="64" t="s">
        <v>1</v>
      </c>
      <c r="B4026" s="65">
        <v>43486</v>
      </c>
      <c r="C4026" s="66" t="s">
        <v>216</v>
      </c>
      <c r="D4026" s="3" t="s">
        <v>23</v>
      </c>
      <c r="E4026" s="64">
        <v>1</v>
      </c>
    </row>
    <row r="4027" spans="1:5">
      <c r="A4027" s="64" t="s">
        <v>1</v>
      </c>
      <c r="B4027" s="65">
        <v>43487</v>
      </c>
      <c r="C4027" s="66" t="s">
        <v>217</v>
      </c>
      <c r="D4027" s="3" t="s">
        <v>23</v>
      </c>
      <c r="E4027" s="64">
        <v>1</v>
      </c>
    </row>
    <row r="4028" spans="1:5">
      <c r="A4028" s="64" t="s">
        <v>1</v>
      </c>
      <c r="B4028" s="65">
        <v>43488</v>
      </c>
      <c r="C4028" s="66" t="s">
        <v>218</v>
      </c>
      <c r="D4028" s="3" t="s">
        <v>23</v>
      </c>
      <c r="E4028" s="64">
        <v>1</v>
      </c>
    </row>
    <row r="4029" spans="1:5">
      <c r="A4029" s="64" t="s">
        <v>1</v>
      </c>
      <c r="B4029" s="65">
        <v>43489</v>
      </c>
      <c r="C4029" s="66" t="s">
        <v>219</v>
      </c>
      <c r="D4029" s="3" t="s">
        <v>23</v>
      </c>
      <c r="E4029" s="64">
        <v>1</v>
      </c>
    </row>
    <row r="4030" spans="1:5">
      <c r="A4030" s="64" t="s">
        <v>1</v>
      </c>
      <c r="B4030" s="65">
        <v>43490</v>
      </c>
      <c r="C4030" s="66" t="s">
        <v>220</v>
      </c>
      <c r="D4030" s="3" t="s">
        <v>23</v>
      </c>
      <c r="E4030" s="64">
        <v>1</v>
      </c>
    </row>
    <row r="4031" spans="1:5">
      <c r="A4031" s="64" t="s">
        <v>1</v>
      </c>
      <c r="B4031" s="65">
        <v>43491</v>
      </c>
      <c r="C4031" s="66" t="s">
        <v>221</v>
      </c>
      <c r="D4031" s="3" t="s">
        <v>23</v>
      </c>
      <c r="E4031" s="64">
        <v>1</v>
      </c>
    </row>
    <row r="4032" spans="1:5">
      <c r="A4032" s="64" t="s">
        <v>1</v>
      </c>
      <c r="B4032" s="65">
        <v>43492</v>
      </c>
      <c r="C4032" s="66" t="s">
        <v>222</v>
      </c>
      <c r="D4032" s="3" t="s">
        <v>23</v>
      </c>
      <c r="E4032" s="64">
        <v>1</v>
      </c>
    </row>
    <row r="4033" spans="1:5">
      <c r="A4033" s="64" t="s">
        <v>1</v>
      </c>
      <c r="B4033" s="65">
        <v>43493</v>
      </c>
      <c r="C4033" s="66" t="s">
        <v>216</v>
      </c>
      <c r="D4033" s="3" t="s">
        <v>23</v>
      </c>
      <c r="E4033" s="64">
        <v>1</v>
      </c>
    </row>
    <row r="4034" spans="1:5">
      <c r="A4034" s="64" t="s">
        <v>1</v>
      </c>
      <c r="B4034" s="65">
        <v>43494</v>
      </c>
      <c r="C4034" s="66" t="s">
        <v>217</v>
      </c>
      <c r="D4034" s="3" t="s">
        <v>23</v>
      </c>
      <c r="E4034" s="64">
        <v>1</v>
      </c>
    </row>
    <row r="4035" spans="1:5">
      <c r="A4035" s="64" t="s">
        <v>1</v>
      </c>
      <c r="B4035" s="65">
        <v>43495</v>
      </c>
      <c r="C4035" s="66" t="s">
        <v>218</v>
      </c>
      <c r="D4035" s="3" t="s">
        <v>23</v>
      </c>
      <c r="E4035" s="64">
        <v>1</v>
      </c>
    </row>
    <row r="4036" spans="1:5">
      <c r="A4036" s="64" t="s">
        <v>1</v>
      </c>
      <c r="B4036" s="65">
        <v>43496</v>
      </c>
      <c r="C4036" s="66" t="s">
        <v>219</v>
      </c>
      <c r="D4036" s="3" t="s">
        <v>23</v>
      </c>
      <c r="E4036" s="64">
        <v>1</v>
      </c>
    </row>
    <row r="4037" spans="1:5">
      <c r="A4037" s="64" t="s">
        <v>1</v>
      </c>
      <c r="B4037" s="65">
        <v>43497</v>
      </c>
      <c r="C4037" s="66" t="s">
        <v>220</v>
      </c>
      <c r="D4037" s="3" t="s">
        <v>23</v>
      </c>
      <c r="E4037" s="64">
        <v>1</v>
      </c>
    </row>
    <row r="4038" spans="1:5">
      <c r="A4038" s="64" t="s">
        <v>1</v>
      </c>
      <c r="B4038" s="65">
        <v>43498</v>
      </c>
      <c r="C4038" s="66" t="s">
        <v>221</v>
      </c>
      <c r="D4038" s="3" t="s">
        <v>23</v>
      </c>
      <c r="E4038" s="64">
        <v>1</v>
      </c>
    </row>
    <row r="4039" spans="1:5">
      <c r="A4039" s="64" t="s">
        <v>1</v>
      </c>
      <c r="B4039" s="65">
        <v>43499</v>
      </c>
      <c r="C4039" s="66" t="s">
        <v>222</v>
      </c>
      <c r="D4039" s="3" t="s">
        <v>23</v>
      </c>
      <c r="E4039" s="64">
        <v>1</v>
      </c>
    </row>
    <row r="4040" spans="1:5">
      <c r="A4040" s="64" t="s">
        <v>1</v>
      </c>
      <c r="B4040" s="65">
        <v>43500</v>
      </c>
      <c r="C4040" s="66" t="s">
        <v>216</v>
      </c>
      <c r="D4040" s="3" t="s">
        <v>23</v>
      </c>
      <c r="E4040" s="64">
        <v>1</v>
      </c>
    </row>
    <row r="4041" spans="1:5">
      <c r="A4041" s="64" t="s">
        <v>1</v>
      </c>
      <c r="B4041" s="65">
        <v>43501</v>
      </c>
      <c r="C4041" s="66" t="s">
        <v>217</v>
      </c>
      <c r="D4041" s="3" t="s">
        <v>23</v>
      </c>
      <c r="E4041" s="64">
        <v>1</v>
      </c>
    </row>
    <row r="4042" spans="1:5">
      <c r="A4042" s="64" t="s">
        <v>1</v>
      </c>
      <c r="B4042" s="65">
        <v>43502</v>
      </c>
      <c r="C4042" s="66" t="s">
        <v>218</v>
      </c>
      <c r="D4042" s="3" t="s">
        <v>23</v>
      </c>
      <c r="E4042" s="64">
        <v>1</v>
      </c>
    </row>
    <row r="4043" spans="1:5">
      <c r="A4043" s="64" t="s">
        <v>1</v>
      </c>
      <c r="B4043" s="65">
        <v>43503</v>
      </c>
      <c r="C4043" s="66" t="s">
        <v>219</v>
      </c>
      <c r="D4043" s="3" t="s">
        <v>23</v>
      </c>
      <c r="E4043" s="64">
        <v>1</v>
      </c>
    </row>
    <row r="4044" spans="1:5">
      <c r="A4044" s="64" t="s">
        <v>1</v>
      </c>
      <c r="B4044" s="65">
        <v>43504</v>
      </c>
      <c r="C4044" s="66" t="s">
        <v>220</v>
      </c>
      <c r="D4044" s="3" t="s">
        <v>23</v>
      </c>
      <c r="E4044" s="64">
        <v>1</v>
      </c>
    </row>
    <row r="4045" spans="1:5">
      <c r="A4045" s="64" t="s">
        <v>1</v>
      </c>
      <c r="B4045" s="65">
        <v>43505</v>
      </c>
      <c r="C4045" s="66" t="s">
        <v>221</v>
      </c>
      <c r="D4045" s="3" t="s">
        <v>23</v>
      </c>
      <c r="E4045" s="64">
        <v>1</v>
      </c>
    </row>
    <row r="4046" spans="1:5">
      <c r="A4046" s="64" t="s">
        <v>1</v>
      </c>
      <c r="B4046" s="65">
        <v>43506</v>
      </c>
      <c r="C4046" s="66" t="s">
        <v>222</v>
      </c>
      <c r="D4046" s="3" t="s">
        <v>23</v>
      </c>
      <c r="E4046" s="64">
        <v>1</v>
      </c>
    </row>
    <row r="4047" spans="1:5">
      <c r="A4047" s="64" t="s">
        <v>1</v>
      </c>
      <c r="B4047" s="65">
        <v>43507</v>
      </c>
      <c r="C4047" s="66" t="s">
        <v>216</v>
      </c>
      <c r="D4047" s="3" t="s">
        <v>23</v>
      </c>
      <c r="E4047" s="64">
        <v>1</v>
      </c>
    </row>
    <row r="4048" spans="1:5">
      <c r="A4048" s="64" t="s">
        <v>1</v>
      </c>
      <c r="B4048" s="65">
        <v>43508</v>
      </c>
      <c r="C4048" s="66" t="s">
        <v>217</v>
      </c>
      <c r="D4048" s="3" t="s">
        <v>23</v>
      </c>
      <c r="E4048" s="64">
        <v>1</v>
      </c>
    </row>
    <row r="4049" spans="1:5">
      <c r="A4049" s="64" t="s">
        <v>1</v>
      </c>
      <c r="B4049" s="65">
        <v>43509</v>
      </c>
      <c r="C4049" s="66" t="s">
        <v>218</v>
      </c>
      <c r="D4049" s="3" t="s">
        <v>23</v>
      </c>
      <c r="E4049" s="64">
        <v>1</v>
      </c>
    </row>
    <row r="4050" spans="1:5">
      <c r="A4050" s="64" t="s">
        <v>1</v>
      </c>
      <c r="B4050" s="65">
        <v>43510</v>
      </c>
      <c r="C4050" s="66" t="s">
        <v>219</v>
      </c>
      <c r="D4050" s="3" t="s">
        <v>23</v>
      </c>
      <c r="E4050" s="64">
        <v>1</v>
      </c>
    </row>
    <row r="4051" spans="1:5">
      <c r="A4051" s="64" t="s">
        <v>1</v>
      </c>
      <c r="B4051" s="65">
        <v>43511</v>
      </c>
      <c r="C4051" s="66" t="s">
        <v>220</v>
      </c>
      <c r="D4051" s="3" t="s">
        <v>23</v>
      </c>
      <c r="E4051" s="64">
        <v>1</v>
      </c>
    </row>
    <row r="4052" spans="1:5">
      <c r="A4052" s="64" t="s">
        <v>1</v>
      </c>
      <c r="B4052" s="65">
        <v>43512</v>
      </c>
      <c r="C4052" s="66" t="s">
        <v>221</v>
      </c>
      <c r="D4052" s="3" t="s">
        <v>23</v>
      </c>
      <c r="E4052" s="64">
        <v>1</v>
      </c>
    </row>
    <row r="4053" spans="1:5">
      <c r="A4053" s="64" t="s">
        <v>1</v>
      </c>
      <c r="B4053" s="65">
        <v>43513</v>
      </c>
      <c r="C4053" s="66" t="s">
        <v>222</v>
      </c>
      <c r="D4053" s="3" t="s">
        <v>23</v>
      </c>
      <c r="E4053" s="64">
        <v>1</v>
      </c>
    </row>
    <row r="4054" spans="1:5">
      <c r="A4054" s="64" t="s">
        <v>1</v>
      </c>
      <c r="B4054" s="65">
        <v>43514</v>
      </c>
      <c r="C4054" s="66" t="s">
        <v>216</v>
      </c>
      <c r="D4054" s="3" t="s">
        <v>23</v>
      </c>
      <c r="E4054" s="64">
        <v>1</v>
      </c>
    </row>
    <row r="4055" spans="1:5">
      <c r="A4055" s="64" t="s">
        <v>1</v>
      </c>
      <c r="B4055" s="65">
        <v>43515</v>
      </c>
      <c r="C4055" s="66" t="s">
        <v>217</v>
      </c>
      <c r="D4055" s="3" t="s">
        <v>23</v>
      </c>
      <c r="E4055" s="64">
        <v>1</v>
      </c>
    </row>
    <row r="4056" spans="1:5">
      <c r="A4056" s="64" t="s">
        <v>1</v>
      </c>
      <c r="B4056" s="65">
        <v>43516</v>
      </c>
      <c r="C4056" s="66" t="s">
        <v>218</v>
      </c>
      <c r="D4056" s="3" t="s">
        <v>23</v>
      </c>
      <c r="E4056" s="64">
        <v>1</v>
      </c>
    </row>
    <row r="4057" spans="1:5">
      <c r="A4057" s="64" t="s">
        <v>1</v>
      </c>
      <c r="B4057" s="65">
        <v>43517</v>
      </c>
      <c r="C4057" s="66" t="s">
        <v>219</v>
      </c>
      <c r="D4057" s="3" t="s">
        <v>23</v>
      </c>
      <c r="E4057" s="64">
        <v>1</v>
      </c>
    </row>
    <row r="4058" spans="1:5">
      <c r="A4058" s="64" t="s">
        <v>1</v>
      </c>
      <c r="B4058" s="65">
        <v>43518</v>
      </c>
      <c r="C4058" s="66" t="s">
        <v>220</v>
      </c>
      <c r="D4058" s="3" t="s">
        <v>23</v>
      </c>
      <c r="E4058" s="64">
        <v>1</v>
      </c>
    </row>
    <row r="4059" spans="1:5">
      <c r="A4059" s="64" t="s">
        <v>1</v>
      </c>
      <c r="B4059" s="65">
        <v>43519</v>
      </c>
      <c r="C4059" s="66" t="s">
        <v>221</v>
      </c>
      <c r="D4059" s="3" t="s">
        <v>23</v>
      </c>
      <c r="E4059" s="64">
        <v>1</v>
      </c>
    </row>
    <row r="4060" spans="1:5">
      <c r="A4060" s="64" t="s">
        <v>1</v>
      </c>
      <c r="B4060" s="65">
        <v>43520</v>
      </c>
      <c r="C4060" s="66" t="s">
        <v>222</v>
      </c>
      <c r="D4060" s="3" t="s">
        <v>23</v>
      </c>
      <c r="E4060" s="64">
        <v>1</v>
      </c>
    </row>
    <row r="4061" spans="1:5">
      <c r="A4061" s="64" t="s">
        <v>1</v>
      </c>
      <c r="B4061" s="65">
        <v>43521</v>
      </c>
      <c r="C4061" s="66" t="s">
        <v>216</v>
      </c>
      <c r="D4061" s="3" t="s">
        <v>23</v>
      </c>
      <c r="E4061" s="64">
        <v>1</v>
      </c>
    </row>
    <row r="4062" spans="1:5">
      <c r="A4062" s="64" t="s">
        <v>1</v>
      </c>
      <c r="B4062" s="65">
        <v>43522</v>
      </c>
      <c r="C4062" s="66" t="s">
        <v>217</v>
      </c>
      <c r="D4062" s="3" t="s">
        <v>23</v>
      </c>
      <c r="E4062" s="64">
        <v>1</v>
      </c>
    </row>
    <row r="4063" spans="1:5">
      <c r="A4063" s="64" t="s">
        <v>1</v>
      </c>
      <c r="B4063" s="65">
        <v>43523</v>
      </c>
      <c r="C4063" s="66" t="s">
        <v>218</v>
      </c>
      <c r="D4063" s="3" t="s">
        <v>23</v>
      </c>
      <c r="E4063" s="64">
        <v>1</v>
      </c>
    </row>
    <row r="4064" spans="1:5">
      <c r="A4064" s="64" t="s">
        <v>1</v>
      </c>
      <c r="B4064" s="65">
        <v>43524</v>
      </c>
      <c r="C4064" s="66" t="s">
        <v>219</v>
      </c>
      <c r="D4064" s="3" t="s">
        <v>23</v>
      </c>
      <c r="E4064" s="64">
        <v>1</v>
      </c>
    </row>
    <row r="4065" spans="1:5">
      <c r="A4065" s="64" t="s">
        <v>1</v>
      </c>
      <c r="B4065" s="65">
        <v>43525</v>
      </c>
      <c r="C4065" s="66" t="s">
        <v>220</v>
      </c>
      <c r="D4065" s="3" t="s">
        <v>23</v>
      </c>
      <c r="E4065" s="64">
        <v>1</v>
      </c>
    </row>
    <row r="4066" spans="1:5">
      <c r="A4066" s="64" t="s">
        <v>1</v>
      </c>
      <c r="B4066" s="65">
        <v>43526</v>
      </c>
      <c r="C4066" s="66" t="s">
        <v>221</v>
      </c>
      <c r="D4066" s="3" t="s">
        <v>23</v>
      </c>
      <c r="E4066" s="64">
        <v>1</v>
      </c>
    </row>
    <row r="4067" spans="1:5">
      <c r="A4067" s="64" t="s">
        <v>1</v>
      </c>
      <c r="B4067" s="65">
        <v>43527</v>
      </c>
      <c r="C4067" s="66" t="s">
        <v>222</v>
      </c>
      <c r="D4067" s="3" t="s">
        <v>23</v>
      </c>
      <c r="E4067" s="64">
        <v>1</v>
      </c>
    </row>
    <row r="4068" spans="1:5">
      <c r="A4068" s="64" t="s">
        <v>1</v>
      </c>
      <c r="B4068" s="65">
        <v>43528</v>
      </c>
      <c r="C4068" s="66" t="s">
        <v>216</v>
      </c>
      <c r="D4068" s="3" t="s">
        <v>23</v>
      </c>
      <c r="E4068" s="64">
        <v>1</v>
      </c>
    </row>
    <row r="4069" spans="1:5">
      <c r="A4069" s="64" t="s">
        <v>1</v>
      </c>
      <c r="B4069" s="65">
        <v>43529</v>
      </c>
      <c r="C4069" s="66" t="s">
        <v>217</v>
      </c>
      <c r="D4069" s="3" t="s">
        <v>23</v>
      </c>
      <c r="E4069" s="64">
        <v>1</v>
      </c>
    </row>
    <row r="4070" spans="1:5">
      <c r="A4070" s="64" t="s">
        <v>1</v>
      </c>
      <c r="B4070" s="65">
        <v>43530</v>
      </c>
      <c r="C4070" s="66" t="s">
        <v>218</v>
      </c>
      <c r="D4070" s="3" t="s">
        <v>23</v>
      </c>
      <c r="E4070" s="64">
        <v>1</v>
      </c>
    </row>
    <row r="4071" spans="1:5">
      <c r="A4071" s="64" t="s">
        <v>1</v>
      </c>
      <c r="B4071" s="65">
        <v>43531</v>
      </c>
      <c r="C4071" s="66" t="s">
        <v>219</v>
      </c>
      <c r="D4071" s="3" t="s">
        <v>23</v>
      </c>
      <c r="E4071" s="64">
        <v>1</v>
      </c>
    </row>
    <row r="4072" spans="1:5">
      <c r="A4072" s="64" t="s">
        <v>1</v>
      </c>
      <c r="B4072" s="65">
        <v>43532</v>
      </c>
      <c r="C4072" s="66" t="s">
        <v>220</v>
      </c>
      <c r="D4072" s="3" t="s">
        <v>23</v>
      </c>
      <c r="E4072" s="64">
        <v>1</v>
      </c>
    </row>
    <row r="4073" spans="1:5">
      <c r="A4073" s="64" t="s">
        <v>1</v>
      </c>
      <c r="B4073" s="65">
        <v>43533</v>
      </c>
      <c r="C4073" s="66" t="s">
        <v>221</v>
      </c>
      <c r="D4073" s="3" t="s">
        <v>23</v>
      </c>
      <c r="E4073" s="64">
        <v>1</v>
      </c>
    </row>
    <row r="4074" spans="1:5">
      <c r="A4074" s="64" t="s">
        <v>1</v>
      </c>
      <c r="B4074" s="65">
        <v>43534</v>
      </c>
      <c r="C4074" s="66" t="s">
        <v>222</v>
      </c>
      <c r="D4074" s="3" t="s">
        <v>23</v>
      </c>
      <c r="E4074" s="64">
        <v>1</v>
      </c>
    </row>
    <row r="4075" spans="1:5">
      <c r="A4075" s="64" t="s">
        <v>1</v>
      </c>
      <c r="B4075" s="65">
        <v>43535</v>
      </c>
      <c r="C4075" s="66" t="s">
        <v>216</v>
      </c>
      <c r="D4075" s="3" t="s">
        <v>23</v>
      </c>
      <c r="E4075" s="64">
        <v>1</v>
      </c>
    </row>
    <row r="4076" spans="1:5">
      <c r="A4076" s="64" t="s">
        <v>1</v>
      </c>
      <c r="B4076" s="65">
        <v>43536</v>
      </c>
      <c r="C4076" s="66" t="s">
        <v>217</v>
      </c>
      <c r="D4076" s="3" t="s">
        <v>23</v>
      </c>
      <c r="E4076" s="64">
        <v>1</v>
      </c>
    </row>
    <row r="4077" spans="1:5">
      <c r="A4077" s="64" t="s">
        <v>1</v>
      </c>
      <c r="B4077" s="65">
        <v>43537</v>
      </c>
      <c r="C4077" s="66" t="s">
        <v>218</v>
      </c>
      <c r="D4077" s="3" t="s">
        <v>23</v>
      </c>
      <c r="E4077" s="64">
        <v>1</v>
      </c>
    </row>
    <row r="4078" spans="1:5">
      <c r="A4078" s="64" t="s">
        <v>1</v>
      </c>
      <c r="B4078" s="65">
        <v>43538</v>
      </c>
      <c r="C4078" s="66" t="s">
        <v>219</v>
      </c>
      <c r="D4078" s="3" t="s">
        <v>23</v>
      </c>
      <c r="E4078" s="64">
        <v>1</v>
      </c>
    </row>
    <row r="4079" spans="1:5">
      <c r="A4079" s="64" t="s">
        <v>1</v>
      </c>
      <c r="B4079" s="65">
        <v>43539</v>
      </c>
      <c r="C4079" s="66" t="s">
        <v>220</v>
      </c>
      <c r="D4079" s="3" t="s">
        <v>23</v>
      </c>
      <c r="E4079" s="64">
        <v>1</v>
      </c>
    </row>
    <row r="4080" spans="1:5">
      <c r="A4080" s="64" t="s">
        <v>1</v>
      </c>
      <c r="B4080" s="65">
        <v>43540</v>
      </c>
      <c r="C4080" s="66" t="s">
        <v>221</v>
      </c>
      <c r="D4080" s="3" t="s">
        <v>23</v>
      </c>
      <c r="E4080" s="64">
        <v>1</v>
      </c>
    </row>
    <row r="4081" spans="1:5">
      <c r="A4081" s="64" t="s">
        <v>1</v>
      </c>
      <c r="B4081" s="65">
        <v>43541</v>
      </c>
      <c r="C4081" s="66" t="s">
        <v>222</v>
      </c>
      <c r="D4081" s="3" t="s">
        <v>23</v>
      </c>
      <c r="E4081" s="64">
        <v>1</v>
      </c>
    </row>
    <row r="4082" spans="1:5">
      <c r="A4082" s="64" t="s">
        <v>1</v>
      </c>
      <c r="B4082" s="65">
        <v>43542</v>
      </c>
      <c r="C4082" s="66" t="s">
        <v>216</v>
      </c>
      <c r="D4082" s="3" t="s">
        <v>23</v>
      </c>
      <c r="E4082" s="64">
        <v>1</v>
      </c>
    </row>
    <row r="4083" spans="1:5">
      <c r="A4083" s="64" t="s">
        <v>1</v>
      </c>
      <c r="B4083" s="65">
        <v>43543</v>
      </c>
      <c r="C4083" s="66" t="s">
        <v>217</v>
      </c>
      <c r="D4083" s="3" t="s">
        <v>23</v>
      </c>
      <c r="E4083" s="64">
        <v>1</v>
      </c>
    </row>
    <row r="4084" spans="1:5">
      <c r="A4084" s="64" t="s">
        <v>1</v>
      </c>
      <c r="B4084" s="65">
        <v>43544</v>
      </c>
      <c r="C4084" s="66" t="s">
        <v>218</v>
      </c>
      <c r="D4084" s="3" t="s">
        <v>23</v>
      </c>
      <c r="E4084" s="64">
        <v>1</v>
      </c>
    </row>
    <row r="4085" spans="1:5">
      <c r="A4085" s="64" t="s">
        <v>1</v>
      </c>
      <c r="B4085" s="65">
        <v>43545</v>
      </c>
      <c r="C4085" s="66" t="s">
        <v>219</v>
      </c>
      <c r="D4085" s="3" t="s">
        <v>23</v>
      </c>
      <c r="E4085" s="64">
        <v>1</v>
      </c>
    </row>
    <row r="4086" spans="1:5">
      <c r="A4086" s="64" t="s">
        <v>1</v>
      </c>
      <c r="B4086" s="65">
        <v>43546</v>
      </c>
      <c r="C4086" s="66" t="s">
        <v>220</v>
      </c>
      <c r="D4086" s="3" t="s">
        <v>23</v>
      </c>
      <c r="E4086" s="64">
        <v>1</v>
      </c>
    </row>
    <row r="4087" spans="1:5">
      <c r="A4087" s="64" t="s">
        <v>1</v>
      </c>
      <c r="B4087" s="65">
        <v>43547</v>
      </c>
      <c r="C4087" s="66" t="s">
        <v>221</v>
      </c>
      <c r="D4087" s="3" t="s">
        <v>23</v>
      </c>
      <c r="E4087" s="64">
        <v>1</v>
      </c>
    </row>
    <row r="4088" spans="1:5">
      <c r="A4088" s="64" t="s">
        <v>1</v>
      </c>
      <c r="B4088" s="65">
        <v>43548</v>
      </c>
      <c r="C4088" s="66" t="s">
        <v>222</v>
      </c>
      <c r="D4088" s="3" t="s">
        <v>23</v>
      </c>
      <c r="E4088" s="64">
        <v>1</v>
      </c>
    </row>
    <row r="4089" spans="1:5">
      <c r="A4089" s="64" t="s">
        <v>1</v>
      </c>
      <c r="B4089" s="65">
        <v>43549</v>
      </c>
      <c r="C4089" s="66" t="s">
        <v>216</v>
      </c>
      <c r="D4089" s="3" t="s">
        <v>23</v>
      </c>
      <c r="E4089" s="64">
        <v>1</v>
      </c>
    </row>
    <row r="4090" spans="1:5">
      <c r="A4090" s="64" t="s">
        <v>1</v>
      </c>
      <c r="B4090" s="65">
        <v>43550</v>
      </c>
      <c r="C4090" s="66" t="s">
        <v>217</v>
      </c>
      <c r="D4090" s="3" t="s">
        <v>23</v>
      </c>
      <c r="E4090" s="64">
        <v>1</v>
      </c>
    </row>
    <row r="4091" spans="1:5">
      <c r="A4091" s="64" t="s">
        <v>1</v>
      </c>
      <c r="B4091" s="65">
        <v>43551</v>
      </c>
      <c r="C4091" s="66" t="s">
        <v>218</v>
      </c>
      <c r="D4091" s="3" t="s">
        <v>23</v>
      </c>
      <c r="E4091" s="64">
        <v>1</v>
      </c>
    </row>
    <row r="4092" spans="1:5">
      <c r="A4092" s="64" t="s">
        <v>1</v>
      </c>
      <c r="B4092" s="65">
        <v>43552</v>
      </c>
      <c r="C4092" s="66" t="s">
        <v>219</v>
      </c>
      <c r="D4092" s="3" t="s">
        <v>23</v>
      </c>
      <c r="E4092" s="64">
        <v>1</v>
      </c>
    </row>
    <row r="4093" spans="1:5">
      <c r="A4093" s="64" t="s">
        <v>1</v>
      </c>
      <c r="B4093" s="65">
        <v>43553</v>
      </c>
      <c r="C4093" s="66" t="s">
        <v>220</v>
      </c>
      <c r="D4093" s="3" t="s">
        <v>23</v>
      </c>
      <c r="E4093" s="64">
        <v>1</v>
      </c>
    </row>
    <row r="4094" spans="1:5">
      <c r="A4094" s="64" t="s">
        <v>1</v>
      </c>
      <c r="B4094" s="65">
        <v>43554</v>
      </c>
      <c r="C4094" s="66" t="s">
        <v>221</v>
      </c>
      <c r="D4094" s="3" t="s">
        <v>23</v>
      </c>
      <c r="E4094" s="64">
        <v>1</v>
      </c>
    </row>
    <row r="4095" spans="1:5">
      <c r="A4095" s="64" t="s">
        <v>1</v>
      </c>
      <c r="B4095" s="65">
        <v>43555</v>
      </c>
      <c r="C4095" s="66" t="s">
        <v>222</v>
      </c>
      <c r="D4095" s="3" t="s">
        <v>23</v>
      </c>
      <c r="E4095" s="64">
        <v>1</v>
      </c>
    </row>
    <row r="4096" spans="1:5">
      <c r="A4096" s="64" t="s">
        <v>1</v>
      </c>
      <c r="B4096" s="65">
        <v>43556</v>
      </c>
      <c r="C4096" s="66" t="s">
        <v>216</v>
      </c>
      <c r="D4096" s="3" t="s">
        <v>23</v>
      </c>
      <c r="E4096" s="64">
        <v>1</v>
      </c>
    </row>
    <row r="4097" spans="1:5">
      <c r="A4097" s="64" t="s">
        <v>1</v>
      </c>
      <c r="B4097" s="65">
        <v>43557</v>
      </c>
      <c r="C4097" s="66" t="s">
        <v>217</v>
      </c>
      <c r="D4097" s="3" t="s">
        <v>23</v>
      </c>
      <c r="E4097" s="64">
        <v>1</v>
      </c>
    </row>
    <row r="4098" spans="1:5">
      <c r="A4098" s="64" t="s">
        <v>1</v>
      </c>
      <c r="B4098" s="65">
        <v>43558</v>
      </c>
      <c r="C4098" s="66" t="s">
        <v>218</v>
      </c>
      <c r="D4098" s="3" t="s">
        <v>23</v>
      </c>
      <c r="E4098" s="64">
        <v>1</v>
      </c>
    </row>
    <row r="4099" spans="1:5">
      <c r="A4099" s="64" t="s">
        <v>1</v>
      </c>
      <c r="B4099" s="65">
        <v>43559</v>
      </c>
      <c r="C4099" s="66" t="s">
        <v>219</v>
      </c>
      <c r="D4099" s="3" t="s">
        <v>23</v>
      </c>
      <c r="E4099" s="64">
        <v>1</v>
      </c>
    </row>
    <row r="4100" spans="1:5">
      <c r="A4100" s="64" t="s">
        <v>1</v>
      </c>
      <c r="B4100" s="65">
        <v>43560</v>
      </c>
      <c r="C4100" s="66" t="s">
        <v>220</v>
      </c>
      <c r="D4100" s="3" t="s">
        <v>23</v>
      </c>
      <c r="E4100" s="64">
        <v>1</v>
      </c>
    </row>
    <row r="4101" spans="1:5">
      <c r="A4101" s="64" t="s">
        <v>1</v>
      </c>
      <c r="B4101" s="65">
        <v>43561</v>
      </c>
      <c r="C4101" s="66" t="s">
        <v>221</v>
      </c>
      <c r="D4101" s="3" t="s">
        <v>23</v>
      </c>
      <c r="E4101" s="64">
        <v>1</v>
      </c>
    </row>
    <row r="4102" spans="1:5">
      <c r="A4102" s="64" t="s">
        <v>1</v>
      </c>
      <c r="B4102" s="65">
        <v>43562</v>
      </c>
      <c r="C4102" s="66" t="s">
        <v>222</v>
      </c>
      <c r="D4102" s="3" t="s">
        <v>23</v>
      </c>
      <c r="E4102" s="64">
        <v>1</v>
      </c>
    </row>
    <row r="4103" spans="1:5">
      <c r="A4103" s="64" t="s">
        <v>1</v>
      </c>
      <c r="B4103" s="65">
        <v>43563</v>
      </c>
      <c r="C4103" s="66" t="s">
        <v>216</v>
      </c>
      <c r="D4103" s="3" t="s">
        <v>23</v>
      </c>
      <c r="E4103" s="64">
        <v>1</v>
      </c>
    </row>
    <row r="4104" spans="1:5">
      <c r="A4104" s="64" t="s">
        <v>1</v>
      </c>
      <c r="B4104" s="65">
        <v>43564</v>
      </c>
      <c r="C4104" s="66" t="s">
        <v>217</v>
      </c>
      <c r="D4104" s="3" t="s">
        <v>23</v>
      </c>
      <c r="E4104" s="64">
        <v>1</v>
      </c>
    </row>
    <row r="4105" spans="1:5">
      <c r="A4105" s="64" t="s">
        <v>1</v>
      </c>
      <c r="B4105" s="65">
        <v>43565</v>
      </c>
      <c r="C4105" s="66" t="s">
        <v>218</v>
      </c>
      <c r="D4105" s="3" t="s">
        <v>23</v>
      </c>
      <c r="E4105" s="64">
        <v>1</v>
      </c>
    </row>
    <row r="4106" spans="1:5">
      <c r="A4106" s="64" t="s">
        <v>1</v>
      </c>
      <c r="B4106" s="65">
        <v>43566</v>
      </c>
      <c r="C4106" s="66" t="s">
        <v>219</v>
      </c>
      <c r="D4106" s="3" t="s">
        <v>23</v>
      </c>
      <c r="E4106" s="64">
        <v>1</v>
      </c>
    </row>
    <row r="4107" spans="1:5">
      <c r="A4107" s="64" t="s">
        <v>1</v>
      </c>
      <c r="B4107" s="65">
        <v>43567</v>
      </c>
      <c r="C4107" s="66" t="s">
        <v>220</v>
      </c>
      <c r="D4107" s="3" t="s">
        <v>23</v>
      </c>
      <c r="E4107" s="64">
        <v>1</v>
      </c>
    </row>
    <row r="4108" spans="1:5">
      <c r="A4108" s="64" t="s">
        <v>1</v>
      </c>
      <c r="B4108" s="65">
        <v>43568</v>
      </c>
      <c r="C4108" s="66" t="s">
        <v>221</v>
      </c>
      <c r="D4108" s="3" t="s">
        <v>23</v>
      </c>
      <c r="E4108" s="64">
        <v>1</v>
      </c>
    </row>
    <row r="4109" spans="1:5">
      <c r="A4109" s="64" t="s">
        <v>1</v>
      </c>
      <c r="B4109" s="65">
        <v>43569</v>
      </c>
      <c r="C4109" s="66" t="s">
        <v>222</v>
      </c>
      <c r="D4109" s="3" t="s">
        <v>23</v>
      </c>
      <c r="E4109" s="64">
        <v>1</v>
      </c>
    </row>
    <row r="4110" spans="1:5">
      <c r="A4110" s="64" t="s">
        <v>1</v>
      </c>
      <c r="B4110" s="65">
        <v>43570</v>
      </c>
      <c r="C4110" s="66" t="s">
        <v>216</v>
      </c>
      <c r="D4110" s="3" t="s">
        <v>23</v>
      </c>
      <c r="E4110" s="64">
        <v>1</v>
      </c>
    </row>
    <row r="4111" spans="1:5">
      <c r="A4111" s="64" t="s">
        <v>1</v>
      </c>
      <c r="B4111" s="65">
        <v>43571</v>
      </c>
      <c r="C4111" s="66" t="s">
        <v>217</v>
      </c>
      <c r="D4111" s="3" t="s">
        <v>23</v>
      </c>
      <c r="E4111" s="64">
        <v>1</v>
      </c>
    </row>
    <row r="4112" spans="1:5">
      <c r="A4112" s="64" t="s">
        <v>1</v>
      </c>
      <c r="B4112" s="65">
        <v>43572</v>
      </c>
      <c r="C4112" s="66" t="s">
        <v>218</v>
      </c>
      <c r="D4112" s="3" t="s">
        <v>23</v>
      </c>
      <c r="E4112" s="64">
        <v>1</v>
      </c>
    </row>
    <row r="4113" spans="1:5">
      <c r="A4113" s="64" t="s">
        <v>1</v>
      </c>
      <c r="B4113" s="65">
        <v>43573</v>
      </c>
      <c r="C4113" s="66" t="s">
        <v>219</v>
      </c>
      <c r="D4113" s="3" t="s">
        <v>23</v>
      </c>
      <c r="E4113" s="64">
        <v>1</v>
      </c>
    </row>
    <row r="4114" spans="1:5">
      <c r="A4114" s="64" t="s">
        <v>1</v>
      </c>
      <c r="B4114" s="65">
        <v>43574</v>
      </c>
      <c r="C4114" s="66" t="s">
        <v>220</v>
      </c>
      <c r="D4114" s="3" t="s">
        <v>23</v>
      </c>
      <c r="E4114" s="64">
        <v>1</v>
      </c>
    </row>
    <row r="4115" spans="1:5">
      <c r="A4115" s="64" t="s">
        <v>1</v>
      </c>
      <c r="B4115" s="65">
        <v>43575</v>
      </c>
      <c r="C4115" s="66" t="s">
        <v>221</v>
      </c>
      <c r="D4115" s="3" t="s">
        <v>23</v>
      </c>
      <c r="E4115" s="64">
        <v>1</v>
      </c>
    </row>
    <row r="4116" spans="1:5">
      <c r="A4116" s="64" t="s">
        <v>1</v>
      </c>
      <c r="B4116" s="65">
        <v>43576</v>
      </c>
      <c r="C4116" s="66" t="s">
        <v>222</v>
      </c>
      <c r="D4116" s="3" t="s">
        <v>23</v>
      </c>
      <c r="E4116" s="64">
        <v>1</v>
      </c>
    </row>
    <row r="4117" spans="1:5">
      <c r="A4117" s="64" t="s">
        <v>1</v>
      </c>
      <c r="B4117" s="65">
        <v>43577</v>
      </c>
      <c r="C4117" s="66" t="s">
        <v>216</v>
      </c>
      <c r="D4117" s="3" t="s">
        <v>23</v>
      </c>
      <c r="E4117" s="64">
        <v>1</v>
      </c>
    </row>
    <row r="4118" spans="1:5">
      <c r="A4118" s="64" t="s">
        <v>1</v>
      </c>
      <c r="B4118" s="65">
        <v>43578</v>
      </c>
      <c r="C4118" s="66" t="s">
        <v>217</v>
      </c>
      <c r="D4118" s="3" t="s">
        <v>23</v>
      </c>
      <c r="E4118" s="64">
        <v>1</v>
      </c>
    </row>
    <row r="4119" spans="1:5">
      <c r="A4119" s="64" t="s">
        <v>1</v>
      </c>
      <c r="B4119" s="65">
        <v>43579</v>
      </c>
      <c r="C4119" s="66" t="s">
        <v>218</v>
      </c>
      <c r="D4119" s="3" t="s">
        <v>23</v>
      </c>
      <c r="E4119" s="64">
        <v>1</v>
      </c>
    </row>
    <row r="4120" spans="1:5">
      <c r="A4120" s="64" t="s">
        <v>1</v>
      </c>
      <c r="B4120" s="65">
        <v>43580</v>
      </c>
      <c r="C4120" s="66" t="s">
        <v>219</v>
      </c>
      <c r="D4120" s="3" t="s">
        <v>23</v>
      </c>
      <c r="E4120" s="64">
        <v>1</v>
      </c>
    </row>
    <row r="4121" spans="1:5">
      <c r="A4121" s="64" t="s">
        <v>1</v>
      </c>
      <c r="B4121" s="65">
        <v>43581</v>
      </c>
      <c r="C4121" s="66" t="s">
        <v>220</v>
      </c>
      <c r="D4121" s="3" t="s">
        <v>23</v>
      </c>
      <c r="E4121" s="64">
        <v>1</v>
      </c>
    </row>
    <row r="4122" spans="1:5">
      <c r="A4122" s="64" t="s">
        <v>1</v>
      </c>
      <c r="B4122" s="65">
        <v>43582</v>
      </c>
      <c r="C4122" s="66" t="s">
        <v>221</v>
      </c>
      <c r="D4122" s="3" t="s">
        <v>23</v>
      </c>
      <c r="E4122" s="64">
        <v>1</v>
      </c>
    </row>
    <row r="4123" spans="1:5">
      <c r="A4123" s="64" t="s">
        <v>1</v>
      </c>
      <c r="B4123" s="65">
        <v>43583</v>
      </c>
      <c r="C4123" s="66" t="s">
        <v>222</v>
      </c>
      <c r="D4123" s="3" t="s">
        <v>23</v>
      </c>
      <c r="E4123" s="64">
        <v>1</v>
      </c>
    </row>
    <row r="4124" spans="1:5">
      <c r="A4124" s="64" t="s">
        <v>1</v>
      </c>
      <c r="B4124" s="65">
        <v>43584</v>
      </c>
      <c r="C4124" s="66" t="s">
        <v>216</v>
      </c>
      <c r="D4124" s="3" t="s">
        <v>23</v>
      </c>
      <c r="E4124" s="64">
        <v>1</v>
      </c>
    </row>
    <row r="4125" spans="1:5">
      <c r="A4125" s="64" t="s">
        <v>1</v>
      </c>
      <c r="B4125" s="65">
        <v>43585</v>
      </c>
      <c r="C4125" s="66" t="s">
        <v>217</v>
      </c>
      <c r="D4125" s="3" t="s">
        <v>23</v>
      </c>
      <c r="E4125" s="64">
        <v>1</v>
      </c>
    </row>
    <row r="4126" spans="1:5">
      <c r="A4126" s="64" t="s">
        <v>24</v>
      </c>
      <c r="B4126" s="65">
        <v>43220</v>
      </c>
      <c r="C4126" s="66" t="s">
        <v>216</v>
      </c>
      <c r="D4126" s="3" t="s">
        <v>3</v>
      </c>
      <c r="E4126" s="64">
        <v>1</v>
      </c>
    </row>
    <row r="4127" spans="1:5">
      <c r="A4127" s="64" t="s">
        <v>24</v>
      </c>
      <c r="B4127" s="65">
        <v>43221</v>
      </c>
      <c r="C4127" s="66" t="s">
        <v>217</v>
      </c>
      <c r="D4127" s="3" t="s">
        <v>3</v>
      </c>
      <c r="E4127" s="64">
        <v>1</v>
      </c>
    </row>
    <row r="4128" spans="1:5">
      <c r="A4128" s="64" t="s">
        <v>24</v>
      </c>
      <c r="B4128" s="65">
        <v>43222</v>
      </c>
      <c r="C4128" s="66" t="s">
        <v>218</v>
      </c>
      <c r="D4128" s="3" t="s">
        <v>3</v>
      </c>
      <c r="E4128" s="64">
        <v>1</v>
      </c>
    </row>
    <row r="4129" spans="1:5">
      <c r="A4129" s="64" t="s">
        <v>24</v>
      </c>
      <c r="B4129" s="65">
        <v>43223</v>
      </c>
      <c r="C4129" s="66" t="s">
        <v>219</v>
      </c>
      <c r="D4129" s="3" t="s">
        <v>3</v>
      </c>
      <c r="E4129" s="64">
        <v>1</v>
      </c>
    </row>
    <row r="4130" spans="1:5">
      <c r="A4130" s="64" t="s">
        <v>24</v>
      </c>
      <c r="B4130" s="65">
        <v>43224</v>
      </c>
      <c r="C4130" s="66" t="s">
        <v>220</v>
      </c>
      <c r="D4130" s="3" t="s">
        <v>3</v>
      </c>
      <c r="E4130" s="64">
        <v>1</v>
      </c>
    </row>
    <row r="4131" spans="1:5">
      <c r="A4131" s="64" t="s">
        <v>24</v>
      </c>
      <c r="B4131" s="65">
        <v>43227</v>
      </c>
      <c r="C4131" s="66" t="s">
        <v>216</v>
      </c>
      <c r="D4131" s="3" t="s">
        <v>3</v>
      </c>
      <c r="E4131" s="64">
        <v>1</v>
      </c>
    </row>
    <row r="4132" spans="1:5">
      <c r="A4132" s="64" t="s">
        <v>24</v>
      </c>
      <c r="B4132" s="65">
        <v>43228</v>
      </c>
      <c r="C4132" s="66" t="s">
        <v>217</v>
      </c>
      <c r="D4132" s="3" t="s">
        <v>3</v>
      </c>
      <c r="E4132" s="64">
        <v>1</v>
      </c>
    </row>
    <row r="4133" spans="1:5">
      <c r="A4133" s="64" t="s">
        <v>24</v>
      </c>
      <c r="B4133" s="65">
        <v>43229</v>
      </c>
      <c r="C4133" s="66" t="s">
        <v>218</v>
      </c>
      <c r="D4133" s="3" t="s">
        <v>3</v>
      </c>
      <c r="E4133" s="64">
        <v>1</v>
      </c>
    </row>
    <row r="4134" spans="1:5">
      <c r="A4134" s="64" t="s">
        <v>24</v>
      </c>
      <c r="B4134" s="65">
        <v>43230</v>
      </c>
      <c r="C4134" s="66" t="s">
        <v>219</v>
      </c>
      <c r="D4134" s="3" t="s">
        <v>3</v>
      </c>
      <c r="E4134" s="64">
        <v>1</v>
      </c>
    </row>
    <row r="4135" spans="1:5">
      <c r="A4135" s="64" t="s">
        <v>24</v>
      </c>
      <c r="B4135" s="65">
        <v>43231</v>
      </c>
      <c r="C4135" s="66" t="s">
        <v>220</v>
      </c>
      <c r="D4135" s="3" t="s">
        <v>3</v>
      </c>
      <c r="E4135" s="64">
        <v>1</v>
      </c>
    </row>
    <row r="4136" spans="1:5">
      <c r="A4136" s="64" t="s">
        <v>24</v>
      </c>
      <c r="B4136" s="65">
        <v>43234</v>
      </c>
      <c r="C4136" s="66" t="s">
        <v>216</v>
      </c>
      <c r="D4136" s="3" t="s">
        <v>3</v>
      </c>
      <c r="E4136" s="64">
        <v>1</v>
      </c>
    </row>
    <row r="4137" spans="1:5">
      <c r="A4137" s="64" t="s">
        <v>24</v>
      </c>
      <c r="B4137" s="65">
        <v>43235</v>
      </c>
      <c r="C4137" s="66" t="s">
        <v>217</v>
      </c>
      <c r="D4137" s="3" t="s">
        <v>3</v>
      </c>
      <c r="E4137" s="64">
        <v>1</v>
      </c>
    </row>
    <row r="4138" spans="1:5">
      <c r="A4138" s="64" t="s">
        <v>24</v>
      </c>
      <c r="B4138" s="65">
        <v>43236</v>
      </c>
      <c r="C4138" s="66" t="s">
        <v>218</v>
      </c>
      <c r="D4138" s="3" t="s">
        <v>3</v>
      </c>
      <c r="E4138" s="64">
        <v>1</v>
      </c>
    </row>
    <row r="4139" spans="1:5">
      <c r="A4139" s="64" t="s">
        <v>24</v>
      </c>
      <c r="B4139" s="65">
        <v>43237</v>
      </c>
      <c r="C4139" s="66" t="s">
        <v>219</v>
      </c>
      <c r="D4139" s="3" t="s">
        <v>3</v>
      </c>
      <c r="E4139" s="64">
        <v>1</v>
      </c>
    </row>
    <row r="4140" spans="1:5">
      <c r="A4140" s="64" t="s">
        <v>24</v>
      </c>
      <c r="B4140" s="65">
        <v>43238</v>
      </c>
      <c r="C4140" s="66" t="s">
        <v>220</v>
      </c>
      <c r="D4140" s="3" t="s">
        <v>3</v>
      </c>
      <c r="E4140" s="64">
        <v>1</v>
      </c>
    </row>
    <row r="4141" spans="1:5">
      <c r="A4141" s="64" t="s">
        <v>24</v>
      </c>
      <c r="B4141" s="65">
        <v>43241</v>
      </c>
      <c r="C4141" s="66" t="s">
        <v>216</v>
      </c>
      <c r="D4141" s="3" t="s">
        <v>3</v>
      </c>
      <c r="E4141" s="64">
        <v>1</v>
      </c>
    </row>
    <row r="4142" spans="1:5">
      <c r="A4142" s="64" t="s">
        <v>24</v>
      </c>
      <c r="B4142" s="65">
        <v>43242</v>
      </c>
      <c r="C4142" s="66" t="s">
        <v>217</v>
      </c>
      <c r="D4142" s="3" t="s">
        <v>3</v>
      </c>
      <c r="E4142" s="64">
        <v>1</v>
      </c>
    </row>
    <row r="4143" spans="1:5">
      <c r="A4143" s="64" t="s">
        <v>24</v>
      </c>
      <c r="B4143" s="65">
        <v>43243</v>
      </c>
      <c r="C4143" s="66" t="s">
        <v>218</v>
      </c>
      <c r="D4143" s="3" t="s">
        <v>3</v>
      </c>
      <c r="E4143" s="64">
        <v>1</v>
      </c>
    </row>
    <row r="4144" spans="1:5">
      <c r="A4144" s="64" t="s">
        <v>24</v>
      </c>
      <c r="B4144" s="65">
        <v>43244</v>
      </c>
      <c r="C4144" s="66" t="s">
        <v>219</v>
      </c>
      <c r="D4144" s="3" t="s">
        <v>3</v>
      </c>
      <c r="E4144" s="64">
        <v>1</v>
      </c>
    </row>
    <row r="4145" spans="1:5">
      <c r="A4145" s="64" t="s">
        <v>24</v>
      </c>
      <c r="B4145" s="65">
        <v>43245</v>
      </c>
      <c r="C4145" s="66" t="s">
        <v>220</v>
      </c>
      <c r="D4145" s="3" t="s">
        <v>3</v>
      </c>
      <c r="E4145" s="64">
        <v>1</v>
      </c>
    </row>
    <row r="4146" spans="1:5">
      <c r="A4146" s="64" t="s">
        <v>24</v>
      </c>
      <c r="B4146" s="65">
        <v>43248</v>
      </c>
      <c r="C4146" s="66" t="s">
        <v>216</v>
      </c>
      <c r="D4146" s="3" t="s">
        <v>3</v>
      </c>
      <c r="E4146" s="64">
        <v>1</v>
      </c>
    </row>
    <row r="4147" spans="1:5">
      <c r="A4147" s="64" t="s">
        <v>24</v>
      </c>
      <c r="B4147" s="65">
        <v>43249</v>
      </c>
      <c r="C4147" s="66" t="s">
        <v>217</v>
      </c>
      <c r="D4147" s="3" t="s">
        <v>3</v>
      </c>
      <c r="E4147" s="64">
        <v>1</v>
      </c>
    </row>
    <row r="4148" spans="1:5">
      <c r="A4148" s="64" t="s">
        <v>24</v>
      </c>
      <c r="B4148" s="65">
        <v>43250</v>
      </c>
      <c r="C4148" s="66" t="s">
        <v>218</v>
      </c>
      <c r="D4148" s="3" t="s">
        <v>3</v>
      </c>
      <c r="E4148" s="64">
        <v>1</v>
      </c>
    </row>
    <row r="4149" spans="1:5">
      <c r="A4149" s="64" t="s">
        <v>24</v>
      </c>
      <c r="B4149" s="65">
        <v>43251</v>
      </c>
      <c r="C4149" s="66" t="s">
        <v>219</v>
      </c>
      <c r="D4149" s="3" t="s">
        <v>3</v>
      </c>
      <c r="E4149" s="64">
        <v>1</v>
      </c>
    </row>
    <row r="4150" spans="1:5">
      <c r="A4150" s="64" t="s">
        <v>24</v>
      </c>
      <c r="B4150" s="65">
        <v>43252</v>
      </c>
      <c r="C4150" s="66" t="s">
        <v>220</v>
      </c>
      <c r="D4150" s="3" t="s">
        <v>3</v>
      </c>
      <c r="E4150" s="64">
        <v>1</v>
      </c>
    </row>
    <row r="4151" spans="1:5">
      <c r="A4151" s="64" t="s">
        <v>24</v>
      </c>
      <c r="B4151" s="65">
        <v>43255</v>
      </c>
      <c r="C4151" s="66" t="s">
        <v>216</v>
      </c>
      <c r="D4151" s="3" t="s">
        <v>3</v>
      </c>
      <c r="E4151" s="64">
        <v>1</v>
      </c>
    </row>
    <row r="4152" spans="1:5">
      <c r="A4152" s="64" t="s">
        <v>24</v>
      </c>
      <c r="B4152" s="65">
        <v>43256</v>
      </c>
      <c r="C4152" s="66" t="s">
        <v>217</v>
      </c>
      <c r="D4152" s="3" t="s">
        <v>3</v>
      </c>
      <c r="E4152" s="64">
        <v>1</v>
      </c>
    </row>
    <row r="4153" spans="1:5">
      <c r="A4153" s="64" t="s">
        <v>24</v>
      </c>
      <c r="B4153" s="65">
        <v>43257</v>
      </c>
      <c r="C4153" s="66" t="s">
        <v>218</v>
      </c>
      <c r="D4153" s="3" t="s">
        <v>3</v>
      </c>
      <c r="E4153" s="64">
        <v>1</v>
      </c>
    </row>
    <row r="4154" spans="1:5">
      <c r="A4154" s="64" t="s">
        <v>24</v>
      </c>
      <c r="B4154" s="65">
        <v>43258</v>
      </c>
      <c r="C4154" s="66" t="s">
        <v>219</v>
      </c>
      <c r="D4154" s="3" t="s">
        <v>3</v>
      </c>
      <c r="E4154" s="64">
        <v>1</v>
      </c>
    </row>
    <row r="4155" spans="1:5">
      <c r="A4155" s="64" t="s">
        <v>24</v>
      </c>
      <c r="B4155" s="65">
        <v>43259</v>
      </c>
      <c r="C4155" s="66" t="s">
        <v>220</v>
      </c>
      <c r="D4155" s="3" t="s">
        <v>3</v>
      </c>
      <c r="E4155" s="64">
        <v>1</v>
      </c>
    </row>
    <row r="4156" spans="1:5">
      <c r="A4156" s="64" t="s">
        <v>24</v>
      </c>
      <c r="B4156" s="65">
        <v>43262</v>
      </c>
      <c r="C4156" s="66" t="s">
        <v>216</v>
      </c>
      <c r="D4156" s="3" t="s">
        <v>3</v>
      </c>
      <c r="E4156" s="64">
        <v>1</v>
      </c>
    </row>
    <row r="4157" spans="1:5">
      <c r="A4157" s="64" t="s">
        <v>24</v>
      </c>
      <c r="B4157" s="65">
        <v>43263</v>
      </c>
      <c r="C4157" s="66" t="s">
        <v>217</v>
      </c>
      <c r="D4157" s="3" t="s">
        <v>3</v>
      </c>
      <c r="E4157" s="64">
        <v>1</v>
      </c>
    </row>
    <row r="4158" spans="1:5">
      <c r="A4158" s="64" t="s">
        <v>24</v>
      </c>
      <c r="B4158" s="65">
        <v>43264</v>
      </c>
      <c r="C4158" s="66" t="s">
        <v>218</v>
      </c>
      <c r="D4158" s="3" t="s">
        <v>3</v>
      </c>
      <c r="E4158" s="64">
        <v>1</v>
      </c>
    </row>
    <row r="4159" spans="1:5">
      <c r="A4159" s="64" t="s">
        <v>24</v>
      </c>
      <c r="B4159" s="65">
        <v>43265</v>
      </c>
      <c r="C4159" s="66" t="s">
        <v>219</v>
      </c>
      <c r="D4159" s="3" t="s">
        <v>3</v>
      </c>
      <c r="E4159" s="64">
        <v>1</v>
      </c>
    </row>
    <row r="4160" spans="1:5">
      <c r="A4160" s="64" t="s">
        <v>24</v>
      </c>
      <c r="B4160" s="65">
        <v>43266</v>
      </c>
      <c r="C4160" s="66" t="s">
        <v>220</v>
      </c>
      <c r="D4160" s="3" t="s">
        <v>3</v>
      </c>
      <c r="E4160" s="64">
        <v>1</v>
      </c>
    </row>
    <row r="4161" spans="1:5">
      <c r="A4161" s="64" t="s">
        <v>24</v>
      </c>
      <c r="B4161" s="65">
        <v>43269</v>
      </c>
      <c r="C4161" s="66" t="s">
        <v>216</v>
      </c>
      <c r="D4161" s="3" t="s">
        <v>3</v>
      </c>
      <c r="E4161" s="64">
        <v>1</v>
      </c>
    </row>
    <row r="4162" spans="1:5">
      <c r="A4162" s="64" t="s">
        <v>24</v>
      </c>
      <c r="B4162" s="65">
        <v>43270</v>
      </c>
      <c r="C4162" s="66" t="s">
        <v>217</v>
      </c>
      <c r="D4162" s="3" t="s">
        <v>3</v>
      </c>
      <c r="E4162" s="64">
        <v>1</v>
      </c>
    </row>
    <row r="4163" spans="1:5">
      <c r="A4163" s="64" t="s">
        <v>24</v>
      </c>
      <c r="B4163" s="65">
        <v>43271</v>
      </c>
      <c r="C4163" s="66" t="s">
        <v>218</v>
      </c>
      <c r="D4163" s="3" t="s">
        <v>3</v>
      </c>
      <c r="E4163" s="64">
        <v>1</v>
      </c>
    </row>
    <row r="4164" spans="1:5">
      <c r="A4164" s="64" t="s">
        <v>24</v>
      </c>
      <c r="B4164" s="65">
        <v>43272</v>
      </c>
      <c r="C4164" s="66" t="s">
        <v>219</v>
      </c>
      <c r="D4164" s="3" t="s">
        <v>3</v>
      </c>
      <c r="E4164" s="64">
        <v>1</v>
      </c>
    </row>
    <row r="4165" spans="1:5">
      <c r="A4165" s="64" t="s">
        <v>24</v>
      </c>
      <c r="B4165" s="65">
        <v>43273</v>
      </c>
      <c r="C4165" s="66" t="s">
        <v>220</v>
      </c>
      <c r="D4165" s="3" t="s">
        <v>3</v>
      </c>
      <c r="E4165" s="64">
        <v>1</v>
      </c>
    </row>
    <row r="4166" spans="1:5">
      <c r="A4166" s="64" t="s">
        <v>24</v>
      </c>
      <c r="B4166" s="65">
        <v>43276</v>
      </c>
      <c r="C4166" s="66" t="s">
        <v>216</v>
      </c>
      <c r="D4166" s="3" t="s">
        <v>3</v>
      </c>
      <c r="E4166" s="64">
        <v>1</v>
      </c>
    </row>
    <row r="4167" spans="1:5">
      <c r="A4167" s="64" t="s">
        <v>24</v>
      </c>
      <c r="B4167" s="65">
        <v>43277</v>
      </c>
      <c r="C4167" s="66" t="s">
        <v>217</v>
      </c>
      <c r="D4167" s="3" t="s">
        <v>3</v>
      </c>
      <c r="E4167" s="64">
        <v>1</v>
      </c>
    </row>
    <row r="4168" spans="1:5">
      <c r="A4168" s="64" t="s">
        <v>24</v>
      </c>
      <c r="B4168" s="65">
        <v>43278</v>
      </c>
      <c r="C4168" s="66" t="s">
        <v>218</v>
      </c>
      <c r="D4168" s="3" t="s">
        <v>3</v>
      </c>
      <c r="E4168" s="64">
        <v>1</v>
      </c>
    </row>
    <row r="4169" spans="1:5">
      <c r="A4169" s="64" t="s">
        <v>24</v>
      </c>
      <c r="B4169" s="65">
        <v>43279</v>
      </c>
      <c r="C4169" s="66" t="s">
        <v>219</v>
      </c>
      <c r="D4169" s="3" t="s">
        <v>3</v>
      </c>
      <c r="E4169" s="64">
        <v>1</v>
      </c>
    </row>
    <row r="4170" spans="1:5">
      <c r="A4170" s="64" t="s">
        <v>24</v>
      </c>
      <c r="B4170" s="65">
        <v>43280</v>
      </c>
      <c r="C4170" s="66" t="s">
        <v>220</v>
      </c>
      <c r="D4170" s="3" t="s">
        <v>3</v>
      </c>
      <c r="E4170" s="64">
        <v>1</v>
      </c>
    </row>
    <row r="4171" spans="1:5">
      <c r="A4171" s="64" t="s">
        <v>24</v>
      </c>
      <c r="B4171" s="65">
        <v>43283</v>
      </c>
      <c r="C4171" s="66" t="s">
        <v>216</v>
      </c>
      <c r="D4171" s="3" t="s">
        <v>3</v>
      </c>
      <c r="E4171" s="64">
        <v>1</v>
      </c>
    </row>
    <row r="4172" spans="1:5">
      <c r="A4172" s="64" t="s">
        <v>24</v>
      </c>
      <c r="B4172" s="65">
        <v>43284</v>
      </c>
      <c r="C4172" s="66" t="s">
        <v>217</v>
      </c>
      <c r="D4172" s="3" t="s">
        <v>3</v>
      </c>
      <c r="E4172" s="64">
        <v>1</v>
      </c>
    </row>
    <row r="4173" spans="1:5">
      <c r="A4173" s="64" t="s">
        <v>24</v>
      </c>
      <c r="B4173" s="65">
        <v>43285</v>
      </c>
      <c r="C4173" s="66" t="s">
        <v>218</v>
      </c>
      <c r="D4173" s="3" t="s">
        <v>3</v>
      </c>
      <c r="E4173" s="64">
        <v>1</v>
      </c>
    </row>
    <row r="4174" spans="1:5">
      <c r="A4174" s="64" t="s">
        <v>24</v>
      </c>
      <c r="B4174" s="65">
        <v>43286</v>
      </c>
      <c r="C4174" s="66" t="s">
        <v>219</v>
      </c>
      <c r="D4174" s="3" t="s">
        <v>3</v>
      </c>
      <c r="E4174" s="64">
        <v>1</v>
      </c>
    </row>
    <row r="4175" spans="1:5">
      <c r="A4175" s="64" t="s">
        <v>24</v>
      </c>
      <c r="B4175" s="65">
        <v>43287</v>
      </c>
      <c r="C4175" s="66" t="s">
        <v>220</v>
      </c>
      <c r="D4175" s="3" t="s">
        <v>3</v>
      </c>
      <c r="E4175" s="64">
        <v>1</v>
      </c>
    </row>
    <row r="4176" spans="1:5">
      <c r="A4176" s="64" t="s">
        <v>24</v>
      </c>
      <c r="B4176" s="65">
        <v>43290</v>
      </c>
      <c r="C4176" s="66" t="s">
        <v>216</v>
      </c>
      <c r="D4176" s="3" t="s">
        <v>3</v>
      </c>
      <c r="E4176" s="64">
        <v>1</v>
      </c>
    </row>
    <row r="4177" spans="1:5">
      <c r="A4177" s="64" t="s">
        <v>24</v>
      </c>
      <c r="B4177" s="65">
        <v>43291</v>
      </c>
      <c r="C4177" s="66" t="s">
        <v>217</v>
      </c>
      <c r="D4177" s="3" t="s">
        <v>3</v>
      </c>
      <c r="E4177" s="64">
        <v>1</v>
      </c>
    </row>
    <row r="4178" spans="1:5">
      <c r="A4178" s="64" t="s">
        <v>24</v>
      </c>
      <c r="B4178" s="65">
        <v>43292</v>
      </c>
      <c r="C4178" s="66" t="s">
        <v>218</v>
      </c>
      <c r="D4178" s="3" t="s">
        <v>3</v>
      </c>
      <c r="E4178" s="64">
        <v>1</v>
      </c>
    </row>
    <row r="4179" spans="1:5">
      <c r="A4179" s="64" t="s">
        <v>24</v>
      </c>
      <c r="B4179" s="65">
        <v>43293</v>
      </c>
      <c r="C4179" s="66" t="s">
        <v>219</v>
      </c>
      <c r="D4179" s="3" t="s">
        <v>3</v>
      </c>
      <c r="E4179" s="64">
        <v>1</v>
      </c>
    </row>
    <row r="4180" spans="1:5">
      <c r="A4180" s="64" t="s">
        <v>24</v>
      </c>
      <c r="B4180" s="65">
        <v>43294</v>
      </c>
      <c r="C4180" s="66" t="s">
        <v>220</v>
      </c>
      <c r="D4180" s="3" t="s">
        <v>3</v>
      </c>
      <c r="E4180" s="64">
        <v>1</v>
      </c>
    </row>
    <row r="4181" spans="1:5">
      <c r="A4181" s="64" t="s">
        <v>24</v>
      </c>
      <c r="B4181" s="65">
        <v>43297</v>
      </c>
      <c r="C4181" s="66" t="s">
        <v>216</v>
      </c>
      <c r="D4181" s="3" t="s">
        <v>3</v>
      </c>
      <c r="E4181" s="64">
        <v>1</v>
      </c>
    </row>
    <row r="4182" spans="1:5">
      <c r="A4182" s="64" t="s">
        <v>24</v>
      </c>
      <c r="B4182" s="65">
        <v>43298</v>
      </c>
      <c r="C4182" s="66" t="s">
        <v>217</v>
      </c>
      <c r="D4182" s="3" t="s">
        <v>3</v>
      </c>
      <c r="E4182" s="64">
        <v>1</v>
      </c>
    </row>
    <row r="4183" spans="1:5">
      <c r="A4183" s="64" t="s">
        <v>24</v>
      </c>
      <c r="B4183" s="65">
        <v>43299</v>
      </c>
      <c r="C4183" s="66" t="s">
        <v>218</v>
      </c>
      <c r="D4183" s="3" t="s">
        <v>3</v>
      </c>
      <c r="E4183" s="64">
        <v>1</v>
      </c>
    </row>
    <row r="4184" spans="1:5">
      <c r="A4184" s="64" t="s">
        <v>24</v>
      </c>
      <c r="B4184" s="65">
        <v>43300</v>
      </c>
      <c r="C4184" s="66" t="s">
        <v>219</v>
      </c>
      <c r="D4184" s="3" t="s">
        <v>3</v>
      </c>
      <c r="E4184" s="64">
        <v>1</v>
      </c>
    </row>
    <row r="4185" spans="1:5">
      <c r="A4185" s="64" t="s">
        <v>24</v>
      </c>
      <c r="B4185" s="65">
        <v>43301</v>
      </c>
      <c r="C4185" s="66" t="s">
        <v>220</v>
      </c>
      <c r="D4185" s="3" t="s">
        <v>3</v>
      </c>
      <c r="E4185" s="64">
        <v>1</v>
      </c>
    </row>
    <row r="4186" spans="1:5">
      <c r="A4186" s="64" t="s">
        <v>24</v>
      </c>
      <c r="B4186" s="65">
        <v>43304</v>
      </c>
      <c r="C4186" s="66" t="s">
        <v>216</v>
      </c>
      <c r="D4186" s="3" t="s">
        <v>3</v>
      </c>
      <c r="E4186" s="64">
        <v>1</v>
      </c>
    </row>
    <row r="4187" spans="1:5">
      <c r="A4187" s="64" t="s">
        <v>24</v>
      </c>
      <c r="B4187" s="65">
        <v>43305</v>
      </c>
      <c r="C4187" s="66" t="s">
        <v>217</v>
      </c>
      <c r="D4187" s="3" t="s">
        <v>3</v>
      </c>
      <c r="E4187" s="64">
        <v>1</v>
      </c>
    </row>
    <row r="4188" spans="1:5">
      <c r="A4188" s="64" t="s">
        <v>24</v>
      </c>
      <c r="B4188" s="65">
        <v>43306</v>
      </c>
      <c r="C4188" s="66" t="s">
        <v>218</v>
      </c>
      <c r="D4188" s="3" t="s">
        <v>3</v>
      </c>
      <c r="E4188" s="64">
        <v>1</v>
      </c>
    </row>
    <row r="4189" spans="1:5">
      <c r="A4189" s="64" t="s">
        <v>24</v>
      </c>
      <c r="B4189" s="65">
        <v>43307</v>
      </c>
      <c r="C4189" s="66" t="s">
        <v>219</v>
      </c>
      <c r="D4189" s="3" t="s">
        <v>3</v>
      </c>
      <c r="E4189" s="64">
        <v>1</v>
      </c>
    </row>
    <row r="4190" spans="1:5">
      <c r="A4190" s="64" t="s">
        <v>24</v>
      </c>
      <c r="B4190" s="65">
        <v>43308</v>
      </c>
      <c r="C4190" s="66" t="s">
        <v>220</v>
      </c>
      <c r="D4190" s="3" t="s">
        <v>3</v>
      </c>
      <c r="E4190" s="64">
        <v>1</v>
      </c>
    </row>
    <row r="4191" spans="1:5">
      <c r="A4191" s="64" t="s">
        <v>24</v>
      </c>
      <c r="B4191" s="65">
        <v>43311</v>
      </c>
      <c r="C4191" s="66" t="s">
        <v>216</v>
      </c>
      <c r="D4191" s="3" t="s">
        <v>3</v>
      </c>
      <c r="E4191" s="64">
        <v>1</v>
      </c>
    </row>
    <row r="4192" spans="1:5">
      <c r="A4192" s="64" t="s">
        <v>24</v>
      </c>
      <c r="B4192" s="65">
        <v>43312</v>
      </c>
      <c r="C4192" s="66" t="s">
        <v>217</v>
      </c>
      <c r="D4192" s="3" t="s">
        <v>3</v>
      </c>
      <c r="E4192" s="64">
        <v>1</v>
      </c>
    </row>
    <row r="4193" spans="1:5">
      <c r="A4193" s="64" t="s">
        <v>24</v>
      </c>
      <c r="B4193" s="65">
        <v>43313</v>
      </c>
      <c r="C4193" s="66" t="s">
        <v>218</v>
      </c>
      <c r="D4193" s="3" t="s">
        <v>3</v>
      </c>
      <c r="E4193" s="64">
        <v>1</v>
      </c>
    </row>
    <row r="4194" spans="1:5">
      <c r="A4194" s="64" t="s">
        <v>24</v>
      </c>
      <c r="B4194" s="65">
        <v>43314</v>
      </c>
      <c r="C4194" s="66" t="s">
        <v>219</v>
      </c>
      <c r="D4194" s="3" t="s">
        <v>3</v>
      </c>
      <c r="E4194" s="64">
        <v>1</v>
      </c>
    </row>
    <row r="4195" spans="1:5">
      <c r="A4195" s="64" t="s">
        <v>24</v>
      </c>
      <c r="B4195" s="65">
        <v>43315</v>
      </c>
      <c r="C4195" s="66" t="s">
        <v>220</v>
      </c>
      <c r="D4195" s="3" t="s">
        <v>3</v>
      </c>
      <c r="E4195" s="64">
        <v>1</v>
      </c>
    </row>
    <row r="4196" spans="1:5">
      <c r="A4196" s="64" t="s">
        <v>24</v>
      </c>
      <c r="B4196" s="65">
        <v>43318</v>
      </c>
      <c r="C4196" s="66" t="s">
        <v>216</v>
      </c>
      <c r="D4196" s="3" t="s">
        <v>3</v>
      </c>
      <c r="E4196" s="64">
        <v>1</v>
      </c>
    </row>
    <row r="4197" spans="1:5">
      <c r="A4197" s="64" t="s">
        <v>24</v>
      </c>
      <c r="B4197" s="65">
        <v>43319</v>
      </c>
      <c r="C4197" s="66" t="s">
        <v>217</v>
      </c>
      <c r="D4197" s="3" t="s">
        <v>3</v>
      </c>
      <c r="E4197" s="64">
        <v>1</v>
      </c>
    </row>
    <row r="4198" spans="1:5">
      <c r="A4198" s="64" t="s">
        <v>24</v>
      </c>
      <c r="B4198" s="65">
        <v>43320</v>
      </c>
      <c r="C4198" s="66" t="s">
        <v>218</v>
      </c>
      <c r="D4198" s="3" t="s">
        <v>3</v>
      </c>
      <c r="E4198" s="64">
        <v>1</v>
      </c>
    </row>
    <row r="4199" spans="1:5">
      <c r="A4199" s="64" t="s">
        <v>24</v>
      </c>
      <c r="B4199" s="65">
        <v>43321</v>
      </c>
      <c r="C4199" s="66" t="s">
        <v>219</v>
      </c>
      <c r="D4199" s="3" t="s">
        <v>3</v>
      </c>
      <c r="E4199" s="64">
        <v>1</v>
      </c>
    </row>
    <row r="4200" spans="1:5">
      <c r="A4200" s="64" t="s">
        <v>24</v>
      </c>
      <c r="B4200" s="65">
        <v>43322</v>
      </c>
      <c r="C4200" s="66" t="s">
        <v>220</v>
      </c>
      <c r="D4200" s="3" t="s">
        <v>3</v>
      </c>
      <c r="E4200" s="64">
        <v>1</v>
      </c>
    </row>
    <row r="4201" spans="1:5">
      <c r="A4201" s="64" t="s">
        <v>24</v>
      </c>
      <c r="B4201" s="65">
        <v>43325</v>
      </c>
      <c r="C4201" s="66" t="s">
        <v>216</v>
      </c>
      <c r="D4201" s="3" t="s">
        <v>3</v>
      </c>
      <c r="E4201" s="64">
        <v>1</v>
      </c>
    </row>
    <row r="4202" spans="1:5">
      <c r="A4202" s="64" t="s">
        <v>24</v>
      </c>
      <c r="B4202" s="65">
        <v>43326</v>
      </c>
      <c r="C4202" s="66" t="s">
        <v>217</v>
      </c>
      <c r="D4202" s="3" t="s">
        <v>3</v>
      </c>
      <c r="E4202" s="64">
        <v>1</v>
      </c>
    </row>
    <row r="4203" spans="1:5">
      <c r="A4203" s="64" t="s">
        <v>24</v>
      </c>
      <c r="B4203" s="65">
        <v>43327</v>
      </c>
      <c r="C4203" s="66" t="s">
        <v>218</v>
      </c>
      <c r="D4203" s="3" t="s">
        <v>3</v>
      </c>
      <c r="E4203" s="64">
        <v>1</v>
      </c>
    </row>
    <row r="4204" spans="1:5">
      <c r="A4204" s="64" t="s">
        <v>24</v>
      </c>
      <c r="B4204" s="65">
        <v>43328</v>
      </c>
      <c r="C4204" s="66" t="s">
        <v>219</v>
      </c>
      <c r="D4204" s="3" t="s">
        <v>3</v>
      </c>
      <c r="E4204" s="64">
        <v>1</v>
      </c>
    </row>
    <row r="4205" spans="1:5">
      <c r="A4205" s="64" t="s">
        <v>24</v>
      </c>
      <c r="B4205" s="65">
        <v>43329</v>
      </c>
      <c r="C4205" s="66" t="s">
        <v>220</v>
      </c>
      <c r="D4205" s="3" t="s">
        <v>3</v>
      </c>
      <c r="E4205" s="64">
        <v>1</v>
      </c>
    </row>
    <row r="4206" spans="1:5">
      <c r="A4206" s="64" t="s">
        <v>24</v>
      </c>
      <c r="B4206" s="65">
        <v>43332</v>
      </c>
      <c r="C4206" s="66" t="s">
        <v>216</v>
      </c>
      <c r="D4206" s="3" t="s">
        <v>3</v>
      </c>
      <c r="E4206" s="64">
        <v>1</v>
      </c>
    </row>
    <row r="4207" spans="1:5">
      <c r="A4207" s="64" t="s">
        <v>24</v>
      </c>
      <c r="B4207" s="65">
        <v>43333</v>
      </c>
      <c r="C4207" s="66" t="s">
        <v>217</v>
      </c>
      <c r="D4207" s="3" t="s">
        <v>3</v>
      </c>
      <c r="E4207" s="64">
        <v>1</v>
      </c>
    </row>
    <row r="4208" spans="1:5">
      <c r="A4208" s="64" t="s">
        <v>24</v>
      </c>
      <c r="B4208" s="65">
        <v>43334</v>
      </c>
      <c r="C4208" s="66" t="s">
        <v>218</v>
      </c>
      <c r="D4208" s="3" t="s">
        <v>3</v>
      </c>
      <c r="E4208" s="64">
        <v>1</v>
      </c>
    </row>
    <row r="4209" spans="1:5">
      <c r="A4209" s="64" t="s">
        <v>24</v>
      </c>
      <c r="B4209" s="65">
        <v>43335</v>
      </c>
      <c r="C4209" s="66" t="s">
        <v>219</v>
      </c>
      <c r="D4209" s="3" t="s">
        <v>3</v>
      </c>
      <c r="E4209" s="64">
        <v>1</v>
      </c>
    </row>
    <row r="4210" spans="1:5">
      <c r="A4210" s="64" t="s">
        <v>24</v>
      </c>
      <c r="B4210" s="65">
        <v>43336</v>
      </c>
      <c r="C4210" s="66" t="s">
        <v>220</v>
      </c>
      <c r="D4210" s="3" t="s">
        <v>3</v>
      </c>
      <c r="E4210" s="64">
        <v>1</v>
      </c>
    </row>
    <row r="4211" spans="1:5">
      <c r="A4211" s="64" t="s">
        <v>24</v>
      </c>
      <c r="B4211" s="65">
        <v>43339</v>
      </c>
      <c r="C4211" s="66" t="s">
        <v>216</v>
      </c>
      <c r="D4211" s="3" t="s">
        <v>3</v>
      </c>
      <c r="E4211" s="64">
        <v>1</v>
      </c>
    </row>
    <row r="4212" spans="1:5">
      <c r="A4212" s="64" t="s">
        <v>24</v>
      </c>
      <c r="B4212" s="65">
        <v>43340</v>
      </c>
      <c r="C4212" s="66" t="s">
        <v>217</v>
      </c>
      <c r="D4212" s="3" t="s">
        <v>3</v>
      </c>
      <c r="E4212" s="64">
        <v>1</v>
      </c>
    </row>
    <row r="4213" spans="1:5">
      <c r="A4213" s="64" t="s">
        <v>24</v>
      </c>
      <c r="B4213" s="65">
        <v>43341</v>
      </c>
      <c r="C4213" s="66" t="s">
        <v>218</v>
      </c>
      <c r="D4213" s="3" t="s">
        <v>3</v>
      </c>
      <c r="E4213" s="64">
        <v>1</v>
      </c>
    </row>
    <row r="4214" spans="1:5">
      <c r="A4214" s="64" t="s">
        <v>24</v>
      </c>
      <c r="B4214" s="65">
        <v>43342</v>
      </c>
      <c r="C4214" s="66" t="s">
        <v>219</v>
      </c>
      <c r="D4214" s="3" t="s">
        <v>3</v>
      </c>
      <c r="E4214" s="64">
        <v>1</v>
      </c>
    </row>
    <row r="4215" spans="1:5">
      <c r="A4215" s="64" t="s">
        <v>24</v>
      </c>
      <c r="B4215" s="65">
        <v>43343</v>
      </c>
      <c r="C4215" s="66" t="s">
        <v>220</v>
      </c>
      <c r="D4215" s="3" t="s">
        <v>3</v>
      </c>
      <c r="E4215" s="64">
        <v>1</v>
      </c>
    </row>
    <row r="4216" spans="1:5">
      <c r="A4216" s="64" t="s">
        <v>24</v>
      </c>
      <c r="B4216" s="65">
        <v>43346</v>
      </c>
      <c r="C4216" s="66" t="s">
        <v>216</v>
      </c>
      <c r="D4216" s="3" t="s">
        <v>3</v>
      </c>
      <c r="E4216" s="64">
        <v>1</v>
      </c>
    </row>
    <row r="4217" spans="1:5">
      <c r="A4217" s="64" t="s">
        <v>24</v>
      </c>
      <c r="B4217" s="65">
        <v>43347</v>
      </c>
      <c r="C4217" s="66" t="s">
        <v>217</v>
      </c>
      <c r="D4217" s="3" t="s">
        <v>3</v>
      </c>
      <c r="E4217" s="64">
        <v>1</v>
      </c>
    </row>
    <row r="4218" spans="1:5">
      <c r="A4218" s="64" t="s">
        <v>24</v>
      </c>
      <c r="B4218" s="65">
        <v>43348</v>
      </c>
      <c r="C4218" s="66" t="s">
        <v>218</v>
      </c>
      <c r="D4218" s="3" t="s">
        <v>3</v>
      </c>
      <c r="E4218" s="64">
        <v>1</v>
      </c>
    </row>
    <row r="4219" spans="1:5">
      <c r="A4219" s="64" t="s">
        <v>24</v>
      </c>
      <c r="B4219" s="65">
        <v>43349</v>
      </c>
      <c r="C4219" s="66" t="s">
        <v>219</v>
      </c>
      <c r="D4219" s="3" t="s">
        <v>3</v>
      </c>
      <c r="E4219" s="64">
        <v>1</v>
      </c>
    </row>
    <row r="4220" spans="1:5">
      <c r="A4220" s="64" t="s">
        <v>24</v>
      </c>
      <c r="B4220" s="65">
        <v>43350</v>
      </c>
      <c r="C4220" s="66" t="s">
        <v>220</v>
      </c>
      <c r="D4220" s="3" t="s">
        <v>3</v>
      </c>
      <c r="E4220" s="64">
        <v>1</v>
      </c>
    </row>
    <row r="4221" spans="1:5">
      <c r="A4221" s="64" t="s">
        <v>24</v>
      </c>
      <c r="B4221" s="65">
        <v>43353</v>
      </c>
      <c r="C4221" s="66" t="s">
        <v>216</v>
      </c>
      <c r="D4221" s="3" t="s">
        <v>3</v>
      </c>
      <c r="E4221" s="64">
        <v>1</v>
      </c>
    </row>
    <row r="4222" spans="1:5">
      <c r="A4222" s="64" t="s">
        <v>24</v>
      </c>
      <c r="B4222" s="65">
        <v>43354</v>
      </c>
      <c r="C4222" s="66" t="s">
        <v>217</v>
      </c>
      <c r="D4222" s="3" t="s">
        <v>3</v>
      </c>
      <c r="E4222" s="64">
        <v>1</v>
      </c>
    </row>
    <row r="4223" spans="1:5">
      <c r="A4223" s="64" t="s">
        <v>24</v>
      </c>
      <c r="B4223" s="65">
        <v>43355</v>
      </c>
      <c r="C4223" s="66" t="s">
        <v>218</v>
      </c>
      <c r="D4223" s="3" t="s">
        <v>3</v>
      </c>
      <c r="E4223" s="64">
        <v>1</v>
      </c>
    </row>
    <row r="4224" spans="1:5">
      <c r="A4224" s="64" t="s">
        <v>24</v>
      </c>
      <c r="B4224" s="65">
        <v>43356</v>
      </c>
      <c r="C4224" s="66" t="s">
        <v>219</v>
      </c>
      <c r="D4224" s="3" t="s">
        <v>3</v>
      </c>
      <c r="E4224" s="64">
        <v>1</v>
      </c>
    </row>
    <row r="4225" spans="1:5">
      <c r="A4225" s="64" t="s">
        <v>24</v>
      </c>
      <c r="B4225" s="65">
        <v>43357</v>
      </c>
      <c r="C4225" s="66" t="s">
        <v>220</v>
      </c>
      <c r="D4225" s="3" t="s">
        <v>3</v>
      </c>
      <c r="E4225" s="64">
        <v>1</v>
      </c>
    </row>
    <row r="4226" spans="1:5">
      <c r="A4226" s="64" t="s">
        <v>24</v>
      </c>
      <c r="B4226" s="65">
        <v>43360</v>
      </c>
      <c r="C4226" s="66" t="s">
        <v>216</v>
      </c>
      <c r="D4226" s="3" t="s">
        <v>3</v>
      </c>
      <c r="E4226" s="64">
        <v>1</v>
      </c>
    </row>
    <row r="4227" spans="1:5">
      <c r="A4227" s="64" t="s">
        <v>24</v>
      </c>
      <c r="B4227" s="65">
        <v>43361</v>
      </c>
      <c r="C4227" s="66" t="s">
        <v>217</v>
      </c>
      <c r="D4227" s="3" t="s">
        <v>3</v>
      </c>
      <c r="E4227" s="64">
        <v>1</v>
      </c>
    </row>
    <row r="4228" spans="1:5">
      <c r="A4228" s="64" t="s">
        <v>24</v>
      </c>
      <c r="B4228" s="65">
        <v>43362</v>
      </c>
      <c r="C4228" s="66" t="s">
        <v>218</v>
      </c>
      <c r="D4228" s="3" t="s">
        <v>3</v>
      </c>
      <c r="E4228" s="64">
        <v>1</v>
      </c>
    </row>
    <row r="4229" spans="1:5">
      <c r="A4229" s="64" t="s">
        <v>24</v>
      </c>
      <c r="B4229" s="65">
        <v>43363</v>
      </c>
      <c r="C4229" s="66" t="s">
        <v>219</v>
      </c>
      <c r="D4229" s="3" t="s">
        <v>3</v>
      </c>
      <c r="E4229" s="64">
        <v>1</v>
      </c>
    </row>
    <row r="4230" spans="1:5">
      <c r="A4230" s="64" t="s">
        <v>24</v>
      </c>
      <c r="B4230" s="65">
        <v>43364</v>
      </c>
      <c r="C4230" s="66" t="s">
        <v>220</v>
      </c>
      <c r="D4230" s="3" t="s">
        <v>3</v>
      </c>
      <c r="E4230" s="64">
        <v>1</v>
      </c>
    </row>
    <row r="4231" spans="1:5">
      <c r="A4231" s="64" t="s">
        <v>24</v>
      </c>
      <c r="B4231" s="65">
        <v>43367</v>
      </c>
      <c r="C4231" s="66" t="s">
        <v>216</v>
      </c>
      <c r="D4231" s="3" t="s">
        <v>3</v>
      </c>
      <c r="E4231" s="64">
        <v>1</v>
      </c>
    </row>
    <row r="4232" spans="1:5">
      <c r="A4232" s="64" t="s">
        <v>24</v>
      </c>
      <c r="B4232" s="65">
        <v>43368</v>
      </c>
      <c r="C4232" s="66" t="s">
        <v>217</v>
      </c>
      <c r="D4232" s="3" t="s">
        <v>3</v>
      </c>
      <c r="E4232" s="64">
        <v>1</v>
      </c>
    </row>
    <row r="4233" spans="1:5">
      <c r="A4233" s="64" t="s">
        <v>24</v>
      </c>
      <c r="B4233" s="65">
        <v>43369</v>
      </c>
      <c r="C4233" s="66" t="s">
        <v>218</v>
      </c>
      <c r="D4233" s="3" t="s">
        <v>3</v>
      </c>
      <c r="E4233" s="64">
        <v>1</v>
      </c>
    </row>
    <row r="4234" spans="1:5">
      <c r="A4234" s="64" t="s">
        <v>24</v>
      </c>
      <c r="B4234" s="65">
        <v>43370</v>
      </c>
      <c r="C4234" s="66" t="s">
        <v>219</v>
      </c>
      <c r="D4234" s="3" t="s">
        <v>3</v>
      </c>
      <c r="E4234" s="64">
        <v>1</v>
      </c>
    </row>
    <row r="4235" spans="1:5">
      <c r="A4235" s="64" t="s">
        <v>24</v>
      </c>
      <c r="B4235" s="65">
        <v>43371</v>
      </c>
      <c r="C4235" s="66" t="s">
        <v>220</v>
      </c>
      <c r="D4235" s="3" t="s">
        <v>3</v>
      </c>
      <c r="E4235" s="64">
        <v>1</v>
      </c>
    </row>
    <row r="4236" spans="1:5">
      <c r="A4236" s="64" t="s">
        <v>24</v>
      </c>
      <c r="B4236" s="65">
        <v>43374</v>
      </c>
      <c r="C4236" s="66" t="s">
        <v>216</v>
      </c>
      <c r="D4236" s="3" t="s">
        <v>3</v>
      </c>
      <c r="E4236" s="64">
        <v>1</v>
      </c>
    </row>
    <row r="4237" spans="1:5">
      <c r="A4237" s="64" t="s">
        <v>24</v>
      </c>
      <c r="B4237" s="65">
        <v>43375</v>
      </c>
      <c r="C4237" s="66" t="s">
        <v>217</v>
      </c>
      <c r="D4237" s="3" t="s">
        <v>3</v>
      </c>
      <c r="E4237" s="64">
        <v>1</v>
      </c>
    </row>
    <row r="4238" spans="1:5">
      <c r="A4238" s="64" t="s">
        <v>24</v>
      </c>
      <c r="B4238" s="65">
        <v>43376</v>
      </c>
      <c r="C4238" s="66" t="s">
        <v>218</v>
      </c>
      <c r="D4238" s="3" t="s">
        <v>3</v>
      </c>
      <c r="E4238" s="64">
        <v>1</v>
      </c>
    </row>
    <row r="4239" spans="1:5">
      <c r="A4239" s="64" t="s">
        <v>24</v>
      </c>
      <c r="B4239" s="65">
        <v>43377</v>
      </c>
      <c r="C4239" s="66" t="s">
        <v>219</v>
      </c>
      <c r="D4239" s="3" t="s">
        <v>3</v>
      </c>
      <c r="E4239" s="64">
        <v>1</v>
      </c>
    </row>
    <row r="4240" spans="1:5">
      <c r="A4240" s="64" t="s">
        <v>24</v>
      </c>
      <c r="B4240" s="65">
        <v>43378</v>
      </c>
      <c r="C4240" s="66" t="s">
        <v>220</v>
      </c>
      <c r="D4240" s="3" t="s">
        <v>3</v>
      </c>
      <c r="E4240" s="64">
        <v>1</v>
      </c>
    </row>
    <row r="4241" spans="1:5">
      <c r="A4241" s="64" t="s">
        <v>24</v>
      </c>
      <c r="B4241" s="65">
        <v>43381</v>
      </c>
      <c r="C4241" s="66" t="s">
        <v>216</v>
      </c>
      <c r="D4241" s="3" t="s">
        <v>3</v>
      </c>
      <c r="E4241" s="64">
        <v>1</v>
      </c>
    </row>
    <row r="4242" spans="1:5">
      <c r="A4242" s="64" t="s">
        <v>24</v>
      </c>
      <c r="B4242" s="65">
        <v>43382</v>
      </c>
      <c r="C4242" s="66" t="s">
        <v>217</v>
      </c>
      <c r="D4242" s="3" t="s">
        <v>3</v>
      </c>
      <c r="E4242" s="64">
        <v>1</v>
      </c>
    </row>
    <row r="4243" spans="1:5">
      <c r="A4243" s="64" t="s">
        <v>24</v>
      </c>
      <c r="B4243" s="65">
        <v>43383</v>
      </c>
      <c r="C4243" s="66" t="s">
        <v>218</v>
      </c>
      <c r="D4243" s="3" t="s">
        <v>3</v>
      </c>
      <c r="E4243" s="64">
        <v>1</v>
      </c>
    </row>
    <row r="4244" spans="1:5">
      <c r="A4244" s="64" t="s">
        <v>24</v>
      </c>
      <c r="B4244" s="65">
        <v>43384</v>
      </c>
      <c r="C4244" s="66" t="s">
        <v>219</v>
      </c>
      <c r="D4244" s="3" t="s">
        <v>3</v>
      </c>
      <c r="E4244" s="64">
        <v>1</v>
      </c>
    </row>
    <row r="4245" spans="1:5">
      <c r="A4245" s="64" t="s">
        <v>24</v>
      </c>
      <c r="B4245" s="65">
        <v>43385</v>
      </c>
      <c r="C4245" s="66" t="s">
        <v>220</v>
      </c>
      <c r="D4245" s="3" t="s">
        <v>3</v>
      </c>
      <c r="E4245" s="64">
        <v>1</v>
      </c>
    </row>
    <row r="4246" spans="1:5">
      <c r="A4246" s="64" t="s">
        <v>24</v>
      </c>
      <c r="B4246" s="65">
        <v>43388</v>
      </c>
      <c r="C4246" s="66" t="s">
        <v>216</v>
      </c>
      <c r="D4246" s="3" t="s">
        <v>3</v>
      </c>
      <c r="E4246" s="64">
        <v>1</v>
      </c>
    </row>
    <row r="4247" spans="1:5">
      <c r="A4247" s="64" t="s">
        <v>24</v>
      </c>
      <c r="B4247" s="65">
        <v>43389</v>
      </c>
      <c r="C4247" s="66" t="s">
        <v>217</v>
      </c>
      <c r="D4247" s="3" t="s">
        <v>3</v>
      </c>
      <c r="E4247" s="64">
        <v>1</v>
      </c>
    </row>
    <row r="4248" spans="1:5">
      <c r="A4248" s="64" t="s">
        <v>24</v>
      </c>
      <c r="B4248" s="65">
        <v>43390</v>
      </c>
      <c r="C4248" s="66" t="s">
        <v>218</v>
      </c>
      <c r="D4248" s="3" t="s">
        <v>3</v>
      </c>
      <c r="E4248" s="64">
        <v>1</v>
      </c>
    </row>
    <row r="4249" spans="1:5">
      <c r="A4249" s="64" t="s">
        <v>24</v>
      </c>
      <c r="B4249" s="65">
        <v>43391</v>
      </c>
      <c r="C4249" s="66" t="s">
        <v>219</v>
      </c>
      <c r="D4249" s="3" t="s">
        <v>3</v>
      </c>
      <c r="E4249" s="64">
        <v>1</v>
      </c>
    </row>
    <row r="4250" spans="1:5">
      <c r="A4250" s="64" t="s">
        <v>24</v>
      </c>
      <c r="B4250" s="65">
        <v>43392</v>
      </c>
      <c r="C4250" s="66" t="s">
        <v>220</v>
      </c>
      <c r="D4250" s="3" t="s">
        <v>3</v>
      </c>
      <c r="E4250" s="64">
        <v>1</v>
      </c>
    </row>
    <row r="4251" spans="1:5">
      <c r="A4251" s="64" t="s">
        <v>24</v>
      </c>
      <c r="B4251" s="65">
        <v>43395</v>
      </c>
      <c r="C4251" s="66" t="s">
        <v>216</v>
      </c>
      <c r="D4251" s="3" t="s">
        <v>3</v>
      </c>
      <c r="E4251" s="64">
        <v>1</v>
      </c>
    </row>
    <row r="4252" spans="1:5">
      <c r="A4252" s="64" t="s">
        <v>24</v>
      </c>
      <c r="B4252" s="65">
        <v>43396</v>
      </c>
      <c r="C4252" s="66" t="s">
        <v>217</v>
      </c>
      <c r="D4252" s="3" t="s">
        <v>3</v>
      </c>
      <c r="E4252" s="64">
        <v>1</v>
      </c>
    </row>
    <row r="4253" spans="1:5">
      <c r="A4253" s="64" t="s">
        <v>24</v>
      </c>
      <c r="B4253" s="65">
        <v>43397</v>
      </c>
      <c r="C4253" s="66" t="s">
        <v>218</v>
      </c>
      <c r="D4253" s="3" t="s">
        <v>3</v>
      </c>
      <c r="E4253" s="64">
        <v>1</v>
      </c>
    </row>
    <row r="4254" spans="1:5">
      <c r="A4254" s="64" t="s">
        <v>24</v>
      </c>
      <c r="B4254" s="65">
        <v>43398</v>
      </c>
      <c r="C4254" s="66" t="s">
        <v>219</v>
      </c>
      <c r="D4254" s="3" t="s">
        <v>3</v>
      </c>
      <c r="E4254" s="64">
        <v>1</v>
      </c>
    </row>
    <row r="4255" spans="1:5">
      <c r="A4255" s="64" t="s">
        <v>24</v>
      </c>
      <c r="B4255" s="65">
        <v>43399</v>
      </c>
      <c r="C4255" s="66" t="s">
        <v>220</v>
      </c>
      <c r="D4255" s="3" t="s">
        <v>3</v>
      </c>
      <c r="E4255" s="64">
        <v>1</v>
      </c>
    </row>
    <row r="4256" spans="1:5">
      <c r="A4256" s="64" t="s">
        <v>24</v>
      </c>
      <c r="B4256" s="65">
        <v>43402</v>
      </c>
      <c r="C4256" s="66" t="s">
        <v>216</v>
      </c>
      <c r="D4256" s="3" t="s">
        <v>3</v>
      </c>
      <c r="E4256" s="64">
        <v>1</v>
      </c>
    </row>
    <row r="4257" spans="1:5">
      <c r="A4257" s="64" t="s">
        <v>24</v>
      </c>
      <c r="B4257" s="65">
        <v>43403</v>
      </c>
      <c r="C4257" s="66" t="s">
        <v>217</v>
      </c>
      <c r="D4257" s="3" t="s">
        <v>3</v>
      </c>
      <c r="E4257" s="64">
        <v>1</v>
      </c>
    </row>
    <row r="4258" spans="1:5">
      <c r="A4258" s="64" t="s">
        <v>24</v>
      </c>
      <c r="B4258" s="65">
        <v>43404</v>
      </c>
      <c r="C4258" s="66" t="s">
        <v>218</v>
      </c>
      <c r="D4258" s="3" t="s">
        <v>3</v>
      </c>
      <c r="E4258" s="64">
        <v>1</v>
      </c>
    </row>
    <row r="4259" spans="1:5">
      <c r="A4259" s="64" t="s">
        <v>24</v>
      </c>
      <c r="B4259" s="65">
        <v>43405</v>
      </c>
      <c r="C4259" s="66" t="s">
        <v>219</v>
      </c>
      <c r="D4259" s="3" t="s">
        <v>3</v>
      </c>
      <c r="E4259" s="64">
        <v>1</v>
      </c>
    </row>
    <row r="4260" spans="1:5">
      <c r="A4260" s="64" t="s">
        <v>24</v>
      </c>
      <c r="B4260" s="65">
        <v>43406</v>
      </c>
      <c r="C4260" s="66" t="s">
        <v>220</v>
      </c>
      <c r="D4260" s="3" t="s">
        <v>3</v>
      </c>
      <c r="E4260" s="64">
        <v>1</v>
      </c>
    </row>
    <row r="4261" spans="1:5">
      <c r="A4261" s="64" t="s">
        <v>24</v>
      </c>
      <c r="B4261" s="65">
        <v>43409</v>
      </c>
      <c r="C4261" s="66" t="s">
        <v>216</v>
      </c>
      <c r="D4261" s="3" t="s">
        <v>3</v>
      </c>
      <c r="E4261" s="64">
        <v>1</v>
      </c>
    </row>
    <row r="4262" spans="1:5">
      <c r="A4262" s="64" t="s">
        <v>24</v>
      </c>
      <c r="B4262" s="65">
        <v>43410</v>
      </c>
      <c r="C4262" s="66" t="s">
        <v>217</v>
      </c>
      <c r="D4262" s="3" t="s">
        <v>3</v>
      </c>
      <c r="E4262" s="64">
        <v>1</v>
      </c>
    </row>
    <row r="4263" spans="1:5">
      <c r="A4263" s="64" t="s">
        <v>24</v>
      </c>
      <c r="B4263" s="65">
        <v>43411</v>
      </c>
      <c r="C4263" s="66" t="s">
        <v>218</v>
      </c>
      <c r="D4263" s="3" t="s">
        <v>3</v>
      </c>
      <c r="E4263" s="64">
        <v>1</v>
      </c>
    </row>
    <row r="4264" spans="1:5">
      <c r="A4264" s="64" t="s">
        <v>24</v>
      </c>
      <c r="B4264" s="65">
        <v>43412</v>
      </c>
      <c r="C4264" s="66" t="s">
        <v>219</v>
      </c>
      <c r="D4264" s="3" t="s">
        <v>3</v>
      </c>
      <c r="E4264" s="64">
        <v>1</v>
      </c>
    </row>
    <row r="4265" spans="1:5">
      <c r="A4265" s="64" t="s">
        <v>24</v>
      </c>
      <c r="B4265" s="65">
        <v>43413</v>
      </c>
      <c r="C4265" s="66" t="s">
        <v>220</v>
      </c>
      <c r="D4265" s="3" t="s">
        <v>3</v>
      </c>
      <c r="E4265" s="64">
        <v>1</v>
      </c>
    </row>
    <row r="4266" spans="1:5">
      <c r="A4266" s="64" t="s">
        <v>24</v>
      </c>
      <c r="B4266" s="65">
        <v>43416</v>
      </c>
      <c r="C4266" s="66" t="s">
        <v>216</v>
      </c>
      <c r="D4266" s="3" t="s">
        <v>3</v>
      </c>
      <c r="E4266" s="64">
        <v>1</v>
      </c>
    </row>
    <row r="4267" spans="1:5">
      <c r="A4267" s="64" t="s">
        <v>24</v>
      </c>
      <c r="B4267" s="65">
        <v>43417</v>
      </c>
      <c r="C4267" s="66" t="s">
        <v>217</v>
      </c>
      <c r="D4267" s="3" t="s">
        <v>3</v>
      </c>
      <c r="E4267" s="64">
        <v>1</v>
      </c>
    </row>
    <row r="4268" spans="1:5">
      <c r="A4268" s="64" t="s">
        <v>24</v>
      </c>
      <c r="B4268" s="65">
        <v>43418</v>
      </c>
      <c r="C4268" s="66" t="s">
        <v>218</v>
      </c>
      <c r="D4268" s="3" t="s">
        <v>3</v>
      </c>
      <c r="E4268" s="64">
        <v>1</v>
      </c>
    </row>
    <row r="4269" spans="1:5">
      <c r="A4269" s="64" t="s">
        <v>24</v>
      </c>
      <c r="B4269" s="65">
        <v>43419</v>
      </c>
      <c r="C4269" s="66" t="s">
        <v>219</v>
      </c>
      <c r="D4269" s="3" t="s">
        <v>3</v>
      </c>
      <c r="E4269" s="64">
        <v>1</v>
      </c>
    </row>
    <row r="4270" spans="1:5">
      <c r="A4270" s="64" t="s">
        <v>24</v>
      </c>
      <c r="B4270" s="65">
        <v>43420</v>
      </c>
      <c r="C4270" s="66" t="s">
        <v>220</v>
      </c>
      <c r="D4270" s="3" t="s">
        <v>3</v>
      </c>
      <c r="E4270" s="64">
        <v>1</v>
      </c>
    </row>
    <row r="4271" spans="1:5">
      <c r="A4271" s="64" t="s">
        <v>24</v>
      </c>
      <c r="B4271" s="65">
        <v>43423</v>
      </c>
      <c r="C4271" s="66" t="s">
        <v>216</v>
      </c>
      <c r="D4271" s="3" t="s">
        <v>3</v>
      </c>
      <c r="E4271" s="64">
        <v>1</v>
      </c>
    </row>
    <row r="4272" spans="1:5">
      <c r="A4272" s="64" t="s">
        <v>24</v>
      </c>
      <c r="B4272" s="65">
        <v>43424</v>
      </c>
      <c r="C4272" s="66" t="s">
        <v>217</v>
      </c>
      <c r="D4272" s="3" t="s">
        <v>3</v>
      </c>
      <c r="E4272" s="64">
        <v>1</v>
      </c>
    </row>
    <row r="4273" spans="1:5">
      <c r="A4273" s="64" t="s">
        <v>24</v>
      </c>
      <c r="B4273" s="65">
        <v>43425</v>
      </c>
      <c r="C4273" s="66" t="s">
        <v>218</v>
      </c>
      <c r="D4273" s="3" t="s">
        <v>3</v>
      </c>
      <c r="E4273" s="64">
        <v>1</v>
      </c>
    </row>
    <row r="4274" spans="1:5">
      <c r="A4274" s="64" t="s">
        <v>24</v>
      </c>
      <c r="B4274" s="65">
        <v>43426</v>
      </c>
      <c r="C4274" s="66" t="s">
        <v>219</v>
      </c>
      <c r="D4274" s="3" t="s">
        <v>3</v>
      </c>
      <c r="E4274" s="64">
        <v>1</v>
      </c>
    </row>
    <row r="4275" spans="1:5">
      <c r="A4275" s="64" t="s">
        <v>24</v>
      </c>
      <c r="B4275" s="65">
        <v>43427</v>
      </c>
      <c r="C4275" s="66" t="s">
        <v>220</v>
      </c>
      <c r="D4275" s="3" t="s">
        <v>3</v>
      </c>
      <c r="E4275" s="64">
        <v>1</v>
      </c>
    </row>
    <row r="4276" spans="1:5">
      <c r="A4276" s="64" t="s">
        <v>24</v>
      </c>
      <c r="B4276" s="65">
        <v>43430</v>
      </c>
      <c r="C4276" s="66" t="s">
        <v>216</v>
      </c>
      <c r="D4276" s="3" t="s">
        <v>3</v>
      </c>
      <c r="E4276" s="64">
        <v>1</v>
      </c>
    </row>
    <row r="4277" spans="1:5">
      <c r="A4277" s="64" t="s">
        <v>24</v>
      </c>
      <c r="B4277" s="65">
        <v>43431</v>
      </c>
      <c r="C4277" s="66" t="s">
        <v>217</v>
      </c>
      <c r="D4277" s="3" t="s">
        <v>3</v>
      </c>
      <c r="E4277" s="64">
        <v>1</v>
      </c>
    </row>
    <row r="4278" spans="1:5">
      <c r="A4278" s="64" t="s">
        <v>24</v>
      </c>
      <c r="B4278" s="65">
        <v>43432</v>
      </c>
      <c r="C4278" s="66" t="s">
        <v>218</v>
      </c>
      <c r="D4278" s="3" t="s">
        <v>3</v>
      </c>
      <c r="E4278" s="64">
        <v>1</v>
      </c>
    </row>
    <row r="4279" spans="1:5">
      <c r="A4279" s="64" t="s">
        <v>24</v>
      </c>
      <c r="B4279" s="65">
        <v>43433</v>
      </c>
      <c r="C4279" s="66" t="s">
        <v>219</v>
      </c>
      <c r="D4279" s="3" t="s">
        <v>3</v>
      </c>
      <c r="E4279" s="64">
        <v>1</v>
      </c>
    </row>
    <row r="4280" spans="1:5">
      <c r="A4280" s="64" t="s">
        <v>24</v>
      </c>
      <c r="B4280" s="65">
        <v>43434</v>
      </c>
      <c r="C4280" s="66" t="s">
        <v>220</v>
      </c>
      <c r="D4280" s="3" t="s">
        <v>3</v>
      </c>
      <c r="E4280" s="64">
        <v>1</v>
      </c>
    </row>
    <row r="4281" spans="1:5">
      <c r="A4281" s="64" t="s">
        <v>24</v>
      </c>
      <c r="B4281" s="65">
        <v>43437</v>
      </c>
      <c r="C4281" s="66" t="s">
        <v>216</v>
      </c>
      <c r="D4281" s="3" t="s">
        <v>3</v>
      </c>
      <c r="E4281" s="64">
        <v>1</v>
      </c>
    </row>
    <row r="4282" spans="1:5">
      <c r="A4282" s="64" t="s">
        <v>24</v>
      </c>
      <c r="B4282" s="65">
        <v>43438</v>
      </c>
      <c r="C4282" s="66" t="s">
        <v>217</v>
      </c>
      <c r="D4282" s="3" t="s">
        <v>3</v>
      </c>
      <c r="E4282" s="64">
        <v>1</v>
      </c>
    </row>
    <row r="4283" spans="1:5">
      <c r="A4283" s="64" t="s">
        <v>24</v>
      </c>
      <c r="B4283" s="65">
        <v>43439</v>
      </c>
      <c r="C4283" s="66" t="s">
        <v>218</v>
      </c>
      <c r="D4283" s="3" t="s">
        <v>3</v>
      </c>
      <c r="E4283" s="64">
        <v>1</v>
      </c>
    </row>
    <row r="4284" spans="1:5">
      <c r="A4284" s="64" t="s">
        <v>24</v>
      </c>
      <c r="B4284" s="65">
        <v>43440</v>
      </c>
      <c r="C4284" s="66" t="s">
        <v>219</v>
      </c>
      <c r="D4284" s="3" t="s">
        <v>3</v>
      </c>
      <c r="E4284" s="64">
        <v>1</v>
      </c>
    </row>
    <row r="4285" spans="1:5">
      <c r="A4285" s="64" t="s">
        <v>24</v>
      </c>
      <c r="B4285" s="65">
        <v>43441</v>
      </c>
      <c r="C4285" s="66" t="s">
        <v>220</v>
      </c>
      <c r="D4285" s="3" t="s">
        <v>3</v>
      </c>
      <c r="E4285" s="64">
        <v>1</v>
      </c>
    </row>
    <row r="4286" spans="1:5">
      <c r="A4286" s="64" t="s">
        <v>24</v>
      </c>
      <c r="B4286" s="65">
        <v>43444</v>
      </c>
      <c r="C4286" s="66" t="s">
        <v>216</v>
      </c>
      <c r="D4286" s="3" t="s">
        <v>3</v>
      </c>
      <c r="E4286" s="64">
        <v>1</v>
      </c>
    </row>
    <row r="4287" spans="1:5">
      <c r="A4287" s="64" t="s">
        <v>24</v>
      </c>
      <c r="B4287" s="65">
        <v>43445</v>
      </c>
      <c r="C4287" s="66" t="s">
        <v>217</v>
      </c>
      <c r="D4287" s="3" t="s">
        <v>3</v>
      </c>
      <c r="E4287" s="64">
        <v>1</v>
      </c>
    </row>
    <row r="4288" spans="1:5">
      <c r="A4288" s="64" t="s">
        <v>24</v>
      </c>
      <c r="B4288" s="65">
        <v>43446</v>
      </c>
      <c r="C4288" s="66" t="s">
        <v>218</v>
      </c>
      <c r="D4288" s="3" t="s">
        <v>3</v>
      </c>
      <c r="E4288" s="64">
        <v>1</v>
      </c>
    </row>
    <row r="4289" spans="1:5">
      <c r="A4289" s="64" t="s">
        <v>24</v>
      </c>
      <c r="B4289" s="65">
        <v>43447</v>
      </c>
      <c r="C4289" s="66" t="s">
        <v>219</v>
      </c>
      <c r="D4289" s="3" t="s">
        <v>3</v>
      </c>
      <c r="E4289" s="64">
        <v>1</v>
      </c>
    </row>
    <row r="4290" spans="1:5">
      <c r="A4290" s="64" t="s">
        <v>24</v>
      </c>
      <c r="B4290" s="65">
        <v>43448</v>
      </c>
      <c r="C4290" s="66" t="s">
        <v>220</v>
      </c>
      <c r="D4290" s="3" t="s">
        <v>3</v>
      </c>
      <c r="E4290" s="64">
        <v>1</v>
      </c>
    </row>
    <row r="4291" spans="1:5">
      <c r="A4291" s="64" t="s">
        <v>24</v>
      </c>
      <c r="B4291" s="65">
        <v>43451</v>
      </c>
      <c r="C4291" s="66" t="s">
        <v>216</v>
      </c>
      <c r="D4291" s="3" t="s">
        <v>3</v>
      </c>
      <c r="E4291" s="64">
        <v>1</v>
      </c>
    </row>
    <row r="4292" spans="1:5">
      <c r="A4292" s="64" t="s">
        <v>24</v>
      </c>
      <c r="B4292" s="65">
        <v>43452</v>
      </c>
      <c r="C4292" s="66" t="s">
        <v>217</v>
      </c>
      <c r="D4292" s="3" t="s">
        <v>3</v>
      </c>
      <c r="E4292" s="64">
        <v>1</v>
      </c>
    </row>
    <row r="4293" spans="1:5">
      <c r="A4293" s="64" t="s">
        <v>24</v>
      </c>
      <c r="B4293" s="65">
        <v>43453</v>
      </c>
      <c r="C4293" s="66" t="s">
        <v>218</v>
      </c>
      <c r="D4293" s="3" t="s">
        <v>3</v>
      </c>
      <c r="E4293" s="64">
        <v>1</v>
      </c>
    </row>
    <row r="4294" spans="1:5">
      <c r="A4294" s="64" t="s">
        <v>24</v>
      </c>
      <c r="B4294" s="65">
        <v>43454</v>
      </c>
      <c r="C4294" s="66" t="s">
        <v>219</v>
      </c>
      <c r="D4294" s="3" t="s">
        <v>3</v>
      </c>
      <c r="E4294" s="64">
        <v>1</v>
      </c>
    </row>
    <row r="4295" spans="1:5">
      <c r="A4295" s="64" t="s">
        <v>24</v>
      </c>
      <c r="B4295" s="65">
        <v>43455</v>
      </c>
      <c r="C4295" s="66" t="s">
        <v>220</v>
      </c>
      <c r="D4295" s="3" t="s">
        <v>3</v>
      </c>
      <c r="E4295" s="64">
        <v>1</v>
      </c>
    </row>
    <row r="4296" spans="1:5">
      <c r="A4296" s="64" t="s">
        <v>24</v>
      </c>
      <c r="B4296" s="65">
        <v>43458</v>
      </c>
      <c r="C4296" s="66" t="s">
        <v>216</v>
      </c>
      <c r="D4296" s="3" t="s">
        <v>3</v>
      </c>
      <c r="E4296" s="64">
        <v>1</v>
      </c>
    </row>
    <row r="4297" spans="1:5">
      <c r="A4297" s="64" t="s">
        <v>24</v>
      </c>
      <c r="B4297" s="65">
        <v>43459</v>
      </c>
      <c r="C4297" s="66" t="s">
        <v>217</v>
      </c>
      <c r="D4297" s="3" t="s">
        <v>3</v>
      </c>
      <c r="E4297" s="64">
        <v>1</v>
      </c>
    </row>
    <row r="4298" spans="1:5">
      <c r="A4298" s="64" t="s">
        <v>24</v>
      </c>
      <c r="B4298" s="65">
        <v>43460</v>
      </c>
      <c r="C4298" s="66" t="s">
        <v>218</v>
      </c>
      <c r="D4298" s="3" t="s">
        <v>3</v>
      </c>
      <c r="E4298" s="64">
        <v>1</v>
      </c>
    </row>
    <row r="4299" spans="1:5">
      <c r="A4299" s="64" t="s">
        <v>24</v>
      </c>
      <c r="B4299" s="65">
        <v>43461</v>
      </c>
      <c r="C4299" s="66" t="s">
        <v>219</v>
      </c>
      <c r="D4299" s="3" t="s">
        <v>3</v>
      </c>
      <c r="E4299" s="64">
        <v>1</v>
      </c>
    </row>
    <row r="4300" spans="1:5">
      <c r="A4300" s="64" t="s">
        <v>24</v>
      </c>
      <c r="B4300" s="65">
        <v>43462</v>
      </c>
      <c r="C4300" s="66" t="s">
        <v>220</v>
      </c>
      <c r="D4300" s="3" t="s">
        <v>3</v>
      </c>
      <c r="E4300" s="64">
        <v>1</v>
      </c>
    </row>
    <row r="4301" spans="1:5">
      <c r="A4301" s="64" t="s">
        <v>24</v>
      </c>
      <c r="B4301" s="65">
        <v>43465</v>
      </c>
      <c r="C4301" s="66" t="s">
        <v>216</v>
      </c>
      <c r="D4301" s="3" t="s">
        <v>3</v>
      </c>
      <c r="E4301" s="64">
        <v>1</v>
      </c>
    </row>
    <row r="4302" spans="1:5">
      <c r="A4302" s="64" t="s">
        <v>24</v>
      </c>
      <c r="B4302" s="65">
        <v>43466</v>
      </c>
      <c r="C4302" s="66" t="s">
        <v>217</v>
      </c>
      <c r="D4302" s="3" t="s">
        <v>3</v>
      </c>
      <c r="E4302" s="64">
        <v>1</v>
      </c>
    </row>
    <row r="4303" spans="1:5">
      <c r="A4303" s="64" t="s">
        <v>24</v>
      </c>
      <c r="B4303" s="65">
        <v>43467</v>
      </c>
      <c r="C4303" s="66" t="s">
        <v>218</v>
      </c>
      <c r="D4303" s="3" t="s">
        <v>3</v>
      </c>
      <c r="E4303" s="64">
        <v>1</v>
      </c>
    </row>
    <row r="4304" spans="1:5">
      <c r="A4304" s="64" t="s">
        <v>24</v>
      </c>
      <c r="B4304" s="65">
        <v>43468</v>
      </c>
      <c r="C4304" s="66" t="s">
        <v>219</v>
      </c>
      <c r="D4304" s="3" t="s">
        <v>3</v>
      </c>
      <c r="E4304" s="64">
        <v>1</v>
      </c>
    </row>
    <row r="4305" spans="1:5">
      <c r="A4305" s="64" t="s">
        <v>24</v>
      </c>
      <c r="B4305" s="65">
        <v>43469</v>
      </c>
      <c r="C4305" s="66" t="s">
        <v>220</v>
      </c>
      <c r="D4305" s="3" t="s">
        <v>3</v>
      </c>
      <c r="E4305" s="64">
        <v>1</v>
      </c>
    </row>
    <row r="4306" spans="1:5">
      <c r="A4306" s="64" t="s">
        <v>24</v>
      </c>
      <c r="B4306" s="65">
        <v>43472</v>
      </c>
      <c r="C4306" s="66" t="s">
        <v>216</v>
      </c>
      <c r="D4306" s="3" t="s">
        <v>3</v>
      </c>
      <c r="E4306" s="64">
        <v>1</v>
      </c>
    </row>
    <row r="4307" spans="1:5">
      <c r="A4307" s="64" t="s">
        <v>24</v>
      </c>
      <c r="B4307" s="65">
        <v>43473</v>
      </c>
      <c r="C4307" s="66" t="s">
        <v>217</v>
      </c>
      <c r="D4307" s="3" t="s">
        <v>3</v>
      </c>
      <c r="E4307" s="64">
        <v>1</v>
      </c>
    </row>
    <row r="4308" spans="1:5">
      <c r="A4308" s="64" t="s">
        <v>24</v>
      </c>
      <c r="B4308" s="65">
        <v>43474</v>
      </c>
      <c r="C4308" s="66" t="s">
        <v>218</v>
      </c>
      <c r="D4308" s="3" t="s">
        <v>3</v>
      </c>
      <c r="E4308" s="64">
        <v>1</v>
      </c>
    </row>
    <row r="4309" spans="1:5">
      <c r="A4309" s="64" t="s">
        <v>24</v>
      </c>
      <c r="B4309" s="65">
        <v>43475</v>
      </c>
      <c r="C4309" s="66" t="s">
        <v>219</v>
      </c>
      <c r="D4309" s="3" t="s">
        <v>3</v>
      </c>
      <c r="E4309" s="64">
        <v>1</v>
      </c>
    </row>
    <row r="4310" spans="1:5">
      <c r="A4310" s="64" t="s">
        <v>24</v>
      </c>
      <c r="B4310" s="65">
        <v>43476</v>
      </c>
      <c r="C4310" s="66" t="s">
        <v>220</v>
      </c>
      <c r="D4310" s="3" t="s">
        <v>3</v>
      </c>
      <c r="E4310" s="64">
        <v>1</v>
      </c>
    </row>
    <row r="4311" spans="1:5">
      <c r="A4311" s="64" t="s">
        <v>24</v>
      </c>
      <c r="B4311" s="65">
        <v>43479</v>
      </c>
      <c r="C4311" s="66" t="s">
        <v>216</v>
      </c>
      <c r="D4311" s="3" t="s">
        <v>3</v>
      </c>
      <c r="E4311" s="64">
        <v>1</v>
      </c>
    </row>
    <row r="4312" spans="1:5">
      <c r="A4312" s="64" t="s">
        <v>24</v>
      </c>
      <c r="B4312" s="65">
        <v>43480</v>
      </c>
      <c r="C4312" s="66" t="s">
        <v>217</v>
      </c>
      <c r="D4312" s="3" t="s">
        <v>3</v>
      </c>
      <c r="E4312" s="64">
        <v>1</v>
      </c>
    </row>
    <row r="4313" spans="1:5">
      <c r="A4313" s="64" t="s">
        <v>24</v>
      </c>
      <c r="B4313" s="65">
        <v>43481</v>
      </c>
      <c r="C4313" s="66" t="s">
        <v>218</v>
      </c>
      <c r="D4313" s="3" t="s">
        <v>3</v>
      </c>
      <c r="E4313" s="64">
        <v>1</v>
      </c>
    </row>
    <row r="4314" spans="1:5">
      <c r="A4314" s="64" t="s">
        <v>24</v>
      </c>
      <c r="B4314" s="65">
        <v>43482</v>
      </c>
      <c r="C4314" s="66" t="s">
        <v>219</v>
      </c>
      <c r="D4314" s="3" t="s">
        <v>3</v>
      </c>
      <c r="E4314" s="64">
        <v>1</v>
      </c>
    </row>
    <row r="4315" spans="1:5">
      <c r="A4315" s="64" t="s">
        <v>24</v>
      </c>
      <c r="B4315" s="65">
        <v>43483</v>
      </c>
      <c r="C4315" s="66" t="s">
        <v>220</v>
      </c>
      <c r="D4315" s="3" t="s">
        <v>3</v>
      </c>
      <c r="E4315" s="64">
        <v>1</v>
      </c>
    </row>
    <row r="4316" spans="1:5">
      <c r="A4316" s="64" t="s">
        <v>24</v>
      </c>
      <c r="B4316" s="65">
        <v>43486</v>
      </c>
      <c r="C4316" s="66" t="s">
        <v>216</v>
      </c>
      <c r="D4316" s="3" t="s">
        <v>3</v>
      </c>
      <c r="E4316" s="64">
        <v>1</v>
      </c>
    </row>
    <row r="4317" spans="1:5">
      <c r="A4317" s="64" t="s">
        <v>24</v>
      </c>
      <c r="B4317" s="65">
        <v>43487</v>
      </c>
      <c r="C4317" s="66" t="s">
        <v>217</v>
      </c>
      <c r="D4317" s="3" t="s">
        <v>3</v>
      </c>
      <c r="E4317" s="64">
        <v>1</v>
      </c>
    </row>
    <row r="4318" spans="1:5">
      <c r="A4318" s="64" t="s">
        <v>24</v>
      </c>
      <c r="B4318" s="65">
        <v>43488</v>
      </c>
      <c r="C4318" s="66" t="s">
        <v>218</v>
      </c>
      <c r="D4318" s="3" t="s">
        <v>3</v>
      </c>
      <c r="E4318" s="64">
        <v>1</v>
      </c>
    </row>
    <row r="4319" spans="1:5">
      <c r="A4319" s="64" t="s">
        <v>24</v>
      </c>
      <c r="B4319" s="65">
        <v>43489</v>
      </c>
      <c r="C4319" s="66" t="s">
        <v>219</v>
      </c>
      <c r="D4319" s="3" t="s">
        <v>3</v>
      </c>
      <c r="E4319" s="64">
        <v>1</v>
      </c>
    </row>
    <row r="4320" spans="1:5">
      <c r="A4320" s="64" t="s">
        <v>24</v>
      </c>
      <c r="B4320" s="65">
        <v>43490</v>
      </c>
      <c r="C4320" s="66" t="s">
        <v>220</v>
      </c>
      <c r="D4320" s="3" t="s">
        <v>3</v>
      </c>
      <c r="E4320" s="64">
        <v>1</v>
      </c>
    </row>
    <row r="4321" spans="1:5">
      <c r="A4321" s="64" t="s">
        <v>24</v>
      </c>
      <c r="B4321" s="65">
        <v>43493</v>
      </c>
      <c r="C4321" s="66" t="s">
        <v>216</v>
      </c>
      <c r="D4321" s="3" t="s">
        <v>3</v>
      </c>
      <c r="E4321" s="64">
        <v>1</v>
      </c>
    </row>
    <row r="4322" spans="1:5">
      <c r="A4322" s="64" t="s">
        <v>24</v>
      </c>
      <c r="B4322" s="65">
        <v>43494</v>
      </c>
      <c r="C4322" s="66" t="s">
        <v>217</v>
      </c>
      <c r="D4322" s="3" t="s">
        <v>3</v>
      </c>
      <c r="E4322" s="64">
        <v>1</v>
      </c>
    </row>
    <row r="4323" spans="1:5">
      <c r="A4323" s="64" t="s">
        <v>24</v>
      </c>
      <c r="B4323" s="65">
        <v>43495</v>
      </c>
      <c r="C4323" s="66" t="s">
        <v>218</v>
      </c>
      <c r="D4323" s="3" t="s">
        <v>3</v>
      </c>
      <c r="E4323" s="64">
        <v>1</v>
      </c>
    </row>
    <row r="4324" spans="1:5">
      <c r="A4324" s="64" t="s">
        <v>24</v>
      </c>
      <c r="B4324" s="65">
        <v>43496</v>
      </c>
      <c r="C4324" s="66" t="s">
        <v>219</v>
      </c>
      <c r="D4324" s="3" t="s">
        <v>3</v>
      </c>
      <c r="E4324" s="64">
        <v>1</v>
      </c>
    </row>
    <row r="4325" spans="1:5">
      <c r="A4325" s="64" t="s">
        <v>24</v>
      </c>
      <c r="B4325" s="65">
        <v>43497</v>
      </c>
      <c r="C4325" s="66" t="s">
        <v>220</v>
      </c>
      <c r="D4325" s="3" t="s">
        <v>3</v>
      </c>
      <c r="E4325" s="64">
        <v>1</v>
      </c>
    </row>
    <row r="4326" spans="1:5">
      <c r="A4326" s="64" t="s">
        <v>24</v>
      </c>
      <c r="B4326" s="65">
        <v>43220</v>
      </c>
      <c r="C4326" s="66" t="s">
        <v>216</v>
      </c>
      <c r="D4326" s="3" t="s">
        <v>7</v>
      </c>
      <c r="E4326" s="64">
        <v>1</v>
      </c>
    </row>
    <row r="4327" spans="1:5">
      <c r="A4327" s="64" t="s">
        <v>24</v>
      </c>
      <c r="B4327" s="65">
        <v>43221</v>
      </c>
      <c r="C4327" s="66" t="s">
        <v>217</v>
      </c>
      <c r="D4327" s="3" t="s">
        <v>7</v>
      </c>
      <c r="E4327" s="64">
        <v>1</v>
      </c>
    </row>
    <row r="4328" spans="1:5">
      <c r="A4328" s="64" t="s">
        <v>24</v>
      </c>
      <c r="B4328" s="65">
        <v>43222</v>
      </c>
      <c r="C4328" s="66" t="s">
        <v>218</v>
      </c>
      <c r="D4328" s="3" t="s">
        <v>7</v>
      </c>
      <c r="E4328" s="64">
        <v>1</v>
      </c>
    </row>
    <row r="4329" spans="1:5">
      <c r="A4329" s="64" t="s">
        <v>24</v>
      </c>
      <c r="B4329" s="65">
        <v>43223</v>
      </c>
      <c r="C4329" s="66" t="s">
        <v>219</v>
      </c>
      <c r="D4329" s="3" t="s">
        <v>7</v>
      </c>
      <c r="E4329" s="64">
        <v>1</v>
      </c>
    </row>
    <row r="4330" spans="1:5">
      <c r="A4330" s="64" t="s">
        <v>24</v>
      </c>
      <c r="B4330" s="65">
        <v>43224</v>
      </c>
      <c r="C4330" s="66" t="s">
        <v>220</v>
      </c>
      <c r="D4330" s="3" t="s">
        <v>7</v>
      </c>
      <c r="E4330" s="64">
        <v>1</v>
      </c>
    </row>
    <row r="4331" spans="1:5">
      <c r="A4331" s="64" t="s">
        <v>24</v>
      </c>
      <c r="B4331" s="65">
        <v>43225</v>
      </c>
      <c r="C4331" s="66" t="s">
        <v>221</v>
      </c>
      <c r="D4331" s="3" t="s">
        <v>7</v>
      </c>
      <c r="E4331" s="64">
        <v>1</v>
      </c>
    </row>
    <row r="4332" spans="1:5">
      <c r="A4332" s="64" t="s">
        <v>24</v>
      </c>
      <c r="B4332" s="65">
        <v>43226</v>
      </c>
      <c r="C4332" s="66" t="s">
        <v>222</v>
      </c>
      <c r="D4332" s="3" t="s">
        <v>7</v>
      </c>
      <c r="E4332" s="64">
        <v>1</v>
      </c>
    </row>
    <row r="4333" spans="1:5">
      <c r="A4333" s="64" t="s">
        <v>24</v>
      </c>
      <c r="B4333" s="65">
        <v>43227</v>
      </c>
      <c r="C4333" s="66" t="s">
        <v>216</v>
      </c>
      <c r="D4333" s="3" t="s">
        <v>7</v>
      </c>
      <c r="E4333" s="64">
        <v>1</v>
      </c>
    </row>
    <row r="4334" spans="1:5">
      <c r="A4334" s="64" t="s">
        <v>24</v>
      </c>
      <c r="B4334" s="65">
        <v>43228</v>
      </c>
      <c r="C4334" s="66" t="s">
        <v>217</v>
      </c>
      <c r="D4334" s="3" t="s">
        <v>7</v>
      </c>
      <c r="E4334" s="64">
        <v>1</v>
      </c>
    </row>
    <row r="4335" spans="1:5">
      <c r="A4335" s="64" t="s">
        <v>24</v>
      </c>
      <c r="B4335" s="65">
        <v>43229</v>
      </c>
      <c r="C4335" s="66" t="s">
        <v>218</v>
      </c>
      <c r="D4335" s="3" t="s">
        <v>7</v>
      </c>
      <c r="E4335" s="64">
        <v>1</v>
      </c>
    </row>
    <row r="4336" spans="1:5">
      <c r="A4336" s="64" t="s">
        <v>24</v>
      </c>
      <c r="B4336" s="65">
        <v>43230</v>
      </c>
      <c r="C4336" s="66" t="s">
        <v>219</v>
      </c>
      <c r="D4336" s="3" t="s">
        <v>7</v>
      </c>
      <c r="E4336" s="64">
        <v>1</v>
      </c>
    </row>
    <row r="4337" spans="1:5">
      <c r="A4337" s="64" t="s">
        <v>24</v>
      </c>
      <c r="B4337" s="65">
        <v>43231</v>
      </c>
      <c r="C4337" s="66" t="s">
        <v>220</v>
      </c>
      <c r="D4337" s="3" t="s">
        <v>7</v>
      </c>
      <c r="E4337" s="64">
        <v>1</v>
      </c>
    </row>
    <row r="4338" spans="1:5">
      <c r="A4338" s="64" t="s">
        <v>24</v>
      </c>
      <c r="B4338" s="65">
        <v>43232</v>
      </c>
      <c r="C4338" s="66" t="s">
        <v>221</v>
      </c>
      <c r="D4338" s="3" t="s">
        <v>7</v>
      </c>
      <c r="E4338" s="64">
        <v>1</v>
      </c>
    </row>
    <row r="4339" spans="1:5">
      <c r="A4339" s="64" t="s">
        <v>24</v>
      </c>
      <c r="B4339" s="65">
        <v>43233</v>
      </c>
      <c r="C4339" s="66" t="s">
        <v>222</v>
      </c>
      <c r="D4339" s="3" t="s">
        <v>7</v>
      </c>
      <c r="E4339" s="64">
        <v>1</v>
      </c>
    </row>
    <row r="4340" spans="1:5">
      <c r="A4340" s="64" t="s">
        <v>24</v>
      </c>
      <c r="B4340" s="65">
        <v>43234</v>
      </c>
      <c r="C4340" s="66" t="s">
        <v>216</v>
      </c>
      <c r="D4340" s="3" t="s">
        <v>7</v>
      </c>
      <c r="E4340" s="64">
        <v>1</v>
      </c>
    </row>
    <row r="4341" spans="1:5">
      <c r="A4341" s="64" t="s">
        <v>24</v>
      </c>
      <c r="B4341" s="65">
        <v>43235</v>
      </c>
      <c r="C4341" s="66" t="s">
        <v>217</v>
      </c>
      <c r="D4341" s="3" t="s">
        <v>7</v>
      </c>
      <c r="E4341" s="64">
        <v>1</v>
      </c>
    </row>
    <row r="4342" spans="1:5">
      <c r="A4342" s="64" t="s">
        <v>24</v>
      </c>
      <c r="B4342" s="65">
        <v>43236</v>
      </c>
      <c r="C4342" s="66" t="s">
        <v>218</v>
      </c>
      <c r="D4342" s="3" t="s">
        <v>7</v>
      </c>
      <c r="E4342" s="64">
        <v>1</v>
      </c>
    </row>
    <row r="4343" spans="1:5">
      <c r="A4343" s="64" t="s">
        <v>24</v>
      </c>
      <c r="B4343" s="65">
        <v>43237</v>
      </c>
      <c r="C4343" s="66" t="s">
        <v>219</v>
      </c>
      <c r="D4343" s="3" t="s">
        <v>7</v>
      </c>
      <c r="E4343" s="64">
        <v>1</v>
      </c>
    </row>
    <row r="4344" spans="1:5">
      <c r="A4344" s="64" t="s">
        <v>24</v>
      </c>
      <c r="B4344" s="65">
        <v>43238</v>
      </c>
      <c r="C4344" s="66" t="s">
        <v>220</v>
      </c>
      <c r="D4344" s="3" t="s">
        <v>7</v>
      </c>
      <c r="E4344" s="64">
        <v>1</v>
      </c>
    </row>
    <row r="4345" spans="1:5">
      <c r="A4345" s="64" t="s">
        <v>24</v>
      </c>
      <c r="B4345" s="65">
        <v>43239</v>
      </c>
      <c r="C4345" s="66" t="s">
        <v>221</v>
      </c>
      <c r="D4345" s="3" t="s">
        <v>7</v>
      </c>
      <c r="E4345" s="64">
        <v>1</v>
      </c>
    </row>
    <row r="4346" spans="1:5">
      <c r="A4346" s="64" t="s">
        <v>24</v>
      </c>
      <c r="B4346" s="65">
        <v>43240</v>
      </c>
      <c r="C4346" s="66" t="s">
        <v>222</v>
      </c>
      <c r="D4346" s="3" t="s">
        <v>7</v>
      </c>
      <c r="E4346" s="64">
        <v>1</v>
      </c>
    </row>
    <row r="4347" spans="1:5">
      <c r="A4347" s="64" t="s">
        <v>24</v>
      </c>
      <c r="B4347" s="65">
        <v>43241</v>
      </c>
      <c r="C4347" s="66" t="s">
        <v>216</v>
      </c>
      <c r="D4347" s="3" t="s">
        <v>7</v>
      </c>
      <c r="E4347" s="64">
        <v>1</v>
      </c>
    </row>
    <row r="4348" spans="1:5">
      <c r="A4348" s="64" t="s">
        <v>24</v>
      </c>
      <c r="B4348" s="65">
        <v>43242</v>
      </c>
      <c r="C4348" s="66" t="s">
        <v>217</v>
      </c>
      <c r="D4348" s="3" t="s">
        <v>7</v>
      </c>
      <c r="E4348" s="64">
        <v>1</v>
      </c>
    </row>
    <row r="4349" spans="1:5">
      <c r="A4349" s="64" t="s">
        <v>24</v>
      </c>
      <c r="B4349" s="65">
        <v>43243</v>
      </c>
      <c r="C4349" s="66" t="s">
        <v>218</v>
      </c>
      <c r="D4349" s="3" t="s">
        <v>7</v>
      </c>
      <c r="E4349" s="64">
        <v>1</v>
      </c>
    </row>
    <row r="4350" spans="1:5">
      <c r="A4350" s="64" t="s">
        <v>24</v>
      </c>
      <c r="B4350" s="65">
        <v>43244</v>
      </c>
      <c r="C4350" s="66" t="s">
        <v>219</v>
      </c>
      <c r="D4350" s="3" t="s">
        <v>7</v>
      </c>
      <c r="E4350" s="64">
        <v>1</v>
      </c>
    </row>
    <row r="4351" spans="1:5">
      <c r="A4351" s="64" t="s">
        <v>24</v>
      </c>
      <c r="B4351" s="65">
        <v>43245</v>
      </c>
      <c r="C4351" s="66" t="s">
        <v>220</v>
      </c>
      <c r="D4351" s="3" t="s">
        <v>7</v>
      </c>
      <c r="E4351" s="64">
        <v>1</v>
      </c>
    </row>
    <row r="4352" spans="1:5">
      <c r="A4352" s="64" t="s">
        <v>24</v>
      </c>
      <c r="B4352" s="65">
        <v>43246</v>
      </c>
      <c r="C4352" s="66" t="s">
        <v>221</v>
      </c>
      <c r="D4352" s="3" t="s">
        <v>7</v>
      </c>
      <c r="E4352" s="64">
        <v>1</v>
      </c>
    </row>
    <row r="4353" spans="1:5">
      <c r="A4353" s="64" t="s">
        <v>24</v>
      </c>
      <c r="B4353" s="65">
        <v>43247</v>
      </c>
      <c r="C4353" s="66" t="s">
        <v>222</v>
      </c>
      <c r="D4353" s="3" t="s">
        <v>7</v>
      </c>
      <c r="E4353" s="64">
        <v>1</v>
      </c>
    </row>
    <row r="4354" spans="1:5">
      <c r="A4354" s="64" t="s">
        <v>24</v>
      </c>
      <c r="B4354" s="65">
        <v>43248</v>
      </c>
      <c r="C4354" s="66" t="s">
        <v>216</v>
      </c>
      <c r="D4354" s="3" t="s">
        <v>7</v>
      </c>
      <c r="E4354" s="64">
        <v>1</v>
      </c>
    </row>
    <row r="4355" spans="1:5">
      <c r="A4355" s="64" t="s">
        <v>24</v>
      </c>
      <c r="B4355" s="65">
        <v>43249</v>
      </c>
      <c r="C4355" s="66" t="s">
        <v>217</v>
      </c>
      <c r="D4355" s="3" t="s">
        <v>7</v>
      </c>
      <c r="E4355" s="64">
        <v>1</v>
      </c>
    </row>
    <row r="4356" spans="1:5">
      <c r="A4356" s="64" t="s">
        <v>24</v>
      </c>
      <c r="B4356" s="65">
        <v>43250</v>
      </c>
      <c r="C4356" s="66" t="s">
        <v>218</v>
      </c>
      <c r="D4356" s="3" t="s">
        <v>7</v>
      </c>
      <c r="E4356" s="64">
        <v>1</v>
      </c>
    </row>
    <row r="4357" spans="1:5">
      <c r="A4357" s="64" t="s">
        <v>24</v>
      </c>
      <c r="B4357" s="65">
        <v>43251</v>
      </c>
      <c r="C4357" s="66" t="s">
        <v>219</v>
      </c>
      <c r="D4357" s="3" t="s">
        <v>7</v>
      </c>
      <c r="E4357" s="64">
        <v>1</v>
      </c>
    </row>
    <row r="4358" spans="1:5">
      <c r="A4358" s="64" t="s">
        <v>24</v>
      </c>
      <c r="B4358" s="65">
        <v>43252</v>
      </c>
      <c r="C4358" s="66" t="s">
        <v>220</v>
      </c>
      <c r="D4358" s="3" t="s">
        <v>7</v>
      </c>
      <c r="E4358" s="64">
        <v>1</v>
      </c>
    </row>
    <row r="4359" spans="1:5">
      <c r="A4359" s="64" t="s">
        <v>24</v>
      </c>
      <c r="B4359" s="65">
        <v>43253</v>
      </c>
      <c r="C4359" s="66" t="s">
        <v>221</v>
      </c>
      <c r="D4359" s="3" t="s">
        <v>7</v>
      </c>
      <c r="E4359" s="64">
        <v>1</v>
      </c>
    </row>
    <row r="4360" spans="1:5">
      <c r="A4360" s="64" t="s">
        <v>24</v>
      </c>
      <c r="B4360" s="65">
        <v>43254</v>
      </c>
      <c r="C4360" s="66" t="s">
        <v>222</v>
      </c>
      <c r="D4360" s="3" t="s">
        <v>7</v>
      </c>
      <c r="E4360" s="64">
        <v>1</v>
      </c>
    </row>
    <row r="4361" spans="1:5">
      <c r="A4361" s="64" t="s">
        <v>24</v>
      </c>
      <c r="B4361" s="65">
        <v>43255</v>
      </c>
      <c r="C4361" s="66" t="s">
        <v>216</v>
      </c>
      <c r="D4361" s="3" t="s">
        <v>7</v>
      </c>
      <c r="E4361" s="64">
        <v>1</v>
      </c>
    </row>
    <row r="4362" spans="1:5">
      <c r="A4362" s="64" t="s">
        <v>24</v>
      </c>
      <c r="B4362" s="65">
        <v>43256</v>
      </c>
      <c r="C4362" s="66" t="s">
        <v>217</v>
      </c>
      <c r="D4362" s="3" t="s">
        <v>7</v>
      </c>
      <c r="E4362" s="64">
        <v>1</v>
      </c>
    </row>
    <row r="4363" spans="1:5">
      <c r="A4363" s="64" t="s">
        <v>24</v>
      </c>
      <c r="B4363" s="65">
        <v>43257</v>
      </c>
      <c r="C4363" s="66" t="s">
        <v>218</v>
      </c>
      <c r="D4363" s="3" t="s">
        <v>7</v>
      </c>
      <c r="E4363" s="64">
        <v>1</v>
      </c>
    </row>
    <row r="4364" spans="1:5">
      <c r="A4364" s="64" t="s">
        <v>24</v>
      </c>
      <c r="B4364" s="65">
        <v>43258</v>
      </c>
      <c r="C4364" s="66" t="s">
        <v>219</v>
      </c>
      <c r="D4364" s="3" t="s">
        <v>7</v>
      </c>
      <c r="E4364" s="64">
        <v>1</v>
      </c>
    </row>
    <row r="4365" spans="1:5">
      <c r="A4365" s="64" t="s">
        <v>24</v>
      </c>
      <c r="B4365" s="65">
        <v>43259</v>
      </c>
      <c r="C4365" s="66" t="s">
        <v>220</v>
      </c>
      <c r="D4365" s="3" t="s">
        <v>7</v>
      </c>
      <c r="E4365" s="64">
        <v>1</v>
      </c>
    </row>
    <row r="4366" spans="1:5">
      <c r="A4366" s="64" t="s">
        <v>24</v>
      </c>
      <c r="B4366" s="65">
        <v>43260</v>
      </c>
      <c r="C4366" s="66" t="s">
        <v>221</v>
      </c>
      <c r="D4366" s="3" t="s">
        <v>7</v>
      </c>
      <c r="E4366" s="64">
        <v>1</v>
      </c>
    </row>
    <row r="4367" spans="1:5">
      <c r="A4367" s="64" t="s">
        <v>24</v>
      </c>
      <c r="B4367" s="65">
        <v>43261</v>
      </c>
      <c r="C4367" s="66" t="s">
        <v>222</v>
      </c>
      <c r="D4367" s="3" t="s">
        <v>7</v>
      </c>
      <c r="E4367" s="64">
        <v>1</v>
      </c>
    </row>
    <row r="4368" spans="1:5">
      <c r="A4368" s="64" t="s">
        <v>24</v>
      </c>
      <c r="B4368" s="65">
        <v>43262</v>
      </c>
      <c r="C4368" s="66" t="s">
        <v>216</v>
      </c>
      <c r="D4368" s="3" t="s">
        <v>7</v>
      </c>
      <c r="E4368" s="64">
        <v>1</v>
      </c>
    </row>
    <row r="4369" spans="1:5">
      <c r="A4369" s="64" t="s">
        <v>24</v>
      </c>
      <c r="B4369" s="65">
        <v>43263</v>
      </c>
      <c r="C4369" s="66" t="s">
        <v>217</v>
      </c>
      <c r="D4369" s="3" t="s">
        <v>7</v>
      </c>
      <c r="E4369" s="64">
        <v>1</v>
      </c>
    </row>
    <row r="4370" spans="1:5">
      <c r="A4370" s="64" t="s">
        <v>24</v>
      </c>
      <c r="B4370" s="65">
        <v>43264</v>
      </c>
      <c r="C4370" s="66" t="s">
        <v>218</v>
      </c>
      <c r="D4370" s="3" t="s">
        <v>7</v>
      </c>
      <c r="E4370" s="64">
        <v>1</v>
      </c>
    </row>
    <row r="4371" spans="1:5">
      <c r="A4371" s="64" t="s">
        <v>24</v>
      </c>
      <c r="B4371" s="65">
        <v>43265</v>
      </c>
      <c r="C4371" s="66" t="s">
        <v>219</v>
      </c>
      <c r="D4371" s="3" t="s">
        <v>7</v>
      </c>
      <c r="E4371" s="64">
        <v>1</v>
      </c>
    </row>
    <row r="4372" spans="1:5">
      <c r="A4372" s="64" t="s">
        <v>24</v>
      </c>
      <c r="B4372" s="65">
        <v>43266</v>
      </c>
      <c r="C4372" s="66" t="s">
        <v>220</v>
      </c>
      <c r="D4372" s="3" t="s">
        <v>7</v>
      </c>
      <c r="E4372" s="64">
        <v>1</v>
      </c>
    </row>
    <row r="4373" spans="1:5">
      <c r="A4373" s="64" t="s">
        <v>24</v>
      </c>
      <c r="B4373" s="65">
        <v>43267</v>
      </c>
      <c r="C4373" s="66" t="s">
        <v>221</v>
      </c>
      <c r="D4373" s="3" t="s">
        <v>7</v>
      </c>
      <c r="E4373" s="64">
        <v>1</v>
      </c>
    </row>
    <row r="4374" spans="1:5">
      <c r="A4374" s="64" t="s">
        <v>24</v>
      </c>
      <c r="B4374" s="65">
        <v>43268</v>
      </c>
      <c r="C4374" s="66" t="s">
        <v>222</v>
      </c>
      <c r="D4374" s="3" t="s">
        <v>7</v>
      </c>
      <c r="E4374" s="64">
        <v>1</v>
      </c>
    </row>
    <row r="4375" spans="1:5">
      <c r="A4375" s="64" t="s">
        <v>24</v>
      </c>
      <c r="B4375" s="65">
        <v>43269</v>
      </c>
      <c r="C4375" s="66" t="s">
        <v>216</v>
      </c>
      <c r="D4375" s="3" t="s">
        <v>7</v>
      </c>
      <c r="E4375" s="64">
        <v>1</v>
      </c>
    </row>
    <row r="4376" spans="1:5">
      <c r="A4376" s="64" t="s">
        <v>24</v>
      </c>
      <c r="B4376" s="65">
        <v>43270</v>
      </c>
      <c r="C4376" s="66" t="s">
        <v>217</v>
      </c>
      <c r="D4376" s="3" t="s">
        <v>7</v>
      </c>
      <c r="E4376" s="64">
        <v>1</v>
      </c>
    </row>
    <row r="4377" spans="1:5">
      <c r="A4377" s="64" t="s">
        <v>24</v>
      </c>
      <c r="B4377" s="65">
        <v>43271</v>
      </c>
      <c r="C4377" s="66" t="s">
        <v>218</v>
      </c>
      <c r="D4377" s="3" t="s">
        <v>7</v>
      </c>
      <c r="E4377" s="64">
        <v>1</v>
      </c>
    </row>
    <row r="4378" spans="1:5">
      <c r="A4378" s="64" t="s">
        <v>24</v>
      </c>
      <c r="B4378" s="65">
        <v>43272</v>
      </c>
      <c r="C4378" s="66" t="s">
        <v>219</v>
      </c>
      <c r="D4378" s="3" t="s">
        <v>7</v>
      </c>
      <c r="E4378" s="64">
        <v>1</v>
      </c>
    </row>
    <row r="4379" spans="1:5">
      <c r="A4379" s="64" t="s">
        <v>24</v>
      </c>
      <c r="B4379" s="65">
        <v>43273</v>
      </c>
      <c r="C4379" s="66" t="s">
        <v>220</v>
      </c>
      <c r="D4379" s="3" t="s">
        <v>7</v>
      </c>
      <c r="E4379" s="64">
        <v>1</v>
      </c>
    </row>
    <row r="4380" spans="1:5">
      <c r="A4380" s="64" t="s">
        <v>24</v>
      </c>
      <c r="B4380" s="65">
        <v>43274</v>
      </c>
      <c r="C4380" s="66" t="s">
        <v>221</v>
      </c>
      <c r="D4380" s="3" t="s">
        <v>7</v>
      </c>
      <c r="E4380" s="64">
        <v>1</v>
      </c>
    </row>
    <row r="4381" spans="1:5">
      <c r="A4381" s="64" t="s">
        <v>24</v>
      </c>
      <c r="B4381" s="65">
        <v>43275</v>
      </c>
      <c r="C4381" s="66" t="s">
        <v>222</v>
      </c>
      <c r="D4381" s="3" t="s">
        <v>7</v>
      </c>
      <c r="E4381" s="64">
        <v>1</v>
      </c>
    </row>
    <row r="4382" spans="1:5">
      <c r="A4382" s="64" t="s">
        <v>24</v>
      </c>
      <c r="B4382" s="65">
        <v>43276</v>
      </c>
      <c r="C4382" s="66" t="s">
        <v>216</v>
      </c>
      <c r="D4382" s="3" t="s">
        <v>7</v>
      </c>
      <c r="E4382" s="64">
        <v>1</v>
      </c>
    </row>
    <row r="4383" spans="1:5">
      <c r="A4383" s="64" t="s">
        <v>24</v>
      </c>
      <c r="B4383" s="65">
        <v>43277</v>
      </c>
      <c r="C4383" s="66" t="s">
        <v>217</v>
      </c>
      <c r="D4383" s="3" t="s">
        <v>7</v>
      </c>
      <c r="E4383" s="64">
        <v>1</v>
      </c>
    </row>
    <row r="4384" spans="1:5">
      <c r="A4384" s="64" t="s">
        <v>24</v>
      </c>
      <c r="B4384" s="65">
        <v>43278</v>
      </c>
      <c r="C4384" s="66" t="s">
        <v>218</v>
      </c>
      <c r="D4384" s="3" t="s">
        <v>7</v>
      </c>
      <c r="E4384" s="64">
        <v>1</v>
      </c>
    </row>
    <row r="4385" spans="1:5">
      <c r="A4385" s="64" t="s">
        <v>24</v>
      </c>
      <c r="B4385" s="65">
        <v>43279</v>
      </c>
      <c r="C4385" s="66" t="s">
        <v>219</v>
      </c>
      <c r="D4385" s="3" t="s">
        <v>7</v>
      </c>
      <c r="E4385" s="64">
        <v>1</v>
      </c>
    </row>
    <row r="4386" spans="1:5">
      <c r="A4386" s="64" t="s">
        <v>24</v>
      </c>
      <c r="B4386" s="65">
        <v>43280</v>
      </c>
      <c r="C4386" s="66" t="s">
        <v>220</v>
      </c>
      <c r="D4386" s="3" t="s">
        <v>7</v>
      </c>
      <c r="E4386" s="64">
        <v>1</v>
      </c>
    </row>
    <row r="4387" spans="1:5">
      <c r="A4387" s="64" t="s">
        <v>24</v>
      </c>
      <c r="B4387" s="65">
        <v>43281</v>
      </c>
      <c r="C4387" s="66" t="s">
        <v>221</v>
      </c>
      <c r="D4387" s="3" t="s">
        <v>7</v>
      </c>
      <c r="E4387" s="64">
        <v>1</v>
      </c>
    </row>
    <row r="4388" spans="1:5">
      <c r="A4388" s="64" t="s">
        <v>24</v>
      </c>
      <c r="B4388" s="65">
        <v>43282</v>
      </c>
      <c r="C4388" s="66" t="s">
        <v>222</v>
      </c>
      <c r="D4388" s="3" t="s">
        <v>7</v>
      </c>
      <c r="E4388" s="64">
        <v>1</v>
      </c>
    </row>
    <row r="4389" spans="1:5">
      <c r="A4389" s="64" t="s">
        <v>24</v>
      </c>
      <c r="B4389" s="65">
        <v>43283</v>
      </c>
      <c r="C4389" s="66" t="s">
        <v>216</v>
      </c>
      <c r="D4389" s="3" t="s">
        <v>7</v>
      </c>
      <c r="E4389" s="64">
        <v>1</v>
      </c>
    </row>
    <row r="4390" spans="1:5">
      <c r="A4390" s="64" t="s">
        <v>24</v>
      </c>
      <c r="B4390" s="65">
        <v>43284</v>
      </c>
      <c r="C4390" s="66" t="s">
        <v>217</v>
      </c>
      <c r="D4390" s="3" t="s">
        <v>7</v>
      </c>
      <c r="E4390" s="64">
        <v>1</v>
      </c>
    </row>
    <row r="4391" spans="1:5">
      <c r="A4391" s="64" t="s">
        <v>24</v>
      </c>
      <c r="B4391" s="65">
        <v>43285</v>
      </c>
      <c r="C4391" s="66" t="s">
        <v>218</v>
      </c>
      <c r="D4391" s="3" t="s">
        <v>7</v>
      </c>
      <c r="E4391" s="64">
        <v>1</v>
      </c>
    </row>
    <row r="4392" spans="1:5">
      <c r="A4392" s="64" t="s">
        <v>24</v>
      </c>
      <c r="B4392" s="65">
        <v>43286</v>
      </c>
      <c r="C4392" s="66" t="s">
        <v>219</v>
      </c>
      <c r="D4392" s="3" t="s">
        <v>7</v>
      </c>
      <c r="E4392" s="64">
        <v>1</v>
      </c>
    </row>
    <row r="4393" spans="1:5">
      <c r="A4393" s="64" t="s">
        <v>24</v>
      </c>
      <c r="B4393" s="65">
        <v>43287</v>
      </c>
      <c r="C4393" s="66" t="s">
        <v>220</v>
      </c>
      <c r="D4393" s="3" t="s">
        <v>7</v>
      </c>
      <c r="E4393" s="64">
        <v>1</v>
      </c>
    </row>
    <row r="4394" spans="1:5">
      <c r="A4394" s="64" t="s">
        <v>24</v>
      </c>
      <c r="B4394" s="65">
        <v>43288</v>
      </c>
      <c r="C4394" s="66" t="s">
        <v>221</v>
      </c>
      <c r="D4394" s="3" t="s">
        <v>7</v>
      </c>
      <c r="E4394" s="64">
        <v>1</v>
      </c>
    </row>
    <row r="4395" spans="1:5">
      <c r="A4395" s="64" t="s">
        <v>24</v>
      </c>
      <c r="B4395" s="65">
        <v>43289</v>
      </c>
      <c r="C4395" s="66" t="s">
        <v>222</v>
      </c>
      <c r="D4395" s="3" t="s">
        <v>7</v>
      </c>
      <c r="E4395" s="64">
        <v>1</v>
      </c>
    </row>
    <row r="4396" spans="1:5">
      <c r="A4396" s="64" t="s">
        <v>24</v>
      </c>
      <c r="B4396" s="65">
        <v>43290</v>
      </c>
      <c r="C4396" s="66" t="s">
        <v>216</v>
      </c>
      <c r="D4396" s="3" t="s">
        <v>7</v>
      </c>
      <c r="E4396" s="64">
        <v>1</v>
      </c>
    </row>
    <row r="4397" spans="1:5">
      <c r="A4397" s="64" t="s">
        <v>24</v>
      </c>
      <c r="B4397" s="65">
        <v>43291</v>
      </c>
      <c r="C4397" s="66" t="s">
        <v>217</v>
      </c>
      <c r="D4397" s="3" t="s">
        <v>7</v>
      </c>
      <c r="E4397" s="64">
        <v>1</v>
      </c>
    </row>
    <row r="4398" spans="1:5">
      <c r="A4398" s="64" t="s">
        <v>24</v>
      </c>
      <c r="B4398" s="65">
        <v>43292</v>
      </c>
      <c r="C4398" s="66" t="s">
        <v>218</v>
      </c>
      <c r="D4398" s="3" t="s">
        <v>7</v>
      </c>
      <c r="E4398" s="64">
        <v>1</v>
      </c>
    </row>
    <row r="4399" spans="1:5">
      <c r="A4399" s="64" t="s">
        <v>24</v>
      </c>
      <c r="B4399" s="65">
        <v>43293</v>
      </c>
      <c r="C4399" s="66" t="s">
        <v>219</v>
      </c>
      <c r="D4399" s="3" t="s">
        <v>7</v>
      </c>
      <c r="E4399" s="64">
        <v>1</v>
      </c>
    </row>
    <row r="4400" spans="1:5">
      <c r="A4400" s="64" t="s">
        <v>24</v>
      </c>
      <c r="B4400" s="65">
        <v>43294</v>
      </c>
      <c r="C4400" s="66" t="s">
        <v>220</v>
      </c>
      <c r="D4400" s="3" t="s">
        <v>7</v>
      </c>
      <c r="E4400" s="64">
        <v>1</v>
      </c>
    </row>
    <row r="4401" spans="1:5">
      <c r="A4401" s="64" t="s">
        <v>24</v>
      </c>
      <c r="B4401" s="65">
        <v>43295</v>
      </c>
      <c r="C4401" s="66" t="s">
        <v>221</v>
      </c>
      <c r="D4401" s="3" t="s">
        <v>7</v>
      </c>
      <c r="E4401" s="64">
        <v>1</v>
      </c>
    </row>
    <row r="4402" spans="1:5">
      <c r="A4402" s="64" t="s">
        <v>24</v>
      </c>
      <c r="B4402" s="65">
        <v>43296</v>
      </c>
      <c r="C4402" s="66" t="s">
        <v>222</v>
      </c>
      <c r="D4402" s="3" t="s">
        <v>7</v>
      </c>
      <c r="E4402" s="64">
        <v>1</v>
      </c>
    </row>
    <row r="4403" spans="1:5">
      <c r="A4403" s="64" t="s">
        <v>24</v>
      </c>
      <c r="B4403" s="65">
        <v>43297</v>
      </c>
      <c r="C4403" s="66" t="s">
        <v>216</v>
      </c>
      <c r="D4403" s="3" t="s">
        <v>7</v>
      </c>
      <c r="E4403" s="64">
        <v>1</v>
      </c>
    </row>
    <row r="4404" spans="1:5">
      <c r="A4404" s="64" t="s">
        <v>24</v>
      </c>
      <c r="B4404" s="65">
        <v>43298</v>
      </c>
      <c r="C4404" s="66" t="s">
        <v>217</v>
      </c>
      <c r="D4404" s="3" t="s">
        <v>7</v>
      </c>
      <c r="E4404" s="64">
        <v>1</v>
      </c>
    </row>
    <row r="4405" spans="1:5">
      <c r="A4405" s="64" t="s">
        <v>24</v>
      </c>
      <c r="B4405" s="65">
        <v>43299</v>
      </c>
      <c r="C4405" s="66" t="s">
        <v>218</v>
      </c>
      <c r="D4405" s="3" t="s">
        <v>7</v>
      </c>
      <c r="E4405" s="64">
        <v>1</v>
      </c>
    </row>
    <row r="4406" spans="1:5">
      <c r="A4406" s="64" t="s">
        <v>24</v>
      </c>
      <c r="B4406" s="65">
        <v>43300</v>
      </c>
      <c r="C4406" s="66" t="s">
        <v>219</v>
      </c>
      <c r="D4406" s="3" t="s">
        <v>7</v>
      </c>
      <c r="E4406" s="64">
        <v>1</v>
      </c>
    </row>
    <row r="4407" spans="1:5">
      <c r="A4407" s="64" t="s">
        <v>24</v>
      </c>
      <c r="B4407" s="65">
        <v>43301</v>
      </c>
      <c r="C4407" s="66" t="s">
        <v>220</v>
      </c>
      <c r="D4407" s="3" t="s">
        <v>7</v>
      </c>
      <c r="E4407" s="64">
        <v>1</v>
      </c>
    </row>
    <row r="4408" spans="1:5">
      <c r="A4408" s="64" t="s">
        <v>24</v>
      </c>
      <c r="B4408" s="65">
        <v>43302</v>
      </c>
      <c r="C4408" s="66" t="s">
        <v>221</v>
      </c>
      <c r="D4408" s="3" t="s">
        <v>7</v>
      </c>
      <c r="E4408" s="64">
        <v>1</v>
      </c>
    </row>
    <row r="4409" spans="1:5">
      <c r="A4409" s="64" t="s">
        <v>24</v>
      </c>
      <c r="B4409" s="65">
        <v>43303</v>
      </c>
      <c r="C4409" s="66" t="s">
        <v>222</v>
      </c>
      <c r="D4409" s="3" t="s">
        <v>7</v>
      </c>
      <c r="E4409" s="64">
        <v>1</v>
      </c>
    </row>
    <row r="4410" spans="1:5">
      <c r="A4410" s="64" t="s">
        <v>24</v>
      </c>
      <c r="B4410" s="65">
        <v>43304</v>
      </c>
      <c r="C4410" s="66" t="s">
        <v>216</v>
      </c>
      <c r="D4410" s="3" t="s">
        <v>7</v>
      </c>
      <c r="E4410" s="64">
        <v>1</v>
      </c>
    </row>
    <row r="4411" spans="1:5">
      <c r="A4411" s="64" t="s">
        <v>24</v>
      </c>
      <c r="B4411" s="65">
        <v>43305</v>
      </c>
      <c r="C4411" s="66" t="s">
        <v>217</v>
      </c>
      <c r="D4411" s="3" t="s">
        <v>7</v>
      </c>
      <c r="E4411" s="64">
        <v>1</v>
      </c>
    </row>
    <row r="4412" spans="1:5">
      <c r="A4412" s="64" t="s">
        <v>24</v>
      </c>
      <c r="B4412" s="65">
        <v>43306</v>
      </c>
      <c r="C4412" s="66" t="s">
        <v>218</v>
      </c>
      <c r="D4412" s="3" t="s">
        <v>7</v>
      </c>
      <c r="E4412" s="64">
        <v>1</v>
      </c>
    </row>
    <row r="4413" spans="1:5">
      <c r="A4413" s="64" t="s">
        <v>24</v>
      </c>
      <c r="B4413" s="65">
        <v>43307</v>
      </c>
      <c r="C4413" s="66" t="s">
        <v>219</v>
      </c>
      <c r="D4413" s="3" t="s">
        <v>7</v>
      </c>
      <c r="E4413" s="64">
        <v>1</v>
      </c>
    </row>
    <row r="4414" spans="1:5">
      <c r="A4414" s="64" t="s">
        <v>24</v>
      </c>
      <c r="B4414" s="65">
        <v>43308</v>
      </c>
      <c r="C4414" s="66" t="s">
        <v>220</v>
      </c>
      <c r="D4414" s="3" t="s">
        <v>7</v>
      </c>
      <c r="E4414" s="64">
        <v>1</v>
      </c>
    </row>
    <row r="4415" spans="1:5">
      <c r="A4415" s="64" t="s">
        <v>24</v>
      </c>
      <c r="B4415" s="65">
        <v>43309</v>
      </c>
      <c r="C4415" s="66" t="s">
        <v>221</v>
      </c>
      <c r="D4415" s="3" t="s">
        <v>7</v>
      </c>
      <c r="E4415" s="64">
        <v>1</v>
      </c>
    </row>
    <row r="4416" spans="1:5">
      <c r="A4416" s="64" t="s">
        <v>24</v>
      </c>
      <c r="B4416" s="65">
        <v>43310</v>
      </c>
      <c r="C4416" s="66" t="s">
        <v>222</v>
      </c>
      <c r="D4416" s="3" t="s">
        <v>7</v>
      </c>
      <c r="E4416" s="64">
        <v>1</v>
      </c>
    </row>
    <row r="4417" spans="1:5">
      <c r="A4417" s="64" t="s">
        <v>24</v>
      </c>
      <c r="B4417" s="65">
        <v>43311</v>
      </c>
      <c r="C4417" s="66" t="s">
        <v>216</v>
      </c>
      <c r="D4417" s="3" t="s">
        <v>7</v>
      </c>
      <c r="E4417" s="64">
        <v>1</v>
      </c>
    </row>
    <row r="4418" spans="1:5">
      <c r="A4418" s="64" t="s">
        <v>24</v>
      </c>
      <c r="B4418" s="65">
        <v>43312</v>
      </c>
      <c r="C4418" s="66" t="s">
        <v>217</v>
      </c>
      <c r="D4418" s="3" t="s">
        <v>7</v>
      </c>
      <c r="E4418" s="64">
        <v>1</v>
      </c>
    </row>
    <row r="4419" spans="1:5">
      <c r="A4419" s="64" t="s">
        <v>24</v>
      </c>
      <c r="B4419" s="65">
        <v>43313</v>
      </c>
      <c r="C4419" s="66" t="s">
        <v>218</v>
      </c>
      <c r="D4419" s="3" t="s">
        <v>7</v>
      </c>
      <c r="E4419" s="64">
        <v>1</v>
      </c>
    </row>
    <row r="4420" spans="1:5">
      <c r="A4420" s="64" t="s">
        <v>24</v>
      </c>
      <c r="B4420" s="65">
        <v>43314</v>
      </c>
      <c r="C4420" s="66" t="s">
        <v>219</v>
      </c>
      <c r="D4420" s="3" t="s">
        <v>7</v>
      </c>
      <c r="E4420" s="64">
        <v>1</v>
      </c>
    </row>
    <row r="4421" spans="1:5">
      <c r="A4421" s="64" t="s">
        <v>24</v>
      </c>
      <c r="B4421" s="65">
        <v>43315</v>
      </c>
      <c r="C4421" s="66" t="s">
        <v>220</v>
      </c>
      <c r="D4421" s="3" t="s">
        <v>7</v>
      </c>
      <c r="E4421" s="64">
        <v>1</v>
      </c>
    </row>
    <row r="4422" spans="1:5">
      <c r="A4422" s="64" t="s">
        <v>24</v>
      </c>
      <c r="B4422" s="65">
        <v>43316</v>
      </c>
      <c r="C4422" s="66" t="s">
        <v>221</v>
      </c>
      <c r="D4422" s="3" t="s">
        <v>7</v>
      </c>
      <c r="E4422" s="64">
        <v>1</v>
      </c>
    </row>
    <row r="4423" spans="1:5">
      <c r="A4423" s="64" t="s">
        <v>24</v>
      </c>
      <c r="B4423" s="65">
        <v>43317</v>
      </c>
      <c r="C4423" s="66" t="s">
        <v>222</v>
      </c>
      <c r="D4423" s="3" t="s">
        <v>7</v>
      </c>
      <c r="E4423" s="64">
        <v>1</v>
      </c>
    </row>
    <row r="4424" spans="1:5">
      <c r="A4424" s="64" t="s">
        <v>24</v>
      </c>
      <c r="B4424" s="65">
        <v>43318</v>
      </c>
      <c r="C4424" s="66" t="s">
        <v>216</v>
      </c>
      <c r="D4424" s="3" t="s">
        <v>7</v>
      </c>
      <c r="E4424" s="64">
        <v>1</v>
      </c>
    </row>
    <row r="4425" spans="1:5">
      <c r="A4425" s="64" t="s">
        <v>24</v>
      </c>
      <c r="B4425" s="65">
        <v>43319</v>
      </c>
      <c r="C4425" s="66" t="s">
        <v>217</v>
      </c>
      <c r="D4425" s="3" t="s">
        <v>7</v>
      </c>
      <c r="E4425" s="64">
        <v>1</v>
      </c>
    </row>
    <row r="4426" spans="1:5">
      <c r="A4426" s="64" t="s">
        <v>24</v>
      </c>
      <c r="B4426" s="65">
        <v>43320</v>
      </c>
      <c r="C4426" s="66" t="s">
        <v>218</v>
      </c>
      <c r="D4426" s="3" t="s">
        <v>7</v>
      </c>
      <c r="E4426" s="64">
        <v>1</v>
      </c>
    </row>
    <row r="4427" spans="1:5">
      <c r="A4427" s="64" t="s">
        <v>24</v>
      </c>
      <c r="B4427" s="65">
        <v>43321</v>
      </c>
      <c r="C4427" s="66" t="s">
        <v>219</v>
      </c>
      <c r="D4427" s="3" t="s">
        <v>7</v>
      </c>
      <c r="E4427" s="64">
        <v>1</v>
      </c>
    </row>
    <row r="4428" spans="1:5">
      <c r="A4428" s="64" t="s">
        <v>24</v>
      </c>
      <c r="B4428" s="65">
        <v>43322</v>
      </c>
      <c r="C4428" s="66" t="s">
        <v>220</v>
      </c>
      <c r="D4428" s="3" t="s">
        <v>7</v>
      </c>
      <c r="E4428" s="64">
        <v>1</v>
      </c>
    </row>
    <row r="4429" spans="1:5">
      <c r="A4429" s="64" t="s">
        <v>24</v>
      </c>
      <c r="B4429" s="65">
        <v>43323</v>
      </c>
      <c r="C4429" s="66" t="s">
        <v>221</v>
      </c>
      <c r="D4429" s="3" t="s">
        <v>7</v>
      </c>
      <c r="E4429" s="64">
        <v>1</v>
      </c>
    </row>
    <row r="4430" spans="1:5">
      <c r="A4430" s="64" t="s">
        <v>24</v>
      </c>
      <c r="B4430" s="65">
        <v>43324</v>
      </c>
      <c r="C4430" s="66" t="s">
        <v>222</v>
      </c>
      <c r="D4430" s="3" t="s">
        <v>7</v>
      </c>
      <c r="E4430" s="64">
        <v>1</v>
      </c>
    </row>
    <row r="4431" spans="1:5">
      <c r="A4431" s="64" t="s">
        <v>24</v>
      </c>
      <c r="B4431" s="65">
        <v>43325</v>
      </c>
      <c r="C4431" s="66" t="s">
        <v>216</v>
      </c>
      <c r="D4431" s="3" t="s">
        <v>7</v>
      </c>
      <c r="E4431" s="64">
        <v>1</v>
      </c>
    </row>
    <row r="4432" spans="1:5">
      <c r="A4432" s="64" t="s">
        <v>24</v>
      </c>
      <c r="B4432" s="65">
        <v>43326</v>
      </c>
      <c r="C4432" s="66" t="s">
        <v>217</v>
      </c>
      <c r="D4432" s="3" t="s">
        <v>7</v>
      </c>
      <c r="E4432" s="64">
        <v>1</v>
      </c>
    </row>
    <row r="4433" spans="1:5">
      <c r="A4433" s="64" t="s">
        <v>24</v>
      </c>
      <c r="B4433" s="65">
        <v>43327</v>
      </c>
      <c r="C4433" s="66" t="s">
        <v>218</v>
      </c>
      <c r="D4433" s="3" t="s">
        <v>7</v>
      </c>
      <c r="E4433" s="64">
        <v>1</v>
      </c>
    </row>
    <row r="4434" spans="1:5">
      <c r="A4434" s="64" t="s">
        <v>24</v>
      </c>
      <c r="B4434" s="65">
        <v>43328</v>
      </c>
      <c r="C4434" s="66" t="s">
        <v>219</v>
      </c>
      <c r="D4434" s="3" t="s">
        <v>7</v>
      </c>
      <c r="E4434" s="64">
        <v>1</v>
      </c>
    </row>
    <row r="4435" spans="1:5">
      <c r="A4435" s="64" t="s">
        <v>24</v>
      </c>
      <c r="B4435" s="65">
        <v>43329</v>
      </c>
      <c r="C4435" s="66" t="s">
        <v>220</v>
      </c>
      <c r="D4435" s="3" t="s">
        <v>7</v>
      </c>
      <c r="E4435" s="64">
        <v>1</v>
      </c>
    </row>
    <row r="4436" spans="1:5">
      <c r="A4436" s="64" t="s">
        <v>24</v>
      </c>
      <c r="B4436" s="65">
        <v>43330</v>
      </c>
      <c r="C4436" s="66" t="s">
        <v>221</v>
      </c>
      <c r="D4436" s="3" t="s">
        <v>7</v>
      </c>
      <c r="E4436" s="64">
        <v>1</v>
      </c>
    </row>
    <row r="4437" spans="1:5">
      <c r="A4437" s="64" t="s">
        <v>24</v>
      </c>
      <c r="B4437" s="65">
        <v>43331</v>
      </c>
      <c r="C4437" s="66" t="s">
        <v>222</v>
      </c>
      <c r="D4437" s="3" t="s">
        <v>7</v>
      </c>
      <c r="E4437" s="64">
        <v>1</v>
      </c>
    </row>
    <row r="4438" spans="1:5">
      <c r="A4438" s="64" t="s">
        <v>24</v>
      </c>
      <c r="B4438" s="65">
        <v>43332</v>
      </c>
      <c r="C4438" s="66" t="s">
        <v>216</v>
      </c>
      <c r="D4438" s="3" t="s">
        <v>7</v>
      </c>
      <c r="E4438" s="64">
        <v>1</v>
      </c>
    </row>
    <row r="4439" spans="1:5">
      <c r="A4439" s="64" t="s">
        <v>24</v>
      </c>
      <c r="B4439" s="65">
        <v>43333</v>
      </c>
      <c r="C4439" s="66" t="s">
        <v>217</v>
      </c>
      <c r="D4439" s="3" t="s">
        <v>7</v>
      </c>
      <c r="E4439" s="64">
        <v>1</v>
      </c>
    </row>
    <row r="4440" spans="1:5">
      <c r="A4440" s="64" t="s">
        <v>24</v>
      </c>
      <c r="B4440" s="65">
        <v>43334</v>
      </c>
      <c r="C4440" s="66" t="s">
        <v>218</v>
      </c>
      <c r="D4440" s="3" t="s">
        <v>7</v>
      </c>
      <c r="E4440" s="64">
        <v>1</v>
      </c>
    </row>
    <row r="4441" spans="1:5">
      <c r="A4441" s="64" t="s">
        <v>24</v>
      </c>
      <c r="B4441" s="65">
        <v>43335</v>
      </c>
      <c r="C4441" s="66" t="s">
        <v>219</v>
      </c>
      <c r="D4441" s="3" t="s">
        <v>7</v>
      </c>
      <c r="E4441" s="64">
        <v>1</v>
      </c>
    </row>
    <row r="4442" spans="1:5">
      <c r="A4442" s="64" t="s">
        <v>24</v>
      </c>
      <c r="B4442" s="65">
        <v>43336</v>
      </c>
      <c r="C4442" s="66" t="s">
        <v>220</v>
      </c>
      <c r="D4442" s="3" t="s">
        <v>7</v>
      </c>
      <c r="E4442" s="64">
        <v>1</v>
      </c>
    </row>
    <row r="4443" spans="1:5">
      <c r="A4443" s="64" t="s">
        <v>24</v>
      </c>
      <c r="B4443" s="65">
        <v>43337</v>
      </c>
      <c r="C4443" s="66" t="s">
        <v>221</v>
      </c>
      <c r="D4443" s="3" t="s">
        <v>7</v>
      </c>
      <c r="E4443" s="64">
        <v>1</v>
      </c>
    </row>
    <row r="4444" spans="1:5">
      <c r="A4444" s="64" t="s">
        <v>24</v>
      </c>
      <c r="B4444" s="65">
        <v>43338</v>
      </c>
      <c r="C4444" s="66" t="s">
        <v>222</v>
      </c>
      <c r="D4444" s="3" t="s">
        <v>7</v>
      </c>
      <c r="E4444" s="64">
        <v>1</v>
      </c>
    </row>
    <row r="4445" spans="1:5">
      <c r="A4445" s="64" t="s">
        <v>24</v>
      </c>
      <c r="B4445" s="65">
        <v>43339</v>
      </c>
      <c r="C4445" s="66" t="s">
        <v>216</v>
      </c>
      <c r="D4445" s="3" t="s">
        <v>7</v>
      </c>
      <c r="E4445" s="64">
        <v>1</v>
      </c>
    </row>
    <row r="4446" spans="1:5">
      <c r="A4446" s="64" t="s">
        <v>24</v>
      </c>
      <c r="B4446" s="65">
        <v>43340</v>
      </c>
      <c r="C4446" s="66" t="s">
        <v>217</v>
      </c>
      <c r="D4446" s="3" t="s">
        <v>7</v>
      </c>
      <c r="E4446" s="64">
        <v>1</v>
      </c>
    </row>
    <row r="4447" spans="1:5">
      <c r="A4447" s="64" t="s">
        <v>24</v>
      </c>
      <c r="B4447" s="65">
        <v>43341</v>
      </c>
      <c r="C4447" s="66" t="s">
        <v>218</v>
      </c>
      <c r="D4447" s="3" t="s">
        <v>7</v>
      </c>
      <c r="E4447" s="64">
        <v>1</v>
      </c>
    </row>
    <row r="4448" spans="1:5">
      <c r="A4448" s="64" t="s">
        <v>24</v>
      </c>
      <c r="B4448" s="65">
        <v>43342</v>
      </c>
      <c r="C4448" s="66" t="s">
        <v>219</v>
      </c>
      <c r="D4448" s="3" t="s">
        <v>7</v>
      </c>
      <c r="E4448" s="64">
        <v>1</v>
      </c>
    </row>
    <row r="4449" spans="1:5">
      <c r="A4449" s="64" t="s">
        <v>24</v>
      </c>
      <c r="B4449" s="65">
        <v>43343</v>
      </c>
      <c r="C4449" s="66" t="s">
        <v>220</v>
      </c>
      <c r="D4449" s="3" t="s">
        <v>7</v>
      </c>
      <c r="E4449" s="64">
        <v>1</v>
      </c>
    </row>
    <row r="4450" spans="1:5">
      <c r="A4450" s="64" t="s">
        <v>24</v>
      </c>
      <c r="B4450" s="65">
        <v>43344</v>
      </c>
      <c r="C4450" s="66" t="s">
        <v>221</v>
      </c>
      <c r="D4450" s="3" t="s">
        <v>7</v>
      </c>
      <c r="E4450" s="64">
        <v>1</v>
      </c>
    </row>
    <row r="4451" spans="1:5">
      <c r="A4451" s="64" t="s">
        <v>24</v>
      </c>
      <c r="B4451" s="65">
        <v>43345</v>
      </c>
      <c r="C4451" s="66" t="s">
        <v>222</v>
      </c>
      <c r="D4451" s="3" t="s">
        <v>7</v>
      </c>
      <c r="E4451" s="64">
        <v>1</v>
      </c>
    </row>
    <row r="4452" spans="1:5">
      <c r="A4452" s="64" t="s">
        <v>24</v>
      </c>
      <c r="B4452" s="65">
        <v>43346</v>
      </c>
      <c r="C4452" s="66" t="s">
        <v>216</v>
      </c>
      <c r="D4452" s="3" t="s">
        <v>7</v>
      </c>
      <c r="E4452" s="64">
        <v>1</v>
      </c>
    </row>
    <row r="4453" spans="1:5">
      <c r="A4453" s="64" t="s">
        <v>24</v>
      </c>
      <c r="B4453" s="65">
        <v>43347</v>
      </c>
      <c r="C4453" s="66" t="s">
        <v>217</v>
      </c>
      <c r="D4453" s="3" t="s">
        <v>7</v>
      </c>
      <c r="E4453" s="64">
        <v>1</v>
      </c>
    </row>
    <row r="4454" spans="1:5">
      <c r="A4454" s="64" t="s">
        <v>24</v>
      </c>
      <c r="B4454" s="65">
        <v>43348</v>
      </c>
      <c r="C4454" s="66" t="s">
        <v>218</v>
      </c>
      <c r="D4454" s="3" t="s">
        <v>7</v>
      </c>
      <c r="E4454" s="64">
        <v>1</v>
      </c>
    </row>
    <row r="4455" spans="1:5">
      <c r="A4455" s="64" t="s">
        <v>24</v>
      </c>
      <c r="B4455" s="65">
        <v>43349</v>
      </c>
      <c r="C4455" s="66" t="s">
        <v>219</v>
      </c>
      <c r="D4455" s="3" t="s">
        <v>7</v>
      </c>
      <c r="E4455" s="64">
        <v>1</v>
      </c>
    </row>
    <row r="4456" spans="1:5">
      <c r="A4456" s="64" t="s">
        <v>24</v>
      </c>
      <c r="B4456" s="65">
        <v>43350</v>
      </c>
      <c r="C4456" s="66" t="s">
        <v>220</v>
      </c>
      <c r="D4456" s="3" t="s">
        <v>7</v>
      </c>
      <c r="E4456" s="64">
        <v>1</v>
      </c>
    </row>
    <row r="4457" spans="1:5">
      <c r="A4457" s="64" t="s">
        <v>24</v>
      </c>
      <c r="B4457" s="65">
        <v>43351</v>
      </c>
      <c r="C4457" s="66" t="s">
        <v>221</v>
      </c>
      <c r="D4457" s="3" t="s">
        <v>7</v>
      </c>
      <c r="E4457" s="64">
        <v>1</v>
      </c>
    </row>
    <row r="4458" spans="1:5">
      <c r="A4458" s="64" t="s">
        <v>24</v>
      </c>
      <c r="B4458" s="65">
        <v>43352</v>
      </c>
      <c r="C4458" s="66" t="s">
        <v>222</v>
      </c>
      <c r="D4458" s="3" t="s">
        <v>7</v>
      </c>
      <c r="E4458" s="64">
        <v>1</v>
      </c>
    </row>
    <row r="4459" spans="1:5">
      <c r="A4459" s="64" t="s">
        <v>24</v>
      </c>
      <c r="B4459" s="65">
        <v>43353</v>
      </c>
      <c r="C4459" s="66" t="s">
        <v>216</v>
      </c>
      <c r="D4459" s="3" t="s">
        <v>7</v>
      </c>
      <c r="E4459" s="64">
        <v>1</v>
      </c>
    </row>
    <row r="4460" spans="1:5">
      <c r="A4460" s="64" t="s">
        <v>24</v>
      </c>
      <c r="B4460" s="65">
        <v>43354</v>
      </c>
      <c r="C4460" s="66" t="s">
        <v>217</v>
      </c>
      <c r="D4460" s="3" t="s">
        <v>7</v>
      </c>
      <c r="E4460" s="64">
        <v>1</v>
      </c>
    </row>
    <row r="4461" spans="1:5">
      <c r="A4461" s="64" t="s">
        <v>24</v>
      </c>
      <c r="B4461" s="65">
        <v>43355</v>
      </c>
      <c r="C4461" s="66" t="s">
        <v>218</v>
      </c>
      <c r="D4461" s="3" t="s">
        <v>7</v>
      </c>
      <c r="E4461" s="64">
        <v>1</v>
      </c>
    </row>
    <row r="4462" spans="1:5">
      <c r="A4462" s="64" t="s">
        <v>24</v>
      </c>
      <c r="B4462" s="65">
        <v>43356</v>
      </c>
      <c r="C4462" s="66" t="s">
        <v>219</v>
      </c>
      <c r="D4462" s="3" t="s">
        <v>7</v>
      </c>
      <c r="E4462" s="64">
        <v>1</v>
      </c>
    </row>
    <row r="4463" spans="1:5">
      <c r="A4463" s="64" t="s">
        <v>24</v>
      </c>
      <c r="B4463" s="65">
        <v>43357</v>
      </c>
      <c r="C4463" s="66" t="s">
        <v>220</v>
      </c>
      <c r="D4463" s="3" t="s">
        <v>7</v>
      </c>
      <c r="E4463" s="64">
        <v>1</v>
      </c>
    </row>
    <row r="4464" spans="1:5">
      <c r="A4464" s="64" t="s">
        <v>24</v>
      </c>
      <c r="B4464" s="65">
        <v>43358</v>
      </c>
      <c r="C4464" s="66" t="s">
        <v>221</v>
      </c>
      <c r="D4464" s="3" t="s">
        <v>7</v>
      </c>
      <c r="E4464" s="64">
        <v>1</v>
      </c>
    </row>
    <row r="4465" spans="1:5">
      <c r="A4465" s="64" t="s">
        <v>24</v>
      </c>
      <c r="B4465" s="65">
        <v>43359</v>
      </c>
      <c r="C4465" s="66" t="s">
        <v>222</v>
      </c>
      <c r="D4465" s="3" t="s">
        <v>7</v>
      </c>
      <c r="E4465" s="64">
        <v>1</v>
      </c>
    </row>
    <row r="4466" spans="1:5">
      <c r="A4466" s="64" t="s">
        <v>24</v>
      </c>
      <c r="B4466" s="65">
        <v>43360</v>
      </c>
      <c r="C4466" s="66" t="s">
        <v>216</v>
      </c>
      <c r="D4466" s="3" t="s">
        <v>7</v>
      </c>
      <c r="E4466" s="64">
        <v>1</v>
      </c>
    </row>
    <row r="4467" spans="1:5">
      <c r="A4467" s="64" t="s">
        <v>24</v>
      </c>
      <c r="B4467" s="65">
        <v>43361</v>
      </c>
      <c r="C4467" s="66" t="s">
        <v>217</v>
      </c>
      <c r="D4467" s="3" t="s">
        <v>7</v>
      </c>
      <c r="E4467" s="64">
        <v>1</v>
      </c>
    </row>
    <row r="4468" spans="1:5">
      <c r="A4468" s="64" t="s">
        <v>24</v>
      </c>
      <c r="B4468" s="65">
        <v>43362</v>
      </c>
      <c r="C4468" s="66" t="s">
        <v>218</v>
      </c>
      <c r="D4468" s="3" t="s">
        <v>7</v>
      </c>
      <c r="E4468" s="64">
        <v>1</v>
      </c>
    </row>
    <row r="4469" spans="1:5">
      <c r="A4469" s="64" t="s">
        <v>24</v>
      </c>
      <c r="B4469" s="65">
        <v>43363</v>
      </c>
      <c r="C4469" s="66" t="s">
        <v>219</v>
      </c>
      <c r="D4469" s="3" t="s">
        <v>7</v>
      </c>
      <c r="E4469" s="64">
        <v>1</v>
      </c>
    </row>
    <row r="4470" spans="1:5">
      <c r="A4470" s="64" t="s">
        <v>24</v>
      </c>
      <c r="B4470" s="65">
        <v>43364</v>
      </c>
      <c r="C4470" s="66" t="s">
        <v>220</v>
      </c>
      <c r="D4470" s="3" t="s">
        <v>7</v>
      </c>
      <c r="E4470" s="64">
        <v>1</v>
      </c>
    </row>
    <row r="4471" spans="1:5">
      <c r="A4471" s="64" t="s">
        <v>24</v>
      </c>
      <c r="B4471" s="65">
        <v>43365</v>
      </c>
      <c r="C4471" s="66" t="s">
        <v>221</v>
      </c>
      <c r="D4471" s="3" t="s">
        <v>7</v>
      </c>
      <c r="E4471" s="64">
        <v>1</v>
      </c>
    </row>
    <row r="4472" spans="1:5">
      <c r="A4472" s="64" t="s">
        <v>24</v>
      </c>
      <c r="B4472" s="65">
        <v>43366</v>
      </c>
      <c r="C4472" s="66" t="s">
        <v>222</v>
      </c>
      <c r="D4472" s="3" t="s">
        <v>7</v>
      </c>
      <c r="E4472" s="64">
        <v>1</v>
      </c>
    </row>
    <row r="4473" spans="1:5">
      <c r="A4473" s="64" t="s">
        <v>24</v>
      </c>
      <c r="B4473" s="65">
        <v>43367</v>
      </c>
      <c r="C4473" s="66" t="s">
        <v>216</v>
      </c>
      <c r="D4473" s="3" t="s">
        <v>7</v>
      </c>
      <c r="E4473" s="64">
        <v>1</v>
      </c>
    </row>
    <row r="4474" spans="1:5">
      <c r="A4474" s="64" t="s">
        <v>24</v>
      </c>
      <c r="B4474" s="65">
        <v>43368</v>
      </c>
      <c r="C4474" s="66" t="s">
        <v>217</v>
      </c>
      <c r="D4474" s="3" t="s">
        <v>7</v>
      </c>
      <c r="E4474" s="64">
        <v>1</v>
      </c>
    </row>
    <row r="4475" spans="1:5">
      <c r="A4475" s="64" t="s">
        <v>24</v>
      </c>
      <c r="B4475" s="65">
        <v>43369</v>
      </c>
      <c r="C4475" s="66" t="s">
        <v>218</v>
      </c>
      <c r="D4475" s="3" t="s">
        <v>7</v>
      </c>
      <c r="E4475" s="64">
        <v>1</v>
      </c>
    </row>
    <row r="4476" spans="1:5">
      <c r="A4476" s="64" t="s">
        <v>24</v>
      </c>
      <c r="B4476" s="65">
        <v>43370</v>
      </c>
      <c r="C4476" s="66" t="s">
        <v>219</v>
      </c>
      <c r="D4476" s="3" t="s">
        <v>7</v>
      </c>
      <c r="E4476" s="64">
        <v>1</v>
      </c>
    </row>
    <row r="4477" spans="1:5">
      <c r="A4477" s="64" t="s">
        <v>24</v>
      </c>
      <c r="B4477" s="65">
        <v>43371</v>
      </c>
      <c r="C4477" s="66" t="s">
        <v>220</v>
      </c>
      <c r="D4477" s="3" t="s">
        <v>7</v>
      </c>
      <c r="E4477" s="64">
        <v>1</v>
      </c>
    </row>
    <row r="4478" spans="1:5">
      <c r="A4478" s="64" t="s">
        <v>24</v>
      </c>
      <c r="B4478" s="65">
        <v>43372</v>
      </c>
      <c r="C4478" s="66" t="s">
        <v>221</v>
      </c>
      <c r="D4478" s="3" t="s">
        <v>7</v>
      </c>
      <c r="E4478" s="64">
        <v>1</v>
      </c>
    </row>
    <row r="4479" spans="1:5">
      <c r="A4479" s="64" t="s">
        <v>24</v>
      </c>
      <c r="B4479" s="65">
        <v>43373</v>
      </c>
      <c r="C4479" s="66" t="s">
        <v>222</v>
      </c>
      <c r="D4479" s="3" t="s">
        <v>7</v>
      </c>
      <c r="E4479" s="64">
        <v>1</v>
      </c>
    </row>
    <row r="4480" spans="1:5">
      <c r="A4480" s="64" t="s">
        <v>24</v>
      </c>
      <c r="B4480" s="65">
        <v>43374</v>
      </c>
      <c r="C4480" s="66" t="s">
        <v>216</v>
      </c>
      <c r="D4480" s="3" t="s">
        <v>7</v>
      </c>
      <c r="E4480" s="64">
        <v>1</v>
      </c>
    </row>
    <row r="4481" spans="1:5">
      <c r="A4481" s="64" t="s">
        <v>24</v>
      </c>
      <c r="B4481" s="65">
        <v>43375</v>
      </c>
      <c r="C4481" s="66" t="s">
        <v>217</v>
      </c>
      <c r="D4481" s="3" t="s">
        <v>7</v>
      </c>
      <c r="E4481" s="64">
        <v>1</v>
      </c>
    </row>
    <row r="4482" spans="1:5">
      <c r="A4482" s="64" t="s">
        <v>24</v>
      </c>
      <c r="B4482" s="65">
        <v>43376</v>
      </c>
      <c r="C4482" s="66" t="s">
        <v>218</v>
      </c>
      <c r="D4482" s="3" t="s">
        <v>7</v>
      </c>
      <c r="E4482" s="64">
        <v>1</v>
      </c>
    </row>
    <row r="4483" spans="1:5">
      <c r="A4483" s="64" t="s">
        <v>24</v>
      </c>
      <c r="B4483" s="65">
        <v>43377</v>
      </c>
      <c r="C4483" s="66" t="s">
        <v>219</v>
      </c>
      <c r="D4483" s="3" t="s">
        <v>7</v>
      </c>
      <c r="E4483" s="64">
        <v>1</v>
      </c>
    </row>
    <row r="4484" spans="1:5">
      <c r="A4484" s="64" t="s">
        <v>24</v>
      </c>
      <c r="B4484" s="65">
        <v>43378</v>
      </c>
      <c r="C4484" s="66" t="s">
        <v>220</v>
      </c>
      <c r="D4484" s="3" t="s">
        <v>7</v>
      </c>
      <c r="E4484" s="64">
        <v>1</v>
      </c>
    </row>
    <row r="4485" spans="1:5">
      <c r="A4485" s="64" t="s">
        <v>24</v>
      </c>
      <c r="B4485" s="65">
        <v>43379</v>
      </c>
      <c r="C4485" s="66" t="s">
        <v>221</v>
      </c>
      <c r="D4485" s="3" t="s">
        <v>7</v>
      </c>
      <c r="E4485" s="64">
        <v>1</v>
      </c>
    </row>
    <row r="4486" spans="1:5">
      <c r="A4486" s="64" t="s">
        <v>24</v>
      </c>
      <c r="B4486" s="65">
        <v>43380</v>
      </c>
      <c r="C4486" s="66" t="s">
        <v>222</v>
      </c>
      <c r="D4486" s="3" t="s">
        <v>7</v>
      </c>
      <c r="E4486" s="64">
        <v>1</v>
      </c>
    </row>
    <row r="4487" spans="1:5">
      <c r="A4487" s="64" t="s">
        <v>24</v>
      </c>
      <c r="B4487" s="65">
        <v>43381</v>
      </c>
      <c r="C4487" s="66" t="s">
        <v>216</v>
      </c>
      <c r="D4487" s="3" t="s">
        <v>7</v>
      </c>
      <c r="E4487" s="64">
        <v>1</v>
      </c>
    </row>
    <row r="4488" spans="1:5">
      <c r="A4488" s="64" t="s">
        <v>24</v>
      </c>
      <c r="B4488" s="65">
        <v>43382</v>
      </c>
      <c r="C4488" s="66" t="s">
        <v>217</v>
      </c>
      <c r="D4488" s="3" t="s">
        <v>7</v>
      </c>
      <c r="E4488" s="64">
        <v>1</v>
      </c>
    </row>
    <row r="4489" spans="1:5">
      <c r="A4489" s="64" t="s">
        <v>24</v>
      </c>
      <c r="B4489" s="65">
        <v>43383</v>
      </c>
      <c r="C4489" s="66" t="s">
        <v>218</v>
      </c>
      <c r="D4489" s="3" t="s">
        <v>7</v>
      </c>
      <c r="E4489" s="64">
        <v>1</v>
      </c>
    </row>
    <row r="4490" spans="1:5">
      <c r="A4490" s="64" t="s">
        <v>24</v>
      </c>
      <c r="B4490" s="65">
        <v>43384</v>
      </c>
      <c r="C4490" s="66" t="s">
        <v>219</v>
      </c>
      <c r="D4490" s="3" t="s">
        <v>7</v>
      </c>
      <c r="E4490" s="64">
        <v>1</v>
      </c>
    </row>
    <row r="4491" spans="1:5">
      <c r="A4491" s="64" t="s">
        <v>24</v>
      </c>
      <c r="B4491" s="65">
        <v>43385</v>
      </c>
      <c r="C4491" s="66" t="s">
        <v>220</v>
      </c>
      <c r="D4491" s="3" t="s">
        <v>7</v>
      </c>
      <c r="E4491" s="64">
        <v>1</v>
      </c>
    </row>
    <row r="4492" spans="1:5">
      <c r="A4492" s="64" t="s">
        <v>24</v>
      </c>
      <c r="B4492" s="65">
        <v>43386</v>
      </c>
      <c r="C4492" s="66" t="s">
        <v>221</v>
      </c>
      <c r="D4492" s="3" t="s">
        <v>7</v>
      </c>
      <c r="E4492" s="64">
        <v>1</v>
      </c>
    </row>
    <row r="4493" spans="1:5">
      <c r="A4493" s="64" t="s">
        <v>24</v>
      </c>
      <c r="B4493" s="65">
        <v>43387</v>
      </c>
      <c r="C4493" s="66" t="s">
        <v>222</v>
      </c>
      <c r="D4493" s="3" t="s">
        <v>7</v>
      </c>
      <c r="E4493" s="64">
        <v>1</v>
      </c>
    </row>
    <row r="4494" spans="1:5">
      <c r="A4494" s="64" t="s">
        <v>24</v>
      </c>
      <c r="B4494" s="65">
        <v>43388</v>
      </c>
      <c r="C4494" s="66" t="s">
        <v>216</v>
      </c>
      <c r="D4494" s="3" t="s">
        <v>7</v>
      </c>
      <c r="E4494" s="64">
        <v>1</v>
      </c>
    </row>
    <row r="4495" spans="1:5">
      <c r="A4495" s="64" t="s">
        <v>24</v>
      </c>
      <c r="B4495" s="65">
        <v>43389</v>
      </c>
      <c r="C4495" s="66" t="s">
        <v>217</v>
      </c>
      <c r="D4495" s="3" t="s">
        <v>7</v>
      </c>
      <c r="E4495" s="64">
        <v>1</v>
      </c>
    </row>
    <row r="4496" spans="1:5">
      <c r="A4496" s="64" t="s">
        <v>24</v>
      </c>
      <c r="B4496" s="65">
        <v>43390</v>
      </c>
      <c r="C4496" s="66" t="s">
        <v>218</v>
      </c>
      <c r="D4496" s="3" t="s">
        <v>7</v>
      </c>
      <c r="E4496" s="64">
        <v>1</v>
      </c>
    </row>
    <row r="4497" spans="1:5">
      <c r="A4497" s="64" t="s">
        <v>24</v>
      </c>
      <c r="B4497" s="65">
        <v>43391</v>
      </c>
      <c r="C4497" s="66" t="s">
        <v>219</v>
      </c>
      <c r="D4497" s="3" t="s">
        <v>7</v>
      </c>
      <c r="E4497" s="64">
        <v>1</v>
      </c>
    </row>
    <row r="4498" spans="1:5">
      <c r="A4498" s="64" t="s">
        <v>24</v>
      </c>
      <c r="B4498" s="65">
        <v>43392</v>
      </c>
      <c r="C4498" s="66" t="s">
        <v>220</v>
      </c>
      <c r="D4498" s="3" t="s">
        <v>7</v>
      </c>
      <c r="E4498" s="64">
        <v>1</v>
      </c>
    </row>
    <row r="4499" spans="1:5">
      <c r="A4499" s="64" t="s">
        <v>24</v>
      </c>
      <c r="B4499" s="65">
        <v>43393</v>
      </c>
      <c r="C4499" s="66" t="s">
        <v>221</v>
      </c>
      <c r="D4499" s="3" t="s">
        <v>7</v>
      </c>
      <c r="E4499" s="64">
        <v>1</v>
      </c>
    </row>
    <row r="4500" spans="1:5">
      <c r="A4500" s="64" t="s">
        <v>24</v>
      </c>
      <c r="B4500" s="65">
        <v>43394</v>
      </c>
      <c r="C4500" s="66" t="s">
        <v>222</v>
      </c>
      <c r="D4500" s="3" t="s">
        <v>7</v>
      </c>
      <c r="E4500" s="64">
        <v>1</v>
      </c>
    </row>
    <row r="4501" spans="1:5">
      <c r="A4501" s="64" t="s">
        <v>24</v>
      </c>
      <c r="B4501" s="65">
        <v>43395</v>
      </c>
      <c r="C4501" s="66" t="s">
        <v>216</v>
      </c>
      <c r="D4501" s="3" t="s">
        <v>7</v>
      </c>
      <c r="E4501" s="64">
        <v>1</v>
      </c>
    </row>
    <row r="4502" spans="1:5">
      <c r="A4502" s="64" t="s">
        <v>24</v>
      </c>
      <c r="B4502" s="65">
        <v>43396</v>
      </c>
      <c r="C4502" s="66" t="s">
        <v>217</v>
      </c>
      <c r="D4502" s="3" t="s">
        <v>7</v>
      </c>
      <c r="E4502" s="64">
        <v>1</v>
      </c>
    </row>
    <row r="4503" spans="1:5">
      <c r="A4503" s="64" t="s">
        <v>24</v>
      </c>
      <c r="B4503" s="65">
        <v>43397</v>
      </c>
      <c r="C4503" s="66" t="s">
        <v>218</v>
      </c>
      <c r="D4503" s="3" t="s">
        <v>7</v>
      </c>
      <c r="E4503" s="64">
        <v>1</v>
      </c>
    </row>
    <row r="4504" spans="1:5">
      <c r="A4504" s="64" t="s">
        <v>24</v>
      </c>
      <c r="B4504" s="65">
        <v>43398</v>
      </c>
      <c r="C4504" s="66" t="s">
        <v>219</v>
      </c>
      <c r="D4504" s="3" t="s">
        <v>7</v>
      </c>
      <c r="E4504" s="64">
        <v>1</v>
      </c>
    </row>
    <row r="4505" spans="1:5">
      <c r="A4505" s="64" t="s">
        <v>24</v>
      </c>
      <c r="B4505" s="65">
        <v>43399</v>
      </c>
      <c r="C4505" s="66" t="s">
        <v>220</v>
      </c>
      <c r="D4505" s="3" t="s">
        <v>7</v>
      </c>
      <c r="E4505" s="64">
        <v>1</v>
      </c>
    </row>
    <row r="4506" spans="1:5">
      <c r="A4506" s="64" t="s">
        <v>24</v>
      </c>
      <c r="B4506" s="65">
        <v>43400</v>
      </c>
      <c r="C4506" s="66" t="s">
        <v>221</v>
      </c>
      <c r="D4506" s="3" t="s">
        <v>7</v>
      </c>
      <c r="E4506" s="64">
        <v>1</v>
      </c>
    </row>
    <row r="4507" spans="1:5">
      <c r="A4507" s="64" t="s">
        <v>24</v>
      </c>
      <c r="B4507" s="65">
        <v>43401</v>
      </c>
      <c r="C4507" s="66" t="s">
        <v>222</v>
      </c>
      <c r="D4507" s="3" t="s">
        <v>7</v>
      </c>
      <c r="E4507" s="64">
        <v>1</v>
      </c>
    </row>
    <row r="4508" spans="1:5">
      <c r="A4508" s="64" t="s">
        <v>24</v>
      </c>
      <c r="B4508" s="65">
        <v>43402</v>
      </c>
      <c r="C4508" s="66" t="s">
        <v>216</v>
      </c>
      <c r="D4508" s="3" t="s">
        <v>7</v>
      </c>
      <c r="E4508" s="64">
        <v>1</v>
      </c>
    </row>
    <row r="4509" spans="1:5">
      <c r="A4509" s="64" t="s">
        <v>24</v>
      </c>
      <c r="B4509" s="65">
        <v>43403</v>
      </c>
      <c r="C4509" s="66" t="s">
        <v>217</v>
      </c>
      <c r="D4509" s="3" t="s">
        <v>7</v>
      </c>
      <c r="E4509" s="64">
        <v>1</v>
      </c>
    </row>
    <row r="4510" spans="1:5">
      <c r="A4510" s="64" t="s">
        <v>24</v>
      </c>
      <c r="B4510" s="65">
        <v>43404</v>
      </c>
      <c r="C4510" s="66" t="s">
        <v>218</v>
      </c>
      <c r="D4510" s="3" t="s">
        <v>7</v>
      </c>
      <c r="E4510" s="64">
        <v>1</v>
      </c>
    </row>
    <row r="4511" spans="1:5">
      <c r="A4511" s="64" t="s">
        <v>24</v>
      </c>
      <c r="B4511" s="65">
        <v>43405</v>
      </c>
      <c r="C4511" s="66" t="s">
        <v>219</v>
      </c>
      <c r="D4511" s="3" t="s">
        <v>7</v>
      </c>
      <c r="E4511" s="64">
        <v>1</v>
      </c>
    </row>
    <row r="4512" spans="1:5">
      <c r="A4512" s="64" t="s">
        <v>24</v>
      </c>
      <c r="B4512" s="65">
        <v>43406</v>
      </c>
      <c r="C4512" s="66" t="s">
        <v>220</v>
      </c>
      <c r="D4512" s="3" t="s">
        <v>7</v>
      </c>
      <c r="E4512" s="64">
        <v>1</v>
      </c>
    </row>
    <row r="4513" spans="1:5">
      <c r="A4513" s="64" t="s">
        <v>24</v>
      </c>
      <c r="B4513" s="65">
        <v>43407</v>
      </c>
      <c r="C4513" s="66" t="s">
        <v>221</v>
      </c>
      <c r="D4513" s="3" t="s">
        <v>7</v>
      </c>
      <c r="E4513" s="64">
        <v>1</v>
      </c>
    </row>
    <row r="4514" spans="1:5">
      <c r="A4514" s="64" t="s">
        <v>24</v>
      </c>
      <c r="B4514" s="65">
        <v>43408</v>
      </c>
      <c r="C4514" s="66" t="s">
        <v>222</v>
      </c>
      <c r="D4514" s="3" t="s">
        <v>7</v>
      </c>
      <c r="E4514" s="64">
        <v>1</v>
      </c>
    </row>
    <row r="4515" spans="1:5">
      <c r="A4515" s="64" t="s">
        <v>24</v>
      </c>
      <c r="B4515" s="65">
        <v>43409</v>
      </c>
      <c r="C4515" s="66" t="s">
        <v>216</v>
      </c>
      <c r="D4515" s="3" t="s">
        <v>7</v>
      </c>
      <c r="E4515" s="64">
        <v>1</v>
      </c>
    </row>
    <row r="4516" spans="1:5">
      <c r="A4516" s="64" t="s">
        <v>24</v>
      </c>
      <c r="B4516" s="65">
        <v>43410</v>
      </c>
      <c r="C4516" s="66" t="s">
        <v>217</v>
      </c>
      <c r="D4516" s="3" t="s">
        <v>7</v>
      </c>
      <c r="E4516" s="64">
        <v>1</v>
      </c>
    </row>
    <row r="4517" spans="1:5">
      <c r="A4517" s="64" t="s">
        <v>24</v>
      </c>
      <c r="B4517" s="65">
        <v>43411</v>
      </c>
      <c r="C4517" s="66" t="s">
        <v>218</v>
      </c>
      <c r="D4517" s="3" t="s">
        <v>7</v>
      </c>
      <c r="E4517" s="64">
        <v>1</v>
      </c>
    </row>
    <row r="4518" spans="1:5">
      <c r="A4518" s="64" t="s">
        <v>24</v>
      </c>
      <c r="B4518" s="65">
        <v>43412</v>
      </c>
      <c r="C4518" s="66" t="s">
        <v>219</v>
      </c>
      <c r="D4518" s="3" t="s">
        <v>7</v>
      </c>
      <c r="E4518" s="64">
        <v>1</v>
      </c>
    </row>
    <row r="4519" spans="1:5">
      <c r="A4519" s="64" t="s">
        <v>24</v>
      </c>
      <c r="B4519" s="65">
        <v>43413</v>
      </c>
      <c r="C4519" s="66" t="s">
        <v>220</v>
      </c>
      <c r="D4519" s="3" t="s">
        <v>7</v>
      </c>
      <c r="E4519" s="64">
        <v>1</v>
      </c>
    </row>
    <row r="4520" spans="1:5">
      <c r="A4520" s="64" t="s">
        <v>24</v>
      </c>
      <c r="B4520" s="65">
        <v>43414</v>
      </c>
      <c r="C4520" s="66" t="s">
        <v>221</v>
      </c>
      <c r="D4520" s="3" t="s">
        <v>7</v>
      </c>
      <c r="E4520" s="64">
        <v>1</v>
      </c>
    </row>
    <row r="4521" spans="1:5">
      <c r="A4521" s="64" t="s">
        <v>24</v>
      </c>
      <c r="B4521" s="65">
        <v>43415</v>
      </c>
      <c r="C4521" s="66" t="s">
        <v>222</v>
      </c>
      <c r="D4521" s="3" t="s">
        <v>7</v>
      </c>
      <c r="E4521" s="64">
        <v>1</v>
      </c>
    </row>
    <row r="4522" spans="1:5">
      <c r="A4522" s="64" t="s">
        <v>24</v>
      </c>
      <c r="B4522" s="65">
        <v>43416</v>
      </c>
      <c r="C4522" s="66" t="s">
        <v>216</v>
      </c>
      <c r="D4522" s="3" t="s">
        <v>7</v>
      </c>
      <c r="E4522" s="64">
        <v>1</v>
      </c>
    </row>
    <row r="4523" spans="1:5">
      <c r="A4523" s="64" t="s">
        <v>24</v>
      </c>
      <c r="B4523" s="65">
        <v>43417</v>
      </c>
      <c r="C4523" s="66" t="s">
        <v>217</v>
      </c>
      <c r="D4523" s="3" t="s">
        <v>7</v>
      </c>
      <c r="E4523" s="64">
        <v>1</v>
      </c>
    </row>
    <row r="4524" spans="1:5">
      <c r="A4524" s="64" t="s">
        <v>24</v>
      </c>
      <c r="B4524" s="65">
        <v>43418</v>
      </c>
      <c r="C4524" s="66" t="s">
        <v>218</v>
      </c>
      <c r="D4524" s="3" t="s">
        <v>7</v>
      </c>
      <c r="E4524" s="64">
        <v>1</v>
      </c>
    </row>
    <row r="4525" spans="1:5">
      <c r="A4525" s="64" t="s">
        <v>24</v>
      </c>
      <c r="B4525" s="65">
        <v>43419</v>
      </c>
      <c r="C4525" s="66" t="s">
        <v>219</v>
      </c>
      <c r="D4525" s="3" t="s">
        <v>7</v>
      </c>
      <c r="E4525" s="64">
        <v>1</v>
      </c>
    </row>
    <row r="4526" spans="1:5">
      <c r="A4526" s="64" t="s">
        <v>24</v>
      </c>
      <c r="B4526" s="65">
        <v>43420</v>
      </c>
      <c r="C4526" s="66" t="s">
        <v>220</v>
      </c>
      <c r="D4526" s="3" t="s">
        <v>7</v>
      </c>
      <c r="E4526" s="64">
        <v>1</v>
      </c>
    </row>
    <row r="4527" spans="1:5">
      <c r="A4527" s="64" t="s">
        <v>24</v>
      </c>
      <c r="B4527" s="65">
        <v>43421</v>
      </c>
      <c r="C4527" s="66" t="s">
        <v>221</v>
      </c>
      <c r="D4527" s="3" t="s">
        <v>7</v>
      </c>
      <c r="E4527" s="64">
        <v>1</v>
      </c>
    </row>
    <row r="4528" spans="1:5">
      <c r="A4528" s="64" t="s">
        <v>24</v>
      </c>
      <c r="B4528" s="65">
        <v>43422</v>
      </c>
      <c r="C4528" s="66" t="s">
        <v>222</v>
      </c>
      <c r="D4528" s="3" t="s">
        <v>7</v>
      </c>
      <c r="E4528" s="64">
        <v>1</v>
      </c>
    </row>
    <row r="4529" spans="1:5">
      <c r="A4529" s="64" t="s">
        <v>24</v>
      </c>
      <c r="B4529" s="65">
        <v>43423</v>
      </c>
      <c r="C4529" s="66" t="s">
        <v>216</v>
      </c>
      <c r="D4529" s="3" t="s">
        <v>7</v>
      </c>
      <c r="E4529" s="64">
        <v>1</v>
      </c>
    </row>
    <row r="4530" spans="1:5">
      <c r="A4530" s="64" t="s">
        <v>24</v>
      </c>
      <c r="B4530" s="65">
        <v>43424</v>
      </c>
      <c r="C4530" s="66" t="s">
        <v>217</v>
      </c>
      <c r="D4530" s="3" t="s">
        <v>7</v>
      </c>
      <c r="E4530" s="64">
        <v>1</v>
      </c>
    </row>
    <row r="4531" spans="1:5">
      <c r="A4531" s="64" t="s">
        <v>24</v>
      </c>
      <c r="B4531" s="65">
        <v>43425</v>
      </c>
      <c r="C4531" s="66" t="s">
        <v>218</v>
      </c>
      <c r="D4531" s="3" t="s">
        <v>7</v>
      </c>
      <c r="E4531" s="64">
        <v>1</v>
      </c>
    </row>
    <row r="4532" spans="1:5">
      <c r="A4532" s="64" t="s">
        <v>24</v>
      </c>
      <c r="B4532" s="65">
        <v>43426</v>
      </c>
      <c r="C4532" s="66" t="s">
        <v>219</v>
      </c>
      <c r="D4532" s="3" t="s">
        <v>7</v>
      </c>
      <c r="E4532" s="64">
        <v>1</v>
      </c>
    </row>
    <row r="4533" spans="1:5">
      <c r="A4533" s="64" t="s">
        <v>24</v>
      </c>
      <c r="B4533" s="65">
        <v>43427</v>
      </c>
      <c r="C4533" s="66" t="s">
        <v>220</v>
      </c>
      <c r="D4533" s="3" t="s">
        <v>7</v>
      </c>
      <c r="E4533" s="64">
        <v>1</v>
      </c>
    </row>
    <row r="4534" spans="1:5">
      <c r="A4534" s="64" t="s">
        <v>24</v>
      </c>
      <c r="B4534" s="65">
        <v>43428</v>
      </c>
      <c r="C4534" s="66" t="s">
        <v>221</v>
      </c>
      <c r="D4534" s="3" t="s">
        <v>7</v>
      </c>
      <c r="E4534" s="64">
        <v>1</v>
      </c>
    </row>
    <row r="4535" spans="1:5">
      <c r="A4535" s="64" t="s">
        <v>24</v>
      </c>
      <c r="B4535" s="65">
        <v>43429</v>
      </c>
      <c r="C4535" s="66" t="s">
        <v>222</v>
      </c>
      <c r="D4535" s="3" t="s">
        <v>7</v>
      </c>
      <c r="E4535" s="64">
        <v>1</v>
      </c>
    </row>
    <row r="4536" spans="1:5">
      <c r="A4536" s="64" t="s">
        <v>24</v>
      </c>
      <c r="B4536" s="65">
        <v>43430</v>
      </c>
      <c r="C4536" s="66" t="s">
        <v>216</v>
      </c>
      <c r="D4536" s="3" t="s">
        <v>7</v>
      </c>
      <c r="E4536" s="64">
        <v>1</v>
      </c>
    </row>
    <row r="4537" spans="1:5">
      <c r="A4537" s="64" t="s">
        <v>24</v>
      </c>
      <c r="B4537" s="65">
        <v>43431</v>
      </c>
      <c r="C4537" s="66" t="s">
        <v>217</v>
      </c>
      <c r="D4537" s="3" t="s">
        <v>7</v>
      </c>
      <c r="E4537" s="64">
        <v>1</v>
      </c>
    </row>
    <row r="4538" spans="1:5">
      <c r="A4538" s="64" t="s">
        <v>24</v>
      </c>
      <c r="B4538" s="65">
        <v>43432</v>
      </c>
      <c r="C4538" s="66" t="s">
        <v>218</v>
      </c>
      <c r="D4538" s="3" t="s">
        <v>7</v>
      </c>
      <c r="E4538" s="64">
        <v>1</v>
      </c>
    </row>
    <row r="4539" spans="1:5">
      <c r="A4539" s="64" t="s">
        <v>24</v>
      </c>
      <c r="B4539" s="65">
        <v>43433</v>
      </c>
      <c r="C4539" s="66" t="s">
        <v>219</v>
      </c>
      <c r="D4539" s="3" t="s">
        <v>7</v>
      </c>
      <c r="E4539" s="64">
        <v>1</v>
      </c>
    </row>
    <row r="4540" spans="1:5">
      <c r="A4540" s="64" t="s">
        <v>24</v>
      </c>
      <c r="B4540" s="65">
        <v>43434</v>
      </c>
      <c r="C4540" s="66" t="s">
        <v>220</v>
      </c>
      <c r="D4540" s="3" t="s">
        <v>7</v>
      </c>
      <c r="E4540" s="64">
        <v>1</v>
      </c>
    </row>
    <row r="4541" spans="1:5">
      <c r="A4541" s="64" t="s">
        <v>24</v>
      </c>
      <c r="B4541" s="65">
        <v>43435</v>
      </c>
      <c r="C4541" s="66" t="s">
        <v>221</v>
      </c>
      <c r="D4541" s="3" t="s">
        <v>7</v>
      </c>
      <c r="E4541" s="64">
        <v>1</v>
      </c>
    </row>
    <row r="4542" spans="1:5">
      <c r="A4542" s="64" t="s">
        <v>24</v>
      </c>
      <c r="B4542" s="65">
        <v>43436</v>
      </c>
      <c r="C4542" s="66" t="s">
        <v>222</v>
      </c>
      <c r="D4542" s="3" t="s">
        <v>7</v>
      </c>
      <c r="E4542" s="64">
        <v>1</v>
      </c>
    </row>
    <row r="4543" spans="1:5">
      <c r="A4543" s="64" t="s">
        <v>24</v>
      </c>
      <c r="B4543" s="65">
        <v>43437</v>
      </c>
      <c r="C4543" s="66" t="s">
        <v>216</v>
      </c>
      <c r="D4543" s="3" t="s">
        <v>7</v>
      </c>
      <c r="E4543" s="64">
        <v>1</v>
      </c>
    </row>
    <row r="4544" spans="1:5">
      <c r="A4544" s="64" t="s">
        <v>24</v>
      </c>
      <c r="B4544" s="65">
        <v>43438</v>
      </c>
      <c r="C4544" s="66" t="s">
        <v>217</v>
      </c>
      <c r="D4544" s="3" t="s">
        <v>7</v>
      </c>
      <c r="E4544" s="64">
        <v>1</v>
      </c>
    </row>
    <row r="4545" spans="1:5">
      <c r="A4545" s="64" t="s">
        <v>24</v>
      </c>
      <c r="B4545" s="65">
        <v>43439</v>
      </c>
      <c r="C4545" s="66" t="s">
        <v>218</v>
      </c>
      <c r="D4545" s="3" t="s">
        <v>7</v>
      </c>
      <c r="E4545" s="64">
        <v>1</v>
      </c>
    </row>
    <row r="4546" spans="1:5">
      <c r="A4546" s="64" t="s">
        <v>24</v>
      </c>
      <c r="B4546" s="65">
        <v>43440</v>
      </c>
      <c r="C4546" s="66" t="s">
        <v>219</v>
      </c>
      <c r="D4546" s="3" t="s">
        <v>7</v>
      </c>
      <c r="E4546" s="64">
        <v>1</v>
      </c>
    </row>
    <row r="4547" spans="1:5">
      <c r="A4547" s="64" t="s">
        <v>24</v>
      </c>
      <c r="B4547" s="65">
        <v>43441</v>
      </c>
      <c r="C4547" s="66" t="s">
        <v>220</v>
      </c>
      <c r="D4547" s="3" t="s">
        <v>7</v>
      </c>
      <c r="E4547" s="64">
        <v>1</v>
      </c>
    </row>
    <row r="4548" spans="1:5">
      <c r="A4548" s="64" t="s">
        <v>24</v>
      </c>
      <c r="B4548" s="65">
        <v>43442</v>
      </c>
      <c r="C4548" s="66" t="s">
        <v>221</v>
      </c>
      <c r="D4548" s="3" t="s">
        <v>7</v>
      </c>
      <c r="E4548" s="64">
        <v>1</v>
      </c>
    </row>
    <row r="4549" spans="1:5">
      <c r="A4549" s="64" t="s">
        <v>24</v>
      </c>
      <c r="B4549" s="65">
        <v>43443</v>
      </c>
      <c r="C4549" s="66" t="s">
        <v>222</v>
      </c>
      <c r="D4549" s="3" t="s">
        <v>7</v>
      </c>
      <c r="E4549" s="64">
        <v>1</v>
      </c>
    </row>
    <row r="4550" spans="1:5">
      <c r="A4550" s="64" t="s">
        <v>24</v>
      </c>
      <c r="B4550" s="65">
        <v>43444</v>
      </c>
      <c r="C4550" s="66" t="s">
        <v>216</v>
      </c>
      <c r="D4550" s="3" t="s">
        <v>7</v>
      </c>
      <c r="E4550" s="64">
        <v>1</v>
      </c>
    </row>
    <row r="4551" spans="1:5">
      <c r="A4551" s="64" t="s">
        <v>24</v>
      </c>
      <c r="B4551" s="65">
        <v>43445</v>
      </c>
      <c r="C4551" s="66" t="s">
        <v>217</v>
      </c>
      <c r="D4551" s="3" t="s">
        <v>7</v>
      </c>
      <c r="E4551" s="64">
        <v>1</v>
      </c>
    </row>
    <row r="4552" spans="1:5">
      <c r="A4552" s="64" t="s">
        <v>24</v>
      </c>
      <c r="B4552" s="65">
        <v>43446</v>
      </c>
      <c r="C4552" s="66" t="s">
        <v>218</v>
      </c>
      <c r="D4552" s="3" t="s">
        <v>7</v>
      </c>
      <c r="E4552" s="64">
        <v>1</v>
      </c>
    </row>
    <row r="4553" spans="1:5">
      <c r="A4553" s="64" t="s">
        <v>24</v>
      </c>
      <c r="B4553" s="65">
        <v>43447</v>
      </c>
      <c r="C4553" s="66" t="s">
        <v>219</v>
      </c>
      <c r="D4553" s="3" t="s">
        <v>7</v>
      </c>
      <c r="E4553" s="64">
        <v>1</v>
      </c>
    </row>
    <row r="4554" spans="1:5">
      <c r="A4554" s="64" t="s">
        <v>24</v>
      </c>
      <c r="B4554" s="65">
        <v>43448</v>
      </c>
      <c r="C4554" s="66" t="s">
        <v>220</v>
      </c>
      <c r="D4554" s="3" t="s">
        <v>7</v>
      </c>
      <c r="E4554" s="64">
        <v>1</v>
      </c>
    </row>
    <row r="4555" spans="1:5">
      <c r="A4555" s="64" t="s">
        <v>24</v>
      </c>
      <c r="B4555" s="65">
        <v>43449</v>
      </c>
      <c r="C4555" s="66" t="s">
        <v>221</v>
      </c>
      <c r="D4555" s="3" t="s">
        <v>7</v>
      </c>
      <c r="E4555" s="64">
        <v>1</v>
      </c>
    </row>
    <row r="4556" spans="1:5">
      <c r="A4556" s="64" t="s">
        <v>24</v>
      </c>
      <c r="B4556" s="65">
        <v>43450</v>
      </c>
      <c r="C4556" s="66" t="s">
        <v>222</v>
      </c>
      <c r="D4556" s="3" t="s">
        <v>7</v>
      </c>
      <c r="E4556" s="64">
        <v>1</v>
      </c>
    </row>
    <row r="4557" spans="1:5">
      <c r="A4557" s="64" t="s">
        <v>24</v>
      </c>
      <c r="B4557" s="65">
        <v>43451</v>
      </c>
      <c r="C4557" s="66" t="s">
        <v>216</v>
      </c>
      <c r="D4557" s="3" t="s">
        <v>7</v>
      </c>
      <c r="E4557" s="64">
        <v>1</v>
      </c>
    </row>
    <row r="4558" spans="1:5">
      <c r="A4558" s="64" t="s">
        <v>24</v>
      </c>
      <c r="B4558" s="65">
        <v>43452</v>
      </c>
      <c r="C4558" s="66" t="s">
        <v>217</v>
      </c>
      <c r="D4558" s="3" t="s">
        <v>7</v>
      </c>
      <c r="E4558" s="64">
        <v>1</v>
      </c>
    </row>
    <row r="4559" spans="1:5">
      <c r="A4559" s="64" t="s">
        <v>24</v>
      </c>
      <c r="B4559" s="65">
        <v>43453</v>
      </c>
      <c r="C4559" s="66" t="s">
        <v>218</v>
      </c>
      <c r="D4559" s="3" t="s">
        <v>7</v>
      </c>
      <c r="E4559" s="64">
        <v>1</v>
      </c>
    </row>
    <row r="4560" spans="1:5">
      <c r="A4560" s="64" t="s">
        <v>24</v>
      </c>
      <c r="B4560" s="65">
        <v>43454</v>
      </c>
      <c r="C4560" s="66" t="s">
        <v>219</v>
      </c>
      <c r="D4560" s="3" t="s">
        <v>7</v>
      </c>
      <c r="E4560" s="64">
        <v>1</v>
      </c>
    </row>
    <row r="4561" spans="1:5">
      <c r="A4561" s="64" t="s">
        <v>24</v>
      </c>
      <c r="B4561" s="65">
        <v>43455</v>
      </c>
      <c r="C4561" s="66" t="s">
        <v>220</v>
      </c>
      <c r="D4561" s="3" t="s">
        <v>7</v>
      </c>
      <c r="E4561" s="64">
        <v>1</v>
      </c>
    </row>
    <row r="4562" spans="1:5">
      <c r="A4562" s="64" t="s">
        <v>24</v>
      </c>
      <c r="B4562" s="65">
        <v>43456</v>
      </c>
      <c r="C4562" s="66" t="s">
        <v>221</v>
      </c>
      <c r="D4562" s="3" t="s">
        <v>7</v>
      </c>
      <c r="E4562" s="64">
        <v>1</v>
      </c>
    </row>
    <row r="4563" spans="1:5">
      <c r="A4563" s="64" t="s">
        <v>24</v>
      </c>
      <c r="B4563" s="65">
        <v>43457</v>
      </c>
      <c r="C4563" s="66" t="s">
        <v>222</v>
      </c>
      <c r="D4563" s="3" t="s">
        <v>7</v>
      </c>
      <c r="E4563" s="64">
        <v>1</v>
      </c>
    </row>
    <row r="4564" spans="1:5">
      <c r="A4564" s="64" t="s">
        <v>24</v>
      </c>
      <c r="B4564" s="65">
        <v>43458</v>
      </c>
      <c r="C4564" s="66" t="s">
        <v>216</v>
      </c>
      <c r="D4564" s="3" t="s">
        <v>7</v>
      </c>
      <c r="E4564" s="64">
        <v>1</v>
      </c>
    </row>
    <row r="4565" spans="1:5">
      <c r="A4565" s="64" t="s">
        <v>24</v>
      </c>
      <c r="B4565" s="65">
        <v>43459</v>
      </c>
      <c r="C4565" s="66" t="s">
        <v>217</v>
      </c>
      <c r="D4565" s="3" t="s">
        <v>7</v>
      </c>
      <c r="E4565" s="64">
        <v>1</v>
      </c>
    </row>
    <row r="4566" spans="1:5">
      <c r="A4566" s="64" t="s">
        <v>24</v>
      </c>
      <c r="B4566" s="65">
        <v>43460</v>
      </c>
      <c r="C4566" s="66" t="s">
        <v>218</v>
      </c>
      <c r="D4566" s="3" t="s">
        <v>7</v>
      </c>
      <c r="E4566" s="64">
        <v>1</v>
      </c>
    </row>
    <row r="4567" spans="1:5">
      <c r="A4567" s="64" t="s">
        <v>24</v>
      </c>
      <c r="B4567" s="65">
        <v>43461</v>
      </c>
      <c r="C4567" s="66" t="s">
        <v>219</v>
      </c>
      <c r="D4567" s="3" t="s">
        <v>7</v>
      </c>
      <c r="E4567" s="64">
        <v>1</v>
      </c>
    </row>
    <row r="4568" spans="1:5">
      <c r="A4568" s="64" t="s">
        <v>24</v>
      </c>
      <c r="B4568" s="65">
        <v>43462</v>
      </c>
      <c r="C4568" s="66" t="s">
        <v>220</v>
      </c>
      <c r="D4568" s="3" t="s">
        <v>7</v>
      </c>
      <c r="E4568" s="64">
        <v>1</v>
      </c>
    </row>
    <row r="4569" spans="1:5">
      <c r="A4569" s="64" t="s">
        <v>24</v>
      </c>
      <c r="B4569" s="65">
        <v>43463</v>
      </c>
      <c r="C4569" s="66" t="s">
        <v>221</v>
      </c>
      <c r="D4569" s="3" t="s">
        <v>7</v>
      </c>
      <c r="E4569" s="64">
        <v>1</v>
      </c>
    </row>
    <row r="4570" spans="1:5">
      <c r="A4570" s="64" t="s">
        <v>24</v>
      </c>
      <c r="B4570" s="65">
        <v>43464</v>
      </c>
      <c r="C4570" s="66" t="s">
        <v>222</v>
      </c>
      <c r="D4570" s="3" t="s">
        <v>7</v>
      </c>
      <c r="E4570" s="64">
        <v>1</v>
      </c>
    </row>
    <row r="4571" spans="1:5">
      <c r="A4571" s="64" t="s">
        <v>24</v>
      </c>
      <c r="B4571" s="65">
        <v>43465</v>
      </c>
      <c r="C4571" s="66" t="s">
        <v>216</v>
      </c>
      <c r="D4571" s="3" t="s">
        <v>7</v>
      </c>
      <c r="E4571" s="64">
        <v>1</v>
      </c>
    </row>
    <row r="4572" spans="1:5">
      <c r="A4572" s="64" t="s">
        <v>24</v>
      </c>
      <c r="B4572" s="65">
        <v>43466</v>
      </c>
      <c r="C4572" s="66" t="s">
        <v>217</v>
      </c>
      <c r="D4572" s="3" t="s">
        <v>7</v>
      </c>
      <c r="E4572" s="64">
        <v>1</v>
      </c>
    </row>
    <row r="4573" spans="1:5">
      <c r="A4573" s="64" t="s">
        <v>24</v>
      </c>
      <c r="B4573" s="65">
        <v>43467</v>
      </c>
      <c r="C4573" s="66" t="s">
        <v>218</v>
      </c>
      <c r="D4573" s="3" t="s">
        <v>7</v>
      </c>
      <c r="E4573" s="64">
        <v>1</v>
      </c>
    </row>
    <row r="4574" spans="1:5">
      <c r="A4574" s="64" t="s">
        <v>24</v>
      </c>
      <c r="B4574" s="65">
        <v>43468</v>
      </c>
      <c r="C4574" s="66" t="s">
        <v>219</v>
      </c>
      <c r="D4574" s="3" t="s">
        <v>7</v>
      </c>
      <c r="E4574" s="64">
        <v>1</v>
      </c>
    </row>
    <row r="4575" spans="1:5">
      <c r="A4575" s="64" t="s">
        <v>24</v>
      </c>
      <c r="B4575" s="65">
        <v>43469</v>
      </c>
      <c r="C4575" s="66" t="s">
        <v>220</v>
      </c>
      <c r="D4575" s="3" t="s">
        <v>7</v>
      </c>
      <c r="E4575" s="64">
        <v>1</v>
      </c>
    </row>
    <row r="4576" spans="1:5">
      <c r="A4576" s="64" t="s">
        <v>24</v>
      </c>
      <c r="B4576" s="65">
        <v>43470</v>
      </c>
      <c r="C4576" s="66" t="s">
        <v>221</v>
      </c>
      <c r="D4576" s="3" t="s">
        <v>7</v>
      </c>
      <c r="E4576" s="64">
        <v>1</v>
      </c>
    </row>
    <row r="4577" spans="1:5">
      <c r="A4577" s="64" t="s">
        <v>24</v>
      </c>
      <c r="B4577" s="65">
        <v>43471</v>
      </c>
      <c r="C4577" s="66" t="s">
        <v>222</v>
      </c>
      <c r="D4577" s="3" t="s">
        <v>7</v>
      </c>
      <c r="E4577" s="64">
        <v>1</v>
      </c>
    </row>
    <row r="4578" spans="1:5">
      <c r="A4578" s="64" t="s">
        <v>24</v>
      </c>
      <c r="B4578" s="65">
        <v>43472</v>
      </c>
      <c r="C4578" s="66" t="s">
        <v>216</v>
      </c>
      <c r="D4578" s="3" t="s">
        <v>7</v>
      </c>
      <c r="E4578" s="64">
        <v>1</v>
      </c>
    </row>
    <row r="4579" spans="1:5">
      <c r="A4579" s="64" t="s">
        <v>24</v>
      </c>
      <c r="B4579" s="65">
        <v>43473</v>
      </c>
      <c r="C4579" s="66" t="s">
        <v>217</v>
      </c>
      <c r="D4579" s="3" t="s">
        <v>7</v>
      </c>
      <c r="E4579" s="64">
        <v>1</v>
      </c>
    </row>
    <row r="4580" spans="1:5">
      <c r="A4580" s="64" t="s">
        <v>24</v>
      </c>
      <c r="B4580" s="65">
        <v>43474</v>
      </c>
      <c r="C4580" s="66" t="s">
        <v>218</v>
      </c>
      <c r="D4580" s="3" t="s">
        <v>7</v>
      </c>
      <c r="E4580" s="64">
        <v>1</v>
      </c>
    </row>
    <row r="4581" spans="1:5">
      <c r="A4581" s="64" t="s">
        <v>24</v>
      </c>
      <c r="B4581" s="65">
        <v>43475</v>
      </c>
      <c r="C4581" s="66" t="s">
        <v>219</v>
      </c>
      <c r="D4581" s="3" t="s">
        <v>7</v>
      </c>
      <c r="E4581" s="64">
        <v>1</v>
      </c>
    </row>
    <row r="4582" spans="1:5">
      <c r="A4582" s="64" t="s">
        <v>24</v>
      </c>
      <c r="B4582" s="65">
        <v>43476</v>
      </c>
      <c r="C4582" s="66" t="s">
        <v>220</v>
      </c>
      <c r="D4582" s="3" t="s">
        <v>7</v>
      </c>
      <c r="E4582" s="64">
        <v>1</v>
      </c>
    </row>
    <row r="4583" spans="1:5">
      <c r="A4583" s="64" t="s">
        <v>24</v>
      </c>
      <c r="B4583" s="65">
        <v>43477</v>
      </c>
      <c r="C4583" s="66" t="s">
        <v>221</v>
      </c>
      <c r="D4583" s="3" t="s">
        <v>7</v>
      </c>
      <c r="E4583" s="64">
        <v>1</v>
      </c>
    </row>
    <row r="4584" spans="1:5">
      <c r="A4584" s="64" t="s">
        <v>24</v>
      </c>
      <c r="B4584" s="65">
        <v>43478</v>
      </c>
      <c r="C4584" s="66" t="s">
        <v>222</v>
      </c>
      <c r="D4584" s="3" t="s">
        <v>7</v>
      </c>
      <c r="E4584" s="64">
        <v>1</v>
      </c>
    </row>
    <row r="4585" spans="1:5">
      <c r="A4585" s="64" t="s">
        <v>24</v>
      </c>
      <c r="B4585" s="65">
        <v>43479</v>
      </c>
      <c r="C4585" s="66" t="s">
        <v>216</v>
      </c>
      <c r="D4585" s="3" t="s">
        <v>7</v>
      </c>
      <c r="E4585" s="64">
        <v>1</v>
      </c>
    </row>
    <row r="4586" spans="1:5">
      <c r="A4586" s="64" t="s">
        <v>24</v>
      </c>
      <c r="B4586" s="65">
        <v>43480</v>
      </c>
      <c r="C4586" s="66" t="s">
        <v>217</v>
      </c>
      <c r="D4586" s="3" t="s">
        <v>7</v>
      </c>
      <c r="E4586" s="64">
        <v>1</v>
      </c>
    </row>
    <row r="4587" spans="1:5">
      <c r="A4587" s="64" t="s">
        <v>24</v>
      </c>
      <c r="B4587" s="65">
        <v>43481</v>
      </c>
      <c r="C4587" s="66" t="s">
        <v>218</v>
      </c>
      <c r="D4587" s="3" t="s">
        <v>7</v>
      </c>
      <c r="E4587" s="64">
        <v>1</v>
      </c>
    </row>
    <row r="4588" spans="1:5">
      <c r="A4588" s="64" t="s">
        <v>24</v>
      </c>
      <c r="B4588" s="65">
        <v>43482</v>
      </c>
      <c r="C4588" s="66" t="s">
        <v>219</v>
      </c>
      <c r="D4588" s="3" t="s">
        <v>7</v>
      </c>
      <c r="E4588" s="64">
        <v>1</v>
      </c>
    </row>
    <row r="4589" spans="1:5">
      <c r="A4589" s="64" t="s">
        <v>24</v>
      </c>
      <c r="B4589" s="65">
        <v>43483</v>
      </c>
      <c r="C4589" s="66" t="s">
        <v>220</v>
      </c>
      <c r="D4589" s="3" t="s">
        <v>7</v>
      </c>
      <c r="E4589" s="64">
        <v>1</v>
      </c>
    </row>
    <row r="4590" spans="1:5">
      <c r="A4590" s="64" t="s">
        <v>24</v>
      </c>
      <c r="B4590" s="65">
        <v>43484</v>
      </c>
      <c r="C4590" s="66" t="s">
        <v>221</v>
      </c>
      <c r="D4590" s="3" t="s">
        <v>7</v>
      </c>
      <c r="E4590" s="64">
        <v>1</v>
      </c>
    </row>
    <row r="4591" spans="1:5">
      <c r="A4591" s="64" t="s">
        <v>24</v>
      </c>
      <c r="B4591" s="65">
        <v>43485</v>
      </c>
      <c r="C4591" s="66" t="s">
        <v>222</v>
      </c>
      <c r="D4591" s="3" t="s">
        <v>7</v>
      </c>
      <c r="E4591" s="64">
        <v>1</v>
      </c>
    </row>
    <row r="4592" spans="1:5">
      <c r="A4592" s="64" t="s">
        <v>24</v>
      </c>
      <c r="B4592" s="65">
        <v>43486</v>
      </c>
      <c r="C4592" s="66" t="s">
        <v>216</v>
      </c>
      <c r="D4592" s="3" t="s">
        <v>7</v>
      </c>
      <c r="E4592" s="64">
        <v>1</v>
      </c>
    </row>
    <row r="4593" spans="1:5">
      <c r="A4593" s="64" t="s">
        <v>24</v>
      </c>
      <c r="B4593" s="65">
        <v>43487</v>
      </c>
      <c r="C4593" s="66" t="s">
        <v>217</v>
      </c>
      <c r="D4593" s="3" t="s">
        <v>7</v>
      </c>
      <c r="E4593" s="64">
        <v>1</v>
      </c>
    </row>
    <row r="4594" spans="1:5">
      <c r="A4594" s="64" t="s">
        <v>24</v>
      </c>
      <c r="B4594" s="65">
        <v>43488</v>
      </c>
      <c r="C4594" s="66" t="s">
        <v>218</v>
      </c>
      <c r="D4594" s="3" t="s">
        <v>7</v>
      </c>
      <c r="E4594" s="64">
        <v>1</v>
      </c>
    </row>
    <row r="4595" spans="1:5">
      <c r="A4595" s="64" t="s">
        <v>24</v>
      </c>
      <c r="B4595" s="65">
        <v>43489</v>
      </c>
      <c r="C4595" s="66" t="s">
        <v>219</v>
      </c>
      <c r="D4595" s="3" t="s">
        <v>7</v>
      </c>
      <c r="E4595" s="64">
        <v>1</v>
      </c>
    </row>
    <row r="4596" spans="1:5">
      <c r="A4596" s="64" t="s">
        <v>24</v>
      </c>
      <c r="B4596" s="65">
        <v>43490</v>
      </c>
      <c r="C4596" s="66" t="s">
        <v>220</v>
      </c>
      <c r="D4596" s="3" t="s">
        <v>7</v>
      </c>
      <c r="E4596" s="64">
        <v>1</v>
      </c>
    </row>
    <row r="4597" spans="1:5">
      <c r="A4597" s="64" t="s">
        <v>24</v>
      </c>
      <c r="B4597" s="65">
        <v>43491</v>
      </c>
      <c r="C4597" s="66" t="s">
        <v>221</v>
      </c>
      <c r="D4597" s="3" t="s">
        <v>7</v>
      </c>
      <c r="E4597" s="64">
        <v>1</v>
      </c>
    </row>
    <row r="4598" spans="1:5">
      <c r="A4598" s="64" t="s">
        <v>24</v>
      </c>
      <c r="B4598" s="65">
        <v>43492</v>
      </c>
      <c r="C4598" s="66" t="s">
        <v>222</v>
      </c>
      <c r="D4598" s="3" t="s">
        <v>7</v>
      </c>
      <c r="E4598" s="64">
        <v>1</v>
      </c>
    </row>
    <row r="4599" spans="1:5">
      <c r="A4599" s="64" t="s">
        <v>24</v>
      </c>
      <c r="B4599" s="65">
        <v>43493</v>
      </c>
      <c r="C4599" s="66" t="s">
        <v>216</v>
      </c>
      <c r="D4599" s="3" t="s">
        <v>7</v>
      </c>
      <c r="E4599" s="64">
        <v>1</v>
      </c>
    </row>
    <row r="4600" spans="1:5">
      <c r="A4600" s="64" t="s">
        <v>24</v>
      </c>
      <c r="B4600" s="65">
        <v>43494</v>
      </c>
      <c r="C4600" s="66" t="s">
        <v>217</v>
      </c>
      <c r="D4600" s="3" t="s">
        <v>7</v>
      </c>
      <c r="E4600" s="64">
        <v>1</v>
      </c>
    </row>
    <row r="4601" spans="1:5">
      <c r="A4601" s="64" t="s">
        <v>24</v>
      </c>
      <c r="B4601" s="65">
        <v>43495</v>
      </c>
      <c r="C4601" s="66" t="s">
        <v>218</v>
      </c>
      <c r="D4601" s="3" t="s">
        <v>7</v>
      </c>
      <c r="E4601" s="64">
        <v>1</v>
      </c>
    </row>
    <row r="4602" spans="1:5">
      <c r="A4602" s="64" t="s">
        <v>24</v>
      </c>
      <c r="B4602" s="65">
        <v>43496</v>
      </c>
      <c r="C4602" s="66" t="s">
        <v>219</v>
      </c>
      <c r="D4602" s="3" t="s">
        <v>7</v>
      </c>
      <c r="E4602" s="64">
        <v>1</v>
      </c>
    </row>
    <row r="4603" spans="1:5">
      <c r="A4603" s="64" t="s">
        <v>24</v>
      </c>
      <c r="B4603" s="65">
        <v>43497</v>
      </c>
      <c r="C4603" s="66" t="s">
        <v>220</v>
      </c>
      <c r="D4603" s="3" t="s">
        <v>7</v>
      </c>
      <c r="E4603" s="64">
        <v>1</v>
      </c>
    </row>
    <row r="4604" spans="1:5">
      <c r="A4604" s="64" t="s">
        <v>24</v>
      </c>
      <c r="B4604" s="65">
        <v>43498</v>
      </c>
      <c r="C4604" s="66" t="s">
        <v>221</v>
      </c>
      <c r="D4604" s="3" t="s">
        <v>7</v>
      </c>
      <c r="E4604" s="64">
        <v>1</v>
      </c>
    </row>
    <row r="4605" spans="1:5">
      <c r="A4605" s="64" t="s">
        <v>24</v>
      </c>
      <c r="B4605" s="65">
        <v>43499</v>
      </c>
      <c r="C4605" s="66" t="s">
        <v>222</v>
      </c>
      <c r="D4605" s="3" t="s">
        <v>7</v>
      </c>
      <c r="E4605" s="64">
        <v>1</v>
      </c>
    </row>
    <row r="4606" spans="1:5">
      <c r="A4606" s="64" t="s">
        <v>24</v>
      </c>
      <c r="B4606" s="65">
        <v>43500</v>
      </c>
      <c r="C4606" s="66" t="s">
        <v>216</v>
      </c>
      <c r="D4606" s="3" t="s">
        <v>7</v>
      </c>
      <c r="E4606" s="64">
        <v>1</v>
      </c>
    </row>
    <row r="4607" spans="1:5">
      <c r="A4607" s="64" t="s">
        <v>24</v>
      </c>
      <c r="B4607" s="65">
        <v>43501</v>
      </c>
      <c r="C4607" s="66" t="s">
        <v>217</v>
      </c>
      <c r="D4607" s="3" t="s">
        <v>7</v>
      </c>
      <c r="E4607" s="64">
        <v>1</v>
      </c>
    </row>
    <row r="4608" spans="1:5">
      <c r="A4608" s="64" t="s">
        <v>24</v>
      </c>
      <c r="B4608" s="65">
        <v>43502</v>
      </c>
      <c r="C4608" s="66" t="s">
        <v>218</v>
      </c>
      <c r="D4608" s="3" t="s">
        <v>7</v>
      </c>
      <c r="E4608" s="64">
        <v>1</v>
      </c>
    </row>
    <row r="4609" spans="1:5">
      <c r="A4609" s="64" t="s">
        <v>24</v>
      </c>
      <c r="B4609" s="65">
        <v>43503</v>
      </c>
      <c r="C4609" s="66" t="s">
        <v>219</v>
      </c>
      <c r="D4609" s="3" t="s">
        <v>7</v>
      </c>
      <c r="E4609" s="64">
        <v>1</v>
      </c>
    </row>
    <row r="4610" spans="1:5">
      <c r="A4610" s="64" t="s">
        <v>24</v>
      </c>
      <c r="B4610" s="65">
        <v>43504</v>
      </c>
      <c r="C4610" s="66" t="s">
        <v>220</v>
      </c>
      <c r="D4610" s="3" t="s">
        <v>7</v>
      </c>
      <c r="E4610" s="64">
        <v>1</v>
      </c>
    </row>
    <row r="4611" spans="1:5">
      <c r="A4611" s="64" t="s">
        <v>24</v>
      </c>
      <c r="B4611" s="65">
        <v>43505</v>
      </c>
      <c r="C4611" s="66" t="s">
        <v>221</v>
      </c>
      <c r="D4611" s="3" t="s">
        <v>7</v>
      </c>
      <c r="E4611" s="64">
        <v>1</v>
      </c>
    </row>
    <row r="4612" spans="1:5">
      <c r="A4612" s="64" t="s">
        <v>24</v>
      </c>
      <c r="B4612" s="65">
        <v>43506</v>
      </c>
      <c r="C4612" s="66" t="s">
        <v>222</v>
      </c>
      <c r="D4612" s="3" t="s">
        <v>7</v>
      </c>
      <c r="E4612" s="64">
        <v>1</v>
      </c>
    </row>
    <row r="4613" spans="1:5">
      <c r="A4613" s="64" t="s">
        <v>24</v>
      </c>
      <c r="B4613" s="65">
        <v>43507</v>
      </c>
      <c r="C4613" s="66" t="s">
        <v>216</v>
      </c>
      <c r="D4613" s="3" t="s">
        <v>7</v>
      </c>
      <c r="E4613" s="64">
        <v>1</v>
      </c>
    </row>
    <row r="4614" spans="1:5">
      <c r="A4614" s="64" t="s">
        <v>24</v>
      </c>
      <c r="B4614" s="65">
        <v>43508</v>
      </c>
      <c r="C4614" s="66" t="s">
        <v>217</v>
      </c>
      <c r="D4614" s="3" t="s">
        <v>7</v>
      </c>
      <c r="E4614" s="64">
        <v>1</v>
      </c>
    </row>
    <row r="4615" spans="1:5">
      <c r="A4615" s="64" t="s">
        <v>24</v>
      </c>
      <c r="B4615" s="65">
        <v>43509</v>
      </c>
      <c r="C4615" s="66" t="s">
        <v>218</v>
      </c>
      <c r="D4615" s="3" t="s">
        <v>7</v>
      </c>
      <c r="E4615" s="64">
        <v>1</v>
      </c>
    </row>
    <row r="4616" spans="1:5">
      <c r="A4616" s="64" t="s">
        <v>24</v>
      </c>
      <c r="B4616" s="65">
        <v>43290</v>
      </c>
      <c r="C4616" s="66" t="s">
        <v>216</v>
      </c>
      <c r="D4616" s="3" t="s">
        <v>9</v>
      </c>
      <c r="E4616" s="64">
        <v>1</v>
      </c>
    </row>
    <row r="4617" spans="1:5">
      <c r="A4617" s="64" t="s">
        <v>24</v>
      </c>
      <c r="B4617" s="65">
        <v>43291</v>
      </c>
      <c r="C4617" s="66" t="s">
        <v>217</v>
      </c>
      <c r="D4617" s="3" t="s">
        <v>9</v>
      </c>
      <c r="E4617" s="64">
        <v>1</v>
      </c>
    </row>
    <row r="4618" spans="1:5">
      <c r="A4618" s="64" t="s">
        <v>24</v>
      </c>
      <c r="B4618" s="65">
        <v>43292</v>
      </c>
      <c r="C4618" s="66" t="s">
        <v>218</v>
      </c>
      <c r="D4618" s="3" t="s">
        <v>9</v>
      </c>
      <c r="E4618" s="64">
        <v>1</v>
      </c>
    </row>
    <row r="4619" spans="1:5">
      <c r="A4619" s="64" t="s">
        <v>24</v>
      </c>
      <c r="B4619" s="65">
        <v>43293</v>
      </c>
      <c r="C4619" s="66" t="s">
        <v>219</v>
      </c>
      <c r="D4619" s="3" t="s">
        <v>9</v>
      </c>
      <c r="E4619" s="64">
        <v>1</v>
      </c>
    </row>
    <row r="4620" spans="1:5">
      <c r="A4620" s="64" t="s">
        <v>24</v>
      </c>
      <c r="B4620" s="65">
        <v>43294</v>
      </c>
      <c r="C4620" s="66" t="s">
        <v>220</v>
      </c>
      <c r="D4620" s="3" t="s">
        <v>9</v>
      </c>
      <c r="E4620" s="64">
        <v>1</v>
      </c>
    </row>
    <row r="4621" spans="1:5">
      <c r="A4621" s="64" t="s">
        <v>24</v>
      </c>
      <c r="B4621" s="65">
        <v>43295</v>
      </c>
      <c r="C4621" s="66" t="s">
        <v>221</v>
      </c>
      <c r="D4621" s="3" t="s">
        <v>9</v>
      </c>
      <c r="E4621" s="64">
        <v>1</v>
      </c>
    </row>
    <row r="4622" spans="1:5">
      <c r="A4622" s="64" t="s">
        <v>24</v>
      </c>
      <c r="B4622" s="65">
        <v>43296</v>
      </c>
      <c r="C4622" s="66" t="s">
        <v>222</v>
      </c>
      <c r="D4622" s="3" t="s">
        <v>9</v>
      </c>
      <c r="E4622" s="64">
        <v>1</v>
      </c>
    </row>
    <row r="4623" spans="1:5">
      <c r="A4623" s="64" t="s">
        <v>24</v>
      </c>
      <c r="B4623" s="65">
        <v>43297</v>
      </c>
      <c r="C4623" s="66" t="s">
        <v>216</v>
      </c>
      <c r="D4623" s="3" t="s">
        <v>9</v>
      </c>
      <c r="E4623" s="64">
        <v>1</v>
      </c>
    </row>
    <row r="4624" spans="1:5">
      <c r="A4624" s="64" t="s">
        <v>24</v>
      </c>
      <c r="B4624" s="65">
        <v>43298</v>
      </c>
      <c r="C4624" s="66" t="s">
        <v>217</v>
      </c>
      <c r="D4624" s="3" t="s">
        <v>9</v>
      </c>
      <c r="E4624" s="64">
        <v>1</v>
      </c>
    </row>
    <row r="4625" spans="1:5">
      <c r="A4625" s="64" t="s">
        <v>24</v>
      </c>
      <c r="B4625" s="65">
        <v>43299</v>
      </c>
      <c r="C4625" s="66" t="s">
        <v>218</v>
      </c>
      <c r="D4625" s="3" t="s">
        <v>9</v>
      </c>
      <c r="E4625" s="64">
        <v>1</v>
      </c>
    </row>
    <row r="4626" spans="1:5">
      <c r="A4626" s="64" t="s">
        <v>24</v>
      </c>
      <c r="B4626" s="65">
        <v>43300</v>
      </c>
      <c r="C4626" s="66" t="s">
        <v>219</v>
      </c>
      <c r="D4626" s="3" t="s">
        <v>9</v>
      </c>
      <c r="E4626" s="64">
        <v>1</v>
      </c>
    </row>
    <row r="4627" spans="1:5">
      <c r="A4627" s="64" t="s">
        <v>24</v>
      </c>
      <c r="B4627" s="65">
        <v>43301</v>
      </c>
      <c r="C4627" s="66" t="s">
        <v>220</v>
      </c>
      <c r="D4627" s="3" t="s">
        <v>9</v>
      </c>
      <c r="E4627" s="64">
        <v>1</v>
      </c>
    </row>
    <row r="4628" spans="1:5">
      <c r="A4628" s="64" t="s">
        <v>24</v>
      </c>
      <c r="B4628" s="65">
        <v>43302</v>
      </c>
      <c r="C4628" s="66" t="s">
        <v>221</v>
      </c>
      <c r="D4628" s="3" t="s">
        <v>9</v>
      </c>
      <c r="E4628" s="64">
        <v>1</v>
      </c>
    </row>
    <row r="4629" spans="1:5">
      <c r="A4629" s="64" t="s">
        <v>24</v>
      </c>
      <c r="B4629" s="65">
        <v>43303</v>
      </c>
      <c r="C4629" s="66" t="s">
        <v>222</v>
      </c>
      <c r="D4629" s="3" t="s">
        <v>9</v>
      </c>
      <c r="E4629" s="64">
        <v>1</v>
      </c>
    </row>
    <row r="4630" spans="1:5">
      <c r="A4630" s="64" t="s">
        <v>24</v>
      </c>
      <c r="B4630" s="65">
        <v>43304</v>
      </c>
      <c r="C4630" s="66" t="s">
        <v>216</v>
      </c>
      <c r="D4630" s="3" t="s">
        <v>9</v>
      </c>
      <c r="E4630" s="64">
        <v>1</v>
      </c>
    </row>
    <row r="4631" spans="1:5">
      <c r="A4631" s="64" t="s">
        <v>24</v>
      </c>
      <c r="B4631" s="65">
        <v>43305</v>
      </c>
      <c r="C4631" s="66" t="s">
        <v>217</v>
      </c>
      <c r="D4631" s="3" t="s">
        <v>9</v>
      </c>
      <c r="E4631" s="64">
        <v>1</v>
      </c>
    </row>
    <row r="4632" spans="1:5">
      <c r="A4632" s="64" t="s">
        <v>24</v>
      </c>
      <c r="B4632" s="65">
        <v>43306</v>
      </c>
      <c r="C4632" s="66" t="s">
        <v>218</v>
      </c>
      <c r="D4632" s="3" t="s">
        <v>9</v>
      </c>
      <c r="E4632" s="64">
        <v>1</v>
      </c>
    </row>
    <row r="4633" spans="1:5">
      <c r="A4633" s="64" t="s">
        <v>24</v>
      </c>
      <c r="B4633" s="65">
        <v>43307</v>
      </c>
      <c r="C4633" s="66" t="s">
        <v>219</v>
      </c>
      <c r="D4633" s="3" t="s">
        <v>9</v>
      </c>
      <c r="E4633" s="64">
        <v>1</v>
      </c>
    </row>
    <row r="4634" spans="1:5">
      <c r="A4634" s="64" t="s">
        <v>24</v>
      </c>
      <c r="B4634" s="65">
        <v>43308</v>
      </c>
      <c r="C4634" s="66" t="s">
        <v>220</v>
      </c>
      <c r="D4634" s="3" t="s">
        <v>9</v>
      </c>
      <c r="E4634" s="64">
        <v>1</v>
      </c>
    </row>
    <row r="4635" spans="1:5">
      <c r="A4635" s="64" t="s">
        <v>24</v>
      </c>
      <c r="B4635" s="65">
        <v>43309</v>
      </c>
      <c r="C4635" s="66" t="s">
        <v>221</v>
      </c>
      <c r="D4635" s="3" t="s">
        <v>9</v>
      </c>
      <c r="E4635" s="64">
        <v>1</v>
      </c>
    </row>
    <row r="4636" spans="1:5">
      <c r="A4636" s="64" t="s">
        <v>24</v>
      </c>
      <c r="B4636" s="65">
        <v>43310</v>
      </c>
      <c r="C4636" s="66" t="s">
        <v>222</v>
      </c>
      <c r="D4636" s="3" t="s">
        <v>9</v>
      </c>
      <c r="E4636" s="64">
        <v>1</v>
      </c>
    </row>
    <row r="4637" spans="1:5">
      <c r="A4637" s="64" t="s">
        <v>24</v>
      </c>
      <c r="B4637" s="65">
        <v>43311</v>
      </c>
      <c r="C4637" s="66" t="s">
        <v>216</v>
      </c>
      <c r="D4637" s="3" t="s">
        <v>9</v>
      </c>
      <c r="E4637" s="64">
        <v>1</v>
      </c>
    </row>
    <row r="4638" spans="1:5">
      <c r="A4638" s="64" t="s">
        <v>24</v>
      </c>
      <c r="B4638" s="65">
        <v>43312</v>
      </c>
      <c r="C4638" s="66" t="s">
        <v>217</v>
      </c>
      <c r="D4638" s="3" t="s">
        <v>9</v>
      </c>
      <c r="E4638" s="64">
        <v>1</v>
      </c>
    </row>
    <row r="4639" spans="1:5">
      <c r="A4639" s="64" t="s">
        <v>24</v>
      </c>
      <c r="B4639" s="65">
        <v>43313</v>
      </c>
      <c r="C4639" s="66" t="s">
        <v>218</v>
      </c>
      <c r="D4639" s="3" t="s">
        <v>9</v>
      </c>
      <c r="E4639" s="64">
        <v>1</v>
      </c>
    </row>
    <row r="4640" spans="1:5">
      <c r="A4640" s="64" t="s">
        <v>24</v>
      </c>
      <c r="B4640" s="65">
        <v>43314</v>
      </c>
      <c r="C4640" s="66" t="s">
        <v>219</v>
      </c>
      <c r="D4640" s="3" t="s">
        <v>9</v>
      </c>
      <c r="E4640" s="64">
        <v>1</v>
      </c>
    </row>
    <row r="4641" spans="1:5">
      <c r="A4641" s="64" t="s">
        <v>24</v>
      </c>
      <c r="B4641" s="65">
        <v>43315</v>
      </c>
      <c r="C4641" s="66" t="s">
        <v>220</v>
      </c>
      <c r="D4641" s="3" t="s">
        <v>9</v>
      </c>
      <c r="E4641" s="64">
        <v>1</v>
      </c>
    </row>
    <row r="4642" spans="1:5">
      <c r="A4642" s="64" t="s">
        <v>24</v>
      </c>
      <c r="B4642" s="65">
        <v>43316</v>
      </c>
      <c r="C4642" s="66" t="s">
        <v>221</v>
      </c>
      <c r="D4642" s="3" t="s">
        <v>9</v>
      </c>
      <c r="E4642" s="64">
        <v>1</v>
      </c>
    </row>
    <row r="4643" spans="1:5">
      <c r="A4643" s="64" t="s">
        <v>24</v>
      </c>
      <c r="B4643" s="65">
        <v>43317</v>
      </c>
      <c r="C4643" s="66" t="s">
        <v>222</v>
      </c>
      <c r="D4643" s="3" t="s">
        <v>9</v>
      </c>
      <c r="E4643" s="64">
        <v>1</v>
      </c>
    </row>
    <row r="4644" spans="1:5">
      <c r="A4644" s="64" t="s">
        <v>24</v>
      </c>
      <c r="B4644" s="65">
        <v>43318</v>
      </c>
      <c r="C4644" s="66" t="s">
        <v>216</v>
      </c>
      <c r="D4644" s="3" t="s">
        <v>9</v>
      </c>
      <c r="E4644" s="64">
        <v>1</v>
      </c>
    </row>
    <row r="4645" spans="1:5">
      <c r="A4645" s="64" t="s">
        <v>24</v>
      </c>
      <c r="B4645" s="65">
        <v>43319</v>
      </c>
      <c r="C4645" s="66" t="s">
        <v>217</v>
      </c>
      <c r="D4645" s="3" t="s">
        <v>9</v>
      </c>
      <c r="E4645" s="64">
        <v>1</v>
      </c>
    </row>
    <row r="4646" spans="1:5">
      <c r="A4646" s="64" t="s">
        <v>24</v>
      </c>
      <c r="B4646" s="65">
        <v>43320</v>
      </c>
      <c r="C4646" s="66" t="s">
        <v>218</v>
      </c>
      <c r="D4646" s="3" t="s">
        <v>9</v>
      </c>
      <c r="E4646" s="64">
        <v>1</v>
      </c>
    </row>
    <row r="4647" spans="1:5">
      <c r="A4647" s="64" t="s">
        <v>24</v>
      </c>
      <c r="B4647" s="65">
        <v>43321</v>
      </c>
      <c r="C4647" s="66" t="s">
        <v>219</v>
      </c>
      <c r="D4647" s="3" t="s">
        <v>9</v>
      </c>
      <c r="E4647" s="64">
        <v>1</v>
      </c>
    </row>
    <row r="4648" spans="1:5">
      <c r="A4648" s="64" t="s">
        <v>24</v>
      </c>
      <c r="B4648" s="65">
        <v>43322</v>
      </c>
      <c r="C4648" s="66" t="s">
        <v>220</v>
      </c>
      <c r="D4648" s="3" t="s">
        <v>9</v>
      </c>
      <c r="E4648" s="64">
        <v>1</v>
      </c>
    </row>
    <row r="4649" spans="1:5">
      <c r="A4649" s="64" t="s">
        <v>24</v>
      </c>
      <c r="B4649" s="65">
        <v>43323</v>
      </c>
      <c r="C4649" s="66" t="s">
        <v>221</v>
      </c>
      <c r="D4649" s="3" t="s">
        <v>9</v>
      </c>
      <c r="E4649" s="64">
        <v>1</v>
      </c>
    </row>
    <row r="4650" spans="1:5">
      <c r="A4650" s="64" t="s">
        <v>24</v>
      </c>
      <c r="B4650" s="65">
        <v>43324</v>
      </c>
      <c r="C4650" s="66" t="s">
        <v>222</v>
      </c>
      <c r="D4650" s="3" t="s">
        <v>9</v>
      </c>
      <c r="E4650" s="64">
        <v>1</v>
      </c>
    </row>
    <row r="4651" spans="1:5">
      <c r="A4651" s="64" t="s">
        <v>24</v>
      </c>
      <c r="B4651" s="65">
        <v>43325</v>
      </c>
      <c r="C4651" s="66" t="s">
        <v>216</v>
      </c>
      <c r="D4651" s="3" t="s">
        <v>9</v>
      </c>
      <c r="E4651" s="64">
        <v>1</v>
      </c>
    </row>
    <row r="4652" spans="1:5">
      <c r="A4652" s="64" t="s">
        <v>24</v>
      </c>
      <c r="B4652" s="65">
        <v>43326</v>
      </c>
      <c r="C4652" s="66" t="s">
        <v>217</v>
      </c>
      <c r="D4652" s="3" t="s">
        <v>9</v>
      </c>
      <c r="E4652" s="64">
        <v>1</v>
      </c>
    </row>
    <row r="4653" spans="1:5">
      <c r="A4653" s="64" t="s">
        <v>24</v>
      </c>
      <c r="B4653" s="65">
        <v>43327</v>
      </c>
      <c r="C4653" s="66" t="s">
        <v>218</v>
      </c>
      <c r="D4653" s="3" t="s">
        <v>9</v>
      </c>
      <c r="E4653" s="64">
        <v>1</v>
      </c>
    </row>
    <row r="4654" spans="1:5">
      <c r="A4654" s="64" t="s">
        <v>24</v>
      </c>
      <c r="B4654" s="65">
        <v>43328</v>
      </c>
      <c r="C4654" s="66" t="s">
        <v>219</v>
      </c>
      <c r="D4654" s="3" t="s">
        <v>9</v>
      </c>
      <c r="E4654" s="64">
        <v>1</v>
      </c>
    </row>
    <row r="4655" spans="1:5">
      <c r="A4655" s="64" t="s">
        <v>24</v>
      </c>
      <c r="B4655" s="65">
        <v>43329</v>
      </c>
      <c r="C4655" s="66" t="s">
        <v>220</v>
      </c>
      <c r="D4655" s="3" t="s">
        <v>9</v>
      </c>
      <c r="E4655" s="64">
        <v>1</v>
      </c>
    </row>
    <row r="4656" spans="1:5">
      <c r="A4656" s="64" t="s">
        <v>24</v>
      </c>
      <c r="B4656" s="65">
        <v>43330</v>
      </c>
      <c r="C4656" s="66" t="s">
        <v>221</v>
      </c>
      <c r="D4656" s="3" t="s">
        <v>9</v>
      </c>
      <c r="E4656" s="64">
        <v>1</v>
      </c>
    </row>
    <row r="4657" spans="1:5">
      <c r="A4657" s="64" t="s">
        <v>24</v>
      </c>
      <c r="B4657" s="65">
        <v>43331</v>
      </c>
      <c r="C4657" s="66" t="s">
        <v>222</v>
      </c>
      <c r="D4657" s="3" t="s">
        <v>9</v>
      </c>
      <c r="E4657" s="64">
        <v>1</v>
      </c>
    </row>
    <row r="4658" spans="1:5">
      <c r="A4658" s="64" t="s">
        <v>24</v>
      </c>
      <c r="B4658" s="65">
        <v>43332</v>
      </c>
      <c r="C4658" s="66" t="s">
        <v>216</v>
      </c>
      <c r="D4658" s="3" t="s">
        <v>9</v>
      </c>
      <c r="E4658" s="64">
        <v>1</v>
      </c>
    </row>
    <row r="4659" spans="1:5">
      <c r="A4659" s="64" t="s">
        <v>24</v>
      </c>
      <c r="B4659" s="65">
        <v>43333</v>
      </c>
      <c r="C4659" s="66" t="s">
        <v>217</v>
      </c>
      <c r="D4659" s="3" t="s">
        <v>9</v>
      </c>
      <c r="E4659" s="64">
        <v>1</v>
      </c>
    </row>
    <row r="4660" spans="1:5">
      <c r="A4660" s="64" t="s">
        <v>24</v>
      </c>
      <c r="B4660" s="65">
        <v>43334</v>
      </c>
      <c r="C4660" s="66" t="s">
        <v>218</v>
      </c>
      <c r="D4660" s="3" t="s">
        <v>9</v>
      </c>
      <c r="E4660" s="64">
        <v>1</v>
      </c>
    </row>
    <row r="4661" spans="1:5">
      <c r="A4661" s="64" t="s">
        <v>24</v>
      </c>
      <c r="B4661" s="65">
        <v>43335</v>
      </c>
      <c r="C4661" s="66" t="s">
        <v>219</v>
      </c>
      <c r="D4661" s="3" t="s">
        <v>9</v>
      </c>
      <c r="E4661" s="64">
        <v>1</v>
      </c>
    </row>
    <row r="4662" spans="1:5">
      <c r="A4662" s="64" t="s">
        <v>24</v>
      </c>
      <c r="B4662" s="65">
        <v>43336</v>
      </c>
      <c r="C4662" s="66" t="s">
        <v>220</v>
      </c>
      <c r="D4662" s="3" t="s">
        <v>9</v>
      </c>
      <c r="E4662" s="64">
        <v>1</v>
      </c>
    </row>
    <row r="4663" spans="1:5">
      <c r="A4663" s="64" t="s">
        <v>24</v>
      </c>
      <c r="B4663" s="65">
        <v>43337</v>
      </c>
      <c r="C4663" s="66" t="s">
        <v>221</v>
      </c>
      <c r="D4663" s="3" t="s">
        <v>9</v>
      </c>
      <c r="E4663" s="64">
        <v>1</v>
      </c>
    </row>
    <row r="4664" spans="1:5">
      <c r="A4664" s="64" t="s">
        <v>24</v>
      </c>
      <c r="B4664" s="65">
        <v>43338</v>
      </c>
      <c r="C4664" s="66" t="s">
        <v>222</v>
      </c>
      <c r="D4664" s="3" t="s">
        <v>9</v>
      </c>
      <c r="E4664" s="64">
        <v>1</v>
      </c>
    </row>
    <row r="4665" spans="1:5">
      <c r="A4665" s="64" t="s">
        <v>24</v>
      </c>
      <c r="B4665" s="65">
        <v>43339</v>
      </c>
      <c r="C4665" s="66" t="s">
        <v>216</v>
      </c>
      <c r="D4665" s="3" t="s">
        <v>9</v>
      </c>
      <c r="E4665" s="64">
        <v>1</v>
      </c>
    </row>
    <row r="4666" spans="1:5">
      <c r="A4666" s="64" t="s">
        <v>24</v>
      </c>
      <c r="B4666" s="65">
        <v>43340</v>
      </c>
      <c r="C4666" s="66" t="s">
        <v>217</v>
      </c>
      <c r="D4666" s="3" t="s">
        <v>9</v>
      </c>
      <c r="E4666" s="64">
        <v>1</v>
      </c>
    </row>
    <row r="4667" spans="1:5">
      <c r="A4667" s="64" t="s">
        <v>24</v>
      </c>
      <c r="B4667" s="65">
        <v>43341</v>
      </c>
      <c r="C4667" s="66" t="s">
        <v>218</v>
      </c>
      <c r="D4667" s="3" t="s">
        <v>9</v>
      </c>
      <c r="E4667" s="64">
        <v>1</v>
      </c>
    </row>
    <row r="4668" spans="1:5">
      <c r="A4668" s="64" t="s">
        <v>24</v>
      </c>
      <c r="B4668" s="65">
        <v>43342</v>
      </c>
      <c r="C4668" s="66" t="s">
        <v>219</v>
      </c>
      <c r="D4668" s="3" t="s">
        <v>9</v>
      </c>
      <c r="E4668" s="64">
        <v>1</v>
      </c>
    </row>
    <row r="4669" spans="1:5">
      <c r="A4669" s="64" t="s">
        <v>24</v>
      </c>
      <c r="B4669" s="65">
        <v>43343</v>
      </c>
      <c r="C4669" s="66" t="s">
        <v>220</v>
      </c>
      <c r="D4669" s="3" t="s">
        <v>9</v>
      </c>
      <c r="E4669" s="64">
        <v>1</v>
      </c>
    </row>
    <row r="4670" spans="1:5">
      <c r="A4670" s="64" t="s">
        <v>24</v>
      </c>
      <c r="B4670" s="65">
        <v>43344</v>
      </c>
      <c r="C4670" s="66" t="s">
        <v>221</v>
      </c>
      <c r="D4670" s="3" t="s">
        <v>9</v>
      </c>
      <c r="E4670" s="64">
        <v>1</v>
      </c>
    </row>
    <row r="4671" spans="1:5">
      <c r="A4671" s="64" t="s">
        <v>24</v>
      </c>
      <c r="B4671" s="65">
        <v>43345</v>
      </c>
      <c r="C4671" s="66" t="s">
        <v>222</v>
      </c>
      <c r="D4671" s="3" t="s">
        <v>9</v>
      </c>
      <c r="E4671" s="64">
        <v>1</v>
      </c>
    </row>
    <row r="4672" spans="1:5">
      <c r="A4672" s="64" t="s">
        <v>24</v>
      </c>
      <c r="B4672" s="65">
        <v>43346</v>
      </c>
      <c r="C4672" s="66" t="s">
        <v>216</v>
      </c>
      <c r="D4672" s="3" t="s">
        <v>9</v>
      </c>
      <c r="E4672" s="64">
        <v>1</v>
      </c>
    </row>
    <row r="4673" spans="1:5">
      <c r="A4673" s="64" t="s">
        <v>24</v>
      </c>
      <c r="B4673" s="65">
        <v>43347</v>
      </c>
      <c r="C4673" s="66" t="s">
        <v>217</v>
      </c>
      <c r="D4673" s="3" t="s">
        <v>9</v>
      </c>
      <c r="E4673" s="64">
        <v>1</v>
      </c>
    </row>
    <row r="4674" spans="1:5">
      <c r="A4674" s="64" t="s">
        <v>24</v>
      </c>
      <c r="B4674" s="65">
        <v>43348</v>
      </c>
      <c r="C4674" s="66" t="s">
        <v>218</v>
      </c>
      <c r="D4674" s="3" t="s">
        <v>9</v>
      </c>
      <c r="E4674" s="64">
        <v>1</v>
      </c>
    </row>
    <row r="4675" spans="1:5">
      <c r="A4675" s="64" t="s">
        <v>24</v>
      </c>
      <c r="B4675" s="65">
        <v>43349</v>
      </c>
      <c r="C4675" s="66" t="s">
        <v>219</v>
      </c>
      <c r="D4675" s="3" t="s">
        <v>9</v>
      </c>
      <c r="E4675" s="64">
        <v>1</v>
      </c>
    </row>
    <row r="4676" spans="1:5">
      <c r="A4676" s="64" t="s">
        <v>24</v>
      </c>
      <c r="B4676" s="65">
        <v>43350</v>
      </c>
      <c r="C4676" s="66" t="s">
        <v>220</v>
      </c>
      <c r="D4676" s="3" t="s">
        <v>9</v>
      </c>
      <c r="E4676" s="64">
        <v>1</v>
      </c>
    </row>
    <row r="4677" spans="1:5">
      <c r="A4677" s="64" t="s">
        <v>24</v>
      </c>
      <c r="B4677" s="65">
        <v>43351</v>
      </c>
      <c r="C4677" s="66" t="s">
        <v>221</v>
      </c>
      <c r="D4677" s="3" t="s">
        <v>9</v>
      </c>
      <c r="E4677" s="64">
        <v>1</v>
      </c>
    </row>
    <row r="4678" spans="1:5">
      <c r="A4678" s="64" t="s">
        <v>24</v>
      </c>
      <c r="B4678" s="65">
        <v>43352</v>
      </c>
      <c r="C4678" s="66" t="s">
        <v>222</v>
      </c>
      <c r="D4678" s="3" t="s">
        <v>9</v>
      </c>
      <c r="E4678" s="64">
        <v>1</v>
      </c>
    </row>
    <row r="4679" spans="1:5">
      <c r="A4679" s="64" t="s">
        <v>24</v>
      </c>
      <c r="B4679" s="65">
        <v>43353</v>
      </c>
      <c r="C4679" s="66" t="s">
        <v>216</v>
      </c>
      <c r="D4679" s="3" t="s">
        <v>9</v>
      </c>
      <c r="E4679" s="64">
        <v>1</v>
      </c>
    </row>
    <row r="4680" spans="1:5">
      <c r="A4680" s="64" t="s">
        <v>24</v>
      </c>
      <c r="B4680" s="65">
        <v>43354</v>
      </c>
      <c r="C4680" s="66" t="s">
        <v>217</v>
      </c>
      <c r="D4680" s="3" t="s">
        <v>9</v>
      </c>
      <c r="E4680" s="64">
        <v>1</v>
      </c>
    </row>
    <row r="4681" spans="1:5">
      <c r="A4681" s="64" t="s">
        <v>24</v>
      </c>
      <c r="B4681" s="65">
        <v>43355</v>
      </c>
      <c r="C4681" s="66" t="s">
        <v>218</v>
      </c>
      <c r="D4681" s="3" t="s">
        <v>9</v>
      </c>
      <c r="E4681" s="64">
        <v>1</v>
      </c>
    </row>
    <row r="4682" spans="1:5">
      <c r="A4682" s="64" t="s">
        <v>24</v>
      </c>
      <c r="B4682" s="65">
        <v>43356</v>
      </c>
      <c r="C4682" s="66" t="s">
        <v>219</v>
      </c>
      <c r="D4682" s="3" t="s">
        <v>9</v>
      </c>
      <c r="E4682" s="64">
        <v>1</v>
      </c>
    </row>
    <row r="4683" spans="1:5">
      <c r="A4683" s="64" t="s">
        <v>24</v>
      </c>
      <c r="B4683" s="65">
        <v>43357</v>
      </c>
      <c r="C4683" s="66" t="s">
        <v>220</v>
      </c>
      <c r="D4683" s="3" t="s">
        <v>9</v>
      </c>
      <c r="E4683" s="64">
        <v>1</v>
      </c>
    </row>
    <row r="4684" spans="1:5">
      <c r="A4684" s="64" t="s">
        <v>24</v>
      </c>
      <c r="B4684" s="65">
        <v>43358</v>
      </c>
      <c r="C4684" s="66" t="s">
        <v>221</v>
      </c>
      <c r="D4684" s="3" t="s">
        <v>9</v>
      </c>
      <c r="E4684" s="64">
        <v>1</v>
      </c>
    </row>
    <row r="4685" spans="1:5">
      <c r="A4685" s="64" t="s">
        <v>24</v>
      </c>
      <c r="B4685" s="65">
        <v>43359</v>
      </c>
      <c r="C4685" s="66" t="s">
        <v>222</v>
      </c>
      <c r="D4685" s="3" t="s">
        <v>9</v>
      </c>
      <c r="E4685" s="64">
        <v>1</v>
      </c>
    </row>
    <row r="4686" spans="1:5">
      <c r="A4686" s="64" t="s">
        <v>24</v>
      </c>
      <c r="B4686" s="65">
        <v>43360</v>
      </c>
      <c r="C4686" s="66" t="s">
        <v>216</v>
      </c>
      <c r="D4686" s="3" t="s">
        <v>9</v>
      </c>
      <c r="E4686" s="64">
        <v>1</v>
      </c>
    </row>
    <row r="4687" spans="1:5">
      <c r="A4687" s="64" t="s">
        <v>24</v>
      </c>
      <c r="B4687" s="65">
        <v>43361</v>
      </c>
      <c r="C4687" s="66" t="s">
        <v>217</v>
      </c>
      <c r="D4687" s="3" t="s">
        <v>9</v>
      </c>
      <c r="E4687" s="64">
        <v>1</v>
      </c>
    </row>
    <row r="4688" spans="1:5">
      <c r="A4688" s="64" t="s">
        <v>24</v>
      </c>
      <c r="B4688" s="65">
        <v>43362</v>
      </c>
      <c r="C4688" s="66" t="s">
        <v>218</v>
      </c>
      <c r="D4688" s="3" t="s">
        <v>9</v>
      </c>
      <c r="E4688" s="64">
        <v>1</v>
      </c>
    </row>
    <row r="4689" spans="1:5">
      <c r="A4689" s="64" t="s">
        <v>24</v>
      </c>
      <c r="B4689" s="65">
        <v>43363</v>
      </c>
      <c r="C4689" s="66" t="s">
        <v>219</v>
      </c>
      <c r="D4689" s="3" t="s">
        <v>9</v>
      </c>
      <c r="E4689" s="64">
        <v>1</v>
      </c>
    </row>
    <row r="4690" spans="1:5">
      <c r="A4690" s="64" t="s">
        <v>24</v>
      </c>
      <c r="B4690" s="65">
        <v>43364</v>
      </c>
      <c r="C4690" s="66" t="s">
        <v>220</v>
      </c>
      <c r="D4690" s="3" t="s">
        <v>9</v>
      </c>
      <c r="E4690" s="64">
        <v>1</v>
      </c>
    </row>
    <row r="4691" spans="1:5">
      <c r="A4691" s="64" t="s">
        <v>24</v>
      </c>
      <c r="B4691" s="65">
        <v>43365</v>
      </c>
      <c r="C4691" s="66" t="s">
        <v>221</v>
      </c>
      <c r="D4691" s="3" t="s">
        <v>9</v>
      </c>
      <c r="E4691" s="64">
        <v>1</v>
      </c>
    </row>
    <row r="4692" spans="1:5">
      <c r="A4692" s="64" t="s">
        <v>24</v>
      </c>
      <c r="B4692" s="65">
        <v>43366</v>
      </c>
      <c r="C4692" s="66" t="s">
        <v>222</v>
      </c>
      <c r="D4692" s="3" t="s">
        <v>9</v>
      </c>
      <c r="E4692" s="64">
        <v>1</v>
      </c>
    </row>
    <row r="4693" spans="1:5">
      <c r="A4693" s="64" t="s">
        <v>24</v>
      </c>
      <c r="B4693" s="65">
        <v>43367</v>
      </c>
      <c r="C4693" s="66" t="s">
        <v>216</v>
      </c>
      <c r="D4693" s="3" t="s">
        <v>9</v>
      </c>
      <c r="E4693" s="64">
        <v>1</v>
      </c>
    </row>
    <row r="4694" spans="1:5">
      <c r="A4694" s="64" t="s">
        <v>24</v>
      </c>
      <c r="B4694" s="65">
        <v>43368</v>
      </c>
      <c r="C4694" s="66" t="s">
        <v>217</v>
      </c>
      <c r="D4694" s="3" t="s">
        <v>9</v>
      </c>
      <c r="E4694" s="64">
        <v>1</v>
      </c>
    </row>
    <row r="4695" spans="1:5">
      <c r="A4695" s="64" t="s">
        <v>24</v>
      </c>
      <c r="B4695" s="65">
        <v>43369</v>
      </c>
      <c r="C4695" s="66" t="s">
        <v>218</v>
      </c>
      <c r="D4695" s="3" t="s">
        <v>9</v>
      </c>
      <c r="E4695" s="64">
        <v>1</v>
      </c>
    </row>
    <row r="4696" spans="1:5">
      <c r="A4696" s="64" t="s">
        <v>24</v>
      </c>
      <c r="B4696" s="65">
        <v>43370</v>
      </c>
      <c r="C4696" s="66" t="s">
        <v>219</v>
      </c>
      <c r="D4696" s="3" t="s">
        <v>9</v>
      </c>
      <c r="E4696" s="64">
        <v>1</v>
      </c>
    </row>
    <row r="4697" spans="1:5">
      <c r="A4697" s="64" t="s">
        <v>24</v>
      </c>
      <c r="B4697" s="65">
        <v>43371</v>
      </c>
      <c r="C4697" s="66" t="s">
        <v>220</v>
      </c>
      <c r="D4697" s="3" t="s">
        <v>9</v>
      </c>
      <c r="E4697" s="64">
        <v>1</v>
      </c>
    </row>
    <row r="4698" spans="1:5">
      <c r="A4698" s="64" t="s">
        <v>24</v>
      </c>
      <c r="B4698" s="65">
        <v>43372</v>
      </c>
      <c r="C4698" s="66" t="s">
        <v>221</v>
      </c>
      <c r="D4698" s="3" t="s">
        <v>9</v>
      </c>
      <c r="E4698" s="64">
        <v>1</v>
      </c>
    </row>
    <row r="4699" spans="1:5">
      <c r="A4699" s="64" t="s">
        <v>24</v>
      </c>
      <c r="B4699" s="65">
        <v>43373</v>
      </c>
      <c r="C4699" s="66" t="s">
        <v>222</v>
      </c>
      <c r="D4699" s="3" t="s">
        <v>9</v>
      </c>
      <c r="E4699" s="64">
        <v>1</v>
      </c>
    </row>
    <row r="4700" spans="1:5">
      <c r="A4700" s="64" t="s">
        <v>24</v>
      </c>
      <c r="B4700" s="65">
        <v>43374</v>
      </c>
      <c r="C4700" s="66" t="s">
        <v>216</v>
      </c>
      <c r="D4700" s="3" t="s">
        <v>9</v>
      </c>
      <c r="E4700" s="64">
        <v>1</v>
      </c>
    </row>
    <row r="4701" spans="1:5">
      <c r="A4701" s="64" t="s">
        <v>24</v>
      </c>
      <c r="B4701" s="65">
        <v>43375</v>
      </c>
      <c r="C4701" s="66" t="s">
        <v>217</v>
      </c>
      <c r="D4701" s="3" t="s">
        <v>9</v>
      </c>
      <c r="E4701" s="64">
        <v>1</v>
      </c>
    </row>
    <row r="4702" spans="1:5">
      <c r="A4702" s="64" t="s">
        <v>24</v>
      </c>
      <c r="B4702" s="65">
        <v>43376</v>
      </c>
      <c r="C4702" s="66" t="s">
        <v>218</v>
      </c>
      <c r="D4702" s="3" t="s">
        <v>9</v>
      </c>
      <c r="E4702" s="64">
        <v>1</v>
      </c>
    </row>
    <row r="4703" spans="1:5">
      <c r="A4703" s="64" t="s">
        <v>24</v>
      </c>
      <c r="B4703" s="65">
        <v>43377</v>
      </c>
      <c r="C4703" s="66" t="s">
        <v>219</v>
      </c>
      <c r="D4703" s="3" t="s">
        <v>9</v>
      </c>
      <c r="E4703" s="64">
        <v>1</v>
      </c>
    </row>
    <row r="4704" spans="1:5">
      <c r="A4704" s="64" t="s">
        <v>24</v>
      </c>
      <c r="B4704" s="65">
        <v>43378</v>
      </c>
      <c r="C4704" s="66" t="s">
        <v>220</v>
      </c>
      <c r="D4704" s="3" t="s">
        <v>9</v>
      </c>
      <c r="E4704" s="64">
        <v>1</v>
      </c>
    </row>
    <row r="4705" spans="1:5">
      <c r="A4705" s="64" t="s">
        <v>24</v>
      </c>
      <c r="B4705" s="65">
        <v>43379</v>
      </c>
      <c r="C4705" s="66" t="s">
        <v>221</v>
      </c>
      <c r="D4705" s="3" t="s">
        <v>9</v>
      </c>
      <c r="E4705" s="64">
        <v>1</v>
      </c>
    </row>
    <row r="4706" spans="1:5">
      <c r="A4706" s="64" t="s">
        <v>24</v>
      </c>
      <c r="B4706" s="65">
        <v>43380</v>
      </c>
      <c r="C4706" s="66" t="s">
        <v>222</v>
      </c>
      <c r="D4706" s="3" t="s">
        <v>9</v>
      </c>
      <c r="E4706" s="64">
        <v>1</v>
      </c>
    </row>
    <row r="4707" spans="1:5">
      <c r="A4707" s="64" t="s">
        <v>24</v>
      </c>
      <c r="B4707" s="65">
        <v>43381</v>
      </c>
      <c r="C4707" s="66" t="s">
        <v>216</v>
      </c>
      <c r="D4707" s="3" t="s">
        <v>9</v>
      </c>
      <c r="E4707" s="64">
        <v>1</v>
      </c>
    </row>
    <row r="4708" spans="1:5">
      <c r="A4708" s="64" t="s">
        <v>24</v>
      </c>
      <c r="B4708" s="65">
        <v>43382</v>
      </c>
      <c r="C4708" s="66" t="s">
        <v>217</v>
      </c>
      <c r="D4708" s="3" t="s">
        <v>9</v>
      </c>
      <c r="E4708" s="64">
        <v>1</v>
      </c>
    </row>
    <row r="4709" spans="1:5">
      <c r="A4709" s="64" t="s">
        <v>24</v>
      </c>
      <c r="B4709" s="65">
        <v>43383</v>
      </c>
      <c r="C4709" s="66" t="s">
        <v>218</v>
      </c>
      <c r="D4709" s="3" t="s">
        <v>9</v>
      </c>
      <c r="E4709" s="64">
        <v>1</v>
      </c>
    </row>
    <row r="4710" spans="1:5">
      <c r="A4710" s="64" t="s">
        <v>24</v>
      </c>
      <c r="B4710" s="65">
        <v>43384</v>
      </c>
      <c r="C4710" s="66" t="s">
        <v>219</v>
      </c>
      <c r="D4710" s="3" t="s">
        <v>9</v>
      </c>
      <c r="E4710" s="64">
        <v>1</v>
      </c>
    </row>
    <row r="4711" spans="1:5">
      <c r="A4711" s="64" t="s">
        <v>24</v>
      </c>
      <c r="B4711" s="65">
        <v>43385</v>
      </c>
      <c r="C4711" s="66" t="s">
        <v>220</v>
      </c>
      <c r="D4711" s="3" t="s">
        <v>9</v>
      </c>
      <c r="E4711" s="64">
        <v>1</v>
      </c>
    </row>
    <row r="4712" spans="1:5">
      <c r="A4712" s="64" t="s">
        <v>24</v>
      </c>
      <c r="B4712" s="65">
        <v>43386</v>
      </c>
      <c r="C4712" s="66" t="s">
        <v>221</v>
      </c>
      <c r="D4712" s="3" t="s">
        <v>9</v>
      </c>
      <c r="E4712" s="64">
        <v>1</v>
      </c>
    </row>
    <row r="4713" spans="1:5">
      <c r="A4713" s="64" t="s">
        <v>24</v>
      </c>
      <c r="B4713" s="65">
        <v>43387</v>
      </c>
      <c r="C4713" s="66" t="s">
        <v>222</v>
      </c>
      <c r="D4713" s="3" t="s">
        <v>9</v>
      </c>
      <c r="E4713" s="64">
        <v>1</v>
      </c>
    </row>
    <row r="4714" spans="1:5">
      <c r="A4714" s="64" t="s">
        <v>24</v>
      </c>
      <c r="B4714" s="65">
        <v>43388</v>
      </c>
      <c r="C4714" s="66" t="s">
        <v>216</v>
      </c>
      <c r="D4714" s="3" t="s">
        <v>9</v>
      </c>
      <c r="E4714" s="64">
        <v>1</v>
      </c>
    </row>
    <row r="4715" spans="1:5">
      <c r="A4715" s="64" t="s">
        <v>24</v>
      </c>
      <c r="B4715" s="65">
        <v>43389</v>
      </c>
      <c r="C4715" s="66" t="s">
        <v>217</v>
      </c>
      <c r="D4715" s="3" t="s">
        <v>9</v>
      </c>
      <c r="E4715" s="64">
        <v>1</v>
      </c>
    </row>
    <row r="4716" spans="1:5">
      <c r="A4716" s="64" t="s">
        <v>24</v>
      </c>
      <c r="B4716" s="65">
        <v>43390</v>
      </c>
      <c r="C4716" s="66" t="s">
        <v>218</v>
      </c>
      <c r="D4716" s="3" t="s">
        <v>9</v>
      </c>
      <c r="E4716" s="64">
        <v>1</v>
      </c>
    </row>
    <row r="4717" spans="1:5">
      <c r="A4717" s="64" t="s">
        <v>24</v>
      </c>
      <c r="B4717" s="65">
        <v>43391</v>
      </c>
      <c r="C4717" s="66" t="s">
        <v>219</v>
      </c>
      <c r="D4717" s="3" t="s">
        <v>9</v>
      </c>
      <c r="E4717" s="64">
        <v>1</v>
      </c>
    </row>
    <row r="4718" spans="1:5">
      <c r="A4718" s="64" t="s">
        <v>24</v>
      </c>
      <c r="B4718" s="65">
        <v>43392</v>
      </c>
      <c r="C4718" s="66" t="s">
        <v>220</v>
      </c>
      <c r="D4718" s="3" t="s">
        <v>9</v>
      </c>
      <c r="E4718" s="64">
        <v>1</v>
      </c>
    </row>
    <row r="4719" spans="1:5">
      <c r="A4719" s="64" t="s">
        <v>24</v>
      </c>
      <c r="B4719" s="65">
        <v>43393</v>
      </c>
      <c r="C4719" s="66" t="s">
        <v>221</v>
      </c>
      <c r="D4719" s="3" t="s">
        <v>9</v>
      </c>
      <c r="E4719" s="64">
        <v>1</v>
      </c>
    </row>
    <row r="4720" spans="1:5">
      <c r="A4720" s="64" t="s">
        <v>24</v>
      </c>
      <c r="B4720" s="65">
        <v>43394</v>
      </c>
      <c r="C4720" s="66" t="s">
        <v>222</v>
      </c>
      <c r="D4720" s="3" t="s">
        <v>9</v>
      </c>
      <c r="E4720" s="64">
        <v>1</v>
      </c>
    </row>
    <row r="4721" spans="1:5">
      <c r="A4721" s="64" t="s">
        <v>24</v>
      </c>
      <c r="B4721" s="65">
        <v>43395</v>
      </c>
      <c r="C4721" s="66" t="s">
        <v>216</v>
      </c>
      <c r="D4721" s="3" t="s">
        <v>9</v>
      </c>
      <c r="E4721" s="64">
        <v>1</v>
      </c>
    </row>
    <row r="4722" spans="1:5">
      <c r="A4722" s="64" t="s">
        <v>24</v>
      </c>
      <c r="B4722" s="65">
        <v>43396</v>
      </c>
      <c r="C4722" s="66" t="s">
        <v>217</v>
      </c>
      <c r="D4722" s="3" t="s">
        <v>9</v>
      </c>
      <c r="E4722" s="64">
        <v>1</v>
      </c>
    </row>
    <row r="4723" spans="1:5">
      <c r="A4723" s="64" t="s">
        <v>24</v>
      </c>
      <c r="B4723" s="65">
        <v>43397</v>
      </c>
      <c r="C4723" s="66" t="s">
        <v>218</v>
      </c>
      <c r="D4723" s="3" t="s">
        <v>9</v>
      </c>
      <c r="E4723" s="64">
        <v>1</v>
      </c>
    </row>
    <row r="4724" spans="1:5">
      <c r="A4724" s="64" t="s">
        <v>24</v>
      </c>
      <c r="B4724" s="65">
        <v>43398</v>
      </c>
      <c r="C4724" s="66" t="s">
        <v>219</v>
      </c>
      <c r="D4724" s="3" t="s">
        <v>9</v>
      </c>
      <c r="E4724" s="64">
        <v>1</v>
      </c>
    </row>
    <row r="4725" spans="1:5">
      <c r="A4725" s="64" t="s">
        <v>24</v>
      </c>
      <c r="B4725" s="65">
        <v>43399</v>
      </c>
      <c r="C4725" s="66" t="s">
        <v>220</v>
      </c>
      <c r="D4725" s="3" t="s">
        <v>9</v>
      </c>
      <c r="E4725" s="64">
        <v>1</v>
      </c>
    </row>
    <row r="4726" spans="1:5">
      <c r="A4726" s="64" t="s">
        <v>24</v>
      </c>
      <c r="B4726" s="65">
        <v>43400</v>
      </c>
      <c r="C4726" s="66" t="s">
        <v>221</v>
      </c>
      <c r="D4726" s="3" t="s">
        <v>9</v>
      </c>
      <c r="E4726" s="64">
        <v>1</v>
      </c>
    </row>
    <row r="4727" spans="1:5">
      <c r="A4727" s="64" t="s">
        <v>24</v>
      </c>
      <c r="B4727" s="65">
        <v>43401</v>
      </c>
      <c r="C4727" s="66" t="s">
        <v>222</v>
      </c>
      <c r="D4727" s="3" t="s">
        <v>9</v>
      </c>
      <c r="E4727" s="64">
        <v>1</v>
      </c>
    </row>
    <row r="4728" spans="1:5">
      <c r="A4728" s="64" t="s">
        <v>24</v>
      </c>
      <c r="B4728" s="65">
        <v>43402</v>
      </c>
      <c r="C4728" s="66" t="s">
        <v>216</v>
      </c>
      <c r="D4728" s="3" t="s">
        <v>9</v>
      </c>
      <c r="E4728" s="64">
        <v>1</v>
      </c>
    </row>
    <row r="4729" spans="1:5">
      <c r="A4729" s="64" t="s">
        <v>24</v>
      </c>
      <c r="B4729" s="65">
        <v>43403</v>
      </c>
      <c r="C4729" s="66" t="s">
        <v>217</v>
      </c>
      <c r="D4729" s="3" t="s">
        <v>9</v>
      </c>
      <c r="E4729" s="64">
        <v>1</v>
      </c>
    </row>
    <row r="4730" spans="1:5">
      <c r="A4730" s="64" t="s">
        <v>24</v>
      </c>
      <c r="B4730" s="65">
        <v>43404</v>
      </c>
      <c r="C4730" s="66" t="s">
        <v>218</v>
      </c>
      <c r="D4730" s="3" t="s">
        <v>9</v>
      </c>
      <c r="E4730" s="64">
        <v>1</v>
      </c>
    </row>
    <row r="4731" spans="1:5">
      <c r="A4731" s="64" t="s">
        <v>24</v>
      </c>
      <c r="B4731" s="65">
        <v>43405</v>
      </c>
      <c r="C4731" s="66" t="s">
        <v>219</v>
      </c>
      <c r="D4731" s="3" t="s">
        <v>9</v>
      </c>
      <c r="E4731" s="64">
        <v>1</v>
      </c>
    </row>
    <row r="4732" spans="1:5">
      <c r="A4732" s="64" t="s">
        <v>24</v>
      </c>
      <c r="B4732" s="65">
        <v>43406</v>
      </c>
      <c r="C4732" s="66" t="s">
        <v>220</v>
      </c>
      <c r="D4732" s="3" t="s">
        <v>9</v>
      </c>
      <c r="E4732" s="64">
        <v>1</v>
      </c>
    </row>
    <row r="4733" spans="1:5">
      <c r="A4733" s="64" t="s">
        <v>24</v>
      </c>
      <c r="B4733" s="65">
        <v>43407</v>
      </c>
      <c r="C4733" s="66" t="s">
        <v>221</v>
      </c>
      <c r="D4733" s="3" t="s">
        <v>9</v>
      </c>
      <c r="E4733" s="64">
        <v>1</v>
      </c>
    </row>
    <row r="4734" spans="1:5">
      <c r="A4734" s="64" t="s">
        <v>24</v>
      </c>
      <c r="B4734" s="65">
        <v>43408</v>
      </c>
      <c r="C4734" s="66" t="s">
        <v>222</v>
      </c>
      <c r="D4734" s="3" t="s">
        <v>9</v>
      </c>
      <c r="E4734" s="64">
        <v>1</v>
      </c>
    </row>
    <row r="4735" spans="1:5">
      <c r="A4735" s="64" t="s">
        <v>24</v>
      </c>
      <c r="B4735" s="65">
        <v>43409</v>
      </c>
      <c r="C4735" s="66" t="s">
        <v>216</v>
      </c>
      <c r="D4735" s="3" t="s">
        <v>9</v>
      </c>
      <c r="E4735" s="64">
        <v>1</v>
      </c>
    </row>
    <row r="4736" spans="1:5">
      <c r="A4736" s="64" t="s">
        <v>24</v>
      </c>
      <c r="B4736" s="65">
        <v>43410</v>
      </c>
      <c r="C4736" s="66" t="s">
        <v>217</v>
      </c>
      <c r="D4736" s="3" t="s">
        <v>9</v>
      </c>
      <c r="E4736" s="64">
        <v>1</v>
      </c>
    </row>
    <row r="4737" spans="1:5">
      <c r="A4737" s="64" t="s">
        <v>24</v>
      </c>
      <c r="B4737" s="65">
        <v>43411</v>
      </c>
      <c r="C4737" s="66" t="s">
        <v>218</v>
      </c>
      <c r="D4737" s="3" t="s">
        <v>9</v>
      </c>
      <c r="E4737" s="64">
        <v>1</v>
      </c>
    </row>
    <row r="4738" spans="1:5">
      <c r="A4738" s="64" t="s">
        <v>24</v>
      </c>
      <c r="B4738" s="65">
        <v>43412</v>
      </c>
      <c r="C4738" s="66" t="s">
        <v>219</v>
      </c>
      <c r="D4738" s="3" t="s">
        <v>9</v>
      </c>
      <c r="E4738" s="64">
        <v>1</v>
      </c>
    </row>
    <row r="4739" spans="1:5">
      <c r="A4739" s="64" t="s">
        <v>24</v>
      </c>
      <c r="B4739" s="65">
        <v>43413</v>
      </c>
      <c r="C4739" s="66" t="s">
        <v>220</v>
      </c>
      <c r="D4739" s="3" t="s">
        <v>9</v>
      </c>
      <c r="E4739" s="64">
        <v>1</v>
      </c>
    </row>
    <row r="4740" spans="1:5">
      <c r="A4740" s="64" t="s">
        <v>24</v>
      </c>
      <c r="B4740" s="65">
        <v>43414</v>
      </c>
      <c r="C4740" s="66" t="s">
        <v>221</v>
      </c>
      <c r="D4740" s="3" t="s">
        <v>9</v>
      </c>
      <c r="E4740" s="64">
        <v>1</v>
      </c>
    </row>
    <row r="4741" spans="1:5">
      <c r="A4741" s="64" t="s">
        <v>24</v>
      </c>
      <c r="B4741" s="65">
        <v>43415</v>
      </c>
      <c r="C4741" s="66" t="s">
        <v>222</v>
      </c>
      <c r="D4741" s="3" t="s">
        <v>9</v>
      </c>
      <c r="E4741" s="64">
        <v>1</v>
      </c>
    </row>
    <row r="4742" spans="1:5">
      <c r="A4742" s="64" t="s">
        <v>24</v>
      </c>
      <c r="B4742" s="65">
        <v>43416</v>
      </c>
      <c r="C4742" s="66" t="s">
        <v>216</v>
      </c>
      <c r="D4742" s="3" t="s">
        <v>9</v>
      </c>
      <c r="E4742" s="64">
        <v>1</v>
      </c>
    </row>
    <row r="4743" spans="1:5">
      <c r="A4743" s="64" t="s">
        <v>24</v>
      </c>
      <c r="B4743" s="65">
        <v>43417</v>
      </c>
      <c r="C4743" s="66" t="s">
        <v>217</v>
      </c>
      <c r="D4743" s="3" t="s">
        <v>9</v>
      </c>
      <c r="E4743" s="64">
        <v>1</v>
      </c>
    </row>
    <row r="4744" spans="1:5">
      <c r="A4744" s="64" t="s">
        <v>24</v>
      </c>
      <c r="B4744" s="65">
        <v>43418</v>
      </c>
      <c r="C4744" s="66" t="s">
        <v>218</v>
      </c>
      <c r="D4744" s="3" t="s">
        <v>9</v>
      </c>
      <c r="E4744" s="64">
        <v>1</v>
      </c>
    </row>
    <row r="4745" spans="1:5">
      <c r="A4745" s="64" t="s">
        <v>24</v>
      </c>
      <c r="B4745" s="65">
        <v>43419</v>
      </c>
      <c r="C4745" s="66" t="s">
        <v>219</v>
      </c>
      <c r="D4745" s="3" t="s">
        <v>9</v>
      </c>
      <c r="E4745" s="64">
        <v>1</v>
      </c>
    </row>
    <row r="4746" spans="1:5">
      <c r="A4746" s="64" t="s">
        <v>24</v>
      </c>
      <c r="B4746" s="65">
        <v>43420</v>
      </c>
      <c r="C4746" s="66" t="s">
        <v>220</v>
      </c>
      <c r="D4746" s="3" t="s">
        <v>9</v>
      </c>
      <c r="E4746" s="64">
        <v>1</v>
      </c>
    </row>
    <row r="4747" spans="1:5">
      <c r="A4747" s="64" t="s">
        <v>24</v>
      </c>
      <c r="B4747" s="65">
        <v>43421</v>
      </c>
      <c r="C4747" s="66" t="s">
        <v>221</v>
      </c>
      <c r="D4747" s="3" t="s">
        <v>9</v>
      </c>
      <c r="E4747" s="64">
        <v>1</v>
      </c>
    </row>
    <row r="4748" spans="1:5">
      <c r="A4748" s="64" t="s">
        <v>24</v>
      </c>
      <c r="B4748" s="65">
        <v>43422</v>
      </c>
      <c r="C4748" s="66" t="s">
        <v>222</v>
      </c>
      <c r="D4748" s="3" t="s">
        <v>9</v>
      </c>
      <c r="E4748" s="64">
        <v>1</v>
      </c>
    </row>
    <row r="4749" spans="1:5">
      <c r="A4749" s="64" t="s">
        <v>24</v>
      </c>
      <c r="B4749" s="65">
        <v>43423</v>
      </c>
      <c r="C4749" s="66" t="s">
        <v>216</v>
      </c>
      <c r="D4749" s="3" t="s">
        <v>9</v>
      </c>
      <c r="E4749" s="64">
        <v>1</v>
      </c>
    </row>
    <row r="4750" spans="1:5">
      <c r="A4750" s="64" t="s">
        <v>24</v>
      </c>
      <c r="B4750" s="65">
        <v>43424</v>
      </c>
      <c r="C4750" s="66" t="s">
        <v>217</v>
      </c>
      <c r="D4750" s="3" t="s">
        <v>9</v>
      </c>
      <c r="E4750" s="64">
        <v>1</v>
      </c>
    </row>
    <row r="4751" spans="1:5">
      <c r="A4751" s="64" t="s">
        <v>24</v>
      </c>
      <c r="B4751" s="65">
        <v>43425</v>
      </c>
      <c r="C4751" s="66" t="s">
        <v>218</v>
      </c>
      <c r="D4751" s="3" t="s">
        <v>9</v>
      </c>
      <c r="E4751" s="64">
        <v>1</v>
      </c>
    </row>
    <row r="4752" spans="1:5">
      <c r="A4752" s="64" t="s">
        <v>24</v>
      </c>
      <c r="B4752" s="65">
        <v>43426</v>
      </c>
      <c r="C4752" s="66" t="s">
        <v>219</v>
      </c>
      <c r="D4752" s="3" t="s">
        <v>9</v>
      </c>
      <c r="E4752" s="64">
        <v>1</v>
      </c>
    </row>
    <row r="4753" spans="1:5">
      <c r="A4753" s="64" t="s">
        <v>24</v>
      </c>
      <c r="B4753" s="65">
        <v>43427</v>
      </c>
      <c r="C4753" s="66" t="s">
        <v>220</v>
      </c>
      <c r="D4753" s="3" t="s">
        <v>9</v>
      </c>
      <c r="E4753" s="64">
        <v>1</v>
      </c>
    </row>
    <row r="4754" spans="1:5">
      <c r="A4754" s="64" t="s">
        <v>24</v>
      </c>
      <c r="B4754" s="65">
        <v>43428</v>
      </c>
      <c r="C4754" s="66" t="s">
        <v>221</v>
      </c>
      <c r="D4754" s="3" t="s">
        <v>9</v>
      </c>
      <c r="E4754" s="64">
        <v>1</v>
      </c>
    </row>
    <row r="4755" spans="1:5">
      <c r="A4755" s="64" t="s">
        <v>24</v>
      </c>
      <c r="B4755" s="65">
        <v>43429</v>
      </c>
      <c r="C4755" s="66" t="s">
        <v>222</v>
      </c>
      <c r="D4755" s="3" t="s">
        <v>9</v>
      </c>
      <c r="E4755" s="64">
        <v>1</v>
      </c>
    </row>
    <row r="4756" spans="1:5">
      <c r="A4756" s="64" t="s">
        <v>24</v>
      </c>
      <c r="B4756" s="65">
        <v>43430</v>
      </c>
      <c r="C4756" s="66" t="s">
        <v>216</v>
      </c>
      <c r="D4756" s="3" t="s">
        <v>9</v>
      </c>
      <c r="E4756" s="64">
        <v>1</v>
      </c>
    </row>
    <row r="4757" spans="1:5">
      <c r="A4757" s="64" t="s">
        <v>24</v>
      </c>
      <c r="B4757" s="65">
        <v>43431</v>
      </c>
      <c r="C4757" s="66" t="s">
        <v>217</v>
      </c>
      <c r="D4757" s="3" t="s">
        <v>9</v>
      </c>
      <c r="E4757" s="64">
        <v>1</v>
      </c>
    </row>
    <row r="4758" spans="1:5">
      <c r="A4758" s="64" t="s">
        <v>24</v>
      </c>
      <c r="B4758" s="65">
        <v>43432</v>
      </c>
      <c r="C4758" s="66" t="s">
        <v>218</v>
      </c>
      <c r="D4758" s="3" t="s">
        <v>9</v>
      </c>
      <c r="E4758" s="64">
        <v>1</v>
      </c>
    </row>
    <row r="4759" spans="1:5">
      <c r="A4759" s="64" t="s">
        <v>24</v>
      </c>
      <c r="B4759" s="65">
        <v>43433</v>
      </c>
      <c r="C4759" s="66" t="s">
        <v>219</v>
      </c>
      <c r="D4759" s="3" t="s">
        <v>9</v>
      </c>
      <c r="E4759" s="64">
        <v>1</v>
      </c>
    </row>
    <row r="4760" spans="1:5">
      <c r="A4760" s="64" t="s">
        <v>24</v>
      </c>
      <c r="B4760" s="65">
        <v>43434</v>
      </c>
      <c r="C4760" s="66" t="s">
        <v>220</v>
      </c>
      <c r="D4760" s="3" t="s">
        <v>9</v>
      </c>
      <c r="E4760" s="64">
        <v>1</v>
      </c>
    </row>
    <row r="4761" spans="1:5">
      <c r="A4761" s="64" t="s">
        <v>24</v>
      </c>
      <c r="B4761" s="65">
        <v>43435</v>
      </c>
      <c r="C4761" s="66" t="s">
        <v>221</v>
      </c>
      <c r="D4761" s="3" t="s">
        <v>9</v>
      </c>
      <c r="E4761" s="64">
        <v>1</v>
      </c>
    </row>
    <row r="4762" spans="1:5">
      <c r="A4762" s="64" t="s">
        <v>24</v>
      </c>
      <c r="B4762" s="65">
        <v>43436</v>
      </c>
      <c r="C4762" s="66" t="s">
        <v>222</v>
      </c>
      <c r="D4762" s="3" t="s">
        <v>9</v>
      </c>
      <c r="E4762" s="64">
        <v>1</v>
      </c>
    </row>
    <row r="4763" spans="1:5">
      <c r="A4763" s="64" t="s">
        <v>24</v>
      </c>
      <c r="B4763" s="65">
        <v>43437</v>
      </c>
      <c r="C4763" s="66" t="s">
        <v>216</v>
      </c>
      <c r="D4763" s="3" t="s">
        <v>9</v>
      </c>
      <c r="E4763" s="64">
        <v>1</v>
      </c>
    </row>
    <row r="4764" spans="1:5">
      <c r="A4764" s="64" t="s">
        <v>24</v>
      </c>
      <c r="B4764" s="65">
        <v>43438</v>
      </c>
      <c r="C4764" s="66" t="s">
        <v>217</v>
      </c>
      <c r="D4764" s="3" t="s">
        <v>9</v>
      </c>
      <c r="E4764" s="64">
        <v>1</v>
      </c>
    </row>
    <row r="4765" spans="1:5">
      <c r="A4765" s="64" t="s">
        <v>24</v>
      </c>
      <c r="B4765" s="65">
        <v>43439</v>
      </c>
      <c r="C4765" s="66" t="s">
        <v>218</v>
      </c>
      <c r="D4765" s="3" t="s">
        <v>9</v>
      </c>
      <c r="E4765" s="64">
        <v>1</v>
      </c>
    </row>
    <row r="4766" spans="1:5">
      <c r="A4766" s="64" t="s">
        <v>24</v>
      </c>
      <c r="B4766" s="65">
        <v>43440</v>
      </c>
      <c r="C4766" s="66" t="s">
        <v>219</v>
      </c>
      <c r="D4766" s="3" t="s">
        <v>9</v>
      </c>
      <c r="E4766" s="64">
        <v>1</v>
      </c>
    </row>
    <row r="4767" spans="1:5">
      <c r="A4767" s="64" t="s">
        <v>24</v>
      </c>
      <c r="B4767" s="65">
        <v>43441</v>
      </c>
      <c r="C4767" s="66" t="s">
        <v>220</v>
      </c>
      <c r="D4767" s="3" t="s">
        <v>9</v>
      </c>
      <c r="E4767" s="64">
        <v>1</v>
      </c>
    </row>
    <row r="4768" spans="1:5">
      <c r="A4768" s="64" t="s">
        <v>24</v>
      </c>
      <c r="B4768" s="65">
        <v>43442</v>
      </c>
      <c r="C4768" s="66" t="s">
        <v>221</v>
      </c>
      <c r="D4768" s="3" t="s">
        <v>9</v>
      </c>
      <c r="E4768" s="64">
        <v>1</v>
      </c>
    </row>
    <row r="4769" spans="1:5">
      <c r="A4769" s="64" t="s">
        <v>24</v>
      </c>
      <c r="B4769" s="65">
        <v>43443</v>
      </c>
      <c r="C4769" s="66" t="s">
        <v>222</v>
      </c>
      <c r="D4769" s="3" t="s">
        <v>9</v>
      </c>
      <c r="E4769" s="64">
        <v>1</v>
      </c>
    </row>
    <row r="4770" spans="1:5">
      <c r="A4770" s="64" t="s">
        <v>24</v>
      </c>
      <c r="B4770" s="65">
        <v>43444</v>
      </c>
      <c r="C4770" s="66" t="s">
        <v>216</v>
      </c>
      <c r="D4770" s="3" t="s">
        <v>9</v>
      </c>
      <c r="E4770" s="64">
        <v>1</v>
      </c>
    </row>
    <row r="4771" spans="1:5">
      <c r="A4771" s="64" t="s">
        <v>24</v>
      </c>
      <c r="B4771" s="65">
        <v>43445</v>
      </c>
      <c r="C4771" s="66" t="s">
        <v>217</v>
      </c>
      <c r="D4771" s="3" t="s">
        <v>9</v>
      </c>
      <c r="E4771" s="64">
        <v>1</v>
      </c>
    </row>
    <row r="4772" spans="1:5">
      <c r="A4772" s="64" t="s">
        <v>24</v>
      </c>
      <c r="B4772" s="65">
        <v>43446</v>
      </c>
      <c r="C4772" s="66" t="s">
        <v>218</v>
      </c>
      <c r="D4772" s="3" t="s">
        <v>9</v>
      </c>
      <c r="E4772" s="64">
        <v>1</v>
      </c>
    </row>
    <row r="4773" spans="1:5">
      <c r="A4773" s="64" t="s">
        <v>24</v>
      </c>
      <c r="B4773" s="65">
        <v>43447</v>
      </c>
      <c r="C4773" s="66" t="s">
        <v>219</v>
      </c>
      <c r="D4773" s="3" t="s">
        <v>9</v>
      </c>
      <c r="E4773" s="64">
        <v>1</v>
      </c>
    </row>
    <row r="4774" spans="1:5">
      <c r="A4774" s="64" t="s">
        <v>24</v>
      </c>
      <c r="B4774" s="65">
        <v>43448</v>
      </c>
      <c r="C4774" s="66" t="s">
        <v>220</v>
      </c>
      <c r="D4774" s="3" t="s">
        <v>9</v>
      </c>
      <c r="E4774" s="64">
        <v>1</v>
      </c>
    </row>
    <row r="4775" spans="1:5">
      <c r="A4775" s="64" t="s">
        <v>24</v>
      </c>
      <c r="B4775" s="65">
        <v>43449</v>
      </c>
      <c r="C4775" s="66" t="s">
        <v>221</v>
      </c>
      <c r="D4775" s="3" t="s">
        <v>9</v>
      </c>
      <c r="E4775" s="64">
        <v>1</v>
      </c>
    </row>
    <row r="4776" spans="1:5">
      <c r="A4776" s="64" t="s">
        <v>24</v>
      </c>
      <c r="B4776" s="65">
        <v>43450</v>
      </c>
      <c r="C4776" s="66" t="s">
        <v>222</v>
      </c>
      <c r="D4776" s="3" t="s">
        <v>9</v>
      </c>
      <c r="E4776" s="64">
        <v>1</v>
      </c>
    </row>
    <row r="4777" spans="1:5">
      <c r="A4777" s="64" t="s">
        <v>24</v>
      </c>
      <c r="B4777" s="65">
        <v>43451</v>
      </c>
      <c r="C4777" s="66" t="s">
        <v>216</v>
      </c>
      <c r="D4777" s="3" t="s">
        <v>9</v>
      </c>
      <c r="E4777" s="64">
        <v>1</v>
      </c>
    </row>
    <row r="4778" spans="1:5">
      <c r="A4778" s="64" t="s">
        <v>24</v>
      </c>
      <c r="B4778" s="65">
        <v>43452</v>
      </c>
      <c r="C4778" s="66" t="s">
        <v>217</v>
      </c>
      <c r="D4778" s="3" t="s">
        <v>9</v>
      </c>
      <c r="E4778" s="64">
        <v>1</v>
      </c>
    </row>
    <row r="4779" spans="1:5">
      <c r="A4779" s="64" t="s">
        <v>24</v>
      </c>
      <c r="B4779" s="65">
        <v>43453</v>
      </c>
      <c r="C4779" s="66" t="s">
        <v>218</v>
      </c>
      <c r="D4779" s="3" t="s">
        <v>9</v>
      </c>
      <c r="E4779" s="64">
        <v>1</v>
      </c>
    </row>
    <row r="4780" spans="1:5">
      <c r="A4780" s="64" t="s">
        <v>24</v>
      </c>
      <c r="B4780" s="65">
        <v>43454</v>
      </c>
      <c r="C4780" s="66" t="s">
        <v>219</v>
      </c>
      <c r="D4780" s="3" t="s">
        <v>9</v>
      </c>
      <c r="E4780" s="64">
        <v>1</v>
      </c>
    </row>
    <row r="4781" spans="1:5">
      <c r="A4781" s="64" t="s">
        <v>24</v>
      </c>
      <c r="B4781" s="65">
        <v>43455</v>
      </c>
      <c r="C4781" s="66" t="s">
        <v>220</v>
      </c>
      <c r="D4781" s="3" t="s">
        <v>9</v>
      </c>
      <c r="E4781" s="64">
        <v>1</v>
      </c>
    </row>
    <row r="4782" spans="1:5">
      <c r="A4782" s="64" t="s">
        <v>24</v>
      </c>
      <c r="B4782" s="65">
        <v>43456</v>
      </c>
      <c r="C4782" s="66" t="s">
        <v>221</v>
      </c>
      <c r="D4782" s="3" t="s">
        <v>9</v>
      </c>
      <c r="E4782" s="64">
        <v>1</v>
      </c>
    </row>
    <row r="4783" spans="1:5">
      <c r="A4783" s="64" t="s">
        <v>24</v>
      </c>
      <c r="B4783" s="65">
        <v>43457</v>
      </c>
      <c r="C4783" s="66" t="s">
        <v>222</v>
      </c>
      <c r="D4783" s="3" t="s">
        <v>9</v>
      </c>
      <c r="E4783" s="64">
        <v>1</v>
      </c>
    </row>
    <row r="4784" spans="1:5">
      <c r="A4784" s="64" t="s">
        <v>24</v>
      </c>
      <c r="B4784" s="65">
        <v>43458</v>
      </c>
      <c r="C4784" s="66" t="s">
        <v>216</v>
      </c>
      <c r="D4784" s="3" t="s">
        <v>9</v>
      </c>
      <c r="E4784" s="64">
        <v>1</v>
      </c>
    </row>
    <row r="4785" spans="1:5">
      <c r="A4785" s="64" t="s">
        <v>24</v>
      </c>
      <c r="B4785" s="65">
        <v>43459</v>
      </c>
      <c r="C4785" s="66" t="s">
        <v>217</v>
      </c>
      <c r="D4785" s="3" t="s">
        <v>9</v>
      </c>
      <c r="E4785" s="64">
        <v>1</v>
      </c>
    </row>
    <row r="4786" spans="1:5">
      <c r="A4786" s="64" t="s">
        <v>24</v>
      </c>
      <c r="B4786" s="65">
        <v>43460</v>
      </c>
      <c r="C4786" s="66" t="s">
        <v>218</v>
      </c>
      <c r="D4786" s="3" t="s">
        <v>9</v>
      </c>
      <c r="E4786" s="64">
        <v>1</v>
      </c>
    </row>
    <row r="4787" spans="1:5">
      <c r="A4787" s="64" t="s">
        <v>24</v>
      </c>
      <c r="B4787" s="65">
        <v>43461</v>
      </c>
      <c r="C4787" s="66" t="s">
        <v>219</v>
      </c>
      <c r="D4787" s="3" t="s">
        <v>9</v>
      </c>
      <c r="E4787" s="64">
        <v>1</v>
      </c>
    </row>
    <row r="4788" spans="1:5">
      <c r="A4788" s="64" t="s">
        <v>24</v>
      </c>
      <c r="B4788" s="65">
        <v>43462</v>
      </c>
      <c r="C4788" s="66" t="s">
        <v>220</v>
      </c>
      <c r="D4788" s="3" t="s">
        <v>9</v>
      </c>
      <c r="E4788" s="64">
        <v>1</v>
      </c>
    </row>
    <row r="4789" spans="1:5">
      <c r="A4789" s="64" t="s">
        <v>24</v>
      </c>
      <c r="B4789" s="65">
        <v>43463</v>
      </c>
      <c r="C4789" s="66" t="s">
        <v>221</v>
      </c>
      <c r="D4789" s="3" t="s">
        <v>9</v>
      </c>
      <c r="E4789" s="64">
        <v>1</v>
      </c>
    </row>
    <row r="4790" spans="1:5">
      <c r="A4790" s="64" t="s">
        <v>24</v>
      </c>
      <c r="B4790" s="65">
        <v>43464</v>
      </c>
      <c r="C4790" s="66" t="s">
        <v>222</v>
      </c>
      <c r="D4790" s="3" t="s">
        <v>9</v>
      </c>
      <c r="E4790" s="64">
        <v>1</v>
      </c>
    </row>
    <row r="4791" spans="1:5">
      <c r="A4791" s="64" t="s">
        <v>24</v>
      </c>
      <c r="B4791" s="65">
        <v>43465</v>
      </c>
      <c r="C4791" s="66" t="s">
        <v>216</v>
      </c>
      <c r="D4791" s="3" t="s">
        <v>9</v>
      </c>
      <c r="E4791" s="64">
        <v>1</v>
      </c>
    </row>
    <row r="4792" spans="1:5">
      <c r="A4792" s="64" t="s">
        <v>24</v>
      </c>
      <c r="B4792" s="65">
        <v>43466</v>
      </c>
      <c r="C4792" s="66" t="s">
        <v>217</v>
      </c>
      <c r="D4792" s="3" t="s">
        <v>9</v>
      </c>
      <c r="E4792" s="64">
        <v>1</v>
      </c>
    </row>
    <row r="4793" spans="1:5">
      <c r="A4793" s="64" t="s">
        <v>24</v>
      </c>
      <c r="B4793" s="65">
        <v>43467</v>
      </c>
      <c r="C4793" s="66" t="s">
        <v>218</v>
      </c>
      <c r="D4793" s="3" t="s">
        <v>9</v>
      </c>
      <c r="E4793" s="64">
        <v>1</v>
      </c>
    </row>
    <row r="4794" spans="1:5">
      <c r="A4794" s="64" t="s">
        <v>24</v>
      </c>
      <c r="B4794" s="65">
        <v>43468</v>
      </c>
      <c r="C4794" s="66" t="s">
        <v>219</v>
      </c>
      <c r="D4794" s="3" t="s">
        <v>9</v>
      </c>
      <c r="E4794" s="64">
        <v>1</v>
      </c>
    </row>
    <row r="4795" spans="1:5">
      <c r="A4795" s="64" t="s">
        <v>24</v>
      </c>
      <c r="B4795" s="65">
        <v>43469</v>
      </c>
      <c r="C4795" s="66" t="s">
        <v>220</v>
      </c>
      <c r="D4795" s="3" t="s">
        <v>9</v>
      </c>
      <c r="E4795" s="64">
        <v>1</v>
      </c>
    </row>
    <row r="4796" spans="1:5">
      <c r="A4796" s="64" t="s">
        <v>24</v>
      </c>
      <c r="B4796" s="65">
        <v>43470</v>
      </c>
      <c r="C4796" s="66" t="s">
        <v>221</v>
      </c>
      <c r="D4796" s="3" t="s">
        <v>9</v>
      </c>
      <c r="E4796" s="64">
        <v>1</v>
      </c>
    </row>
    <row r="4797" spans="1:5">
      <c r="A4797" s="64" t="s">
        <v>24</v>
      </c>
      <c r="B4797" s="65">
        <v>43471</v>
      </c>
      <c r="C4797" s="66" t="s">
        <v>222</v>
      </c>
      <c r="D4797" s="3" t="s">
        <v>9</v>
      </c>
      <c r="E4797" s="64">
        <v>1</v>
      </c>
    </row>
    <row r="4798" spans="1:5">
      <c r="A4798" s="64" t="s">
        <v>24</v>
      </c>
      <c r="B4798" s="65">
        <v>43472</v>
      </c>
      <c r="C4798" s="66" t="s">
        <v>216</v>
      </c>
      <c r="D4798" s="3" t="s">
        <v>9</v>
      </c>
      <c r="E4798" s="64">
        <v>1</v>
      </c>
    </row>
    <row r="4799" spans="1:5">
      <c r="A4799" s="64" t="s">
        <v>24</v>
      </c>
      <c r="B4799" s="65">
        <v>43473</v>
      </c>
      <c r="C4799" s="66" t="s">
        <v>217</v>
      </c>
      <c r="D4799" s="3" t="s">
        <v>9</v>
      </c>
      <c r="E4799" s="64">
        <v>1</v>
      </c>
    </row>
    <row r="4800" spans="1:5">
      <c r="A4800" s="64" t="s">
        <v>24</v>
      </c>
      <c r="B4800" s="65">
        <v>43474</v>
      </c>
      <c r="C4800" s="66" t="s">
        <v>218</v>
      </c>
      <c r="D4800" s="3" t="s">
        <v>9</v>
      </c>
      <c r="E4800" s="64">
        <v>1</v>
      </c>
    </row>
    <row r="4801" spans="1:5">
      <c r="A4801" s="64" t="s">
        <v>24</v>
      </c>
      <c r="B4801" s="65">
        <v>43475</v>
      </c>
      <c r="C4801" s="66" t="s">
        <v>219</v>
      </c>
      <c r="D4801" s="3" t="s">
        <v>9</v>
      </c>
      <c r="E4801" s="64">
        <v>1</v>
      </c>
    </row>
    <row r="4802" spans="1:5">
      <c r="A4802" s="64" t="s">
        <v>24</v>
      </c>
      <c r="B4802" s="65">
        <v>43476</v>
      </c>
      <c r="C4802" s="66" t="s">
        <v>220</v>
      </c>
      <c r="D4802" s="3" t="s">
        <v>9</v>
      </c>
      <c r="E4802" s="64">
        <v>1</v>
      </c>
    </row>
    <row r="4803" spans="1:5">
      <c r="A4803" s="64" t="s">
        <v>24</v>
      </c>
      <c r="B4803" s="65">
        <v>43477</v>
      </c>
      <c r="C4803" s="66" t="s">
        <v>221</v>
      </c>
      <c r="D4803" s="3" t="s">
        <v>9</v>
      </c>
      <c r="E4803" s="64">
        <v>1</v>
      </c>
    </row>
    <row r="4804" spans="1:5">
      <c r="A4804" s="64" t="s">
        <v>24</v>
      </c>
      <c r="B4804" s="65">
        <v>43478</v>
      </c>
      <c r="C4804" s="66" t="s">
        <v>222</v>
      </c>
      <c r="D4804" s="3" t="s">
        <v>9</v>
      </c>
      <c r="E4804" s="64">
        <v>1</v>
      </c>
    </row>
    <row r="4805" spans="1:5">
      <c r="A4805" s="64" t="s">
        <v>24</v>
      </c>
      <c r="B4805" s="65">
        <v>43479</v>
      </c>
      <c r="C4805" s="66" t="s">
        <v>216</v>
      </c>
      <c r="D4805" s="3" t="s">
        <v>9</v>
      </c>
      <c r="E4805" s="64">
        <v>1</v>
      </c>
    </row>
    <row r="4806" spans="1:5">
      <c r="A4806" s="64" t="s">
        <v>24</v>
      </c>
      <c r="B4806" s="65">
        <v>43480</v>
      </c>
      <c r="C4806" s="66" t="s">
        <v>217</v>
      </c>
      <c r="D4806" s="3" t="s">
        <v>9</v>
      </c>
      <c r="E4806" s="64">
        <v>1</v>
      </c>
    </row>
    <row r="4807" spans="1:5">
      <c r="A4807" s="64" t="s">
        <v>24</v>
      </c>
      <c r="B4807" s="65">
        <v>43481</v>
      </c>
      <c r="C4807" s="66" t="s">
        <v>218</v>
      </c>
      <c r="D4807" s="3" t="s">
        <v>9</v>
      </c>
      <c r="E4807" s="64">
        <v>1</v>
      </c>
    </row>
    <row r="4808" spans="1:5">
      <c r="A4808" s="64" t="s">
        <v>24</v>
      </c>
      <c r="B4808" s="65">
        <v>43482</v>
      </c>
      <c r="C4808" s="66" t="s">
        <v>219</v>
      </c>
      <c r="D4808" s="3" t="s">
        <v>9</v>
      </c>
      <c r="E4808" s="64">
        <v>1</v>
      </c>
    </row>
    <row r="4809" spans="1:5">
      <c r="A4809" s="64" t="s">
        <v>24</v>
      </c>
      <c r="B4809" s="65">
        <v>43483</v>
      </c>
      <c r="C4809" s="66" t="s">
        <v>220</v>
      </c>
      <c r="D4809" s="3" t="s">
        <v>9</v>
      </c>
      <c r="E4809" s="64">
        <v>1</v>
      </c>
    </row>
    <row r="4810" spans="1:5">
      <c r="A4810" s="64" t="s">
        <v>24</v>
      </c>
      <c r="B4810" s="65">
        <v>43484</v>
      </c>
      <c r="C4810" s="66" t="s">
        <v>221</v>
      </c>
      <c r="D4810" s="3" t="s">
        <v>9</v>
      </c>
      <c r="E4810" s="64">
        <v>1</v>
      </c>
    </row>
    <row r="4811" spans="1:5">
      <c r="A4811" s="64" t="s">
        <v>24</v>
      </c>
      <c r="B4811" s="65">
        <v>43485</v>
      </c>
      <c r="C4811" s="66" t="s">
        <v>222</v>
      </c>
      <c r="D4811" s="3" t="s">
        <v>9</v>
      </c>
      <c r="E4811" s="64">
        <v>1</v>
      </c>
    </row>
    <row r="4812" spans="1:5">
      <c r="A4812" s="64" t="s">
        <v>24</v>
      </c>
      <c r="B4812" s="65">
        <v>43486</v>
      </c>
      <c r="C4812" s="66" t="s">
        <v>216</v>
      </c>
      <c r="D4812" s="3" t="s">
        <v>9</v>
      </c>
      <c r="E4812" s="64">
        <v>1</v>
      </c>
    </row>
    <row r="4813" spans="1:5">
      <c r="A4813" s="64" t="s">
        <v>24</v>
      </c>
      <c r="B4813" s="65">
        <v>43487</v>
      </c>
      <c r="C4813" s="66" t="s">
        <v>217</v>
      </c>
      <c r="D4813" s="3" t="s">
        <v>9</v>
      </c>
      <c r="E4813" s="64">
        <v>1</v>
      </c>
    </row>
    <row r="4814" spans="1:5">
      <c r="A4814" s="64" t="s">
        <v>24</v>
      </c>
      <c r="B4814" s="65">
        <v>43488</v>
      </c>
      <c r="C4814" s="66" t="s">
        <v>218</v>
      </c>
      <c r="D4814" s="3" t="s">
        <v>9</v>
      </c>
      <c r="E4814" s="64">
        <v>1</v>
      </c>
    </row>
    <row r="4815" spans="1:5">
      <c r="A4815" s="64" t="s">
        <v>24</v>
      </c>
      <c r="B4815" s="65">
        <v>43489</v>
      </c>
      <c r="C4815" s="66" t="s">
        <v>219</v>
      </c>
      <c r="D4815" s="3" t="s">
        <v>9</v>
      </c>
      <c r="E4815" s="64">
        <v>1</v>
      </c>
    </row>
    <row r="4816" spans="1:5">
      <c r="A4816" s="64" t="s">
        <v>24</v>
      </c>
      <c r="B4816" s="65">
        <v>43490</v>
      </c>
      <c r="C4816" s="66" t="s">
        <v>220</v>
      </c>
      <c r="D4816" s="3" t="s">
        <v>9</v>
      </c>
      <c r="E4816" s="64">
        <v>1</v>
      </c>
    </row>
    <row r="4817" spans="1:5">
      <c r="A4817" s="64" t="s">
        <v>24</v>
      </c>
      <c r="B4817" s="65">
        <v>43491</v>
      </c>
      <c r="C4817" s="66" t="s">
        <v>221</v>
      </c>
      <c r="D4817" s="3" t="s">
        <v>9</v>
      </c>
      <c r="E4817" s="64">
        <v>1</v>
      </c>
    </row>
    <row r="4818" spans="1:5">
      <c r="A4818" s="64" t="s">
        <v>24</v>
      </c>
      <c r="B4818" s="65">
        <v>43492</v>
      </c>
      <c r="C4818" s="66" t="s">
        <v>222</v>
      </c>
      <c r="D4818" s="3" t="s">
        <v>9</v>
      </c>
      <c r="E4818" s="64">
        <v>1</v>
      </c>
    </row>
    <row r="4819" spans="1:5">
      <c r="A4819" s="64" t="s">
        <v>24</v>
      </c>
      <c r="B4819" s="65">
        <v>43493</v>
      </c>
      <c r="C4819" s="66" t="s">
        <v>216</v>
      </c>
      <c r="D4819" s="3" t="s">
        <v>9</v>
      </c>
      <c r="E4819" s="64">
        <v>1</v>
      </c>
    </row>
    <row r="4820" spans="1:5">
      <c r="A4820" s="64" t="s">
        <v>24</v>
      </c>
      <c r="B4820" s="65">
        <v>43494</v>
      </c>
      <c r="C4820" s="66" t="s">
        <v>217</v>
      </c>
      <c r="D4820" s="3" t="s">
        <v>9</v>
      </c>
      <c r="E4820" s="64">
        <v>1</v>
      </c>
    </row>
    <row r="4821" spans="1:5">
      <c r="A4821" s="64" t="s">
        <v>24</v>
      </c>
      <c r="B4821" s="65">
        <v>43495</v>
      </c>
      <c r="C4821" s="66" t="s">
        <v>218</v>
      </c>
      <c r="D4821" s="3" t="s">
        <v>9</v>
      </c>
      <c r="E4821" s="64">
        <v>1</v>
      </c>
    </row>
    <row r="4822" spans="1:5">
      <c r="A4822" s="64" t="s">
        <v>24</v>
      </c>
      <c r="B4822" s="65">
        <v>43496</v>
      </c>
      <c r="C4822" s="66" t="s">
        <v>219</v>
      </c>
      <c r="D4822" s="3" t="s">
        <v>9</v>
      </c>
      <c r="E4822" s="64">
        <v>1</v>
      </c>
    </row>
    <row r="4823" spans="1:5">
      <c r="A4823" s="64" t="s">
        <v>24</v>
      </c>
      <c r="B4823" s="65">
        <v>43497</v>
      </c>
      <c r="C4823" s="66" t="s">
        <v>220</v>
      </c>
      <c r="D4823" s="3" t="s">
        <v>9</v>
      </c>
      <c r="E4823" s="64">
        <v>1</v>
      </c>
    </row>
    <row r="4824" spans="1:5">
      <c r="A4824" s="64" t="s">
        <v>24</v>
      </c>
      <c r="B4824" s="65">
        <v>43498</v>
      </c>
      <c r="C4824" s="66" t="s">
        <v>221</v>
      </c>
      <c r="D4824" s="3" t="s">
        <v>9</v>
      </c>
      <c r="E4824" s="64">
        <v>1</v>
      </c>
    </row>
    <row r="4825" spans="1:5">
      <c r="A4825" s="64" t="s">
        <v>24</v>
      </c>
      <c r="B4825" s="65">
        <v>43499</v>
      </c>
      <c r="C4825" s="66" t="s">
        <v>222</v>
      </c>
      <c r="D4825" s="3" t="s">
        <v>9</v>
      </c>
      <c r="E4825" s="64">
        <v>1</v>
      </c>
    </row>
    <row r="4826" spans="1:5">
      <c r="A4826" s="64" t="s">
        <v>24</v>
      </c>
      <c r="B4826" s="65">
        <v>43500</v>
      </c>
      <c r="C4826" s="66" t="s">
        <v>216</v>
      </c>
      <c r="D4826" s="3" t="s">
        <v>9</v>
      </c>
      <c r="E4826" s="64">
        <v>1</v>
      </c>
    </row>
    <row r="4827" spans="1:5">
      <c r="A4827" s="64" t="s">
        <v>24</v>
      </c>
      <c r="B4827" s="65">
        <v>43501</v>
      </c>
      <c r="C4827" s="66" t="s">
        <v>217</v>
      </c>
      <c r="D4827" s="3" t="s">
        <v>9</v>
      </c>
      <c r="E4827" s="64">
        <v>1</v>
      </c>
    </row>
    <row r="4828" spans="1:5">
      <c r="A4828" s="64" t="s">
        <v>24</v>
      </c>
      <c r="B4828" s="65">
        <v>43502</v>
      </c>
      <c r="C4828" s="66" t="s">
        <v>218</v>
      </c>
      <c r="D4828" s="3" t="s">
        <v>9</v>
      </c>
      <c r="E4828" s="64">
        <v>1</v>
      </c>
    </row>
    <row r="4829" spans="1:5">
      <c r="A4829" s="64" t="s">
        <v>24</v>
      </c>
      <c r="B4829" s="65">
        <v>43503</v>
      </c>
      <c r="C4829" s="66" t="s">
        <v>219</v>
      </c>
      <c r="D4829" s="3" t="s">
        <v>9</v>
      </c>
      <c r="E4829" s="64">
        <v>1</v>
      </c>
    </row>
    <row r="4830" spans="1:5">
      <c r="A4830" s="64" t="s">
        <v>24</v>
      </c>
      <c r="B4830" s="65">
        <v>43504</v>
      </c>
      <c r="C4830" s="66" t="s">
        <v>220</v>
      </c>
      <c r="D4830" s="3" t="s">
        <v>9</v>
      </c>
      <c r="E4830" s="64">
        <v>1</v>
      </c>
    </row>
    <row r="4831" spans="1:5">
      <c r="A4831" s="64" t="s">
        <v>24</v>
      </c>
      <c r="B4831" s="65">
        <v>43505</v>
      </c>
      <c r="C4831" s="66" t="s">
        <v>221</v>
      </c>
      <c r="D4831" s="3" t="s">
        <v>9</v>
      </c>
      <c r="E4831" s="64">
        <v>1</v>
      </c>
    </row>
    <row r="4832" spans="1:5">
      <c r="A4832" s="64" t="s">
        <v>24</v>
      </c>
      <c r="B4832" s="65">
        <v>43506</v>
      </c>
      <c r="C4832" s="66" t="s">
        <v>222</v>
      </c>
      <c r="D4832" s="3" t="s">
        <v>9</v>
      </c>
      <c r="E4832" s="64">
        <v>1</v>
      </c>
    </row>
    <row r="4833" spans="1:5">
      <c r="A4833" s="64" t="s">
        <v>24</v>
      </c>
      <c r="B4833" s="65">
        <v>43507</v>
      </c>
      <c r="C4833" s="66" t="s">
        <v>216</v>
      </c>
      <c r="D4833" s="3" t="s">
        <v>9</v>
      </c>
      <c r="E4833" s="64">
        <v>1</v>
      </c>
    </row>
    <row r="4834" spans="1:5">
      <c r="A4834" s="64" t="s">
        <v>24</v>
      </c>
      <c r="B4834" s="65">
        <v>43508</v>
      </c>
      <c r="C4834" s="66" t="s">
        <v>217</v>
      </c>
      <c r="D4834" s="3" t="s">
        <v>9</v>
      </c>
      <c r="E4834" s="64">
        <v>1</v>
      </c>
    </row>
    <row r="4835" spans="1:5">
      <c r="A4835" s="64" t="s">
        <v>24</v>
      </c>
      <c r="B4835" s="65">
        <v>43509</v>
      </c>
      <c r="C4835" s="66" t="s">
        <v>218</v>
      </c>
      <c r="D4835" s="3" t="s">
        <v>9</v>
      </c>
      <c r="E4835" s="64">
        <v>1</v>
      </c>
    </row>
    <row r="4836" spans="1:5">
      <c r="A4836" s="64" t="s">
        <v>24</v>
      </c>
      <c r="B4836" s="65">
        <v>43510</v>
      </c>
      <c r="C4836" s="66" t="s">
        <v>219</v>
      </c>
      <c r="D4836" s="3" t="s">
        <v>9</v>
      </c>
      <c r="E4836" s="64">
        <v>1</v>
      </c>
    </row>
    <row r="4837" spans="1:5">
      <c r="A4837" s="64" t="s">
        <v>24</v>
      </c>
      <c r="B4837" s="65">
        <v>43511</v>
      </c>
      <c r="C4837" s="66" t="s">
        <v>220</v>
      </c>
      <c r="D4837" s="3" t="s">
        <v>9</v>
      </c>
      <c r="E4837" s="64">
        <v>1</v>
      </c>
    </row>
    <row r="4838" spans="1:5">
      <c r="A4838" s="64" t="s">
        <v>24</v>
      </c>
      <c r="B4838" s="65">
        <v>43512</v>
      </c>
      <c r="C4838" s="66" t="s">
        <v>221</v>
      </c>
      <c r="D4838" s="3" t="s">
        <v>9</v>
      </c>
      <c r="E4838" s="64">
        <v>1</v>
      </c>
    </row>
    <row r="4839" spans="1:5">
      <c r="A4839" s="64" t="s">
        <v>24</v>
      </c>
      <c r="B4839" s="65">
        <v>43513</v>
      </c>
      <c r="C4839" s="66" t="s">
        <v>222</v>
      </c>
      <c r="D4839" s="3" t="s">
        <v>9</v>
      </c>
      <c r="E4839" s="64">
        <v>1</v>
      </c>
    </row>
    <row r="4840" spans="1:5">
      <c r="A4840" s="64" t="s">
        <v>24</v>
      </c>
      <c r="B4840" s="65">
        <v>43514</v>
      </c>
      <c r="C4840" s="66" t="s">
        <v>216</v>
      </c>
      <c r="D4840" s="3" t="s">
        <v>9</v>
      </c>
      <c r="E4840" s="64">
        <v>1</v>
      </c>
    </row>
    <row r="4841" spans="1:5">
      <c r="A4841" s="64" t="s">
        <v>24</v>
      </c>
      <c r="B4841" s="65">
        <v>43348</v>
      </c>
      <c r="C4841" s="66" t="s">
        <v>218</v>
      </c>
      <c r="D4841" s="3" t="s">
        <v>11</v>
      </c>
      <c r="E4841" s="64">
        <v>1</v>
      </c>
    </row>
    <row r="4842" spans="1:5">
      <c r="A4842" s="64" t="s">
        <v>24</v>
      </c>
      <c r="B4842" s="65">
        <v>43349</v>
      </c>
      <c r="C4842" s="66" t="s">
        <v>219</v>
      </c>
      <c r="D4842" s="3" t="s">
        <v>11</v>
      </c>
      <c r="E4842" s="64">
        <v>1</v>
      </c>
    </row>
    <row r="4843" spans="1:5">
      <c r="A4843" s="64" t="s">
        <v>24</v>
      </c>
      <c r="B4843" s="65">
        <v>43350</v>
      </c>
      <c r="C4843" s="66" t="s">
        <v>220</v>
      </c>
      <c r="D4843" s="3" t="s">
        <v>11</v>
      </c>
      <c r="E4843" s="64">
        <v>1</v>
      </c>
    </row>
    <row r="4844" spans="1:5">
      <c r="A4844" s="64" t="s">
        <v>24</v>
      </c>
      <c r="B4844" s="65">
        <v>43351</v>
      </c>
      <c r="C4844" s="66" t="s">
        <v>221</v>
      </c>
      <c r="D4844" s="3" t="s">
        <v>11</v>
      </c>
      <c r="E4844" s="64">
        <v>1</v>
      </c>
    </row>
    <row r="4845" spans="1:5">
      <c r="A4845" s="64" t="s">
        <v>24</v>
      </c>
      <c r="B4845" s="65">
        <v>43352</v>
      </c>
      <c r="C4845" s="66" t="s">
        <v>222</v>
      </c>
      <c r="D4845" s="3" t="s">
        <v>11</v>
      </c>
      <c r="E4845" s="64">
        <v>1</v>
      </c>
    </row>
    <row r="4846" spans="1:5">
      <c r="A4846" s="64" t="s">
        <v>24</v>
      </c>
      <c r="B4846" s="65">
        <v>43353</v>
      </c>
      <c r="C4846" s="66" t="s">
        <v>216</v>
      </c>
      <c r="D4846" s="3" t="s">
        <v>11</v>
      </c>
      <c r="E4846" s="64">
        <v>1</v>
      </c>
    </row>
    <row r="4847" spans="1:5">
      <c r="A4847" s="64" t="s">
        <v>24</v>
      </c>
      <c r="B4847" s="65">
        <v>43354</v>
      </c>
      <c r="C4847" s="66" t="s">
        <v>217</v>
      </c>
      <c r="D4847" s="3" t="s">
        <v>11</v>
      </c>
      <c r="E4847" s="64">
        <v>1</v>
      </c>
    </row>
    <row r="4848" spans="1:5">
      <c r="A4848" s="64" t="s">
        <v>24</v>
      </c>
      <c r="B4848" s="65">
        <v>43355</v>
      </c>
      <c r="C4848" s="66" t="s">
        <v>218</v>
      </c>
      <c r="D4848" s="3" t="s">
        <v>11</v>
      </c>
      <c r="E4848" s="64">
        <v>1</v>
      </c>
    </row>
    <row r="4849" spans="1:5">
      <c r="A4849" s="64" t="s">
        <v>24</v>
      </c>
      <c r="B4849" s="65">
        <v>43356</v>
      </c>
      <c r="C4849" s="66" t="s">
        <v>219</v>
      </c>
      <c r="D4849" s="3" t="s">
        <v>11</v>
      </c>
      <c r="E4849" s="64">
        <v>1</v>
      </c>
    </row>
    <row r="4850" spans="1:5">
      <c r="A4850" s="64" t="s">
        <v>24</v>
      </c>
      <c r="B4850" s="65">
        <v>43357</v>
      </c>
      <c r="C4850" s="66" t="s">
        <v>220</v>
      </c>
      <c r="D4850" s="3" t="s">
        <v>11</v>
      </c>
      <c r="E4850" s="64">
        <v>1</v>
      </c>
    </row>
    <row r="4851" spans="1:5">
      <c r="A4851" s="64" t="s">
        <v>24</v>
      </c>
      <c r="B4851" s="65">
        <v>43358</v>
      </c>
      <c r="C4851" s="66" t="s">
        <v>221</v>
      </c>
      <c r="D4851" s="3" t="s">
        <v>11</v>
      </c>
      <c r="E4851" s="64">
        <v>1</v>
      </c>
    </row>
    <row r="4852" spans="1:5">
      <c r="A4852" s="64" t="s">
        <v>24</v>
      </c>
      <c r="B4852" s="65">
        <v>43359</v>
      </c>
      <c r="C4852" s="66" t="s">
        <v>222</v>
      </c>
      <c r="D4852" s="3" t="s">
        <v>11</v>
      </c>
      <c r="E4852" s="64">
        <v>1</v>
      </c>
    </row>
    <row r="4853" spans="1:5">
      <c r="A4853" s="64" t="s">
        <v>24</v>
      </c>
      <c r="B4853" s="65">
        <v>43360</v>
      </c>
      <c r="C4853" s="66" t="s">
        <v>216</v>
      </c>
      <c r="D4853" s="3" t="s">
        <v>11</v>
      </c>
      <c r="E4853" s="64">
        <v>1</v>
      </c>
    </row>
    <row r="4854" spans="1:5">
      <c r="A4854" s="64" t="s">
        <v>24</v>
      </c>
      <c r="B4854" s="65">
        <v>43361</v>
      </c>
      <c r="C4854" s="66" t="s">
        <v>217</v>
      </c>
      <c r="D4854" s="3" t="s">
        <v>11</v>
      </c>
      <c r="E4854" s="64">
        <v>1</v>
      </c>
    </row>
    <row r="4855" spans="1:5">
      <c r="A4855" s="64" t="s">
        <v>24</v>
      </c>
      <c r="B4855" s="65">
        <v>43362</v>
      </c>
      <c r="C4855" s="66" t="s">
        <v>218</v>
      </c>
      <c r="D4855" s="3" t="s">
        <v>11</v>
      </c>
      <c r="E4855" s="64">
        <v>1</v>
      </c>
    </row>
    <row r="4856" spans="1:5">
      <c r="A4856" s="64" t="s">
        <v>24</v>
      </c>
      <c r="B4856" s="65">
        <v>43363</v>
      </c>
      <c r="C4856" s="66" t="s">
        <v>219</v>
      </c>
      <c r="D4856" s="3" t="s">
        <v>11</v>
      </c>
      <c r="E4856" s="64">
        <v>1</v>
      </c>
    </row>
    <row r="4857" spans="1:5">
      <c r="A4857" s="64" t="s">
        <v>24</v>
      </c>
      <c r="B4857" s="65">
        <v>43364</v>
      </c>
      <c r="C4857" s="66" t="s">
        <v>220</v>
      </c>
      <c r="D4857" s="3" t="s">
        <v>11</v>
      </c>
      <c r="E4857" s="64">
        <v>1</v>
      </c>
    </row>
    <row r="4858" spans="1:5">
      <c r="A4858" s="64" t="s">
        <v>24</v>
      </c>
      <c r="B4858" s="65">
        <v>43365</v>
      </c>
      <c r="C4858" s="66" t="s">
        <v>221</v>
      </c>
      <c r="D4858" s="3" t="s">
        <v>11</v>
      </c>
      <c r="E4858" s="64">
        <v>1</v>
      </c>
    </row>
    <row r="4859" spans="1:5">
      <c r="A4859" s="64" t="s">
        <v>24</v>
      </c>
      <c r="B4859" s="65">
        <v>43366</v>
      </c>
      <c r="C4859" s="66" t="s">
        <v>222</v>
      </c>
      <c r="D4859" s="3" t="s">
        <v>11</v>
      </c>
      <c r="E4859" s="64">
        <v>1</v>
      </c>
    </row>
    <row r="4860" spans="1:5">
      <c r="A4860" s="64" t="s">
        <v>24</v>
      </c>
      <c r="B4860" s="65">
        <v>43367</v>
      </c>
      <c r="C4860" s="66" t="s">
        <v>216</v>
      </c>
      <c r="D4860" s="3" t="s">
        <v>11</v>
      </c>
      <c r="E4860" s="64">
        <v>1</v>
      </c>
    </row>
    <row r="4861" spans="1:5">
      <c r="A4861" s="64" t="s">
        <v>24</v>
      </c>
      <c r="B4861" s="65">
        <v>43368</v>
      </c>
      <c r="C4861" s="66" t="s">
        <v>217</v>
      </c>
      <c r="D4861" s="3" t="s">
        <v>11</v>
      </c>
      <c r="E4861" s="64">
        <v>1</v>
      </c>
    </row>
    <row r="4862" spans="1:5">
      <c r="A4862" s="64" t="s">
        <v>24</v>
      </c>
      <c r="B4862" s="65">
        <v>43369</v>
      </c>
      <c r="C4862" s="66" t="s">
        <v>218</v>
      </c>
      <c r="D4862" s="3" t="s">
        <v>11</v>
      </c>
      <c r="E4862" s="64">
        <v>1</v>
      </c>
    </row>
    <row r="4863" spans="1:5">
      <c r="A4863" s="64" t="s">
        <v>24</v>
      </c>
      <c r="B4863" s="65">
        <v>43370</v>
      </c>
      <c r="C4863" s="66" t="s">
        <v>219</v>
      </c>
      <c r="D4863" s="3" t="s">
        <v>11</v>
      </c>
      <c r="E4863" s="64">
        <v>1</v>
      </c>
    </row>
    <row r="4864" spans="1:5">
      <c r="A4864" s="64" t="s">
        <v>24</v>
      </c>
      <c r="B4864" s="65">
        <v>43371</v>
      </c>
      <c r="C4864" s="66" t="s">
        <v>220</v>
      </c>
      <c r="D4864" s="3" t="s">
        <v>11</v>
      </c>
      <c r="E4864" s="64">
        <v>1</v>
      </c>
    </row>
    <row r="4865" spans="1:5">
      <c r="A4865" s="64" t="s">
        <v>24</v>
      </c>
      <c r="B4865" s="65">
        <v>43372</v>
      </c>
      <c r="C4865" s="66" t="s">
        <v>221</v>
      </c>
      <c r="D4865" s="3" t="s">
        <v>11</v>
      </c>
      <c r="E4865" s="64">
        <v>1</v>
      </c>
    </row>
    <row r="4866" spans="1:5">
      <c r="A4866" s="64" t="s">
        <v>24</v>
      </c>
      <c r="B4866" s="65">
        <v>43373</v>
      </c>
      <c r="C4866" s="66" t="s">
        <v>222</v>
      </c>
      <c r="D4866" s="3" t="s">
        <v>11</v>
      </c>
      <c r="E4866" s="64">
        <v>1</v>
      </c>
    </row>
    <row r="4867" spans="1:5">
      <c r="A4867" s="64" t="s">
        <v>24</v>
      </c>
      <c r="B4867" s="65">
        <v>43374</v>
      </c>
      <c r="C4867" s="66" t="s">
        <v>216</v>
      </c>
      <c r="D4867" s="3" t="s">
        <v>11</v>
      </c>
      <c r="E4867" s="64">
        <v>1</v>
      </c>
    </row>
    <row r="4868" spans="1:5">
      <c r="A4868" s="64" t="s">
        <v>24</v>
      </c>
      <c r="B4868" s="65">
        <v>43375</v>
      </c>
      <c r="C4868" s="66" t="s">
        <v>217</v>
      </c>
      <c r="D4868" s="3" t="s">
        <v>11</v>
      </c>
      <c r="E4868" s="64">
        <v>1</v>
      </c>
    </row>
    <row r="4869" spans="1:5">
      <c r="A4869" s="64" t="s">
        <v>24</v>
      </c>
      <c r="B4869" s="65">
        <v>43376</v>
      </c>
      <c r="C4869" s="66" t="s">
        <v>218</v>
      </c>
      <c r="D4869" s="3" t="s">
        <v>11</v>
      </c>
      <c r="E4869" s="64">
        <v>1</v>
      </c>
    </row>
    <row r="4870" spans="1:5">
      <c r="A4870" s="64" t="s">
        <v>24</v>
      </c>
      <c r="B4870" s="65">
        <v>43377</v>
      </c>
      <c r="C4870" s="66" t="s">
        <v>219</v>
      </c>
      <c r="D4870" s="3" t="s">
        <v>11</v>
      </c>
      <c r="E4870" s="64">
        <v>1</v>
      </c>
    </row>
    <row r="4871" spans="1:5">
      <c r="A4871" s="64" t="s">
        <v>24</v>
      </c>
      <c r="B4871" s="65">
        <v>43378</v>
      </c>
      <c r="C4871" s="66" t="s">
        <v>220</v>
      </c>
      <c r="D4871" s="3" t="s">
        <v>11</v>
      </c>
      <c r="E4871" s="64">
        <v>1</v>
      </c>
    </row>
    <row r="4872" spans="1:5">
      <c r="A4872" s="64" t="s">
        <v>24</v>
      </c>
      <c r="B4872" s="65">
        <v>43379</v>
      </c>
      <c r="C4872" s="66" t="s">
        <v>221</v>
      </c>
      <c r="D4872" s="3" t="s">
        <v>11</v>
      </c>
      <c r="E4872" s="64">
        <v>1</v>
      </c>
    </row>
    <row r="4873" spans="1:5">
      <c r="A4873" s="64" t="s">
        <v>24</v>
      </c>
      <c r="B4873" s="65">
        <v>43380</v>
      </c>
      <c r="C4873" s="66" t="s">
        <v>222</v>
      </c>
      <c r="D4873" s="3" t="s">
        <v>11</v>
      </c>
      <c r="E4873" s="64">
        <v>1</v>
      </c>
    </row>
    <row r="4874" spans="1:5">
      <c r="A4874" s="64" t="s">
        <v>24</v>
      </c>
      <c r="B4874" s="65">
        <v>43381</v>
      </c>
      <c r="C4874" s="66" t="s">
        <v>216</v>
      </c>
      <c r="D4874" s="3" t="s">
        <v>11</v>
      </c>
      <c r="E4874" s="64">
        <v>1</v>
      </c>
    </row>
    <row r="4875" spans="1:5">
      <c r="A4875" s="64" t="s">
        <v>24</v>
      </c>
      <c r="B4875" s="65">
        <v>43382</v>
      </c>
      <c r="C4875" s="66" t="s">
        <v>217</v>
      </c>
      <c r="D4875" s="3" t="s">
        <v>11</v>
      </c>
      <c r="E4875" s="64">
        <v>1</v>
      </c>
    </row>
    <row r="4876" spans="1:5">
      <c r="A4876" s="64" t="s">
        <v>24</v>
      </c>
      <c r="B4876" s="65">
        <v>43383</v>
      </c>
      <c r="C4876" s="66" t="s">
        <v>218</v>
      </c>
      <c r="D4876" s="3" t="s">
        <v>11</v>
      </c>
      <c r="E4876" s="64">
        <v>1</v>
      </c>
    </row>
    <row r="4877" spans="1:5">
      <c r="A4877" s="64" t="s">
        <v>24</v>
      </c>
      <c r="B4877" s="65">
        <v>43384</v>
      </c>
      <c r="C4877" s="66" t="s">
        <v>219</v>
      </c>
      <c r="D4877" s="3" t="s">
        <v>11</v>
      </c>
      <c r="E4877" s="64">
        <v>1</v>
      </c>
    </row>
    <row r="4878" spans="1:5">
      <c r="A4878" s="64" t="s">
        <v>24</v>
      </c>
      <c r="B4878" s="65">
        <v>43385</v>
      </c>
      <c r="C4878" s="66" t="s">
        <v>220</v>
      </c>
      <c r="D4878" s="3" t="s">
        <v>11</v>
      </c>
      <c r="E4878" s="64">
        <v>1</v>
      </c>
    </row>
    <row r="4879" spans="1:5">
      <c r="A4879" s="64" t="s">
        <v>24</v>
      </c>
      <c r="B4879" s="65">
        <v>43386</v>
      </c>
      <c r="C4879" s="66" t="s">
        <v>221</v>
      </c>
      <c r="D4879" s="3" t="s">
        <v>11</v>
      </c>
      <c r="E4879" s="64">
        <v>1</v>
      </c>
    </row>
    <row r="4880" spans="1:5">
      <c r="A4880" s="64" t="s">
        <v>24</v>
      </c>
      <c r="B4880" s="65">
        <v>43387</v>
      </c>
      <c r="C4880" s="66" t="s">
        <v>222</v>
      </c>
      <c r="D4880" s="3" t="s">
        <v>11</v>
      </c>
      <c r="E4880" s="64">
        <v>1</v>
      </c>
    </row>
    <row r="4881" spans="1:5">
      <c r="A4881" s="64" t="s">
        <v>24</v>
      </c>
      <c r="B4881" s="65">
        <v>43388</v>
      </c>
      <c r="C4881" s="66" t="s">
        <v>216</v>
      </c>
      <c r="D4881" s="3" t="s">
        <v>11</v>
      </c>
      <c r="E4881" s="64">
        <v>1</v>
      </c>
    </row>
    <row r="4882" spans="1:5">
      <c r="A4882" s="64" t="s">
        <v>24</v>
      </c>
      <c r="B4882" s="65">
        <v>43389</v>
      </c>
      <c r="C4882" s="66" t="s">
        <v>217</v>
      </c>
      <c r="D4882" s="3" t="s">
        <v>11</v>
      </c>
      <c r="E4882" s="64">
        <v>1</v>
      </c>
    </row>
    <row r="4883" spans="1:5">
      <c r="A4883" s="64" t="s">
        <v>24</v>
      </c>
      <c r="B4883" s="65">
        <v>43390</v>
      </c>
      <c r="C4883" s="66" t="s">
        <v>218</v>
      </c>
      <c r="D4883" s="3" t="s">
        <v>11</v>
      </c>
      <c r="E4883" s="64">
        <v>1</v>
      </c>
    </row>
    <row r="4884" spans="1:5">
      <c r="A4884" s="64" t="s">
        <v>24</v>
      </c>
      <c r="B4884" s="65">
        <v>43391</v>
      </c>
      <c r="C4884" s="66" t="s">
        <v>219</v>
      </c>
      <c r="D4884" s="3" t="s">
        <v>11</v>
      </c>
      <c r="E4884" s="64">
        <v>1</v>
      </c>
    </row>
    <row r="4885" spans="1:5">
      <c r="A4885" s="64" t="s">
        <v>24</v>
      </c>
      <c r="B4885" s="65">
        <v>43392</v>
      </c>
      <c r="C4885" s="66" t="s">
        <v>220</v>
      </c>
      <c r="D4885" s="3" t="s">
        <v>11</v>
      </c>
      <c r="E4885" s="64">
        <v>1</v>
      </c>
    </row>
    <row r="4886" spans="1:5">
      <c r="A4886" s="64" t="s">
        <v>24</v>
      </c>
      <c r="B4886" s="65">
        <v>43393</v>
      </c>
      <c r="C4886" s="66" t="s">
        <v>221</v>
      </c>
      <c r="D4886" s="3" t="s">
        <v>11</v>
      </c>
      <c r="E4886" s="64">
        <v>1</v>
      </c>
    </row>
    <row r="4887" spans="1:5">
      <c r="A4887" s="64" t="s">
        <v>24</v>
      </c>
      <c r="B4887" s="65">
        <v>43394</v>
      </c>
      <c r="C4887" s="66" t="s">
        <v>222</v>
      </c>
      <c r="D4887" s="3" t="s">
        <v>11</v>
      </c>
      <c r="E4887" s="64">
        <v>1</v>
      </c>
    </row>
    <row r="4888" spans="1:5">
      <c r="A4888" s="64" t="s">
        <v>24</v>
      </c>
      <c r="B4888" s="65">
        <v>43395</v>
      </c>
      <c r="C4888" s="66" t="s">
        <v>216</v>
      </c>
      <c r="D4888" s="3" t="s">
        <v>11</v>
      </c>
      <c r="E4888" s="64">
        <v>1</v>
      </c>
    </row>
    <row r="4889" spans="1:5">
      <c r="A4889" s="64" t="s">
        <v>24</v>
      </c>
      <c r="B4889" s="65">
        <v>43396</v>
      </c>
      <c r="C4889" s="66" t="s">
        <v>217</v>
      </c>
      <c r="D4889" s="3" t="s">
        <v>11</v>
      </c>
      <c r="E4889" s="64">
        <v>1</v>
      </c>
    </row>
    <row r="4890" spans="1:5">
      <c r="A4890" s="64" t="s">
        <v>24</v>
      </c>
      <c r="B4890" s="65">
        <v>43397</v>
      </c>
      <c r="C4890" s="66" t="s">
        <v>218</v>
      </c>
      <c r="D4890" s="3" t="s">
        <v>11</v>
      </c>
      <c r="E4890" s="64">
        <v>1</v>
      </c>
    </row>
    <row r="4891" spans="1:5">
      <c r="A4891" s="64" t="s">
        <v>24</v>
      </c>
      <c r="B4891" s="65">
        <v>43398</v>
      </c>
      <c r="C4891" s="66" t="s">
        <v>219</v>
      </c>
      <c r="D4891" s="3" t="s">
        <v>11</v>
      </c>
      <c r="E4891" s="64">
        <v>1</v>
      </c>
    </row>
    <row r="4892" spans="1:5">
      <c r="A4892" s="64" t="s">
        <v>24</v>
      </c>
      <c r="B4892" s="65">
        <v>43399</v>
      </c>
      <c r="C4892" s="66" t="s">
        <v>220</v>
      </c>
      <c r="D4892" s="3" t="s">
        <v>11</v>
      </c>
      <c r="E4892" s="64">
        <v>1</v>
      </c>
    </row>
    <row r="4893" spans="1:5">
      <c r="A4893" s="64" t="s">
        <v>24</v>
      </c>
      <c r="B4893" s="65">
        <v>43400</v>
      </c>
      <c r="C4893" s="66" t="s">
        <v>221</v>
      </c>
      <c r="D4893" s="3" t="s">
        <v>11</v>
      </c>
      <c r="E4893" s="64">
        <v>1</v>
      </c>
    </row>
    <row r="4894" spans="1:5">
      <c r="A4894" s="64" t="s">
        <v>24</v>
      </c>
      <c r="B4894" s="65">
        <v>43401</v>
      </c>
      <c r="C4894" s="66" t="s">
        <v>222</v>
      </c>
      <c r="D4894" s="3" t="s">
        <v>11</v>
      </c>
      <c r="E4894" s="64">
        <v>1</v>
      </c>
    </row>
    <row r="4895" spans="1:5">
      <c r="A4895" s="64" t="s">
        <v>24</v>
      </c>
      <c r="B4895" s="65">
        <v>43402</v>
      </c>
      <c r="C4895" s="66" t="s">
        <v>216</v>
      </c>
      <c r="D4895" s="3" t="s">
        <v>11</v>
      </c>
      <c r="E4895" s="64">
        <v>1</v>
      </c>
    </row>
    <row r="4896" spans="1:5">
      <c r="A4896" s="64" t="s">
        <v>24</v>
      </c>
      <c r="B4896" s="65">
        <v>43403</v>
      </c>
      <c r="C4896" s="66" t="s">
        <v>217</v>
      </c>
      <c r="D4896" s="3" t="s">
        <v>11</v>
      </c>
      <c r="E4896" s="64">
        <v>1</v>
      </c>
    </row>
    <row r="4897" spans="1:5">
      <c r="A4897" s="64" t="s">
        <v>24</v>
      </c>
      <c r="B4897" s="65">
        <v>43404</v>
      </c>
      <c r="C4897" s="66" t="s">
        <v>218</v>
      </c>
      <c r="D4897" s="3" t="s">
        <v>11</v>
      </c>
      <c r="E4897" s="64">
        <v>1</v>
      </c>
    </row>
    <row r="4898" spans="1:5">
      <c r="A4898" s="64" t="s">
        <v>24</v>
      </c>
      <c r="B4898" s="65">
        <v>43405</v>
      </c>
      <c r="C4898" s="66" t="s">
        <v>219</v>
      </c>
      <c r="D4898" s="3" t="s">
        <v>11</v>
      </c>
      <c r="E4898" s="64">
        <v>1</v>
      </c>
    </row>
    <row r="4899" spans="1:5">
      <c r="A4899" s="64" t="s">
        <v>24</v>
      </c>
      <c r="B4899" s="65">
        <v>43406</v>
      </c>
      <c r="C4899" s="66" t="s">
        <v>220</v>
      </c>
      <c r="D4899" s="3" t="s">
        <v>11</v>
      </c>
      <c r="E4899" s="64">
        <v>1</v>
      </c>
    </row>
    <row r="4900" spans="1:5">
      <c r="A4900" s="64" t="s">
        <v>24</v>
      </c>
      <c r="B4900" s="65">
        <v>43407</v>
      </c>
      <c r="C4900" s="66" t="s">
        <v>221</v>
      </c>
      <c r="D4900" s="3" t="s">
        <v>11</v>
      </c>
      <c r="E4900" s="64">
        <v>1</v>
      </c>
    </row>
    <row r="4901" spans="1:5">
      <c r="A4901" s="64" t="s">
        <v>24</v>
      </c>
      <c r="B4901" s="65">
        <v>43408</v>
      </c>
      <c r="C4901" s="66" t="s">
        <v>222</v>
      </c>
      <c r="D4901" s="3" t="s">
        <v>11</v>
      </c>
      <c r="E4901" s="64">
        <v>1</v>
      </c>
    </row>
    <row r="4902" spans="1:5">
      <c r="A4902" s="64" t="s">
        <v>24</v>
      </c>
      <c r="B4902" s="65">
        <v>43409</v>
      </c>
      <c r="C4902" s="66" t="s">
        <v>216</v>
      </c>
      <c r="D4902" s="3" t="s">
        <v>11</v>
      </c>
      <c r="E4902" s="64">
        <v>1</v>
      </c>
    </row>
    <row r="4903" spans="1:5">
      <c r="A4903" s="64" t="s">
        <v>24</v>
      </c>
      <c r="B4903" s="65">
        <v>43410</v>
      </c>
      <c r="C4903" s="66" t="s">
        <v>217</v>
      </c>
      <c r="D4903" s="3" t="s">
        <v>11</v>
      </c>
      <c r="E4903" s="64">
        <v>1</v>
      </c>
    </row>
    <row r="4904" spans="1:5">
      <c r="A4904" s="64" t="s">
        <v>24</v>
      </c>
      <c r="B4904" s="65">
        <v>43411</v>
      </c>
      <c r="C4904" s="66" t="s">
        <v>218</v>
      </c>
      <c r="D4904" s="3" t="s">
        <v>11</v>
      </c>
      <c r="E4904" s="64">
        <v>1</v>
      </c>
    </row>
    <row r="4905" spans="1:5">
      <c r="A4905" s="64" t="s">
        <v>24</v>
      </c>
      <c r="B4905" s="65">
        <v>43412</v>
      </c>
      <c r="C4905" s="66" t="s">
        <v>219</v>
      </c>
      <c r="D4905" s="3" t="s">
        <v>11</v>
      </c>
      <c r="E4905" s="64">
        <v>1</v>
      </c>
    </row>
    <row r="4906" spans="1:5">
      <c r="A4906" s="64" t="s">
        <v>24</v>
      </c>
      <c r="B4906" s="65">
        <v>43413</v>
      </c>
      <c r="C4906" s="66" t="s">
        <v>220</v>
      </c>
      <c r="D4906" s="3" t="s">
        <v>11</v>
      </c>
      <c r="E4906" s="64">
        <v>1</v>
      </c>
    </row>
    <row r="4907" spans="1:5">
      <c r="A4907" s="64" t="s">
        <v>24</v>
      </c>
      <c r="B4907" s="65">
        <v>43414</v>
      </c>
      <c r="C4907" s="66" t="s">
        <v>221</v>
      </c>
      <c r="D4907" s="3" t="s">
        <v>11</v>
      </c>
      <c r="E4907" s="64">
        <v>1</v>
      </c>
    </row>
    <row r="4908" spans="1:5">
      <c r="A4908" s="64" t="s">
        <v>24</v>
      </c>
      <c r="B4908" s="65">
        <v>43415</v>
      </c>
      <c r="C4908" s="66" t="s">
        <v>222</v>
      </c>
      <c r="D4908" s="3" t="s">
        <v>11</v>
      </c>
      <c r="E4908" s="64">
        <v>1</v>
      </c>
    </row>
    <row r="4909" spans="1:5">
      <c r="A4909" s="64" t="s">
        <v>24</v>
      </c>
      <c r="B4909" s="65">
        <v>43416</v>
      </c>
      <c r="C4909" s="66" t="s">
        <v>216</v>
      </c>
      <c r="D4909" s="3" t="s">
        <v>11</v>
      </c>
      <c r="E4909" s="64">
        <v>1</v>
      </c>
    </row>
    <row r="4910" spans="1:5">
      <c r="A4910" s="64" t="s">
        <v>24</v>
      </c>
      <c r="B4910" s="65">
        <v>43417</v>
      </c>
      <c r="C4910" s="66" t="s">
        <v>217</v>
      </c>
      <c r="D4910" s="3" t="s">
        <v>11</v>
      </c>
      <c r="E4910" s="64">
        <v>1</v>
      </c>
    </row>
    <row r="4911" spans="1:5">
      <c r="A4911" s="64" t="s">
        <v>24</v>
      </c>
      <c r="B4911" s="65">
        <v>43418</v>
      </c>
      <c r="C4911" s="66" t="s">
        <v>218</v>
      </c>
      <c r="D4911" s="3" t="s">
        <v>11</v>
      </c>
      <c r="E4911" s="64">
        <v>1</v>
      </c>
    </row>
    <row r="4912" spans="1:5">
      <c r="A4912" s="64" t="s">
        <v>24</v>
      </c>
      <c r="B4912" s="65">
        <v>43419</v>
      </c>
      <c r="C4912" s="66" t="s">
        <v>219</v>
      </c>
      <c r="D4912" s="3" t="s">
        <v>11</v>
      </c>
      <c r="E4912" s="64">
        <v>1</v>
      </c>
    </row>
    <row r="4913" spans="1:5">
      <c r="A4913" s="64" t="s">
        <v>24</v>
      </c>
      <c r="B4913" s="65">
        <v>43420</v>
      </c>
      <c r="C4913" s="66" t="s">
        <v>220</v>
      </c>
      <c r="D4913" s="3" t="s">
        <v>11</v>
      </c>
      <c r="E4913" s="64">
        <v>1</v>
      </c>
    </row>
    <row r="4914" spans="1:5">
      <c r="A4914" s="64" t="s">
        <v>24</v>
      </c>
      <c r="B4914" s="65">
        <v>43421</v>
      </c>
      <c r="C4914" s="66" t="s">
        <v>221</v>
      </c>
      <c r="D4914" s="3" t="s">
        <v>11</v>
      </c>
      <c r="E4914" s="64">
        <v>1</v>
      </c>
    </row>
    <row r="4915" spans="1:5">
      <c r="A4915" s="64" t="s">
        <v>24</v>
      </c>
      <c r="B4915" s="65">
        <v>43422</v>
      </c>
      <c r="C4915" s="66" t="s">
        <v>222</v>
      </c>
      <c r="D4915" s="3" t="s">
        <v>11</v>
      </c>
      <c r="E4915" s="64">
        <v>1</v>
      </c>
    </row>
    <row r="4916" spans="1:5">
      <c r="A4916" s="64" t="s">
        <v>24</v>
      </c>
      <c r="B4916" s="65">
        <v>43423</v>
      </c>
      <c r="C4916" s="66" t="s">
        <v>216</v>
      </c>
      <c r="D4916" s="3" t="s">
        <v>11</v>
      </c>
      <c r="E4916" s="64">
        <v>1</v>
      </c>
    </row>
    <row r="4917" spans="1:5">
      <c r="A4917" s="64" t="s">
        <v>24</v>
      </c>
      <c r="B4917" s="65">
        <v>43424</v>
      </c>
      <c r="C4917" s="66" t="s">
        <v>217</v>
      </c>
      <c r="D4917" s="3" t="s">
        <v>11</v>
      </c>
      <c r="E4917" s="64">
        <v>1</v>
      </c>
    </row>
    <row r="4918" spans="1:5">
      <c r="A4918" s="64" t="s">
        <v>24</v>
      </c>
      <c r="B4918" s="65">
        <v>43425</v>
      </c>
      <c r="C4918" s="66" t="s">
        <v>218</v>
      </c>
      <c r="D4918" s="3" t="s">
        <v>11</v>
      </c>
      <c r="E4918" s="64">
        <v>1</v>
      </c>
    </row>
    <row r="4919" spans="1:5">
      <c r="A4919" s="64" t="s">
        <v>24</v>
      </c>
      <c r="B4919" s="65">
        <v>43426</v>
      </c>
      <c r="C4919" s="66" t="s">
        <v>219</v>
      </c>
      <c r="D4919" s="3" t="s">
        <v>11</v>
      </c>
      <c r="E4919" s="64">
        <v>1</v>
      </c>
    </row>
    <row r="4920" spans="1:5">
      <c r="A4920" s="64" t="s">
        <v>24</v>
      </c>
      <c r="B4920" s="65">
        <v>43427</v>
      </c>
      <c r="C4920" s="66" t="s">
        <v>220</v>
      </c>
      <c r="D4920" s="3" t="s">
        <v>11</v>
      </c>
      <c r="E4920" s="64">
        <v>1</v>
      </c>
    </row>
    <row r="4921" spans="1:5">
      <c r="A4921" s="64" t="s">
        <v>24</v>
      </c>
      <c r="B4921" s="65">
        <v>43428</v>
      </c>
      <c r="C4921" s="66" t="s">
        <v>221</v>
      </c>
      <c r="D4921" s="3" t="s">
        <v>11</v>
      </c>
      <c r="E4921" s="64">
        <v>1</v>
      </c>
    </row>
    <row r="4922" spans="1:5">
      <c r="A4922" s="64" t="s">
        <v>24</v>
      </c>
      <c r="B4922" s="65">
        <v>43429</v>
      </c>
      <c r="C4922" s="66" t="s">
        <v>222</v>
      </c>
      <c r="D4922" s="3" t="s">
        <v>11</v>
      </c>
      <c r="E4922" s="64">
        <v>1</v>
      </c>
    </row>
    <row r="4923" spans="1:5">
      <c r="A4923" s="64" t="s">
        <v>24</v>
      </c>
      <c r="B4923" s="65">
        <v>43430</v>
      </c>
      <c r="C4923" s="66" t="s">
        <v>216</v>
      </c>
      <c r="D4923" s="3" t="s">
        <v>11</v>
      </c>
      <c r="E4923" s="64">
        <v>1</v>
      </c>
    </row>
    <row r="4924" spans="1:5">
      <c r="A4924" s="64" t="s">
        <v>24</v>
      </c>
      <c r="B4924" s="65">
        <v>43431</v>
      </c>
      <c r="C4924" s="66" t="s">
        <v>217</v>
      </c>
      <c r="D4924" s="3" t="s">
        <v>11</v>
      </c>
      <c r="E4924" s="64">
        <v>1</v>
      </c>
    </row>
    <row r="4925" spans="1:5">
      <c r="A4925" s="64" t="s">
        <v>24</v>
      </c>
      <c r="B4925" s="65">
        <v>43432</v>
      </c>
      <c r="C4925" s="66" t="s">
        <v>218</v>
      </c>
      <c r="D4925" s="3" t="s">
        <v>11</v>
      </c>
      <c r="E4925" s="64">
        <v>1</v>
      </c>
    </row>
    <row r="4926" spans="1:5">
      <c r="A4926" s="64" t="s">
        <v>24</v>
      </c>
      <c r="B4926" s="65">
        <v>43433</v>
      </c>
      <c r="C4926" s="66" t="s">
        <v>219</v>
      </c>
      <c r="D4926" s="3" t="s">
        <v>11</v>
      </c>
      <c r="E4926" s="64">
        <v>1</v>
      </c>
    </row>
    <row r="4927" spans="1:5">
      <c r="A4927" s="64" t="s">
        <v>24</v>
      </c>
      <c r="B4927" s="65">
        <v>43434</v>
      </c>
      <c r="C4927" s="66" t="s">
        <v>220</v>
      </c>
      <c r="D4927" s="3" t="s">
        <v>11</v>
      </c>
      <c r="E4927" s="64">
        <v>1</v>
      </c>
    </row>
    <row r="4928" spans="1:5">
      <c r="A4928" s="64" t="s">
        <v>24</v>
      </c>
      <c r="B4928" s="65">
        <v>43435</v>
      </c>
      <c r="C4928" s="66" t="s">
        <v>221</v>
      </c>
      <c r="D4928" s="3" t="s">
        <v>11</v>
      </c>
      <c r="E4928" s="64">
        <v>1</v>
      </c>
    </row>
    <row r="4929" spans="1:5">
      <c r="A4929" s="64" t="s">
        <v>24</v>
      </c>
      <c r="B4929" s="65">
        <v>43436</v>
      </c>
      <c r="C4929" s="66" t="s">
        <v>222</v>
      </c>
      <c r="D4929" s="3" t="s">
        <v>11</v>
      </c>
      <c r="E4929" s="64">
        <v>1</v>
      </c>
    </row>
    <row r="4930" spans="1:5">
      <c r="A4930" s="64" t="s">
        <v>24</v>
      </c>
      <c r="B4930" s="65">
        <v>43437</v>
      </c>
      <c r="C4930" s="66" t="s">
        <v>216</v>
      </c>
      <c r="D4930" s="3" t="s">
        <v>11</v>
      </c>
      <c r="E4930" s="64">
        <v>1</v>
      </c>
    </row>
    <row r="4931" spans="1:5">
      <c r="A4931" s="64" t="s">
        <v>24</v>
      </c>
      <c r="B4931" s="65">
        <v>43438</v>
      </c>
      <c r="C4931" s="66" t="s">
        <v>217</v>
      </c>
      <c r="D4931" s="3" t="s">
        <v>11</v>
      </c>
      <c r="E4931" s="64">
        <v>1</v>
      </c>
    </row>
    <row r="4932" spans="1:5">
      <c r="A4932" s="64" t="s">
        <v>24</v>
      </c>
      <c r="B4932" s="65">
        <v>43439</v>
      </c>
      <c r="C4932" s="66" t="s">
        <v>218</v>
      </c>
      <c r="D4932" s="3" t="s">
        <v>11</v>
      </c>
      <c r="E4932" s="64">
        <v>1</v>
      </c>
    </row>
    <row r="4933" spans="1:5">
      <c r="A4933" s="64" t="s">
        <v>24</v>
      </c>
      <c r="B4933" s="65">
        <v>43440</v>
      </c>
      <c r="C4933" s="66" t="s">
        <v>219</v>
      </c>
      <c r="D4933" s="3" t="s">
        <v>11</v>
      </c>
      <c r="E4933" s="64">
        <v>1</v>
      </c>
    </row>
    <row r="4934" spans="1:5">
      <c r="A4934" s="64" t="s">
        <v>24</v>
      </c>
      <c r="B4934" s="65">
        <v>43441</v>
      </c>
      <c r="C4934" s="66" t="s">
        <v>220</v>
      </c>
      <c r="D4934" s="3" t="s">
        <v>11</v>
      </c>
      <c r="E4934" s="64">
        <v>1</v>
      </c>
    </row>
    <row r="4935" spans="1:5">
      <c r="A4935" s="64" t="s">
        <v>24</v>
      </c>
      <c r="B4935" s="65">
        <v>43442</v>
      </c>
      <c r="C4935" s="66" t="s">
        <v>221</v>
      </c>
      <c r="D4935" s="3" t="s">
        <v>11</v>
      </c>
      <c r="E4935" s="64">
        <v>1</v>
      </c>
    </row>
    <row r="4936" spans="1:5">
      <c r="A4936" s="64" t="s">
        <v>24</v>
      </c>
      <c r="B4936" s="65">
        <v>43443</v>
      </c>
      <c r="C4936" s="66" t="s">
        <v>222</v>
      </c>
      <c r="D4936" s="3" t="s">
        <v>11</v>
      </c>
      <c r="E4936" s="64">
        <v>1</v>
      </c>
    </row>
    <row r="4937" spans="1:5">
      <c r="A4937" s="64" t="s">
        <v>24</v>
      </c>
      <c r="B4937" s="65">
        <v>43444</v>
      </c>
      <c r="C4937" s="66" t="s">
        <v>216</v>
      </c>
      <c r="D4937" s="3" t="s">
        <v>11</v>
      </c>
      <c r="E4937" s="64">
        <v>1</v>
      </c>
    </row>
    <row r="4938" spans="1:5">
      <c r="A4938" s="64" t="s">
        <v>24</v>
      </c>
      <c r="B4938" s="65">
        <v>43445</v>
      </c>
      <c r="C4938" s="66" t="s">
        <v>217</v>
      </c>
      <c r="D4938" s="3" t="s">
        <v>11</v>
      </c>
      <c r="E4938" s="64">
        <v>1</v>
      </c>
    </row>
    <row r="4939" spans="1:5">
      <c r="A4939" s="64" t="s">
        <v>24</v>
      </c>
      <c r="B4939" s="65">
        <v>43446</v>
      </c>
      <c r="C4939" s="66" t="s">
        <v>218</v>
      </c>
      <c r="D4939" s="3" t="s">
        <v>11</v>
      </c>
      <c r="E4939" s="64">
        <v>1</v>
      </c>
    </row>
    <row r="4940" spans="1:5">
      <c r="A4940" s="64" t="s">
        <v>24</v>
      </c>
      <c r="B4940" s="65">
        <v>43447</v>
      </c>
      <c r="C4940" s="66" t="s">
        <v>219</v>
      </c>
      <c r="D4940" s="3" t="s">
        <v>11</v>
      </c>
      <c r="E4940" s="64">
        <v>1</v>
      </c>
    </row>
    <row r="4941" spans="1:5">
      <c r="A4941" s="64" t="s">
        <v>24</v>
      </c>
      <c r="B4941" s="65">
        <v>43448</v>
      </c>
      <c r="C4941" s="66" t="s">
        <v>220</v>
      </c>
      <c r="D4941" s="3" t="s">
        <v>11</v>
      </c>
      <c r="E4941" s="64">
        <v>1</v>
      </c>
    </row>
    <row r="4942" spans="1:5">
      <c r="A4942" s="64" t="s">
        <v>24</v>
      </c>
      <c r="B4942" s="65">
        <v>43449</v>
      </c>
      <c r="C4942" s="66" t="s">
        <v>221</v>
      </c>
      <c r="D4942" s="3" t="s">
        <v>11</v>
      </c>
      <c r="E4942" s="64">
        <v>1</v>
      </c>
    </row>
    <row r="4943" spans="1:5">
      <c r="A4943" s="64" t="s">
        <v>24</v>
      </c>
      <c r="B4943" s="65">
        <v>43450</v>
      </c>
      <c r="C4943" s="66" t="s">
        <v>222</v>
      </c>
      <c r="D4943" s="3" t="s">
        <v>11</v>
      </c>
      <c r="E4943" s="64">
        <v>1</v>
      </c>
    </row>
    <row r="4944" spans="1:5">
      <c r="A4944" s="64" t="s">
        <v>24</v>
      </c>
      <c r="B4944" s="65">
        <v>43451</v>
      </c>
      <c r="C4944" s="66" t="s">
        <v>216</v>
      </c>
      <c r="D4944" s="3" t="s">
        <v>11</v>
      </c>
      <c r="E4944" s="64">
        <v>1</v>
      </c>
    </row>
    <row r="4945" spans="1:5">
      <c r="A4945" s="64" t="s">
        <v>24</v>
      </c>
      <c r="B4945" s="65">
        <v>43452</v>
      </c>
      <c r="C4945" s="66" t="s">
        <v>217</v>
      </c>
      <c r="D4945" s="3" t="s">
        <v>11</v>
      </c>
      <c r="E4945" s="64">
        <v>1</v>
      </c>
    </row>
    <row r="4946" spans="1:5">
      <c r="A4946" s="64" t="s">
        <v>24</v>
      </c>
      <c r="B4946" s="65">
        <v>43453</v>
      </c>
      <c r="C4946" s="66" t="s">
        <v>218</v>
      </c>
      <c r="D4946" s="3" t="s">
        <v>11</v>
      </c>
      <c r="E4946" s="64">
        <v>1</v>
      </c>
    </row>
    <row r="4947" spans="1:5">
      <c r="A4947" s="64" t="s">
        <v>24</v>
      </c>
      <c r="B4947" s="65">
        <v>43454</v>
      </c>
      <c r="C4947" s="66" t="s">
        <v>219</v>
      </c>
      <c r="D4947" s="3" t="s">
        <v>11</v>
      </c>
      <c r="E4947" s="64">
        <v>1</v>
      </c>
    </row>
    <row r="4948" spans="1:5">
      <c r="A4948" s="64" t="s">
        <v>24</v>
      </c>
      <c r="B4948" s="65">
        <v>43455</v>
      </c>
      <c r="C4948" s="66" t="s">
        <v>220</v>
      </c>
      <c r="D4948" s="3" t="s">
        <v>11</v>
      </c>
      <c r="E4948" s="64">
        <v>1</v>
      </c>
    </row>
    <row r="4949" spans="1:5">
      <c r="A4949" s="64" t="s">
        <v>24</v>
      </c>
      <c r="B4949" s="65">
        <v>43456</v>
      </c>
      <c r="C4949" s="66" t="s">
        <v>221</v>
      </c>
      <c r="D4949" s="3" t="s">
        <v>11</v>
      </c>
      <c r="E4949" s="64">
        <v>1</v>
      </c>
    </row>
    <row r="4950" spans="1:5">
      <c r="A4950" s="64" t="s">
        <v>24</v>
      </c>
      <c r="B4950" s="65">
        <v>43457</v>
      </c>
      <c r="C4950" s="66" t="s">
        <v>222</v>
      </c>
      <c r="D4950" s="3" t="s">
        <v>11</v>
      </c>
      <c r="E4950" s="64">
        <v>1</v>
      </c>
    </row>
    <row r="4951" spans="1:5">
      <c r="A4951" s="64" t="s">
        <v>24</v>
      </c>
      <c r="B4951" s="65">
        <v>43458</v>
      </c>
      <c r="C4951" s="66" t="s">
        <v>216</v>
      </c>
      <c r="D4951" s="3" t="s">
        <v>11</v>
      </c>
      <c r="E4951" s="64">
        <v>1</v>
      </c>
    </row>
    <row r="4952" spans="1:5">
      <c r="A4952" s="64" t="s">
        <v>24</v>
      </c>
      <c r="B4952" s="65">
        <v>43459</v>
      </c>
      <c r="C4952" s="66" t="s">
        <v>217</v>
      </c>
      <c r="D4952" s="3" t="s">
        <v>11</v>
      </c>
      <c r="E4952" s="64">
        <v>1</v>
      </c>
    </row>
    <row r="4953" spans="1:5">
      <c r="A4953" s="64" t="s">
        <v>24</v>
      </c>
      <c r="B4953" s="65">
        <v>43460</v>
      </c>
      <c r="C4953" s="66" t="s">
        <v>218</v>
      </c>
      <c r="D4953" s="3" t="s">
        <v>11</v>
      </c>
      <c r="E4953" s="64">
        <v>1</v>
      </c>
    </row>
    <row r="4954" spans="1:5">
      <c r="A4954" s="64" t="s">
        <v>24</v>
      </c>
      <c r="B4954" s="65">
        <v>43461</v>
      </c>
      <c r="C4954" s="66" t="s">
        <v>219</v>
      </c>
      <c r="D4954" s="3" t="s">
        <v>11</v>
      </c>
      <c r="E4954" s="64">
        <v>1</v>
      </c>
    </row>
    <row r="4955" spans="1:5">
      <c r="A4955" s="64" t="s">
        <v>24</v>
      </c>
      <c r="B4955" s="65">
        <v>43462</v>
      </c>
      <c r="C4955" s="66" t="s">
        <v>220</v>
      </c>
      <c r="D4955" s="3" t="s">
        <v>11</v>
      </c>
      <c r="E4955" s="64">
        <v>1</v>
      </c>
    </row>
    <row r="4956" spans="1:5">
      <c r="A4956" s="64" t="s">
        <v>24</v>
      </c>
      <c r="B4956" s="65">
        <v>43463</v>
      </c>
      <c r="C4956" s="66" t="s">
        <v>221</v>
      </c>
      <c r="D4956" s="3" t="s">
        <v>11</v>
      </c>
      <c r="E4956" s="64">
        <v>1</v>
      </c>
    </row>
    <row r="4957" spans="1:5">
      <c r="A4957" s="64" t="s">
        <v>24</v>
      </c>
      <c r="B4957" s="65">
        <v>43464</v>
      </c>
      <c r="C4957" s="66" t="s">
        <v>222</v>
      </c>
      <c r="D4957" s="3" t="s">
        <v>11</v>
      </c>
      <c r="E4957" s="64">
        <v>1</v>
      </c>
    </row>
    <row r="4958" spans="1:5">
      <c r="A4958" s="64" t="s">
        <v>24</v>
      </c>
      <c r="B4958" s="65">
        <v>43465</v>
      </c>
      <c r="C4958" s="66" t="s">
        <v>216</v>
      </c>
      <c r="D4958" s="3" t="s">
        <v>11</v>
      </c>
      <c r="E4958" s="64">
        <v>1</v>
      </c>
    </row>
    <row r="4959" spans="1:5">
      <c r="A4959" s="64" t="s">
        <v>24</v>
      </c>
      <c r="B4959" s="65">
        <v>43466</v>
      </c>
      <c r="C4959" s="66" t="s">
        <v>217</v>
      </c>
      <c r="D4959" s="3" t="s">
        <v>11</v>
      </c>
      <c r="E4959" s="64">
        <v>1</v>
      </c>
    </row>
    <row r="4960" spans="1:5">
      <c r="A4960" s="64" t="s">
        <v>24</v>
      </c>
      <c r="B4960" s="65">
        <v>43467</v>
      </c>
      <c r="C4960" s="66" t="s">
        <v>218</v>
      </c>
      <c r="D4960" s="3" t="s">
        <v>11</v>
      </c>
      <c r="E4960" s="64">
        <v>1</v>
      </c>
    </row>
    <row r="4961" spans="1:5">
      <c r="A4961" s="64" t="s">
        <v>24</v>
      </c>
      <c r="B4961" s="65">
        <v>43468</v>
      </c>
      <c r="C4961" s="66" t="s">
        <v>219</v>
      </c>
      <c r="D4961" s="3" t="s">
        <v>11</v>
      </c>
      <c r="E4961" s="64">
        <v>1</v>
      </c>
    </row>
    <row r="4962" spans="1:5">
      <c r="A4962" s="64" t="s">
        <v>24</v>
      </c>
      <c r="B4962" s="65">
        <v>43469</v>
      </c>
      <c r="C4962" s="66" t="s">
        <v>220</v>
      </c>
      <c r="D4962" s="3" t="s">
        <v>11</v>
      </c>
      <c r="E4962" s="64">
        <v>1</v>
      </c>
    </row>
    <row r="4963" spans="1:5">
      <c r="A4963" s="64" t="s">
        <v>24</v>
      </c>
      <c r="B4963" s="65">
        <v>43470</v>
      </c>
      <c r="C4963" s="66" t="s">
        <v>221</v>
      </c>
      <c r="D4963" s="3" t="s">
        <v>11</v>
      </c>
      <c r="E4963" s="64">
        <v>1</v>
      </c>
    </row>
    <row r="4964" spans="1:5">
      <c r="A4964" s="64" t="s">
        <v>24</v>
      </c>
      <c r="B4964" s="65">
        <v>43471</v>
      </c>
      <c r="C4964" s="66" t="s">
        <v>222</v>
      </c>
      <c r="D4964" s="3" t="s">
        <v>11</v>
      </c>
      <c r="E4964" s="64">
        <v>1</v>
      </c>
    </row>
    <row r="4965" spans="1:5">
      <c r="A4965" s="64" t="s">
        <v>24</v>
      </c>
      <c r="B4965" s="65">
        <v>43472</v>
      </c>
      <c r="C4965" s="66" t="s">
        <v>216</v>
      </c>
      <c r="D4965" s="3" t="s">
        <v>11</v>
      </c>
      <c r="E4965" s="64">
        <v>1</v>
      </c>
    </row>
    <row r="4966" spans="1:5">
      <c r="A4966" s="64" t="s">
        <v>24</v>
      </c>
      <c r="B4966" s="65">
        <v>43473</v>
      </c>
      <c r="C4966" s="66" t="s">
        <v>217</v>
      </c>
      <c r="D4966" s="3" t="s">
        <v>11</v>
      </c>
      <c r="E4966" s="64">
        <v>1</v>
      </c>
    </row>
    <row r="4967" spans="1:5">
      <c r="A4967" s="64" t="s">
        <v>24</v>
      </c>
      <c r="B4967" s="65">
        <v>43474</v>
      </c>
      <c r="C4967" s="66" t="s">
        <v>218</v>
      </c>
      <c r="D4967" s="3" t="s">
        <v>11</v>
      </c>
      <c r="E4967" s="64">
        <v>1</v>
      </c>
    </row>
    <row r="4968" spans="1:5">
      <c r="A4968" s="64" t="s">
        <v>24</v>
      </c>
      <c r="B4968" s="65">
        <v>43475</v>
      </c>
      <c r="C4968" s="66" t="s">
        <v>219</v>
      </c>
      <c r="D4968" s="3" t="s">
        <v>11</v>
      </c>
      <c r="E4968" s="64">
        <v>1</v>
      </c>
    </row>
    <row r="4969" spans="1:5">
      <c r="A4969" s="64" t="s">
        <v>24</v>
      </c>
      <c r="B4969" s="65">
        <v>43476</v>
      </c>
      <c r="C4969" s="66" t="s">
        <v>220</v>
      </c>
      <c r="D4969" s="3" t="s">
        <v>11</v>
      </c>
      <c r="E4969" s="64">
        <v>1</v>
      </c>
    </row>
    <row r="4970" spans="1:5">
      <c r="A4970" s="64" t="s">
        <v>24</v>
      </c>
      <c r="B4970" s="65">
        <v>43477</v>
      </c>
      <c r="C4970" s="66" t="s">
        <v>221</v>
      </c>
      <c r="D4970" s="3" t="s">
        <v>11</v>
      </c>
      <c r="E4970" s="64">
        <v>1</v>
      </c>
    </row>
    <row r="4971" spans="1:5">
      <c r="A4971" s="64" t="s">
        <v>24</v>
      </c>
      <c r="B4971" s="65">
        <v>43478</v>
      </c>
      <c r="C4971" s="66" t="s">
        <v>222</v>
      </c>
      <c r="D4971" s="3" t="s">
        <v>11</v>
      </c>
      <c r="E4971" s="64">
        <v>1</v>
      </c>
    </row>
    <row r="4972" spans="1:5">
      <c r="A4972" s="64" t="s">
        <v>24</v>
      </c>
      <c r="B4972" s="65">
        <v>43479</v>
      </c>
      <c r="C4972" s="66" t="s">
        <v>216</v>
      </c>
      <c r="D4972" s="3" t="s">
        <v>11</v>
      </c>
      <c r="E4972" s="64">
        <v>1</v>
      </c>
    </row>
    <row r="4973" spans="1:5">
      <c r="A4973" s="64" t="s">
        <v>24</v>
      </c>
      <c r="B4973" s="65">
        <v>43480</v>
      </c>
      <c r="C4973" s="66" t="s">
        <v>217</v>
      </c>
      <c r="D4973" s="3" t="s">
        <v>11</v>
      </c>
      <c r="E4973" s="64">
        <v>1</v>
      </c>
    </row>
    <row r="4974" spans="1:5">
      <c r="A4974" s="64" t="s">
        <v>24</v>
      </c>
      <c r="B4974" s="65">
        <v>43481</v>
      </c>
      <c r="C4974" s="66" t="s">
        <v>218</v>
      </c>
      <c r="D4974" s="3" t="s">
        <v>11</v>
      </c>
      <c r="E4974" s="64">
        <v>1</v>
      </c>
    </row>
    <row r="4975" spans="1:5">
      <c r="A4975" s="64" t="s">
        <v>24</v>
      </c>
      <c r="B4975" s="65">
        <v>43482</v>
      </c>
      <c r="C4975" s="66" t="s">
        <v>219</v>
      </c>
      <c r="D4975" s="3" t="s">
        <v>11</v>
      </c>
      <c r="E4975" s="64">
        <v>1</v>
      </c>
    </row>
    <row r="4976" spans="1:5">
      <c r="A4976" s="64" t="s">
        <v>24</v>
      </c>
      <c r="B4976" s="65">
        <v>43483</v>
      </c>
      <c r="C4976" s="66" t="s">
        <v>220</v>
      </c>
      <c r="D4976" s="3" t="s">
        <v>11</v>
      </c>
      <c r="E4976" s="64">
        <v>1</v>
      </c>
    </row>
    <row r="4977" spans="1:5">
      <c r="A4977" s="64" t="s">
        <v>24</v>
      </c>
      <c r="B4977" s="65">
        <v>43484</v>
      </c>
      <c r="C4977" s="66" t="s">
        <v>221</v>
      </c>
      <c r="D4977" s="3" t="s">
        <v>11</v>
      </c>
      <c r="E4977" s="64">
        <v>1</v>
      </c>
    </row>
    <row r="4978" spans="1:5">
      <c r="A4978" s="64" t="s">
        <v>24</v>
      </c>
      <c r="B4978" s="65">
        <v>43485</v>
      </c>
      <c r="C4978" s="66" t="s">
        <v>222</v>
      </c>
      <c r="D4978" s="3" t="s">
        <v>11</v>
      </c>
      <c r="E4978" s="64">
        <v>1</v>
      </c>
    </row>
    <row r="4979" spans="1:5">
      <c r="A4979" s="64" t="s">
        <v>24</v>
      </c>
      <c r="B4979" s="65">
        <v>43486</v>
      </c>
      <c r="C4979" s="66" t="s">
        <v>216</v>
      </c>
      <c r="D4979" s="3" t="s">
        <v>11</v>
      </c>
      <c r="E4979" s="64">
        <v>1</v>
      </c>
    </row>
    <row r="4980" spans="1:5">
      <c r="A4980" s="64" t="s">
        <v>24</v>
      </c>
      <c r="B4980" s="65">
        <v>43487</v>
      </c>
      <c r="C4980" s="66" t="s">
        <v>217</v>
      </c>
      <c r="D4980" s="3" t="s">
        <v>11</v>
      </c>
      <c r="E4980" s="64">
        <v>1</v>
      </c>
    </row>
    <row r="4981" spans="1:5">
      <c r="A4981" s="64" t="s">
        <v>24</v>
      </c>
      <c r="B4981" s="65">
        <v>43488</v>
      </c>
      <c r="C4981" s="66" t="s">
        <v>218</v>
      </c>
      <c r="D4981" s="3" t="s">
        <v>11</v>
      </c>
      <c r="E4981" s="64">
        <v>1</v>
      </c>
    </row>
    <row r="4982" spans="1:5">
      <c r="A4982" s="64" t="s">
        <v>24</v>
      </c>
      <c r="B4982" s="65">
        <v>43489</v>
      </c>
      <c r="C4982" s="66" t="s">
        <v>219</v>
      </c>
      <c r="D4982" s="3" t="s">
        <v>11</v>
      </c>
      <c r="E4982" s="64">
        <v>1</v>
      </c>
    </row>
    <row r="4983" spans="1:5">
      <c r="A4983" s="64" t="s">
        <v>24</v>
      </c>
      <c r="B4983" s="65">
        <v>43490</v>
      </c>
      <c r="C4983" s="66" t="s">
        <v>220</v>
      </c>
      <c r="D4983" s="3" t="s">
        <v>11</v>
      </c>
      <c r="E4983" s="64">
        <v>1</v>
      </c>
    </row>
    <row r="4984" spans="1:5">
      <c r="A4984" s="64" t="s">
        <v>24</v>
      </c>
      <c r="B4984" s="65">
        <v>43491</v>
      </c>
      <c r="C4984" s="66" t="s">
        <v>221</v>
      </c>
      <c r="D4984" s="3" t="s">
        <v>11</v>
      </c>
      <c r="E4984" s="64">
        <v>1</v>
      </c>
    </row>
    <row r="4985" spans="1:5">
      <c r="A4985" s="64" t="s">
        <v>24</v>
      </c>
      <c r="B4985" s="65">
        <v>43492</v>
      </c>
      <c r="C4985" s="66" t="s">
        <v>222</v>
      </c>
      <c r="D4985" s="3" t="s">
        <v>11</v>
      </c>
      <c r="E4985" s="64">
        <v>1</v>
      </c>
    </row>
    <row r="4986" spans="1:5">
      <c r="A4986" s="64" t="s">
        <v>24</v>
      </c>
      <c r="B4986" s="65">
        <v>43493</v>
      </c>
      <c r="C4986" s="66" t="s">
        <v>216</v>
      </c>
      <c r="D4986" s="3" t="s">
        <v>11</v>
      </c>
      <c r="E4986" s="64">
        <v>1</v>
      </c>
    </row>
    <row r="4987" spans="1:5">
      <c r="A4987" s="64" t="s">
        <v>24</v>
      </c>
      <c r="B4987" s="65">
        <v>43494</v>
      </c>
      <c r="C4987" s="66" t="s">
        <v>217</v>
      </c>
      <c r="D4987" s="3" t="s">
        <v>11</v>
      </c>
      <c r="E4987" s="64">
        <v>1</v>
      </c>
    </row>
    <row r="4988" spans="1:5">
      <c r="A4988" s="64" t="s">
        <v>24</v>
      </c>
      <c r="B4988" s="65">
        <v>43495</v>
      </c>
      <c r="C4988" s="66" t="s">
        <v>218</v>
      </c>
      <c r="D4988" s="3" t="s">
        <v>11</v>
      </c>
      <c r="E4988" s="64">
        <v>1</v>
      </c>
    </row>
    <row r="4989" spans="1:5">
      <c r="A4989" s="64" t="s">
        <v>24</v>
      </c>
      <c r="B4989" s="65">
        <v>43496</v>
      </c>
      <c r="C4989" s="66" t="s">
        <v>219</v>
      </c>
      <c r="D4989" s="3" t="s">
        <v>11</v>
      </c>
      <c r="E4989" s="64">
        <v>1</v>
      </c>
    </row>
    <row r="4990" spans="1:5">
      <c r="A4990" s="64" t="s">
        <v>24</v>
      </c>
      <c r="B4990" s="65">
        <v>43497</v>
      </c>
      <c r="C4990" s="66" t="s">
        <v>220</v>
      </c>
      <c r="D4990" s="3" t="s">
        <v>11</v>
      </c>
      <c r="E4990" s="64">
        <v>1</v>
      </c>
    </row>
    <row r="4991" spans="1:5">
      <c r="A4991" s="64" t="s">
        <v>24</v>
      </c>
      <c r="B4991" s="65">
        <v>43498</v>
      </c>
      <c r="C4991" s="66" t="s">
        <v>221</v>
      </c>
      <c r="D4991" s="3" t="s">
        <v>11</v>
      </c>
      <c r="E4991" s="64">
        <v>1</v>
      </c>
    </row>
    <row r="4992" spans="1:5">
      <c r="A4992" s="64" t="s">
        <v>24</v>
      </c>
      <c r="B4992" s="65">
        <v>43499</v>
      </c>
      <c r="C4992" s="66" t="s">
        <v>222</v>
      </c>
      <c r="D4992" s="3" t="s">
        <v>11</v>
      </c>
      <c r="E4992" s="64">
        <v>1</v>
      </c>
    </row>
    <row r="4993" spans="1:5">
      <c r="A4993" s="64" t="s">
        <v>24</v>
      </c>
      <c r="B4993" s="65">
        <v>43500</v>
      </c>
      <c r="C4993" s="66" t="s">
        <v>216</v>
      </c>
      <c r="D4993" s="3" t="s">
        <v>11</v>
      </c>
      <c r="E4993" s="64">
        <v>1</v>
      </c>
    </row>
    <row r="4994" spans="1:5">
      <c r="A4994" s="64" t="s">
        <v>24</v>
      </c>
      <c r="B4994" s="65">
        <v>43501</v>
      </c>
      <c r="C4994" s="66" t="s">
        <v>217</v>
      </c>
      <c r="D4994" s="3" t="s">
        <v>11</v>
      </c>
      <c r="E4994" s="64">
        <v>1</v>
      </c>
    </row>
    <row r="4995" spans="1:5">
      <c r="A4995" s="64" t="s">
        <v>24</v>
      </c>
      <c r="B4995" s="65">
        <v>43502</v>
      </c>
      <c r="C4995" s="66" t="s">
        <v>218</v>
      </c>
      <c r="D4995" s="3" t="s">
        <v>11</v>
      </c>
      <c r="E4995" s="64">
        <v>1</v>
      </c>
    </row>
    <row r="4996" spans="1:5">
      <c r="A4996" s="64" t="s">
        <v>24</v>
      </c>
      <c r="B4996" s="65">
        <v>43503</v>
      </c>
      <c r="C4996" s="66" t="s">
        <v>219</v>
      </c>
      <c r="D4996" s="3" t="s">
        <v>11</v>
      </c>
      <c r="E4996" s="64">
        <v>1</v>
      </c>
    </row>
    <row r="4997" spans="1:5">
      <c r="A4997" s="64" t="s">
        <v>24</v>
      </c>
      <c r="B4997" s="65">
        <v>43504</v>
      </c>
      <c r="C4997" s="66" t="s">
        <v>220</v>
      </c>
      <c r="D4997" s="3" t="s">
        <v>11</v>
      </c>
      <c r="E4997" s="64">
        <v>1</v>
      </c>
    </row>
    <row r="4998" spans="1:5">
      <c r="A4998" s="64" t="s">
        <v>24</v>
      </c>
      <c r="B4998" s="65">
        <v>43505</v>
      </c>
      <c r="C4998" s="66" t="s">
        <v>221</v>
      </c>
      <c r="D4998" s="3" t="s">
        <v>11</v>
      </c>
      <c r="E4998" s="64">
        <v>1</v>
      </c>
    </row>
    <row r="4999" spans="1:5">
      <c r="A4999" s="64" t="s">
        <v>24</v>
      </c>
      <c r="B4999" s="65">
        <v>43506</v>
      </c>
      <c r="C4999" s="66" t="s">
        <v>222</v>
      </c>
      <c r="D4999" s="3" t="s">
        <v>11</v>
      </c>
      <c r="E4999" s="64">
        <v>1</v>
      </c>
    </row>
    <row r="5000" spans="1:5">
      <c r="A5000" s="64" t="s">
        <v>24</v>
      </c>
      <c r="B5000" s="65">
        <v>43507</v>
      </c>
      <c r="C5000" s="66" t="s">
        <v>216</v>
      </c>
      <c r="D5000" s="3" t="s">
        <v>11</v>
      </c>
      <c r="E5000" s="64">
        <v>1</v>
      </c>
    </row>
    <row r="5001" spans="1:5">
      <c r="A5001" s="64" t="s">
        <v>24</v>
      </c>
      <c r="B5001" s="65">
        <v>43508</v>
      </c>
      <c r="C5001" s="66" t="s">
        <v>217</v>
      </c>
      <c r="D5001" s="3" t="s">
        <v>11</v>
      </c>
      <c r="E5001" s="64">
        <v>1</v>
      </c>
    </row>
    <row r="5002" spans="1:5">
      <c r="A5002" s="64" t="s">
        <v>24</v>
      </c>
      <c r="B5002" s="65">
        <v>43509</v>
      </c>
      <c r="C5002" s="66" t="s">
        <v>218</v>
      </c>
      <c r="D5002" s="3" t="s">
        <v>11</v>
      </c>
      <c r="E5002" s="64">
        <v>1</v>
      </c>
    </row>
    <row r="5003" spans="1:5">
      <c r="A5003" s="64" t="s">
        <v>24</v>
      </c>
      <c r="B5003" s="65">
        <v>43510</v>
      </c>
      <c r="C5003" s="66" t="s">
        <v>219</v>
      </c>
      <c r="D5003" s="3" t="s">
        <v>11</v>
      </c>
      <c r="E5003" s="64">
        <v>1</v>
      </c>
    </row>
    <row r="5004" spans="1:5">
      <c r="A5004" s="64" t="s">
        <v>24</v>
      </c>
      <c r="B5004" s="65">
        <v>43511</v>
      </c>
      <c r="C5004" s="66" t="s">
        <v>220</v>
      </c>
      <c r="D5004" s="3" t="s">
        <v>11</v>
      </c>
      <c r="E5004" s="64">
        <v>1</v>
      </c>
    </row>
    <row r="5005" spans="1:5">
      <c r="A5005" s="64" t="s">
        <v>25</v>
      </c>
      <c r="B5005" s="65">
        <v>43263</v>
      </c>
      <c r="C5005" s="66" t="s">
        <v>217</v>
      </c>
      <c r="D5005" s="3" t="s">
        <v>26</v>
      </c>
      <c r="E5005" s="64">
        <v>1</v>
      </c>
    </row>
    <row r="5006" spans="1:5">
      <c r="A5006" s="64" t="s">
        <v>25</v>
      </c>
      <c r="B5006" s="65">
        <v>43264</v>
      </c>
      <c r="C5006" s="66" t="s">
        <v>218</v>
      </c>
      <c r="D5006" s="3" t="s">
        <v>26</v>
      </c>
      <c r="E5006" s="64">
        <v>1</v>
      </c>
    </row>
    <row r="5007" spans="1:5">
      <c r="A5007" s="64" t="s">
        <v>25</v>
      </c>
      <c r="B5007" s="65">
        <v>43265</v>
      </c>
      <c r="C5007" s="66" t="s">
        <v>219</v>
      </c>
      <c r="D5007" s="3" t="s">
        <v>26</v>
      </c>
      <c r="E5007" s="64">
        <v>1</v>
      </c>
    </row>
    <row r="5008" spans="1:5">
      <c r="A5008" s="64" t="s">
        <v>25</v>
      </c>
      <c r="B5008" s="65">
        <v>43266</v>
      </c>
      <c r="C5008" s="66" t="s">
        <v>220</v>
      </c>
      <c r="D5008" s="3" t="s">
        <v>26</v>
      </c>
      <c r="E5008" s="64">
        <v>1</v>
      </c>
    </row>
    <row r="5009" spans="1:5">
      <c r="A5009" s="64" t="s">
        <v>25</v>
      </c>
      <c r="B5009" s="65">
        <v>43269</v>
      </c>
      <c r="C5009" s="66" t="s">
        <v>216</v>
      </c>
      <c r="D5009" s="3" t="s">
        <v>26</v>
      </c>
      <c r="E5009" s="64">
        <v>1</v>
      </c>
    </row>
    <row r="5010" spans="1:5">
      <c r="A5010" s="64" t="s">
        <v>25</v>
      </c>
      <c r="B5010" s="65">
        <v>43270</v>
      </c>
      <c r="C5010" s="66" t="s">
        <v>217</v>
      </c>
      <c r="D5010" s="3" t="s">
        <v>26</v>
      </c>
      <c r="E5010" s="64">
        <v>1</v>
      </c>
    </row>
    <row r="5011" spans="1:5">
      <c r="A5011" s="64" t="s">
        <v>25</v>
      </c>
      <c r="B5011" s="65">
        <v>43271</v>
      </c>
      <c r="C5011" s="66" t="s">
        <v>218</v>
      </c>
      <c r="D5011" s="3" t="s">
        <v>26</v>
      </c>
      <c r="E5011" s="64">
        <v>1</v>
      </c>
    </row>
    <row r="5012" spans="1:5">
      <c r="A5012" s="64" t="s">
        <v>25</v>
      </c>
      <c r="B5012" s="65">
        <v>43272</v>
      </c>
      <c r="C5012" s="66" t="s">
        <v>219</v>
      </c>
      <c r="D5012" s="3" t="s">
        <v>26</v>
      </c>
      <c r="E5012" s="64">
        <v>1</v>
      </c>
    </row>
    <row r="5013" spans="1:5">
      <c r="A5013" s="64" t="s">
        <v>25</v>
      </c>
      <c r="B5013" s="65">
        <v>43273</v>
      </c>
      <c r="C5013" s="66" t="s">
        <v>220</v>
      </c>
      <c r="D5013" s="3" t="s">
        <v>26</v>
      </c>
      <c r="E5013" s="64">
        <v>1</v>
      </c>
    </row>
    <row r="5014" spans="1:5">
      <c r="A5014" s="64" t="s">
        <v>25</v>
      </c>
      <c r="B5014" s="65">
        <v>43276</v>
      </c>
      <c r="C5014" s="66" t="s">
        <v>216</v>
      </c>
      <c r="D5014" s="3" t="s">
        <v>26</v>
      </c>
      <c r="E5014" s="64">
        <v>1</v>
      </c>
    </row>
    <row r="5015" spans="1:5">
      <c r="A5015" s="64" t="s">
        <v>25</v>
      </c>
      <c r="B5015" s="65">
        <v>43277</v>
      </c>
      <c r="C5015" s="66" t="s">
        <v>217</v>
      </c>
      <c r="D5015" s="3" t="s">
        <v>26</v>
      </c>
      <c r="E5015" s="64">
        <v>1</v>
      </c>
    </row>
    <row r="5016" spans="1:5">
      <c r="A5016" s="64" t="s">
        <v>25</v>
      </c>
      <c r="B5016" s="65">
        <v>43278</v>
      </c>
      <c r="C5016" s="66" t="s">
        <v>218</v>
      </c>
      <c r="D5016" s="3" t="s">
        <v>26</v>
      </c>
      <c r="E5016" s="64">
        <v>1</v>
      </c>
    </row>
    <row r="5017" spans="1:5">
      <c r="A5017" s="64" t="s">
        <v>25</v>
      </c>
      <c r="B5017" s="65">
        <v>43279</v>
      </c>
      <c r="C5017" s="66" t="s">
        <v>219</v>
      </c>
      <c r="D5017" s="3" t="s">
        <v>26</v>
      </c>
      <c r="E5017" s="64">
        <v>1</v>
      </c>
    </row>
    <row r="5018" spans="1:5">
      <c r="A5018" s="64" t="s">
        <v>25</v>
      </c>
      <c r="B5018" s="65">
        <v>43280</v>
      </c>
      <c r="C5018" s="66" t="s">
        <v>220</v>
      </c>
      <c r="D5018" s="3" t="s">
        <v>26</v>
      </c>
      <c r="E5018" s="64">
        <v>1</v>
      </c>
    </row>
    <row r="5019" spans="1:5">
      <c r="A5019" s="64" t="s">
        <v>25</v>
      </c>
      <c r="B5019" s="65">
        <v>43283</v>
      </c>
      <c r="C5019" s="66" t="s">
        <v>216</v>
      </c>
      <c r="D5019" s="3" t="s">
        <v>26</v>
      </c>
      <c r="E5019" s="64">
        <v>1</v>
      </c>
    </row>
    <row r="5020" spans="1:5">
      <c r="A5020" s="64" t="s">
        <v>25</v>
      </c>
      <c r="B5020" s="65">
        <v>43284</v>
      </c>
      <c r="C5020" s="66" t="s">
        <v>217</v>
      </c>
      <c r="D5020" s="3" t="s">
        <v>26</v>
      </c>
      <c r="E5020" s="64">
        <v>1</v>
      </c>
    </row>
    <row r="5021" spans="1:5">
      <c r="A5021" s="64" t="s">
        <v>25</v>
      </c>
      <c r="B5021" s="65">
        <v>43285</v>
      </c>
      <c r="C5021" s="66" t="s">
        <v>218</v>
      </c>
      <c r="D5021" s="3" t="s">
        <v>26</v>
      </c>
      <c r="E5021" s="64">
        <v>1</v>
      </c>
    </row>
    <row r="5022" spans="1:5">
      <c r="A5022" s="64" t="s">
        <v>25</v>
      </c>
      <c r="B5022" s="65">
        <v>43286</v>
      </c>
      <c r="C5022" s="66" t="s">
        <v>219</v>
      </c>
      <c r="D5022" s="3" t="s">
        <v>26</v>
      </c>
      <c r="E5022" s="64">
        <v>1</v>
      </c>
    </row>
    <row r="5023" spans="1:5">
      <c r="A5023" s="64" t="s">
        <v>25</v>
      </c>
      <c r="B5023" s="65">
        <v>43287</v>
      </c>
      <c r="C5023" s="66" t="s">
        <v>220</v>
      </c>
      <c r="D5023" s="3" t="s">
        <v>26</v>
      </c>
      <c r="E5023" s="64">
        <v>1</v>
      </c>
    </row>
    <row r="5024" spans="1:5">
      <c r="A5024" s="64" t="s">
        <v>25</v>
      </c>
      <c r="B5024" s="65">
        <v>43290</v>
      </c>
      <c r="C5024" s="66" t="s">
        <v>216</v>
      </c>
      <c r="D5024" s="3" t="s">
        <v>26</v>
      </c>
      <c r="E5024" s="64">
        <v>1</v>
      </c>
    </row>
    <row r="5025" spans="1:5">
      <c r="A5025" s="64" t="s">
        <v>25</v>
      </c>
      <c r="B5025" s="65">
        <v>43291</v>
      </c>
      <c r="C5025" s="66" t="s">
        <v>217</v>
      </c>
      <c r="D5025" s="3" t="s">
        <v>26</v>
      </c>
      <c r="E5025" s="64">
        <v>1</v>
      </c>
    </row>
    <row r="5026" spans="1:5">
      <c r="A5026" s="64" t="s">
        <v>25</v>
      </c>
      <c r="B5026" s="65">
        <v>43292</v>
      </c>
      <c r="C5026" s="66" t="s">
        <v>218</v>
      </c>
      <c r="D5026" s="3" t="s">
        <v>26</v>
      </c>
      <c r="E5026" s="64">
        <v>1</v>
      </c>
    </row>
    <row r="5027" spans="1:5">
      <c r="A5027" s="64" t="s">
        <v>25</v>
      </c>
      <c r="B5027" s="65">
        <v>43293</v>
      </c>
      <c r="C5027" s="66" t="s">
        <v>219</v>
      </c>
      <c r="D5027" s="3" t="s">
        <v>26</v>
      </c>
      <c r="E5027" s="64">
        <v>1</v>
      </c>
    </row>
    <row r="5028" spans="1:5">
      <c r="A5028" s="64" t="s">
        <v>25</v>
      </c>
      <c r="B5028" s="65">
        <v>43294</v>
      </c>
      <c r="C5028" s="66" t="s">
        <v>220</v>
      </c>
      <c r="D5028" s="3" t="s">
        <v>26</v>
      </c>
      <c r="E5028" s="64">
        <v>1</v>
      </c>
    </row>
    <row r="5029" spans="1:5">
      <c r="A5029" s="64" t="s">
        <v>25</v>
      </c>
      <c r="B5029" s="65">
        <v>43297</v>
      </c>
      <c r="C5029" s="66" t="s">
        <v>216</v>
      </c>
      <c r="D5029" s="3" t="s">
        <v>26</v>
      </c>
      <c r="E5029" s="64">
        <v>1</v>
      </c>
    </row>
    <row r="5030" spans="1:5">
      <c r="A5030" s="64" t="s">
        <v>25</v>
      </c>
      <c r="B5030" s="65">
        <v>43298</v>
      </c>
      <c r="C5030" s="66" t="s">
        <v>217</v>
      </c>
      <c r="D5030" s="3" t="s">
        <v>26</v>
      </c>
      <c r="E5030" s="64">
        <v>1</v>
      </c>
    </row>
    <row r="5031" spans="1:5">
      <c r="A5031" s="64" t="s">
        <v>25</v>
      </c>
      <c r="B5031" s="65">
        <v>43299</v>
      </c>
      <c r="C5031" s="66" t="s">
        <v>218</v>
      </c>
      <c r="D5031" s="3" t="s">
        <v>26</v>
      </c>
      <c r="E5031" s="64">
        <v>1</v>
      </c>
    </row>
    <row r="5032" spans="1:5">
      <c r="A5032" s="64" t="s">
        <v>25</v>
      </c>
      <c r="B5032" s="65">
        <v>43300</v>
      </c>
      <c r="C5032" s="66" t="s">
        <v>219</v>
      </c>
      <c r="D5032" s="3" t="s">
        <v>26</v>
      </c>
      <c r="E5032" s="64">
        <v>1</v>
      </c>
    </row>
    <row r="5033" spans="1:5">
      <c r="A5033" s="64" t="s">
        <v>25</v>
      </c>
      <c r="B5033" s="65">
        <v>43301</v>
      </c>
      <c r="C5033" s="66" t="s">
        <v>220</v>
      </c>
      <c r="D5033" s="3" t="s">
        <v>26</v>
      </c>
      <c r="E5033" s="64">
        <v>1</v>
      </c>
    </row>
    <row r="5034" spans="1:5">
      <c r="A5034" s="64" t="s">
        <v>25</v>
      </c>
      <c r="B5034" s="65">
        <v>43304</v>
      </c>
      <c r="C5034" s="66" t="s">
        <v>216</v>
      </c>
      <c r="D5034" s="3" t="s">
        <v>26</v>
      </c>
      <c r="E5034" s="64">
        <v>1</v>
      </c>
    </row>
    <row r="5035" spans="1:5">
      <c r="A5035" s="64" t="s">
        <v>25</v>
      </c>
      <c r="B5035" s="65">
        <v>43305</v>
      </c>
      <c r="C5035" s="66" t="s">
        <v>217</v>
      </c>
      <c r="D5035" s="3" t="s">
        <v>26</v>
      </c>
      <c r="E5035" s="64">
        <v>1</v>
      </c>
    </row>
    <row r="5036" spans="1:5">
      <c r="A5036" s="64" t="s">
        <v>25</v>
      </c>
      <c r="B5036" s="65">
        <v>43306</v>
      </c>
      <c r="C5036" s="66" t="s">
        <v>218</v>
      </c>
      <c r="D5036" s="3" t="s">
        <v>26</v>
      </c>
      <c r="E5036" s="64">
        <v>1</v>
      </c>
    </row>
    <row r="5037" spans="1:5">
      <c r="A5037" s="64" t="s">
        <v>25</v>
      </c>
      <c r="B5037" s="65">
        <v>43307</v>
      </c>
      <c r="C5037" s="66" t="s">
        <v>219</v>
      </c>
      <c r="D5037" s="3" t="s">
        <v>26</v>
      </c>
      <c r="E5037" s="64">
        <v>1</v>
      </c>
    </row>
    <row r="5038" spans="1:5">
      <c r="A5038" s="64" t="s">
        <v>25</v>
      </c>
      <c r="B5038" s="65">
        <v>43308</v>
      </c>
      <c r="C5038" s="66" t="s">
        <v>220</v>
      </c>
      <c r="D5038" s="3" t="s">
        <v>26</v>
      </c>
      <c r="E5038" s="64">
        <v>1</v>
      </c>
    </row>
    <row r="5039" spans="1:5">
      <c r="A5039" s="64" t="s">
        <v>25</v>
      </c>
      <c r="B5039" s="65">
        <v>43311</v>
      </c>
      <c r="C5039" s="66" t="s">
        <v>216</v>
      </c>
      <c r="D5039" s="3" t="s">
        <v>26</v>
      </c>
      <c r="E5039" s="64">
        <v>1</v>
      </c>
    </row>
    <row r="5040" spans="1:5">
      <c r="A5040" s="64" t="s">
        <v>25</v>
      </c>
      <c r="B5040" s="65">
        <v>43312</v>
      </c>
      <c r="C5040" s="66" t="s">
        <v>217</v>
      </c>
      <c r="D5040" s="3" t="s">
        <v>26</v>
      </c>
      <c r="E5040" s="64">
        <v>1</v>
      </c>
    </row>
    <row r="5041" spans="1:5">
      <c r="A5041" s="64" t="s">
        <v>25</v>
      </c>
      <c r="B5041" s="65">
        <v>43313</v>
      </c>
      <c r="C5041" s="66" t="s">
        <v>218</v>
      </c>
      <c r="D5041" s="3" t="s">
        <v>26</v>
      </c>
      <c r="E5041" s="64">
        <v>1</v>
      </c>
    </row>
    <row r="5042" spans="1:5">
      <c r="A5042" s="64" t="s">
        <v>25</v>
      </c>
      <c r="B5042" s="65">
        <v>43314</v>
      </c>
      <c r="C5042" s="66" t="s">
        <v>219</v>
      </c>
      <c r="D5042" s="3" t="s">
        <v>26</v>
      </c>
      <c r="E5042" s="64">
        <v>1</v>
      </c>
    </row>
    <row r="5043" spans="1:5">
      <c r="A5043" s="64" t="s">
        <v>25</v>
      </c>
      <c r="B5043" s="65">
        <v>43315</v>
      </c>
      <c r="C5043" s="66" t="s">
        <v>220</v>
      </c>
      <c r="D5043" s="3" t="s">
        <v>26</v>
      </c>
      <c r="E5043" s="64">
        <v>1</v>
      </c>
    </row>
    <row r="5044" spans="1:5">
      <c r="A5044" s="64" t="s">
        <v>25</v>
      </c>
      <c r="B5044" s="65">
        <v>43318</v>
      </c>
      <c r="C5044" s="66" t="s">
        <v>216</v>
      </c>
      <c r="D5044" s="3" t="s">
        <v>26</v>
      </c>
      <c r="E5044" s="64">
        <v>1</v>
      </c>
    </row>
    <row r="5045" spans="1:5">
      <c r="A5045" s="64" t="s">
        <v>25</v>
      </c>
      <c r="B5045" s="65">
        <v>43319</v>
      </c>
      <c r="C5045" s="66" t="s">
        <v>217</v>
      </c>
      <c r="D5045" s="3" t="s">
        <v>26</v>
      </c>
      <c r="E5045" s="64">
        <v>1</v>
      </c>
    </row>
    <row r="5046" spans="1:5">
      <c r="A5046" s="64" t="s">
        <v>25</v>
      </c>
      <c r="B5046" s="65">
        <v>43320</v>
      </c>
      <c r="C5046" s="66" t="s">
        <v>218</v>
      </c>
      <c r="D5046" s="3" t="s">
        <v>26</v>
      </c>
      <c r="E5046" s="64">
        <v>1</v>
      </c>
    </row>
    <row r="5047" spans="1:5">
      <c r="A5047" s="64" t="s">
        <v>25</v>
      </c>
      <c r="B5047" s="65">
        <v>43321</v>
      </c>
      <c r="C5047" s="66" t="s">
        <v>219</v>
      </c>
      <c r="D5047" s="3" t="s">
        <v>26</v>
      </c>
      <c r="E5047" s="64">
        <v>1</v>
      </c>
    </row>
    <row r="5048" spans="1:5">
      <c r="A5048" s="64" t="s">
        <v>25</v>
      </c>
      <c r="B5048" s="65">
        <v>43322</v>
      </c>
      <c r="C5048" s="66" t="s">
        <v>220</v>
      </c>
      <c r="D5048" s="3" t="s">
        <v>26</v>
      </c>
      <c r="E5048" s="64">
        <v>1</v>
      </c>
    </row>
    <row r="5049" spans="1:5">
      <c r="A5049" s="64" t="s">
        <v>25</v>
      </c>
      <c r="B5049" s="65">
        <v>43325</v>
      </c>
      <c r="C5049" s="66" t="s">
        <v>216</v>
      </c>
      <c r="D5049" s="3" t="s">
        <v>26</v>
      </c>
      <c r="E5049" s="64">
        <v>1</v>
      </c>
    </row>
    <row r="5050" spans="1:5">
      <c r="A5050" s="64" t="s">
        <v>25</v>
      </c>
      <c r="B5050" s="65">
        <v>43326</v>
      </c>
      <c r="C5050" s="66" t="s">
        <v>217</v>
      </c>
      <c r="D5050" s="3" t="s">
        <v>26</v>
      </c>
      <c r="E5050" s="64">
        <v>1</v>
      </c>
    </row>
    <row r="5051" spans="1:5">
      <c r="A5051" s="64" t="s">
        <v>25</v>
      </c>
      <c r="B5051" s="65">
        <v>43327</v>
      </c>
      <c r="C5051" s="66" t="s">
        <v>218</v>
      </c>
      <c r="D5051" s="3" t="s">
        <v>26</v>
      </c>
      <c r="E5051" s="64">
        <v>1</v>
      </c>
    </row>
    <row r="5052" spans="1:5">
      <c r="A5052" s="64" t="s">
        <v>25</v>
      </c>
      <c r="B5052" s="65">
        <v>43328</v>
      </c>
      <c r="C5052" s="66" t="s">
        <v>219</v>
      </c>
      <c r="D5052" s="3" t="s">
        <v>26</v>
      </c>
      <c r="E5052" s="64">
        <v>1</v>
      </c>
    </row>
    <row r="5053" spans="1:5">
      <c r="A5053" s="64" t="s">
        <v>25</v>
      </c>
      <c r="B5053" s="65">
        <v>43329</v>
      </c>
      <c r="C5053" s="66" t="s">
        <v>220</v>
      </c>
      <c r="D5053" s="3" t="s">
        <v>26</v>
      </c>
      <c r="E5053" s="64">
        <v>1</v>
      </c>
    </row>
    <row r="5054" spans="1:5">
      <c r="A5054" s="64" t="s">
        <v>25</v>
      </c>
      <c r="B5054" s="65">
        <v>43332</v>
      </c>
      <c r="C5054" s="66" t="s">
        <v>216</v>
      </c>
      <c r="D5054" s="3" t="s">
        <v>26</v>
      </c>
      <c r="E5054" s="64">
        <v>1</v>
      </c>
    </row>
    <row r="5055" spans="1:5">
      <c r="A5055" s="64" t="s">
        <v>25</v>
      </c>
      <c r="B5055" s="65">
        <v>43333</v>
      </c>
      <c r="C5055" s="66" t="s">
        <v>217</v>
      </c>
      <c r="D5055" s="3" t="s">
        <v>26</v>
      </c>
      <c r="E5055" s="64">
        <v>1</v>
      </c>
    </row>
    <row r="5056" spans="1:5">
      <c r="A5056" s="64" t="s">
        <v>25</v>
      </c>
      <c r="B5056" s="65">
        <v>43334</v>
      </c>
      <c r="C5056" s="66" t="s">
        <v>218</v>
      </c>
      <c r="D5056" s="3" t="s">
        <v>26</v>
      </c>
      <c r="E5056" s="64">
        <v>1</v>
      </c>
    </row>
    <row r="5057" spans="1:5">
      <c r="A5057" s="64" t="s">
        <v>25</v>
      </c>
      <c r="B5057" s="65">
        <v>43335</v>
      </c>
      <c r="C5057" s="66" t="s">
        <v>219</v>
      </c>
      <c r="D5057" s="3" t="s">
        <v>26</v>
      </c>
      <c r="E5057" s="64">
        <v>1</v>
      </c>
    </row>
    <row r="5058" spans="1:5">
      <c r="A5058" s="64" t="s">
        <v>25</v>
      </c>
      <c r="B5058" s="65">
        <v>43336</v>
      </c>
      <c r="C5058" s="66" t="s">
        <v>220</v>
      </c>
      <c r="D5058" s="3" t="s">
        <v>26</v>
      </c>
      <c r="E5058" s="64">
        <v>1</v>
      </c>
    </row>
    <row r="5059" spans="1:5">
      <c r="A5059" s="64" t="s">
        <v>25</v>
      </c>
      <c r="B5059" s="65">
        <v>43339</v>
      </c>
      <c r="C5059" s="66" t="s">
        <v>216</v>
      </c>
      <c r="D5059" s="3" t="s">
        <v>26</v>
      </c>
      <c r="E5059" s="64">
        <v>1</v>
      </c>
    </row>
    <row r="5060" spans="1:5">
      <c r="A5060" s="64" t="s">
        <v>25</v>
      </c>
      <c r="B5060" s="65">
        <v>43340</v>
      </c>
      <c r="C5060" s="66" t="s">
        <v>217</v>
      </c>
      <c r="D5060" s="3" t="s">
        <v>26</v>
      </c>
      <c r="E5060" s="64">
        <v>1</v>
      </c>
    </row>
    <row r="5061" spans="1:5">
      <c r="A5061" s="64" t="s">
        <v>25</v>
      </c>
      <c r="B5061" s="65">
        <v>43341</v>
      </c>
      <c r="C5061" s="66" t="s">
        <v>218</v>
      </c>
      <c r="D5061" s="3" t="s">
        <v>26</v>
      </c>
      <c r="E5061" s="64">
        <v>1</v>
      </c>
    </row>
    <row r="5062" spans="1:5">
      <c r="A5062" s="64" t="s">
        <v>25</v>
      </c>
      <c r="B5062" s="65">
        <v>43342</v>
      </c>
      <c r="C5062" s="66" t="s">
        <v>219</v>
      </c>
      <c r="D5062" s="3" t="s">
        <v>26</v>
      </c>
      <c r="E5062" s="64">
        <v>1</v>
      </c>
    </row>
    <row r="5063" spans="1:5">
      <c r="A5063" s="64" t="s">
        <v>25</v>
      </c>
      <c r="B5063" s="65">
        <v>43343</v>
      </c>
      <c r="C5063" s="66" t="s">
        <v>220</v>
      </c>
      <c r="D5063" s="3" t="s">
        <v>26</v>
      </c>
      <c r="E5063" s="64">
        <v>1</v>
      </c>
    </row>
    <row r="5064" spans="1:5">
      <c r="A5064" s="64" t="s">
        <v>25</v>
      </c>
      <c r="B5064" s="65">
        <v>43346</v>
      </c>
      <c r="C5064" s="66" t="s">
        <v>216</v>
      </c>
      <c r="D5064" s="3" t="s">
        <v>26</v>
      </c>
      <c r="E5064" s="64">
        <v>1</v>
      </c>
    </row>
    <row r="5065" spans="1:5">
      <c r="A5065" s="64" t="s">
        <v>25</v>
      </c>
      <c r="B5065" s="65">
        <v>43347</v>
      </c>
      <c r="C5065" s="66" t="s">
        <v>217</v>
      </c>
      <c r="D5065" s="3" t="s">
        <v>26</v>
      </c>
      <c r="E5065" s="64">
        <v>1</v>
      </c>
    </row>
    <row r="5066" spans="1:5">
      <c r="A5066" s="64" t="s">
        <v>25</v>
      </c>
      <c r="B5066" s="65">
        <v>43348</v>
      </c>
      <c r="C5066" s="66" t="s">
        <v>218</v>
      </c>
      <c r="D5066" s="3" t="s">
        <v>26</v>
      </c>
      <c r="E5066" s="64">
        <v>1</v>
      </c>
    </row>
    <row r="5067" spans="1:5">
      <c r="A5067" s="64" t="s">
        <v>25</v>
      </c>
      <c r="B5067" s="65">
        <v>43349</v>
      </c>
      <c r="C5067" s="66" t="s">
        <v>219</v>
      </c>
      <c r="D5067" s="3" t="s">
        <v>26</v>
      </c>
      <c r="E5067" s="64">
        <v>1</v>
      </c>
    </row>
    <row r="5068" spans="1:5">
      <c r="A5068" s="64" t="s">
        <v>25</v>
      </c>
      <c r="B5068" s="65">
        <v>43350</v>
      </c>
      <c r="C5068" s="66" t="s">
        <v>220</v>
      </c>
      <c r="D5068" s="3" t="s">
        <v>26</v>
      </c>
      <c r="E5068" s="64">
        <v>1</v>
      </c>
    </row>
    <row r="5069" spans="1:5">
      <c r="A5069" s="64" t="s">
        <v>25</v>
      </c>
      <c r="B5069" s="65">
        <v>43353</v>
      </c>
      <c r="C5069" s="66" t="s">
        <v>216</v>
      </c>
      <c r="D5069" s="3" t="s">
        <v>26</v>
      </c>
      <c r="E5069" s="64">
        <v>1</v>
      </c>
    </row>
    <row r="5070" spans="1:5">
      <c r="A5070" s="64" t="s">
        <v>25</v>
      </c>
      <c r="B5070" s="65">
        <v>43354</v>
      </c>
      <c r="C5070" s="66" t="s">
        <v>217</v>
      </c>
      <c r="D5070" s="3" t="s">
        <v>26</v>
      </c>
      <c r="E5070" s="64">
        <v>1</v>
      </c>
    </row>
    <row r="5071" spans="1:5">
      <c r="A5071" s="64" t="s">
        <v>25</v>
      </c>
      <c r="B5071" s="65">
        <v>43355</v>
      </c>
      <c r="C5071" s="66" t="s">
        <v>218</v>
      </c>
      <c r="D5071" s="3" t="s">
        <v>26</v>
      </c>
      <c r="E5071" s="64">
        <v>1</v>
      </c>
    </row>
    <row r="5072" spans="1:5">
      <c r="A5072" s="64" t="s">
        <v>25</v>
      </c>
      <c r="B5072" s="65">
        <v>43356</v>
      </c>
      <c r="C5072" s="66" t="s">
        <v>219</v>
      </c>
      <c r="D5072" s="3" t="s">
        <v>26</v>
      </c>
      <c r="E5072" s="64">
        <v>1</v>
      </c>
    </row>
    <row r="5073" spans="1:5">
      <c r="A5073" s="64" t="s">
        <v>25</v>
      </c>
      <c r="B5073" s="65">
        <v>43357</v>
      </c>
      <c r="C5073" s="66" t="s">
        <v>220</v>
      </c>
      <c r="D5073" s="3" t="s">
        <v>26</v>
      </c>
      <c r="E5073" s="64">
        <v>1</v>
      </c>
    </row>
    <row r="5074" spans="1:5">
      <c r="A5074" s="64" t="s">
        <v>25</v>
      </c>
      <c r="B5074" s="65">
        <v>43360</v>
      </c>
      <c r="C5074" s="66" t="s">
        <v>216</v>
      </c>
      <c r="D5074" s="3" t="s">
        <v>26</v>
      </c>
      <c r="E5074" s="64">
        <v>1</v>
      </c>
    </row>
    <row r="5075" spans="1:5">
      <c r="A5075" s="64" t="s">
        <v>25</v>
      </c>
      <c r="B5075" s="65">
        <v>43361</v>
      </c>
      <c r="C5075" s="66" t="s">
        <v>217</v>
      </c>
      <c r="D5075" s="3" t="s">
        <v>26</v>
      </c>
      <c r="E5075" s="64">
        <v>1</v>
      </c>
    </row>
    <row r="5076" spans="1:5">
      <c r="A5076" s="64" t="s">
        <v>25</v>
      </c>
      <c r="B5076" s="65">
        <v>43362</v>
      </c>
      <c r="C5076" s="66" t="s">
        <v>218</v>
      </c>
      <c r="D5076" s="3" t="s">
        <v>26</v>
      </c>
      <c r="E5076" s="64">
        <v>1</v>
      </c>
    </row>
    <row r="5077" spans="1:5">
      <c r="A5077" s="64" t="s">
        <v>25</v>
      </c>
      <c r="B5077" s="65">
        <v>43363</v>
      </c>
      <c r="C5077" s="66" t="s">
        <v>219</v>
      </c>
      <c r="D5077" s="3" t="s">
        <v>26</v>
      </c>
      <c r="E5077" s="64">
        <v>1</v>
      </c>
    </row>
    <row r="5078" spans="1:5">
      <c r="A5078" s="64" t="s">
        <v>25</v>
      </c>
      <c r="B5078" s="65">
        <v>43364</v>
      </c>
      <c r="C5078" s="66" t="s">
        <v>220</v>
      </c>
      <c r="D5078" s="3" t="s">
        <v>26</v>
      </c>
      <c r="E5078" s="64">
        <v>1</v>
      </c>
    </row>
    <row r="5079" spans="1:5">
      <c r="A5079" s="64" t="s">
        <v>25</v>
      </c>
      <c r="B5079" s="65">
        <v>43367</v>
      </c>
      <c r="C5079" s="66" t="s">
        <v>216</v>
      </c>
      <c r="D5079" s="3" t="s">
        <v>26</v>
      </c>
      <c r="E5079" s="64">
        <v>1</v>
      </c>
    </row>
    <row r="5080" spans="1:5">
      <c r="A5080" s="64" t="s">
        <v>25</v>
      </c>
      <c r="B5080" s="65">
        <v>43368</v>
      </c>
      <c r="C5080" s="66" t="s">
        <v>217</v>
      </c>
      <c r="D5080" s="3" t="s">
        <v>26</v>
      </c>
      <c r="E5080" s="64">
        <v>1</v>
      </c>
    </row>
    <row r="5081" spans="1:5">
      <c r="A5081" s="64" t="s">
        <v>25</v>
      </c>
      <c r="B5081" s="65">
        <v>43369</v>
      </c>
      <c r="C5081" s="66" t="s">
        <v>218</v>
      </c>
      <c r="D5081" s="3" t="s">
        <v>26</v>
      </c>
      <c r="E5081" s="64">
        <v>1</v>
      </c>
    </row>
    <row r="5082" spans="1:5">
      <c r="A5082" s="64" t="s">
        <v>25</v>
      </c>
      <c r="B5082" s="65">
        <v>43370</v>
      </c>
      <c r="C5082" s="66" t="s">
        <v>219</v>
      </c>
      <c r="D5082" s="3" t="s">
        <v>26</v>
      </c>
      <c r="E5082" s="64">
        <v>1</v>
      </c>
    </row>
    <row r="5083" spans="1:5">
      <c r="A5083" s="64" t="s">
        <v>25</v>
      </c>
      <c r="B5083" s="65">
        <v>43371</v>
      </c>
      <c r="C5083" s="66" t="s">
        <v>220</v>
      </c>
      <c r="D5083" s="3" t="s">
        <v>26</v>
      </c>
      <c r="E5083" s="64">
        <v>1</v>
      </c>
    </row>
    <row r="5084" spans="1:5">
      <c r="A5084" s="64" t="s">
        <v>25</v>
      </c>
      <c r="B5084" s="65">
        <v>43374</v>
      </c>
      <c r="C5084" s="66" t="s">
        <v>216</v>
      </c>
      <c r="D5084" s="3" t="s">
        <v>26</v>
      </c>
      <c r="E5084" s="64">
        <v>1</v>
      </c>
    </row>
    <row r="5085" spans="1:5">
      <c r="A5085" s="64" t="s">
        <v>25</v>
      </c>
      <c r="B5085" s="65">
        <v>43375</v>
      </c>
      <c r="C5085" s="66" t="s">
        <v>217</v>
      </c>
      <c r="D5085" s="3" t="s">
        <v>26</v>
      </c>
      <c r="E5085" s="64">
        <v>1</v>
      </c>
    </row>
    <row r="5086" spans="1:5">
      <c r="A5086" s="64" t="s">
        <v>25</v>
      </c>
      <c r="B5086" s="65">
        <v>43376</v>
      </c>
      <c r="C5086" s="66" t="s">
        <v>218</v>
      </c>
      <c r="D5086" s="3" t="s">
        <v>26</v>
      </c>
      <c r="E5086" s="64">
        <v>1</v>
      </c>
    </row>
    <row r="5087" spans="1:5">
      <c r="A5087" s="64" t="s">
        <v>25</v>
      </c>
      <c r="B5087" s="65">
        <v>43377</v>
      </c>
      <c r="C5087" s="66" t="s">
        <v>219</v>
      </c>
      <c r="D5087" s="3" t="s">
        <v>26</v>
      </c>
      <c r="E5087" s="64">
        <v>1</v>
      </c>
    </row>
    <row r="5088" spans="1:5">
      <c r="A5088" s="64" t="s">
        <v>25</v>
      </c>
      <c r="B5088" s="65">
        <v>43378</v>
      </c>
      <c r="C5088" s="66" t="s">
        <v>220</v>
      </c>
      <c r="D5088" s="3" t="s">
        <v>26</v>
      </c>
      <c r="E5088" s="64">
        <v>1</v>
      </c>
    </row>
    <row r="5089" spans="1:5">
      <c r="A5089" s="64" t="s">
        <v>25</v>
      </c>
      <c r="B5089" s="65">
        <v>43381</v>
      </c>
      <c r="C5089" s="66" t="s">
        <v>216</v>
      </c>
      <c r="D5089" s="3" t="s">
        <v>26</v>
      </c>
      <c r="E5089" s="64">
        <v>1</v>
      </c>
    </row>
    <row r="5090" spans="1:5">
      <c r="A5090" s="64" t="s">
        <v>25</v>
      </c>
      <c r="B5090" s="65">
        <v>43382</v>
      </c>
      <c r="C5090" s="66" t="s">
        <v>217</v>
      </c>
      <c r="D5090" s="3" t="s">
        <v>26</v>
      </c>
      <c r="E5090" s="64">
        <v>1</v>
      </c>
    </row>
    <row r="5091" spans="1:5">
      <c r="A5091" s="64" t="s">
        <v>25</v>
      </c>
      <c r="B5091" s="65">
        <v>43383</v>
      </c>
      <c r="C5091" s="66" t="s">
        <v>218</v>
      </c>
      <c r="D5091" s="3" t="s">
        <v>26</v>
      </c>
      <c r="E5091" s="64">
        <v>1</v>
      </c>
    </row>
    <row r="5092" spans="1:5">
      <c r="A5092" s="64" t="s">
        <v>25</v>
      </c>
      <c r="B5092" s="65">
        <v>43384</v>
      </c>
      <c r="C5092" s="66" t="s">
        <v>219</v>
      </c>
      <c r="D5092" s="3" t="s">
        <v>26</v>
      </c>
      <c r="E5092" s="64">
        <v>1</v>
      </c>
    </row>
    <row r="5093" spans="1:5">
      <c r="A5093" s="64" t="s">
        <v>25</v>
      </c>
      <c r="B5093" s="65">
        <v>43385</v>
      </c>
      <c r="C5093" s="66" t="s">
        <v>220</v>
      </c>
      <c r="D5093" s="3" t="s">
        <v>26</v>
      </c>
      <c r="E5093" s="64">
        <v>1</v>
      </c>
    </row>
    <row r="5094" spans="1:5">
      <c r="A5094" s="64" t="s">
        <v>25</v>
      </c>
      <c r="B5094" s="65">
        <v>43388</v>
      </c>
      <c r="C5094" s="66" t="s">
        <v>216</v>
      </c>
      <c r="D5094" s="3" t="s">
        <v>26</v>
      </c>
      <c r="E5094" s="64">
        <v>1</v>
      </c>
    </row>
    <row r="5095" spans="1:5">
      <c r="A5095" s="64" t="s">
        <v>25</v>
      </c>
      <c r="B5095" s="65">
        <v>43389</v>
      </c>
      <c r="C5095" s="66" t="s">
        <v>217</v>
      </c>
      <c r="D5095" s="3" t="s">
        <v>26</v>
      </c>
      <c r="E5095" s="64">
        <v>1</v>
      </c>
    </row>
    <row r="5096" spans="1:5">
      <c r="A5096" s="64" t="s">
        <v>25</v>
      </c>
      <c r="B5096" s="65">
        <v>43390</v>
      </c>
      <c r="C5096" s="66" t="s">
        <v>218</v>
      </c>
      <c r="D5096" s="3" t="s">
        <v>26</v>
      </c>
      <c r="E5096" s="64">
        <v>1</v>
      </c>
    </row>
    <row r="5097" spans="1:5">
      <c r="A5097" s="64" t="s">
        <v>25</v>
      </c>
      <c r="B5097" s="65">
        <v>43391</v>
      </c>
      <c r="C5097" s="66" t="s">
        <v>219</v>
      </c>
      <c r="D5097" s="3" t="s">
        <v>26</v>
      </c>
      <c r="E5097" s="64">
        <v>1</v>
      </c>
    </row>
    <row r="5098" spans="1:5">
      <c r="A5098" s="64" t="s">
        <v>25</v>
      </c>
      <c r="B5098" s="65">
        <v>43392</v>
      </c>
      <c r="C5098" s="66" t="s">
        <v>220</v>
      </c>
      <c r="D5098" s="3" t="s">
        <v>26</v>
      </c>
      <c r="E5098" s="64">
        <v>1</v>
      </c>
    </row>
    <row r="5099" spans="1:5">
      <c r="A5099" s="64" t="s">
        <v>25</v>
      </c>
      <c r="B5099" s="65">
        <v>43395</v>
      </c>
      <c r="C5099" s="66" t="s">
        <v>216</v>
      </c>
      <c r="D5099" s="3" t="s">
        <v>26</v>
      </c>
      <c r="E5099" s="64">
        <v>1</v>
      </c>
    </row>
    <row r="5100" spans="1:5">
      <c r="A5100" s="64" t="s">
        <v>25</v>
      </c>
      <c r="B5100" s="65">
        <v>43396</v>
      </c>
      <c r="C5100" s="66" t="s">
        <v>217</v>
      </c>
      <c r="D5100" s="3" t="s">
        <v>26</v>
      </c>
      <c r="E5100" s="64">
        <v>1</v>
      </c>
    </row>
    <row r="5101" spans="1:5">
      <c r="A5101" s="64" t="s">
        <v>25</v>
      </c>
      <c r="B5101" s="65">
        <v>43397</v>
      </c>
      <c r="C5101" s="66" t="s">
        <v>218</v>
      </c>
      <c r="D5101" s="3" t="s">
        <v>26</v>
      </c>
      <c r="E5101" s="64">
        <v>1</v>
      </c>
    </row>
    <row r="5102" spans="1:5">
      <c r="A5102" s="64" t="s">
        <v>25</v>
      </c>
      <c r="B5102" s="65">
        <v>43398</v>
      </c>
      <c r="C5102" s="66" t="s">
        <v>219</v>
      </c>
      <c r="D5102" s="3" t="s">
        <v>26</v>
      </c>
      <c r="E5102" s="64">
        <v>1</v>
      </c>
    </row>
    <row r="5103" spans="1:5">
      <c r="A5103" s="64" t="s">
        <v>25</v>
      </c>
      <c r="B5103" s="65">
        <v>43399</v>
      </c>
      <c r="C5103" s="66" t="s">
        <v>220</v>
      </c>
      <c r="D5103" s="3" t="s">
        <v>26</v>
      </c>
      <c r="E5103" s="64">
        <v>1</v>
      </c>
    </row>
    <row r="5104" spans="1:5">
      <c r="A5104" s="64" t="s">
        <v>25</v>
      </c>
      <c r="B5104" s="65">
        <v>43402</v>
      </c>
      <c r="C5104" s="66" t="s">
        <v>216</v>
      </c>
      <c r="D5104" s="3" t="s">
        <v>26</v>
      </c>
      <c r="E5104" s="64">
        <v>1</v>
      </c>
    </row>
    <row r="5105" spans="1:5">
      <c r="A5105" s="64" t="s">
        <v>25</v>
      </c>
      <c r="B5105" s="65">
        <v>43403</v>
      </c>
      <c r="C5105" s="66" t="s">
        <v>217</v>
      </c>
      <c r="D5105" s="3" t="s">
        <v>26</v>
      </c>
      <c r="E5105" s="64">
        <v>1</v>
      </c>
    </row>
    <row r="5106" spans="1:5">
      <c r="A5106" s="64" t="s">
        <v>25</v>
      </c>
      <c r="B5106" s="65">
        <v>43404</v>
      </c>
      <c r="C5106" s="66" t="s">
        <v>218</v>
      </c>
      <c r="D5106" s="3" t="s">
        <v>26</v>
      </c>
      <c r="E5106" s="64">
        <v>1</v>
      </c>
    </row>
    <row r="5107" spans="1:5">
      <c r="A5107" s="64" t="s">
        <v>25</v>
      </c>
      <c r="B5107" s="65">
        <v>43405</v>
      </c>
      <c r="C5107" s="66" t="s">
        <v>219</v>
      </c>
      <c r="D5107" s="3" t="s">
        <v>26</v>
      </c>
      <c r="E5107" s="64">
        <v>1</v>
      </c>
    </row>
    <row r="5108" spans="1:5">
      <c r="A5108" s="64" t="s">
        <v>25</v>
      </c>
      <c r="B5108" s="65">
        <v>43406</v>
      </c>
      <c r="C5108" s="66" t="s">
        <v>220</v>
      </c>
      <c r="D5108" s="3" t="s">
        <v>26</v>
      </c>
      <c r="E5108" s="64">
        <v>1</v>
      </c>
    </row>
    <row r="5109" spans="1:5">
      <c r="A5109" s="64" t="s">
        <v>25</v>
      </c>
      <c r="B5109" s="65">
        <v>43409</v>
      </c>
      <c r="C5109" s="66" t="s">
        <v>216</v>
      </c>
      <c r="D5109" s="3" t="s">
        <v>26</v>
      </c>
      <c r="E5109" s="64">
        <v>1</v>
      </c>
    </row>
    <row r="5110" spans="1:5">
      <c r="A5110" s="64" t="s">
        <v>25</v>
      </c>
      <c r="B5110" s="65">
        <v>43410</v>
      </c>
      <c r="C5110" s="66" t="s">
        <v>217</v>
      </c>
      <c r="D5110" s="3" t="s">
        <v>26</v>
      </c>
      <c r="E5110" s="64">
        <v>1</v>
      </c>
    </row>
    <row r="5111" spans="1:5">
      <c r="A5111" s="64" t="s">
        <v>25</v>
      </c>
      <c r="B5111" s="65">
        <v>43411</v>
      </c>
      <c r="C5111" s="66" t="s">
        <v>218</v>
      </c>
      <c r="D5111" s="3" t="s">
        <v>26</v>
      </c>
      <c r="E5111" s="64">
        <v>1</v>
      </c>
    </row>
    <row r="5112" spans="1:5">
      <c r="A5112" s="64" t="s">
        <v>25</v>
      </c>
      <c r="B5112" s="65">
        <v>43412</v>
      </c>
      <c r="C5112" s="66" t="s">
        <v>219</v>
      </c>
      <c r="D5112" s="3" t="s">
        <v>26</v>
      </c>
      <c r="E5112" s="64">
        <v>1</v>
      </c>
    </row>
    <row r="5113" spans="1:5">
      <c r="A5113" s="64" t="s">
        <v>25</v>
      </c>
      <c r="B5113" s="65">
        <v>43413</v>
      </c>
      <c r="C5113" s="66" t="s">
        <v>220</v>
      </c>
      <c r="D5113" s="3" t="s">
        <v>26</v>
      </c>
      <c r="E5113" s="64">
        <v>1</v>
      </c>
    </row>
    <row r="5114" spans="1:5">
      <c r="A5114" s="64" t="s">
        <v>25</v>
      </c>
      <c r="B5114" s="65">
        <v>43416</v>
      </c>
      <c r="C5114" s="66" t="s">
        <v>216</v>
      </c>
      <c r="D5114" s="3" t="s">
        <v>26</v>
      </c>
      <c r="E5114" s="64">
        <v>1</v>
      </c>
    </row>
    <row r="5115" spans="1:5">
      <c r="A5115" s="64" t="s">
        <v>25</v>
      </c>
      <c r="B5115" s="65">
        <v>43417</v>
      </c>
      <c r="C5115" s="66" t="s">
        <v>217</v>
      </c>
      <c r="D5115" s="3" t="s">
        <v>26</v>
      </c>
      <c r="E5115" s="64">
        <v>1</v>
      </c>
    </row>
    <row r="5116" spans="1:5">
      <c r="A5116" s="64" t="s">
        <v>25</v>
      </c>
      <c r="B5116" s="65">
        <v>43418</v>
      </c>
      <c r="C5116" s="66" t="s">
        <v>218</v>
      </c>
      <c r="D5116" s="3" t="s">
        <v>26</v>
      </c>
      <c r="E5116" s="64">
        <v>1</v>
      </c>
    </row>
    <row r="5117" spans="1:5">
      <c r="A5117" s="64" t="s">
        <v>25</v>
      </c>
      <c r="B5117" s="65">
        <v>43419</v>
      </c>
      <c r="C5117" s="66" t="s">
        <v>219</v>
      </c>
      <c r="D5117" s="3" t="s">
        <v>26</v>
      </c>
      <c r="E5117" s="64">
        <v>1</v>
      </c>
    </row>
    <row r="5118" spans="1:5">
      <c r="A5118" s="64" t="s">
        <v>25</v>
      </c>
      <c r="B5118" s="65">
        <v>43420</v>
      </c>
      <c r="C5118" s="66" t="s">
        <v>220</v>
      </c>
      <c r="D5118" s="3" t="s">
        <v>26</v>
      </c>
      <c r="E5118" s="64">
        <v>1</v>
      </c>
    </row>
    <row r="5119" spans="1:5">
      <c r="A5119" s="64" t="s">
        <v>25</v>
      </c>
      <c r="B5119" s="65">
        <v>43423</v>
      </c>
      <c r="C5119" s="66" t="s">
        <v>216</v>
      </c>
      <c r="D5119" s="3" t="s">
        <v>26</v>
      </c>
      <c r="E5119" s="64">
        <v>1</v>
      </c>
    </row>
    <row r="5120" spans="1:5">
      <c r="A5120" s="64" t="s">
        <v>25</v>
      </c>
      <c r="B5120" s="65">
        <v>43424</v>
      </c>
      <c r="C5120" s="66" t="s">
        <v>217</v>
      </c>
      <c r="D5120" s="3" t="s">
        <v>26</v>
      </c>
      <c r="E5120" s="64">
        <v>1</v>
      </c>
    </row>
    <row r="5121" spans="1:5">
      <c r="A5121" s="64" t="s">
        <v>25</v>
      </c>
      <c r="B5121" s="65">
        <v>43425</v>
      </c>
      <c r="C5121" s="66" t="s">
        <v>218</v>
      </c>
      <c r="D5121" s="3" t="s">
        <v>26</v>
      </c>
      <c r="E5121" s="64">
        <v>1</v>
      </c>
    </row>
    <row r="5122" spans="1:5">
      <c r="A5122" s="64" t="s">
        <v>25</v>
      </c>
      <c r="B5122" s="65">
        <v>43426</v>
      </c>
      <c r="C5122" s="66" t="s">
        <v>219</v>
      </c>
      <c r="D5122" s="3" t="s">
        <v>26</v>
      </c>
      <c r="E5122" s="64">
        <v>1</v>
      </c>
    </row>
    <row r="5123" spans="1:5">
      <c r="A5123" s="64" t="s">
        <v>25</v>
      </c>
      <c r="B5123" s="65">
        <v>43427</v>
      </c>
      <c r="C5123" s="66" t="s">
        <v>220</v>
      </c>
      <c r="D5123" s="3" t="s">
        <v>26</v>
      </c>
      <c r="E5123" s="64">
        <v>1</v>
      </c>
    </row>
    <row r="5124" spans="1:5">
      <c r="A5124" s="64" t="s">
        <v>25</v>
      </c>
      <c r="B5124" s="65">
        <v>43430</v>
      </c>
      <c r="C5124" s="66" t="s">
        <v>216</v>
      </c>
      <c r="D5124" s="3" t="s">
        <v>26</v>
      </c>
      <c r="E5124" s="64">
        <v>1</v>
      </c>
    </row>
    <row r="5125" spans="1:5">
      <c r="A5125" s="64" t="s">
        <v>25</v>
      </c>
      <c r="B5125" s="65">
        <v>43431</v>
      </c>
      <c r="C5125" s="66" t="s">
        <v>217</v>
      </c>
      <c r="D5125" s="3" t="s">
        <v>26</v>
      </c>
      <c r="E5125" s="64">
        <v>1</v>
      </c>
    </row>
    <row r="5126" spans="1:5">
      <c r="A5126" s="64" t="s">
        <v>25</v>
      </c>
      <c r="B5126" s="65">
        <v>43432</v>
      </c>
      <c r="C5126" s="66" t="s">
        <v>218</v>
      </c>
      <c r="D5126" s="3" t="s">
        <v>26</v>
      </c>
      <c r="E5126" s="64">
        <v>1</v>
      </c>
    </row>
    <row r="5127" spans="1:5">
      <c r="A5127" s="64" t="s">
        <v>25</v>
      </c>
      <c r="B5127" s="65">
        <v>43433</v>
      </c>
      <c r="C5127" s="66" t="s">
        <v>219</v>
      </c>
      <c r="D5127" s="3" t="s">
        <v>26</v>
      </c>
      <c r="E5127" s="64">
        <v>1</v>
      </c>
    </row>
    <row r="5128" spans="1:5">
      <c r="A5128" s="64" t="s">
        <v>25</v>
      </c>
      <c r="B5128" s="65">
        <v>43434</v>
      </c>
      <c r="C5128" s="66" t="s">
        <v>220</v>
      </c>
      <c r="D5128" s="3" t="s">
        <v>26</v>
      </c>
      <c r="E5128" s="64">
        <v>1</v>
      </c>
    </row>
    <row r="5129" spans="1:5">
      <c r="A5129" s="64" t="s">
        <v>25</v>
      </c>
      <c r="B5129" s="65">
        <v>43437</v>
      </c>
      <c r="C5129" s="66" t="s">
        <v>216</v>
      </c>
      <c r="D5129" s="3" t="s">
        <v>26</v>
      </c>
      <c r="E5129" s="64">
        <v>1</v>
      </c>
    </row>
    <row r="5130" spans="1:5">
      <c r="A5130" s="64" t="s">
        <v>25</v>
      </c>
      <c r="B5130" s="65">
        <v>43438</v>
      </c>
      <c r="C5130" s="66" t="s">
        <v>217</v>
      </c>
      <c r="D5130" s="3" t="s">
        <v>26</v>
      </c>
      <c r="E5130" s="64">
        <v>1</v>
      </c>
    </row>
    <row r="5131" spans="1:5">
      <c r="A5131" s="64" t="s">
        <v>25</v>
      </c>
      <c r="B5131" s="65">
        <v>43439</v>
      </c>
      <c r="C5131" s="66" t="s">
        <v>218</v>
      </c>
      <c r="D5131" s="3" t="s">
        <v>26</v>
      </c>
      <c r="E5131" s="64">
        <v>1</v>
      </c>
    </row>
    <row r="5132" spans="1:5">
      <c r="A5132" s="64" t="s">
        <v>25</v>
      </c>
      <c r="B5132" s="65">
        <v>43440</v>
      </c>
      <c r="C5132" s="66" t="s">
        <v>219</v>
      </c>
      <c r="D5132" s="3" t="s">
        <v>26</v>
      </c>
      <c r="E5132" s="64">
        <v>1</v>
      </c>
    </row>
    <row r="5133" spans="1:5">
      <c r="A5133" s="64" t="s">
        <v>25</v>
      </c>
      <c r="B5133" s="65">
        <v>43441</v>
      </c>
      <c r="C5133" s="66" t="s">
        <v>220</v>
      </c>
      <c r="D5133" s="3" t="s">
        <v>26</v>
      </c>
      <c r="E5133" s="64">
        <v>1</v>
      </c>
    </row>
    <row r="5134" spans="1:5">
      <c r="A5134" s="64" t="s">
        <v>25</v>
      </c>
      <c r="B5134" s="65">
        <v>43444</v>
      </c>
      <c r="C5134" s="66" t="s">
        <v>216</v>
      </c>
      <c r="D5134" s="3" t="s">
        <v>26</v>
      </c>
      <c r="E5134" s="64">
        <v>1</v>
      </c>
    </row>
    <row r="5135" spans="1:5">
      <c r="A5135" s="64" t="s">
        <v>25</v>
      </c>
      <c r="B5135" s="65">
        <v>43445</v>
      </c>
      <c r="C5135" s="66" t="s">
        <v>217</v>
      </c>
      <c r="D5135" s="3" t="s">
        <v>26</v>
      </c>
      <c r="E5135" s="64">
        <v>1</v>
      </c>
    </row>
    <row r="5136" spans="1:5">
      <c r="A5136" s="64" t="s">
        <v>25</v>
      </c>
      <c r="B5136" s="65">
        <v>43446</v>
      </c>
      <c r="C5136" s="66" t="s">
        <v>218</v>
      </c>
      <c r="D5136" s="3" t="s">
        <v>26</v>
      </c>
      <c r="E5136" s="64">
        <v>1</v>
      </c>
    </row>
    <row r="5137" spans="1:5">
      <c r="A5137" s="64" t="s">
        <v>25</v>
      </c>
      <c r="B5137" s="65">
        <v>43447</v>
      </c>
      <c r="C5137" s="66" t="s">
        <v>219</v>
      </c>
      <c r="D5137" s="3" t="s">
        <v>26</v>
      </c>
      <c r="E5137" s="64">
        <v>1</v>
      </c>
    </row>
    <row r="5138" spans="1:5">
      <c r="A5138" s="64" t="s">
        <v>25</v>
      </c>
      <c r="B5138" s="65">
        <v>43448</v>
      </c>
      <c r="C5138" s="66" t="s">
        <v>220</v>
      </c>
      <c r="D5138" s="3" t="s">
        <v>26</v>
      </c>
      <c r="E5138" s="64">
        <v>1</v>
      </c>
    </row>
    <row r="5139" spans="1:5">
      <c r="A5139" s="64" t="s">
        <v>25</v>
      </c>
      <c r="B5139" s="65">
        <v>43451</v>
      </c>
      <c r="C5139" s="66" t="s">
        <v>216</v>
      </c>
      <c r="D5139" s="3" t="s">
        <v>26</v>
      </c>
      <c r="E5139" s="64">
        <v>1</v>
      </c>
    </row>
    <row r="5140" spans="1:5">
      <c r="A5140" s="64" t="s">
        <v>25</v>
      </c>
      <c r="B5140" s="65">
        <v>43452</v>
      </c>
      <c r="C5140" s="66" t="s">
        <v>217</v>
      </c>
      <c r="D5140" s="3" t="s">
        <v>26</v>
      </c>
      <c r="E5140" s="64">
        <v>1</v>
      </c>
    </row>
    <row r="5141" spans="1:5">
      <c r="A5141" s="64" t="s">
        <v>25</v>
      </c>
      <c r="B5141" s="65">
        <v>43453</v>
      </c>
      <c r="C5141" s="66" t="s">
        <v>218</v>
      </c>
      <c r="D5141" s="3" t="s">
        <v>26</v>
      </c>
      <c r="E5141" s="64">
        <v>1</v>
      </c>
    </row>
    <row r="5142" spans="1:5">
      <c r="A5142" s="64" t="s">
        <v>25</v>
      </c>
      <c r="B5142" s="65">
        <v>43454</v>
      </c>
      <c r="C5142" s="66" t="s">
        <v>219</v>
      </c>
      <c r="D5142" s="3" t="s">
        <v>26</v>
      </c>
      <c r="E5142" s="64">
        <v>1</v>
      </c>
    </row>
    <row r="5143" spans="1:5">
      <c r="A5143" s="64" t="s">
        <v>25</v>
      </c>
      <c r="B5143" s="65">
        <v>43455</v>
      </c>
      <c r="C5143" s="66" t="s">
        <v>220</v>
      </c>
      <c r="D5143" s="3" t="s">
        <v>26</v>
      </c>
      <c r="E5143" s="64">
        <v>1</v>
      </c>
    </row>
    <row r="5144" spans="1:5">
      <c r="A5144" s="64" t="s">
        <v>25</v>
      </c>
      <c r="B5144" s="65">
        <v>43458</v>
      </c>
      <c r="C5144" s="66" t="s">
        <v>216</v>
      </c>
      <c r="D5144" s="3" t="s">
        <v>26</v>
      </c>
      <c r="E5144" s="64">
        <v>1</v>
      </c>
    </row>
    <row r="5145" spans="1:5">
      <c r="A5145" s="64" t="s">
        <v>25</v>
      </c>
      <c r="B5145" s="65">
        <v>43459</v>
      </c>
      <c r="C5145" s="66" t="s">
        <v>217</v>
      </c>
      <c r="D5145" s="3" t="s">
        <v>26</v>
      </c>
      <c r="E5145" s="64">
        <v>1</v>
      </c>
    </row>
    <row r="5146" spans="1:5">
      <c r="A5146" s="64" t="s">
        <v>25</v>
      </c>
      <c r="B5146" s="65">
        <v>43460</v>
      </c>
      <c r="C5146" s="66" t="s">
        <v>218</v>
      </c>
      <c r="D5146" s="3" t="s">
        <v>26</v>
      </c>
      <c r="E5146" s="64">
        <v>1</v>
      </c>
    </row>
    <row r="5147" spans="1:5">
      <c r="A5147" s="64" t="s">
        <v>25</v>
      </c>
      <c r="B5147" s="65">
        <v>43461</v>
      </c>
      <c r="C5147" s="66" t="s">
        <v>219</v>
      </c>
      <c r="D5147" s="3" t="s">
        <v>26</v>
      </c>
      <c r="E5147" s="64">
        <v>1</v>
      </c>
    </row>
    <row r="5148" spans="1:5">
      <c r="A5148" s="64" t="s">
        <v>25</v>
      </c>
      <c r="B5148" s="65">
        <v>43462</v>
      </c>
      <c r="C5148" s="66" t="s">
        <v>220</v>
      </c>
      <c r="D5148" s="3" t="s">
        <v>26</v>
      </c>
      <c r="E5148" s="64">
        <v>1</v>
      </c>
    </row>
    <row r="5149" spans="1:5">
      <c r="A5149" s="64" t="s">
        <v>25</v>
      </c>
      <c r="B5149" s="65">
        <v>43465</v>
      </c>
      <c r="C5149" s="66" t="s">
        <v>216</v>
      </c>
      <c r="D5149" s="3" t="s">
        <v>26</v>
      </c>
      <c r="E5149" s="64">
        <v>1</v>
      </c>
    </row>
    <row r="5150" spans="1:5">
      <c r="A5150" s="64" t="s">
        <v>25</v>
      </c>
      <c r="B5150" s="65">
        <v>43466</v>
      </c>
      <c r="C5150" s="66" t="s">
        <v>217</v>
      </c>
      <c r="D5150" s="3" t="s">
        <v>26</v>
      </c>
      <c r="E5150" s="64">
        <v>1</v>
      </c>
    </row>
    <row r="5151" spans="1:5">
      <c r="A5151" s="64" t="s">
        <v>25</v>
      </c>
      <c r="B5151" s="65">
        <v>43467</v>
      </c>
      <c r="C5151" s="66" t="s">
        <v>218</v>
      </c>
      <c r="D5151" s="3" t="s">
        <v>26</v>
      </c>
      <c r="E5151" s="64">
        <v>1</v>
      </c>
    </row>
    <row r="5152" spans="1:5">
      <c r="A5152" s="64" t="s">
        <v>25</v>
      </c>
      <c r="B5152" s="65">
        <v>43468</v>
      </c>
      <c r="C5152" s="66" t="s">
        <v>219</v>
      </c>
      <c r="D5152" s="3" t="s">
        <v>26</v>
      </c>
      <c r="E5152" s="64">
        <v>1</v>
      </c>
    </row>
    <row r="5153" spans="1:5">
      <c r="A5153" s="64" t="s">
        <v>25</v>
      </c>
      <c r="B5153" s="65">
        <v>43469</v>
      </c>
      <c r="C5153" s="66" t="s">
        <v>220</v>
      </c>
      <c r="D5153" s="3" t="s">
        <v>26</v>
      </c>
      <c r="E5153" s="64">
        <v>1</v>
      </c>
    </row>
    <row r="5154" spans="1:5">
      <c r="A5154" s="64" t="s">
        <v>25</v>
      </c>
      <c r="B5154" s="65">
        <v>43472</v>
      </c>
      <c r="C5154" s="66" t="s">
        <v>216</v>
      </c>
      <c r="D5154" s="3" t="s">
        <v>26</v>
      </c>
      <c r="E5154" s="64">
        <v>1</v>
      </c>
    </row>
    <row r="5155" spans="1:5">
      <c r="A5155" s="64" t="s">
        <v>25</v>
      </c>
      <c r="B5155" s="65">
        <v>43473</v>
      </c>
      <c r="C5155" s="66" t="s">
        <v>217</v>
      </c>
      <c r="D5155" s="3" t="s">
        <v>26</v>
      </c>
      <c r="E5155" s="64">
        <v>1</v>
      </c>
    </row>
    <row r="5156" spans="1:5">
      <c r="A5156" s="64" t="s">
        <v>25</v>
      </c>
      <c r="B5156" s="65">
        <v>43474</v>
      </c>
      <c r="C5156" s="66" t="s">
        <v>218</v>
      </c>
      <c r="D5156" s="3" t="s">
        <v>26</v>
      </c>
      <c r="E5156" s="64">
        <v>1</v>
      </c>
    </row>
    <row r="5157" spans="1:5">
      <c r="A5157" s="64" t="s">
        <v>25</v>
      </c>
      <c r="B5157" s="65">
        <v>43475</v>
      </c>
      <c r="C5157" s="66" t="s">
        <v>219</v>
      </c>
      <c r="D5157" s="3" t="s">
        <v>26</v>
      </c>
      <c r="E5157" s="64">
        <v>1</v>
      </c>
    </row>
    <row r="5158" spans="1:5">
      <c r="A5158" s="64" t="s">
        <v>25</v>
      </c>
      <c r="B5158" s="65">
        <v>43476</v>
      </c>
      <c r="C5158" s="66" t="s">
        <v>220</v>
      </c>
      <c r="D5158" s="3" t="s">
        <v>26</v>
      </c>
      <c r="E5158" s="64">
        <v>1</v>
      </c>
    </row>
    <row r="5159" spans="1:5">
      <c r="A5159" s="64" t="s">
        <v>25</v>
      </c>
      <c r="B5159" s="65">
        <v>43479</v>
      </c>
      <c r="C5159" s="66" t="s">
        <v>216</v>
      </c>
      <c r="D5159" s="3" t="s">
        <v>26</v>
      </c>
      <c r="E5159" s="64">
        <v>1</v>
      </c>
    </row>
    <row r="5160" spans="1:5">
      <c r="A5160" s="64" t="s">
        <v>25</v>
      </c>
      <c r="B5160" s="65">
        <v>43480</v>
      </c>
      <c r="C5160" s="66" t="s">
        <v>217</v>
      </c>
      <c r="D5160" s="3" t="s">
        <v>26</v>
      </c>
      <c r="E5160" s="64">
        <v>1</v>
      </c>
    </row>
    <row r="5161" spans="1:5">
      <c r="A5161" s="64" t="s">
        <v>25</v>
      </c>
      <c r="B5161" s="65">
        <v>43481</v>
      </c>
      <c r="C5161" s="66" t="s">
        <v>218</v>
      </c>
      <c r="D5161" s="3" t="s">
        <v>26</v>
      </c>
      <c r="E5161" s="64">
        <v>1</v>
      </c>
    </row>
    <row r="5162" spans="1:5">
      <c r="A5162" s="64" t="s">
        <v>25</v>
      </c>
      <c r="B5162" s="65">
        <v>43482</v>
      </c>
      <c r="C5162" s="66" t="s">
        <v>219</v>
      </c>
      <c r="D5162" s="3" t="s">
        <v>26</v>
      </c>
      <c r="E5162" s="64">
        <v>1</v>
      </c>
    </row>
    <row r="5163" spans="1:5">
      <c r="A5163" s="64" t="s">
        <v>25</v>
      </c>
      <c r="B5163" s="65">
        <v>43483</v>
      </c>
      <c r="C5163" s="66" t="s">
        <v>220</v>
      </c>
      <c r="D5163" s="3" t="s">
        <v>26</v>
      </c>
      <c r="E5163" s="64">
        <v>1</v>
      </c>
    </row>
    <row r="5164" spans="1:5">
      <c r="A5164" s="64" t="s">
        <v>25</v>
      </c>
      <c r="B5164" s="65">
        <v>43486</v>
      </c>
      <c r="C5164" s="66" t="s">
        <v>216</v>
      </c>
      <c r="D5164" s="3" t="s">
        <v>26</v>
      </c>
      <c r="E5164" s="64">
        <v>1</v>
      </c>
    </row>
    <row r="5165" spans="1:5">
      <c r="A5165" s="64" t="s">
        <v>25</v>
      </c>
      <c r="B5165" s="65">
        <v>43487</v>
      </c>
      <c r="C5165" s="66" t="s">
        <v>217</v>
      </c>
      <c r="D5165" s="3" t="s">
        <v>26</v>
      </c>
      <c r="E5165" s="64">
        <v>1</v>
      </c>
    </row>
    <row r="5166" spans="1:5">
      <c r="A5166" s="64" t="s">
        <v>25</v>
      </c>
      <c r="B5166" s="65">
        <v>43488</v>
      </c>
      <c r="C5166" s="66" t="s">
        <v>218</v>
      </c>
      <c r="D5166" s="3" t="s">
        <v>26</v>
      </c>
      <c r="E5166" s="64">
        <v>1</v>
      </c>
    </row>
    <row r="5167" spans="1:5">
      <c r="A5167" s="64" t="s">
        <v>25</v>
      </c>
      <c r="B5167" s="65">
        <v>43489</v>
      </c>
      <c r="C5167" s="66" t="s">
        <v>219</v>
      </c>
      <c r="D5167" s="3" t="s">
        <v>26</v>
      </c>
      <c r="E5167" s="64">
        <v>1</v>
      </c>
    </row>
    <row r="5168" spans="1:5">
      <c r="A5168" s="64" t="s">
        <v>25</v>
      </c>
      <c r="B5168" s="65">
        <v>43490</v>
      </c>
      <c r="C5168" s="66" t="s">
        <v>220</v>
      </c>
      <c r="D5168" s="3" t="s">
        <v>26</v>
      </c>
      <c r="E5168" s="64">
        <v>1</v>
      </c>
    </row>
    <row r="5169" spans="1:5">
      <c r="A5169" s="64" t="s">
        <v>25</v>
      </c>
      <c r="B5169" s="65">
        <v>43493</v>
      </c>
      <c r="C5169" s="66" t="s">
        <v>216</v>
      </c>
      <c r="D5169" s="3" t="s">
        <v>26</v>
      </c>
      <c r="E5169" s="64">
        <v>1</v>
      </c>
    </row>
    <row r="5170" spans="1:5">
      <c r="A5170" s="64" t="s">
        <v>25</v>
      </c>
      <c r="B5170" s="65">
        <v>43494</v>
      </c>
      <c r="C5170" s="66" t="s">
        <v>217</v>
      </c>
      <c r="D5170" s="3" t="s">
        <v>26</v>
      </c>
      <c r="E5170" s="64">
        <v>1</v>
      </c>
    </row>
    <row r="5171" spans="1:5">
      <c r="A5171" s="64" t="s">
        <v>25</v>
      </c>
      <c r="B5171" s="65">
        <v>43495</v>
      </c>
      <c r="C5171" s="66" t="s">
        <v>218</v>
      </c>
      <c r="D5171" s="3" t="s">
        <v>26</v>
      </c>
      <c r="E5171" s="64">
        <v>1</v>
      </c>
    </row>
    <row r="5172" spans="1:5">
      <c r="A5172" s="64" t="s">
        <v>27</v>
      </c>
      <c r="B5172" s="65">
        <v>43346</v>
      </c>
      <c r="C5172" s="66" t="s">
        <v>216</v>
      </c>
      <c r="D5172" s="3" t="s">
        <v>18</v>
      </c>
      <c r="E5172" s="64">
        <v>1</v>
      </c>
    </row>
    <row r="5173" spans="1:5">
      <c r="A5173" s="64" t="s">
        <v>27</v>
      </c>
      <c r="B5173" s="65">
        <v>43347</v>
      </c>
      <c r="C5173" s="66" t="s">
        <v>217</v>
      </c>
      <c r="D5173" s="3" t="s">
        <v>18</v>
      </c>
      <c r="E5173" s="64">
        <v>1</v>
      </c>
    </row>
    <row r="5174" spans="1:5">
      <c r="A5174" s="64" t="s">
        <v>27</v>
      </c>
      <c r="B5174" s="65">
        <v>43348</v>
      </c>
      <c r="C5174" s="66" t="s">
        <v>218</v>
      </c>
      <c r="D5174" s="3" t="s">
        <v>18</v>
      </c>
      <c r="E5174" s="64">
        <v>1</v>
      </c>
    </row>
    <row r="5175" spans="1:5">
      <c r="A5175" s="64" t="s">
        <v>27</v>
      </c>
      <c r="B5175" s="65">
        <v>43349</v>
      </c>
      <c r="C5175" s="66" t="s">
        <v>219</v>
      </c>
      <c r="D5175" s="3" t="s">
        <v>18</v>
      </c>
      <c r="E5175" s="64">
        <v>1</v>
      </c>
    </row>
    <row r="5176" spans="1:5">
      <c r="A5176" s="64" t="s">
        <v>27</v>
      </c>
      <c r="B5176" s="65">
        <v>43350</v>
      </c>
      <c r="C5176" s="66" t="s">
        <v>220</v>
      </c>
      <c r="D5176" s="3" t="s">
        <v>18</v>
      </c>
      <c r="E5176" s="64">
        <v>1</v>
      </c>
    </row>
    <row r="5177" spans="1:5">
      <c r="A5177" s="64" t="s">
        <v>27</v>
      </c>
      <c r="B5177" s="65">
        <v>43353</v>
      </c>
      <c r="C5177" s="66" t="s">
        <v>216</v>
      </c>
      <c r="D5177" s="3" t="s">
        <v>18</v>
      </c>
      <c r="E5177" s="64">
        <v>1</v>
      </c>
    </row>
    <row r="5178" spans="1:5">
      <c r="A5178" s="64" t="s">
        <v>27</v>
      </c>
      <c r="B5178" s="65">
        <v>43354</v>
      </c>
      <c r="C5178" s="66" t="s">
        <v>217</v>
      </c>
      <c r="D5178" s="3" t="s">
        <v>18</v>
      </c>
      <c r="E5178" s="64">
        <v>1</v>
      </c>
    </row>
    <row r="5179" spans="1:5">
      <c r="A5179" s="64" t="s">
        <v>27</v>
      </c>
      <c r="B5179" s="65">
        <v>43355</v>
      </c>
      <c r="C5179" s="66" t="s">
        <v>218</v>
      </c>
      <c r="D5179" s="3" t="s">
        <v>18</v>
      </c>
      <c r="E5179" s="64">
        <v>1</v>
      </c>
    </row>
    <row r="5180" spans="1:5">
      <c r="A5180" s="64" t="s">
        <v>27</v>
      </c>
      <c r="B5180" s="65">
        <v>43356</v>
      </c>
      <c r="C5180" s="66" t="s">
        <v>219</v>
      </c>
      <c r="D5180" s="3" t="s">
        <v>18</v>
      </c>
      <c r="E5180" s="64">
        <v>1</v>
      </c>
    </row>
    <row r="5181" spans="1:5">
      <c r="A5181" s="64" t="s">
        <v>27</v>
      </c>
      <c r="B5181" s="65">
        <v>43357</v>
      </c>
      <c r="C5181" s="66" t="s">
        <v>220</v>
      </c>
      <c r="D5181" s="3" t="s">
        <v>18</v>
      </c>
      <c r="E5181" s="64">
        <v>1</v>
      </c>
    </row>
    <row r="5182" spans="1:5">
      <c r="A5182" s="64" t="s">
        <v>27</v>
      </c>
      <c r="B5182" s="65">
        <v>43360</v>
      </c>
      <c r="C5182" s="66" t="s">
        <v>216</v>
      </c>
      <c r="D5182" s="3" t="s">
        <v>18</v>
      </c>
      <c r="E5182" s="64">
        <v>1</v>
      </c>
    </row>
    <row r="5183" spans="1:5">
      <c r="A5183" s="64" t="s">
        <v>27</v>
      </c>
      <c r="B5183" s="65">
        <v>43361</v>
      </c>
      <c r="C5183" s="66" t="s">
        <v>217</v>
      </c>
      <c r="D5183" s="3" t="s">
        <v>18</v>
      </c>
      <c r="E5183" s="64">
        <v>1</v>
      </c>
    </row>
    <row r="5184" spans="1:5">
      <c r="A5184" s="64" t="s">
        <v>27</v>
      </c>
      <c r="B5184" s="65">
        <v>43362</v>
      </c>
      <c r="C5184" s="66" t="s">
        <v>218</v>
      </c>
      <c r="D5184" s="3" t="s">
        <v>18</v>
      </c>
      <c r="E5184" s="64">
        <v>1</v>
      </c>
    </row>
    <row r="5185" spans="1:5">
      <c r="A5185" s="64" t="s">
        <v>27</v>
      </c>
      <c r="B5185" s="65">
        <v>43363</v>
      </c>
      <c r="C5185" s="66" t="s">
        <v>219</v>
      </c>
      <c r="D5185" s="3" t="s">
        <v>18</v>
      </c>
      <c r="E5185" s="64">
        <v>1</v>
      </c>
    </row>
    <row r="5186" spans="1:5">
      <c r="A5186" s="64" t="s">
        <v>27</v>
      </c>
      <c r="B5186" s="65">
        <v>43364</v>
      </c>
      <c r="C5186" s="66" t="s">
        <v>220</v>
      </c>
      <c r="D5186" s="3" t="s">
        <v>18</v>
      </c>
      <c r="E5186" s="64">
        <v>1</v>
      </c>
    </row>
    <row r="5187" spans="1:5">
      <c r="A5187" s="64" t="s">
        <v>27</v>
      </c>
      <c r="B5187" s="65">
        <v>43367</v>
      </c>
      <c r="C5187" s="66" t="s">
        <v>216</v>
      </c>
      <c r="D5187" s="3" t="s">
        <v>18</v>
      </c>
      <c r="E5187" s="64">
        <v>1</v>
      </c>
    </row>
    <row r="5188" spans="1:5">
      <c r="A5188" s="64" t="s">
        <v>27</v>
      </c>
      <c r="B5188" s="65">
        <v>43368</v>
      </c>
      <c r="C5188" s="66" t="s">
        <v>217</v>
      </c>
      <c r="D5188" s="3" t="s">
        <v>18</v>
      </c>
      <c r="E5188" s="64">
        <v>1</v>
      </c>
    </row>
    <row r="5189" spans="1:5">
      <c r="A5189" s="64" t="s">
        <v>27</v>
      </c>
      <c r="B5189" s="65">
        <v>43369</v>
      </c>
      <c r="C5189" s="66" t="s">
        <v>218</v>
      </c>
      <c r="D5189" s="3" t="s">
        <v>18</v>
      </c>
      <c r="E5189" s="64">
        <v>1</v>
      </c>
    </row>
    <row r="5190" spans="1:5">
      <c r="A5190" s="64" t="s">
        <v>27</v>
      </c>
      <c r="B5190" s="65">
        <v>43370</v>
      </c>
      <c r="C5190" s="66" t="s">
        <v>219</v>
      </c>
      <c r="D5190" s="3" t="s">
        <v>18</v>
      </c>
      <c r="E5190" s="64">
        <v>1</v>
      </c>
    </row>
    <row r="5191" spans="1:5">
      <c r="A5191" s="64" t="s">
        <v>27</v>
      </c>
      <c r="B5191" s="65">
        <v>43371</v>
      </c>
      <c r="C5191" s="66" t="s">
        <v>220</v>
      </c>
      <c r="D5191" s="3" t="s">
        <v>18</v>
      </c>
      <c r="E5191" s="64">
        <v>1</v>
      </c>
    </row>
    <row r="5192" spans="1:5">
      <c r="A5192" s="64" t="s">
        <v>27</v>
      </c>
      <c r="B5192" s="65">
        <v>43374</v>
      </c>
      <c r="C5192" s="66" t="s">
        <v>216</v>
      </c>
      <c r="D5192" s="3" t="s">
        <v>18</v>
      </c>
      <c r="E5192" s="64">
        <v>1</v>
      </c>
    </row>
    <row r="5193" spans="1:5">
      <c r="A5193" s="64" t="s">
        <v>27</v>
      </c>
      <c r="B5193" s="65">
        <v>43375</v>
      </c>
      <c r="C5193" s="66" t="s">
        <v>217</v>
      </c>
      <c r="D5193" s="3" t="s">
        <v>18</v>
      </c>
      <c r="E5193" s="64">
        <v>1</v>
      </c>
    </row>
    <row r="5194" spans="1:5">
      <c r="A5194" s="64" t="s">
        <v>27</v>
      </c>
      <c r="B5194" s="65">
        <v>43376</v>
      </c>
      <c r="C5194" s="66" t="s">
        <v>218</v>
      </c>
      <c r="D5194" s="3" t="s">
        <v>18</v>
      </c>
      <c r="E5194" s="64">
        <v>1</v>
      </c>
    </row>
    <row r="5195" spans="1:5">
      <c r="A5195" s="64" t="s">
        <v>27</v>
      </c>
      <c r="B5195" s="65">
        <v>43377</v>
      </c>
      <c r="C5195" s="66" t="s">
        <v>219</v>
      </c>
      <c r="D5195" s="3" t="s">
        <v>18</v>
      </c>
      <c r="E5195" s="64">
        <v>1</v>
      </c>
    </row>
    <row r="5196" spans="1:5">
      <c r="A5196" s="64" t="s">
        <v>27</v>
      </c>
      <c r="B5196" s="65">
        <v>43378</v>
      </c>
      <c r="C5196" s="66" t="s">
        <v>220</v>
      </c>
      <c r="D5196" s="3" t="s">
        <v>18</v>
      </c>
      <c r="E5196" s="64">
        <v>1</v>
      </c>
    </row>
    <row r="5197" spans="1:5">
      <c r="A5197" s="64" t="s">
        <v>27</v>
      </c>
      <c r="B5197" s="65">
        <v>43381</v>
      </c>
      <c r="C5197" s="66" t="s">
        <v>216</v>
      </c>
      <c r="D5197" s="3" t="s">
        <v>18</v>
      </c>
      <c r="E5197" s="64">
        <v>1</v>
      </c>
    </row>
    <row r="5198" spans="1:5">
      <c r="A5198" s="64" t="s">
        <v>27</v>
      </c>
      <c r="B5198" s="65">
        <v>43382</v>
      </c>
      <c r="C5198" s="66" t="s">
        <v>217</v>
      </c>
      <c r="D5198" s="3" t="s">
        <v>18</v>
      </c>
      <c r="E5198" s="64">
        <v>1</v>
      </c>
    </row>
    <row r="5199" spans="1:5">
      <c r="A5199" s="64" t="s">
        <v>27</v>
      </c>
      <c r="B5199" s="65">
        <v>43383</v>
      </c>
      <c r="C5199" s="66" t="s">
        <v>218</v>
      </c>
      <c r="D5199" s="3" t="s">
        <v>18</v>
      </c>
      <c r="E5199" s="64">
        <v>1</v>
      </c>
    </row>
    <row r="5200" spans="1:5">
      <c r="A5200" s="64" t="s">
        <v>27</v>
      </c>
      <c r="B5200" s="65">
        <v>43384</v>
      </c>
      <c r="C5200" s="66" t="s">
        <v>219</v>
      </c>
      <c r="D5200" s="3" t="s">
        <v>18</v>
      </c>
      <c r="E5200" s="64">
        <v>1</v>
      </c>
    </row>
    <row r="5201" spans="1:5">
      <c r="A5201" s="64" t="s">
        <v>27</v>
      </c>
      <c r="B5201" s="65">
        <v>43385</v>
      </c>
      <c r="C5201" s="66" t="s">
        <v>220</v>
      </c>
      <c r="D5201" s="3" t="s">
        <v>18</v>
      </c>
      <c r="E5201" s="64">
        <v>1</v>
      </c>
    </row>
    <row r="5202" spans="1:5">
      <c r="A5202" s="64" t="s">
        <v>27</v>
      </c>
      <c r="B5202" s="65">
        <v>43388</v>
      </c>
      <c r="C5202" s="66" t="s">
        <v>216</v>
      </c>
      <c r="D5202" s="3" t="s">
        <v>18</v>
      </c>
      <c r="E5202" s="64">
        <v>1</v>
      </c>
    </row>
    <row r="5203" spans="1:5">
      <c r="A5203" s="64" t="s">
        <v>27</v>
      </c>
      <c r="B5203" s="65">
        <v>43389</v>
      </c>
      <c r="C5203" s="66" t="s">
        <v>217</v>
      </c>
      <c r="D5203" s="3" t="s">
        <v>18</v>
      </c>
      <c r="E5203" s="64">
        <v>1</v>
      </c>
    </row>
    <row r="5204" spans="1:5">
      <c r="A5204" s="64" t="s">
        <v>27</v>
      </c>
      <c r="B5204" s="65">
        <v>43390</v>
      </c>
      <c r="C5204" s="66" t="s">
        <v>218</v>
      </c>
      <c r="D5204" s="3" t="s">
        <v>18</v>
      </c>
      <c r="E5204" s="64">
        <v>1</v>
      </c>
    </row>
    <row r="5205" spans="1:5">
      <c r="A5205" s="64" t="s">
        <v>27</v>
      </c>
      <c r="B5205" s="65">
        <v>43391</v>
      </c>
      <c r="C5205" s="66" t="s">
        <v>219</v>
      </c>
      <c r="D5205" s="3" t="s">
        <v>18</v>
      </c>
      <c r="E5205" s="64">
        <v>1</v>
      </c>
    </row>
    <row r="5206" spans="1:5">
      <c r="A5206" s="64" t="s">
        <v>27</v>
      </c>
      <c r="B5206" s="65">
        <v>43392</v>
      </c>
      <c r="C5206" s="66" t="s">
        <v>220</v>
      </c>
      <c r="D5206" s="3" t="s">
        <v>18</v>
      </c>
      <c r="E5206" s="64">
        <v>1</v>
      </c>
    </row>
    <row r="5207" spans="1:5">
      <c r="A5207" s="64" t="s">
        <v>27</v>
      </c>
      <c r="B5207" s="65">
        <v>43395</v>
      </c>
      <c r="C5207" s="66" t="s">
        <v>216</v>
      </c>
      <c r="D5207" s="3" t="s">
        <v>18</v>
      </c>
      <c r="E5207" s="64">
        <v>1</v>
      </c>
    </row>
    <row r="5208" spans="1:5">
      <c r="A5208" s="64" t="s">
        <v>27</v>
      </c>
      <c r="B5208" s="65">
        <v>43396</v>
      </c>
      <c r="C5208" s="66" t="s">
        <v>217</v>
      </c>
      <c r="D5208" s="3" t="s">
        <v>18</v>
      </c>
      <c r="E5208" s="64">
        <v>1</v>
      </c>
    </row>
    <row r="5209" spans="1:5">
      <c r="A5209" s="64" t="s">
        <v>27</v>
      </c>
      <c r="B5209" s="65">
        <v>43397</v>
      </c>
      <c r="C5209" s="66" t="s">
        <v>218</v>
      </c>
      <c r="D5209" s="3" t="s">
        <v>18</v>
      </c>
      <c r="E5209" s="64">
        <v>1</v>
      </c>
    </row>
    <row r="5210" spans="1:5">
      <c r="A5210" s="64" t="s">
        <v>27</v>
      </c>
      <c r="B5210" s="65">
        <v>43398</v>
      </c>
      <c r="C5210" s="66" t="s">
        <v>219</v>
      </c>
      <c r="D5210" s="3" t="s">
        <v>18</v>
      </c>
      <c r="E5210" s="64">
        <v>1</v>
      </c>
    </row>
    <row r="5211" spans="1:5">
      <c r="A5211" s="64" t="s">
        <v>27</v>
      </c>
      <c r="B5211" s="65">
        <v>43399</v>
      </c>
      <c r="C5211" s="66" t="s">
        <v>220</v>
      </c>
      <c r="D5211" s="3" t="s">
        <v>18</v>
      </c>
      <c r="E5211" s="64">
        <v>1</v>
      </c>
    </row>
    <row r="5212" spans="1:5">
      <c r="A5212" s="64" t="s">
        <v>27</v>
      </c>
      <c r="B5212" s="65">
        <v>43402</v>
      </c>
      <c r="C5212" s="66" t="s">
        <v>216</v>
      </c>
      <c r="D5212" s="3" t="s">
        <v>18</v>
      </c>
      <c r="E5212" s="64">
        <v>1</v>
      </c>
    </row>
    <row r="5213" spans="1:5">
      <c r="A5213" s="64" t="s">
        <v>27</v>
      </c>
      <c r="B5213" s="65">
        <v>43403</v>
      </c>
      <c r="C5213" s="66" t="s">
        <v>217</v>
      </c>
      <c r="D5213" s="3" t="s">
        <v>18</v>
      </c>
      <c r="E5213" s="64">
        <v>1</v>
      </c>
    </row>
    <row r="5214" spans="1:5">
      <c r="A5214" s="64" t="s">
        <v>27</v>
      </c>
      <c r="B5214" s="65">
        <v>43404</v>
      </c>
      <c r="C5214" s="66" t="s">
        <v>218</v>
      </c>
      <c r="D5214" s="3" t="s">
        <v>18</v>
      </c>
      <c r="E5214" s="64">
        <v>1</v>
      </c>
    </row>
    <row r="5215" spans="1:5">
      <c r="A5215" s="64" t="s">
        <v>27</v>
      </c>
      <c r="B5215" s="65">
        <v>43405</v>
      </c>
      <c r="C5215" s="66" t="s">
        <v>219</v>
      </c>
      <c r="D5215" s="3" t="s">
        <v>18</v>
      </c>
      <c r="E5215" s="64">
        <v>1</v>
      </c>
    </row>
    <row r="5216" spans="1:5">
      <c r="A5216" s="64" t="s">
        <v>27</v>
      </c>
      <c r="B5216" s="65">
        <v>43406</v>
      </c>
      <c r="C5216" s="66" t="s">
        <v>220</v>
      </c>
      <c r="D5216" s="3" t="s">
        <v>18</v>
      </c>
      <c r="E5216" s="64">
        <v>1</v>
      </c>
    </row>
    <row r="5217" spans="1:5">
      <c r="A5217" s="64" t="s">
        <v>27</v>
      </c>
      <c r="B5217" s="65">
        <v>43409</v>
      </c>
      <c r="C5217" s="66" t="s">
        <v>216</v>
      </c>
      <c r="D5217" s="3" t="s">
        <v>18</v>
      </c>
      <c r="E5217" s="64">
        <v>1</v>
      </c>
    </row>
    <row r="5218" spans="1:5">
      <c r="A5218" s="64" t="s">
        <v>27</v>
      </c>
      <c r="B5218" s="65">
        <v>43410</v>
      </c>
      <c r="C5218" s="66" t="s">
        <v>217</v>
      </c>
      <c r="D5218" s="3" t="s">
        <v>18</v>
      </c>
      <c r="E5218" s="64">
        <v>1</v>
      </c>
    </row>
    <row r="5219" spans="1:5">
      <c r="A5219" s="64" t="s">
        <v>27</v>
      </c>
      <c r="B5219" s="65">
        <v>43411</v>
      </c>
      <c r="C5219" s="66" t="s">
        <v>218</v>
      </c>
      <c r="D5219" s="3" t="s">
        <v>18</v>
      </c>
      <c r="E5219" s="64">
        <v>1</v>
      </c>
    </row>
    <row r="5220" spans="1:5">
      <c r="A5220" s="64" t="s">
        <v>27</v>
      </c>
      <c r="B5220" s="65">
        <v>43412</v>
      </c>
      <c r="C5220" s="66" t="s">
        <v>219</v>
      </c>
      <c r="D5220" s="3" t="s">
        <v>18</v>
      </c>
      <c r="E5220" s="64">
        <v>1</v>
      </c>
    </row>
    <row r="5221" spans="1:5">
      <c r="A5221" s="64" t="s">
        <v>27</v>
      </c>
      <c r="B5221" s="65">
        <v>43413</v>
      </c>
      <c r="C5221" s="66" t="s">
        <v>220</v>
      </c>
      <c r="D5221" s="3" t="s">
        <v>18</v>
      </c>
      <c r="E5221" s="64">
        <v>1</v>
      </c>
    </row>
    <row r="5222" spans="1:5">
      <c r="A5222" s="64" t="s">
        <v>27</v>
      </c>
      <c r="B5222" s="65">
        <v>43416</v>
      </c>
      <c r="C5222" s="66" t="s">
        <v>216</v>
      </c>
      <c r="D5222" s="3" t="s">
        <v>18</v>
      </c>
      <c r="E5222" s="64">
        <v>1</v>
      </c>
    </row>
    <row r="5223" spans="1:5">
      <c r="A5223" s="64" t="s">
        <v>27</v>
      </c>
      <c r="B5223" s="65">
        <v>43417</v>
      </c>
      <c r="C5223" s="66" t="s">
        <v>217</v>
      </c>
      <c r="D5223" s="64" t="s">
        <v>18</v>
      </c>
      <c r="E5223" s="64">
        <v>1</v>
      </c>
    </row>
    <row r="5224" spans="1:5">
      <c r="A5224" s="64" t="s">
        <v>27</v>
      </c>
      <c r="B5224" s="65">
        <v>43418</v>
      </c>
      <c r="C5224" s="66" t="s">
        <v>218</v>
      </c>
      <c r="D5224" s="64" t="s">
        <v>18</v>
      </c>
      <c r="E5224" s="64">
        <v>1</v>
      </c>
    </row>
    <row r="5225" spans="1:5">
      <c r="A5225" s="64" t="s">
        <v>27</v>
      </c>
      <c r="B5225" s="65">
        <v>43419</v>
      </c>
      <c r="C5225" s="66" t="s">
        <v>219</v>
      </c>
      <c r="D5225" s="64" t="s">
        <v>18</v>
      </c>
      <c r="E5225" s="64">
        <v>1</v>
      </c>
    </row>
    <row r="5226" spans="1:5">
      <c r="A5226" s="64" t="s">
        <v>27</v>
      </c>
      <c r="B5226" s="65">
        <v>43420</v>
      </c>
      <c r="C5226" s="66" t="s">
        <v>220</v>
      </c>
      <c r="D5226" s="64" t="s">
        <v>18</v>
      </c>
      <c r="E5226" s="64">
        <v>1</v>
      </c>
    </row>
    <row r="5227" spans="1:5">
      <c r="A5227" s="64" t="s">
        <v>27</v>
      </c>
      <c r="B5227" s="65">
        <v>43423</v>
      </c>
      <c r="C5227" s="66" t="s">
        <v>216</v>
      </c>
      <c r="D5227" s="64" t="s">
        <v>18</v>
      </c>
      <c r="E5227" s="64">
        <v>1</v>
      </c>
    </row>
    <row r="5228" spans="1:5">
      <c r="A5228" s="64" t="s">
        <v>27</v>
      </c>
      <c r="B5228" s="65">
        <v>43424</v>
      </c>
      <c r="C5228" s="66" t="s">
        <v>217</v>
      </c>
      <c r="D5228" s="64" t="s">
        <v>18</v>
      </c>
      <c r="E5228" s="64">
        <v>1</v>
      </c>
    </row>
    <row r="5229" spans="1:5">
      <c r="A5229" s="64" t="s">
        <v>27</v>
      </c>
      <c r="B5229" s="65">
        <v>43425</v>
      </c>
      <c r="C5229" s="66" t="s">
        <v>218</v>
      </c>
      <c r="D5229" s="64" t="s">
        <v>18</v>
      </c>
      <c r="E5229" s="64">
        <v>1</v>
      </c>
    </row>
    <row r="5230" spans="1:5">
      <c r="A5230" s="64" t="s">
        <v>27</v>
      </c>
      <c r="B5230" s="65">
        <v>43426</v>
      </c>
      <c r="C5230" s="66" t="s">
        <v>219</v>
      </c>
      <c r="D5230" s="64" t="s">
        <v>18</v>
      </c>
      <c r="E5230" s="64">
        <v>1</v>
      </c>
    </row>
    <row r="5231" spans="1:5">
      <c r="A5231" s="64" t="s">
        <v>27</v>
      </c>
      <c r="B5231" s="65">
        <v>43427</v>
      </c>
      <c r="C5231" s="66" t="s">
        <v>220</v>
      </c>
      <c r="D5231" s="64" t="s">
        <v>18</v>
      </c>
      <c r="E5231" s="64">
        <v>1</v>
      </c>
    </row>
    <row r="5232" spans="1:5">
      <c r="A5232" s="64" t="s">
        <v>27</v>
      </c>
      <c r="B5232" s="65">
        <v>43430</v>
      </c>
      <c r="C5232" s="66" t="s">
        <v>216</v>
      </c>
      <c r="D5232" s="64" t="s">
        <v>18</v>
      </c>
      <c r="E5232" s="64">
        <v>1</v>
      </c>
    </row>
    <row r="5233" spans="1:5">
      <c r="A5233" s="64" t="s">
        <v>27</v>
      </c>
      <c r="B5233" s="65">
        <v>43431</v>
      </c>
      <c r="C5233" s="66" t="s">
        <v>217</v>
      </c>
      <c r="D5233" s="64" t="s">
        <v>18</v>
      </c>
      <c r="E5233" s="64">
        <v>1</v>
      </c>
    </row>
    <row r="5234" spans="1:5">
      <c r="A5234" s="64" t="s">
        <v>27</v>
      </c>
      <c r="B5234" s="65">
        <v>43432</v>
      </c>
      <c r="C5234" s="66" t="s">
        <v>218</v>
      </c>
      <c r="D5234" s="64" t="s">
        <v>18</v>
      </c>
      <c r="E5234" s="64">
        <v>1</v>
      </c>
    </row>
    <row r="5235" spans="1:5">
      <c r="A5235" s="64" t="s">
        <v>27</v>
      </c>
      <c r="B5235" s="65">
        <v>43433</v>
      </c>
      <c r="C5235" s="66" t="s">
        <v>219</v>
      </c>
      <c r="D5235" s="64" t="s">
        <v>18</v>
      </c>
      <c r="E5235" s="64">
        <v>1</v>
      </c>
    </row>
    <row r="5236" spans="1:5">
      <c r="A5236" s="64" t="s">
        <v>27</v>
      </c>
      <c r="B5236" s="65">
        <v>43434</v>
      </c>
      <c r="C5236" s="66" t="s">
        <v>220</v>
      </c>
      <c r="D5236" s="64" t="s">
        <v>18</v>
      </c>
      <c r="E5236" s="64">
        <v>1</v>
      </c>
    </row>
    <row r="5237" spans="1:5">
      <c r="A5237" s="64" t="s">
        <v>27</v>
      </c>
      <c r="B5237" s="65">
        <v>43437</v>
      </c>
      <c r="C5237" s="66" t="s">
        <v>216</v>
      </c>
      <c r="D5237" s="64" t="s">
        <v>18</v>
      </c>
      <c r="E5237" s="64">
        <v>1</v>
      </c>
    </row>
    <row r="5238" spans="1:5">
      <c r="A5238" s="64" t="s">
        <v>27</v>
      </c>
      <c r="B5238" s="65">
        <v>43438</v>
      </c>
      <c r="C5238" s="66" t="s">
        <v>217</v>
      </c>
      <c r="D5238" s="64" t="s">
        <v>18</v>
      </c>
      <c r="E5238" s="64">
        <v>1</v>
      </c>
    </row>
    <row r="5239" spans="1:5">
      <c r="A5239" s="64" t="s">
        <v>27</v>
      </c>
      <c r="B5239" s="65">
        <v>43439</v>
      </c>
      <c r="C5239" s="66" t="s">
        <v>218</v>
      </c>
      <c r="D5239" s="64" t="s">
        <v>18</v>
      </c>
      <c r="E5239" s="64">
        <v>1</v>
      </c>
    </row>
    <row r="5240" spans="1:5">
      <c r="A5240" s="64" t="s">
        <v>27</v>
      </c>
      <c r="B5240" s="65">
        <v>43440</v>
      </c>
      <c r="C5240" s="66" t="s">
        <v>219</v>
      </c>
      <c r="D5240" s="64" t="s">
        <v>18</v>
      </c>
      <c r="E5240" s="64">
        <v>1</v>
      </c>
    </row>
    <row r="5241" spans="1:5">
      <c r="A5241" s="64" t="s">
        <v>27</v>
      </c>
      <c r="B5241" s="65">
        <v>43441</v>
      </c>
      <c r="C5241" s="66" t="s">
        <v>220</v>
      </c>
      <c r="D5241" s="64" t="s">
        <v>18</v>
      </c>
      <c r="E5241" s="64">
        <v>1</v>
      </c>
    </row>
    <row r="5242" spans="1:5">
      <c r="A5242" s="64" t="s">
        <v>27</v>
      </c>
      <c r="B5242" s="65">
        <v>43444</v>
      </c>
      <c r="C5242" s="66" t="s">
        <v>216</v>
      </c>
      <c r="D5242" s="64" t="s">
        <v>18</v>
      </c>
      <c r="E5242" s="64">
        <v>1</v>
      </c>
    </row>
    <row r="5243" spans="1:5">
      <c r="A5243" s="64" t="s">
        <v>27</v>
      </c>
      <c r="B5243" s="65">
        <v>43445</v>
      </c>
      <c r="C5243" s="66" t="s">
        <v>217</v>
      </c>
      <c r="D5243" s="64" t="s">
        <v>18</v>
      </c>
      <c r="E5243" s="64">
        <v>1</v>
      </c>
    </row>
    <row r="5244" spans="1:5">
      <c r="A5244" s="64" t="s">
        <v>27</v>
      </c>
      <c r="B5244" s="65">
        <v>43446</v>
      </c>
      <c r="C5244" s="66" t="s">
        <v>218</v>
      </c>
      <c r="D5244" s="64" t="s">
        <v>18</v>
      </c>
      <c r="E5244" s="64">
        <v>1</v>
      </c>
    </row>
    <row r="5245" spans="1:5">
      <c r="A5245" s="64" t="s">
        <v>27</v>
      </c>
      <c r="B5245" s="65">
        <v>43447</v>
      </c>
      <c r="C5245" s="66" t="s">
        <v>219</v>
      </c>
      <c r="D5245" s="64" t="s">
        <v>18</v>
      </c>
      <c r="E5245" s="64">
        <v>1</v>
      </c>
    </row>
    <row r="5246" spans="1:5">
      <c r="A5246" s="64" t="s">
        <v>27</v>
      </c>
      <c r="B5246" s="65">
        <v>43448</v>
      </c>
      <c r="C5246" s="66" t="s">
        <v>220</v>
      </c>
      <c r="D5246" s="64" t="s">
        <v>18</v>
      </c>
      <c r="E5246" s="64">
        <v>1</v>
      </c>
    </row>
    <row r="5247" spans="1:5">
      <c r="A5247" s="64" t="s">
        <v>27</v>
      </c>
      <c r="B5247" s="65">
        <v>43451</v>
      </c>
      <c r="C5247" s="66" t="s">
        <v>216</v>
      </c>
      <c r="D5247" s="64" t="s">
        <v>18</v>
      </c>
      <c r="E5247" s="64">
        <v>1</v>
      </c>
    </row>
    <row r="5248" spans="1:5">
      <c r="A5248" s="64" t="s">
        <v>27</v>
      </c>
      <c r="B5248" s="65">
        <v>43452</v>
      </c>
      <c r="C5248" s="66" t="s">
        <v>217</v>
      </c>
      <c r="D5248" s="64" t="s">
        <v>18</v>
      </c>
      <c r="E5248" s="64">
        <v>1</v>
      </c>
    </row>
    <row r="5249" spans="1:5">
      <c r="A5249" s="64" t="s">
        <v>27</v>
      </c>
      <c r="B5249" s="65">
        <v>43453</v>
      </c>
      <c r="C5249" s="66" t="s">
        <v>218</v>
      </c>
      <c r="D5249" s="64" t="s">
        <v>18</v>
      </c>
      <c r="E5249" s="64">
        <v>1</v>
      </c>
    </row>
    <row r="5250" spans="1:5">
      <c r="A5250" s="64" t="s">
        <v>27</v>
      </c>
      <c r="B5250" s="65">
        <v>43454</v>
      </c>
      <c r="C5250" s="66" t="s">
        <v>219</v>
      </c>
      <c r="D5250" s="64" t="s">
        <v>18</v>
      </c>
      <c r="E5250" s="64">
        <v>1</v>
      </c>
    </row>
    <row r="5251" spans="1:5">
      <c r="A5251" s="64" t="s">
        <v>27</v>
      </c>
      <c r="B5251" s="65">
        <v>43455</v>
      </c>
      <c r="C5251" s="66" t="s">
        <v>220</v>
      </c>
      <c r="D5251" s="64" t="s">
        <v>18</v>
      </c>
      <c r="E5251" s="64">
        <v>1</v>
      </c>
    </row>
    <row r="5252" spans="1:5">
      <c r="A5252" s="64" t="s">
        <v>27</v>
      </c>
      <c r="B5252" s="65">
        <v>43458</v>
      </c>
      <c r="C5252" s="66" t="s">
        <v>216</v>
      </c>
      <c r="D5252" s="64" t="s">
        <v>18</v>
      </c>
      <c r="E5252" s="64">
        <v>1</v>
      </c>
    </row>
    <row r="5253" spans="1:5">
      <c r="A5253" s="64" t="s">
        <v>27</v>
      </c>
      <c r="B5253" s="65">
        <v>43459</v>
      </c>
      <c r="C5253" s="66" t="s">
        <v>217</v>
      </c>
      <c r="D5253" s="64" t="s">
        <v>18</v>
      </c>
      <c r="E5253" s="64">
        <v>1</v>
      </c>
    </row>
    <row r="5254" spans="1:5">
      <c r="A5254" s="64" t="s">
        <v>27</v>
      </c>
      <c r="B5254" s="65">
        <v>43460</v>
      </c>
      <c r="C5254" s="66" t="s">
        <v>218</v>
      </c>
      <c r="D5254" s="64" t="s">
        <v>18</v>
      </c>
      <c r="E5254" s="64">
        <v>1</v>
      </c>
    </row>
    <row r="5255" spans="1:5">
      <c r="A5255" s="64" t="s">
        <v>27</v>
      </c>
      <c r="B5255" s="65">
        <v>43461</v>
      </c>
      <c r="C5255" s="66" t="s">
        <v>219</v>
      </c>
      <c r="D5255" s="64" t="s">
        <v>18</v>
      </c>
      <c r="E5255" s="64">
        <v>1</v>
      </c>
    </row>
    <row r="5256" spans="1:5">
      <c r="A5256" s="64" t="s">
        <v>27</v>
      </c>
      <c r="B5256" s="65">
        <v>43462</v>
      </c>
      <c r="C5256" s="66" t="s">
        <v>220</v>
      </c>
      <c r="D5256" s="64" t="s">
        <v>18</v>
      </c>
      <c r="E5256" s="64">
        <v>1</v>
      </c>
    </row>
    <row r="5257" spans="1:5">
      <c r="A5257" s="64" t="s">
        <v>27</v>
      </c>
      <c r="B5257" s="65">
        <v>43465</v>
      </c>
      <c r="C5257" s="66" t="s">
        <v>216</v>
      </c>
      <c r="D5257" s="64" t="s">
        <v>18</v>
      </c>
      <c r="E5257" s="64">
        <v>1</v>
      </c>
    </row>
    <row r="5258" spans="1:5">
      <c r="A5258" s="64" t="s">
        <v>27</v>
      </c>
      <c r="B5258" s="65">
        <v>43466</v>
      </c>
      <c r="C5258" s="66" t="s">
        <v>217</v>
      </c>
      <c r="D5258" s="64" t="s">
        <v>18</v>
      </c>
      <c r="E5258" s="64">
        <v>1</v>
      </c>
    </row>
    <row r="5259" spans="1:5">
      <c r="A5259" s="64" t="s">
        <v>27</v>
      </c>
      <c r="B5259" s="65">
        <v>43467</v>
      </c>
      <c r="C5259" s="66" t="s">
        <v>218</v>
      </c>
      <c r="D5259" s="64" t="s">
        <v>18</v>
      </c>
      <c r="E5259" s="64">
        <v>1</v>
      </c>
    </row>
    <row r="5260" spans="1:5">
      <c r="A5260" s="64" t="s">
        <v>27</v>
      </c>
      <c r="B5260" s="65">
        <v>43468</v>
      </c>
      <c r="C5260" s="66" t="s">
        <v>219</v>
      </c>
      <c r="D5260" s="64" t="s">
        <v>18</v>
      </c>
      <c r="E5260" s="64">
        <v>1</v>
      </c>
    </row>
    <row r="5261" spans="1:5">
      <c r="A5261" s="64" t="s">
        <v>27</v>
      </c>
      <c r="B5261" s="65">
        <v>43469</v>
      </c>
      <c r="C5261" s="66" t="s">
        <v>220</v>
      </c>
      <c r="D5261" s="64" t="s">
        <v>18</v>
      </c>
      <c r="E5261" s="64">
        <v>1</v>
      </c>
    </row>
    <row r="5262" spans="1:5">
      <c r="A5262" s="64" t="s">
        <v>27</v>
      </c>
      <c r="B5262" s="65">
        <v>43472</v>
      </c>
      <c r="C5262" s="66" t="s">
        <v>216</v>
      </c>
      <c r="D5262" s="64" t="s">
        <v>18</v>
      </c>
      <c r="E5262" s="64">
        <v>1</v>
      </c>
    </row>
    <row r="5263" spans="1:5">
      <c r="A5263" s="64" t="s">
        <v>27</v>
      </c>
      <c r="B5263" s="65">
        <v>43473</v>
      </c>
      <c r="C5263" s="66" t="s">
        <v>217</v>
      </c>
      <c r="D5263" s="64" t="s">
        <v>18</v>
      </c>
      <c r="E5263" s="64">
        <v>1</v>
      </c>
    </row>
    <row r="5264" spans="1:5">
      <c r="A5264" s="64" t="s">
        <v>27</v>
      </c>
      <c r="B5264" s="65">
        <v>43474</v>
      </c>
      <c r="C5264" s="66" t="s">
        <v>218</v>
      </c>
      <c r="D5264" s="64" t="s">
        <v>18</v>
      </c>
      <c r="E5264" s="64">
        <v>1</v>
      </c>
    </row>
    <row r="5265" spans="1:5">
      <c r="A5265" s="64" t="s">
        <v>27</v>
      </c>
      <c r="B5265" s="65">
        <v>43475</v>
      </c>
      <c r="C5265" s="66" t="s">
        <v>219</v>
      </c>
      <c r="D5265" s="64" t="s">
        <v>18</v>
      </c>
      <c r="E5265" s="64">
        <v>1</v>
      </c>
    </row>
    <row r="5266" spans="1:5">
      <c r="A5266" s="64" t="s">
        <v>27</v>
      </c>
      <c r="B5266" s="65">
        <v>43476</v>
      </c>
      <c r="C5266" s="66" t="s">
        <v>220</v>
      </c>
      <c r="D5266" s="64" t="s">
        <v>18</v>
      </c>
      <c r="E5266" s="64">
        <v>1</v>
      </c>
    </row>
    <row r="5267" spans="1:5">
      <c r="A5267" s="64" t="s">
        <v>27</v>
      </c>
      <c r="B5267" s="65">
        <v>43479</v>
      </c>
      <c r="C5267" s="66" t="s">
        <v>216</v>
      </c>
      <c r="D5267" s="64" t="s">
        <v>18</v>
      </c>
      <c r="E5267" s="64">
        <v>1</v>
      </c>
    </row>
    <row r="5268" spans="1:5">
      <c r="A5268" s="64" t="s">
        <v>27</v>
      </c>
      <c r="B5268" s="65">
        <v>43480</v>
      </c>
      <c r="C5268" s="66" t="s">
        <v>217</v>
      </c>
      <c r="D5268" s="64" t="s">
        <v>18</v>
      </c>
      <c r="E5268" s="64">
        <v>1</v>
      </c>
    </row>
    <row r="5269" spans="1:5">
      <c r="A5269" s="64" t="s">
        <v>27</v>
      </c>
      <c r="B5269" s="65">
        <v>43481</v>
      </c>
      <c r="C5269" s="66" t="s">
        <v>218</v>
      </c>
      <c r="D5269" s="64" t="s">
        <v>18</v>
      </c>
      <c r="E5269" s="64">
        <v>1</v>
      </c>
    </row>
    <row r="5270" spans="1:5">
      <c r="A5270" s="64" t="s">
        <v>27</v>
      </c>
      <c r="B5270" s="65">
        <v>43482</v>
      </c>
      <c r="C5270" s="66" t="s">
        <v>219</v>
      </c>
      <c r="D5270" s="64" t="s">
        <v>18</v>
      </c>
      <c r="E5270" s="64">
        <v>1</v>
      </c>
    </row>
    <row r="5271" spans="1:5">
      <c r="A5271" s="64" t="s">
        <v>27</v>
      </c>
      <c r="B5271" s="65">
        <v>43483</v>
      </c>
      <c r="C5271" s="66" t="s">
        <v>220</v>
      </c>
      <c r="D5271" s="64" t="s">
        <v>18</v>
      </c>
      <c r="E5271" s="64">
        <v>1</v>
      </c>
    </row>
    <row r="5272" spans="1:5">
      <c r="A5272" s="64" t="s">
        <v>27</v>
      </c>
      <c r="B5272" s="65">
        <v>43486</v>
      </c>
      <c r="C5272" s="66" t="s">
        <v>216</v>
      </c>
      <c r="D5272" s="64" t="s">
        <v>18</v>
      </c>
      <c r="E5272" s="64">
        <v>1</v>
      </c>
    </row>
    <row r="5273" spans="1:5">
      <c r="A5273" s="64" t="s">
        <v>27</v>
      </c>
      <c r="B5273" s="65">
        <v>43487</v>
      </c>
      <c r="C5273" s="66" t="s">
        <v>217</v>
      </c>
      <c r="D5273" s="64" t="s">
        <v>18</v>
      </c>
      <c r="E5273" s="64">
        <v>1</v>
      </c>
    </row>
    <row r="5274" spans="1:5">
      <c r="A5274" s="64" t="s">
        <v>27</v>
      </c>
      <c r="B5274" s="65">
        <v>43488</v>
      </c>
      <c r="C5274" s="66" t="s">
        <v>218</v>
      </c>
      <c r="D5274" s="64" t="s">
        <v>18</v>
      </c>
      <c r="E5274" s="64">
        <v>1</v>
      </c>
    </row>
    <row r="5275" spans="1:5">
      <c r="A5275" s="64" t="s">
        <v>27</v>
      </c>
      <c r="B5275" s="65">
        <v>43489</v>
      </c>
      <c r="C5275" s="66" t="s">
        <v>219</v>
      </c>
      <c r="D5275" s="64" t="s">
        <v>18</v>
      </c>
      <c r="E5275" s="64">
        <v>1</v>
      </c>
    </row>
    <row r="5276" spans="1:5">
      <c r="A5276" s="64" t="s">
        <v>27</v>
      </c>
      <c r="B5276" s="65">
        <v>43490</v>
      </c>
      <c r="C5276" s="66" t="s">
        <v>220</v>
      </c>
      <c r="D5276" s="64" t="s">
        <v>18</v>
      </c>
      <c r="E5276" s="64">
        <v>1</v>
      </c>
    </row>
    <row r="5277" spans="1:5">
      <c r="A5277" s="64" t="s">
        <v>27</v>
      </c>
      <c r="B5277" s="65">
        <v>43493</v>
      </c>
      <c r="C5277" s="66" t="s">
        <v>216</v>
      </c>
      <c r="D5277" s="64" t="s">
        <v>18</v>
      </c>
      <c r="E5277" s="64">
        <v>1</v>
      </c>
    </row>
    <row r="5278" spans="1:5">
      <c r="A5278" s="64" t="s">
        <v>27</v>
      </c>
      <c r="B5278" s="65">
        <v>43494</v>
      </c>
      <c r="C5278" s="66" t="s">
        <v>217</v>
      </c>
      <c r="D5278" s="64" t="s">
        <v>18</v>
      </c>
      <c r="E5278" s="64">
        <v>1</v>
      </c>
    </row>
    <row r="5279" spans="1:5">
      <c r="A5279" s="64" t="s">
        <v>27</v>
      </c>
      <c r="B5279" s="65">
        <v>43495</v>
      </c>
      <c r="C5279" s="66" t="s">
        <v>218</v>
      </c>
      <c r="D5279" s="64" t="s">
        <v>18</v>
      </c>
      <c r="E5279" s="64">
        <v>1</v>
      </c>
    </row>
    <row r="5280" spans="1:5">
      <c r="A5280" s="64" t="s">
        <v>27</v>
      </c>
      <c r="B5280" s="65">
        <v>43496</v>
      </c>
      <c r="C5280" s="66" t="s">
        <v>219</v>
      </c>
      <c r="D5280" s="64" t="s">
        <v>18</v>
      </c>
      <c r="E5280" s="64">
        <v>1</v>
      </c>
    </row>
    <row r="5281" spans="1:5">
      <c r="A5281" s="64" t="s">
        <v>27</v>
      </c>
      <c r="B5281" s="65">
        <v>43497</v>
      </c>
      <c r="C5281" s="66" t="s">
        <v>220</v>
      </c>
      <c r="D5281" s="64" t="s">
        <v>18</v>
      </c>
      <c r="E5281" s="64">
        <v>1</v>
      </c>
    </row>
    <row r="5282" spans="1:5">
      <c r="A5282" s="64" t="s">
        <v>27</v>
      </c>
      <c r="B5282" s="65">
        <v>43500</v>
      </c>
      <c r="C5282" s="66" t="s">
        <v>216</v>
      </c>
      <c r="D5282" s="64" t="s">
        <v>18</v>
      </c>
      <c r="E5282" s="64">
        <v>1</v>
      </c>
    </row>
    <row r="5283" spans="1:5">
      <c r="A5283" s="64" t="s">
        <v>27</v>
      </c>
      <c r="B5283" s="65">
        <v>43501</v>
      </c>
      <c r="C5283" s="66" t="s">
        <v>217</v>
      </c>
      <c r="D5283" s="64" t="s">
        <v>18</v>
      </c>
      <c r="E5283" s="64">
        <v>1</v>
      </c>
    </row>
    <row r="5284" spans="1:5">
      <c r="A5284" s="64" t="s">
        <v>27</v>
      </c>
      <c r="B5284" s="65">
        <v>43502</v>
      </c>
      <c r="C5284" s="66" t="s">
        <v>218</v>
      </c>
      <c r="D5284" s="64" t="s">
        <v>18</v>
      </c>
      <c r="E5284" s="64">
        <v>1</v>
      </c>
    </row>
    <row r="5285" spans="1:5">
      <c r="A5285" s="64" t="s">
        <v>27</v>
      </c>
      <c r="B5285" s="65">
        <v>43503</v>
      </c>
      <c r="C5285" s="66" t="s">
        <v>219</v>
      </c>
      <c r="D5285" s="64" t="s">
        <v>18</v>
      </c>
      <c r="E5285" s="64">
        <v>1</v>
      </c>
    </row>
    <row r="5286" spans="1:5">
      <c r="A5286" s="64" t="s">
        <v>27</v>
      </c>
      <c r="B5286" s="65">
        <v>43504</v>
      </c>
      <c r="C5286" s="66" t="s">
        <v>220</v>
      </c>
      <c r="D5286" s="64" t="s">
        <v>18</v>
      </c>
      <c r="E5286" s="64">
        <v>1</v>
      </c>
    </row>
    <row r="5287" spans="1:5">
      <c r="A5287" s="64" t="s">
        <v>27</v>
      </c>
      <c r="B5287" s="65">
        <v>43507</v>
      </c>
      <c r="C5287" s="66" t="s">
        <v>216</v>
      </c>
      <c r="D5287" s="64" t="s">
        <v>18</v>
      </c>
      <c r="E5287" s="64">
        <v>1</v>
      </c>
    </row>
    <row r="5288" spans="1:5">
      <c r="A5288" s="64" t="s">
        <v>27</v>
      </c>
      <c r="B5288" s="65">
        <v>43508</v>
      </c>
      <c r="C5288" s="66" t="s">
        <v>217</v>
      </c>
      <c r="D5288" s="64" t="s">
        <v>18</v>
      </c>
      <c r="E5288" s="64">
        <v>1</v>
      </c>
    </row>
    <row r="5289" spans="1:5">
      <c r="A5289" s="64" t="s">
        <v>27</v>
      </c>
      <c r="B5289" s="65">
        <v>43509</v>
      </c>
      <c r="C5289" s="66" t="s">
        <v>218</v>
      </c>
      <c r="D5289" s="64" t="s">
        <v>18</v>
      </c>
      <c r="E5289" s="64">
        <v>1</v>
      </c>
    </row>
    <row r="5290" spans="1:5">
      <c r="A5290" s="64" t="s">
        <v>27</v>
      </c>
      <c r="B5290" s="65">
        <v>43510</v>
      </c>
      <c r="C5290" s="66" t="s">
        <v>219</v>
      </c>
      <c r="D5290" s="64" t="s">
        <v>18</v>
      </c>
      <c r="E5290" s="64">
        <v>1</v>
      </c>
    </row>
    <row r="5291" spans="1:5">
      <c r="A5291" s="64" t="s">
        <v>27</v>
      </c>
      <c r="B5291" s="65">
        <v>43511</v>
      </c>
      <c r="C5291" s="66" t="s">
        <v>220</v>
      </c>
      <c r="D5291" s="64" t="s">
        <v>18</v>
      </c>
      <c r="E5291" s="64">
        <v>1</v>
      </c>
    </row>
    <row r="5292" spans="1:5">
      <c r="A5292" s="64" t="s">
        <v>27</v>
      </c>
      <c r="B5292" s="65">
        <v>43514</v>
      </c>
      <c r="C5292" s="66" t="s">
        <v>216</v>
      </c>
      <c r="D5292" s="64" t="s">
        <v>18</v>
      </c>
      <c r="E5292" s="64">
        <v>1</v>
      </c>
    </row>
    <row r="5293" spans="1:5">
      <c r="A5293" s="64" t="s">
        <v>27</v>
      </c>
      <c r="B5293" s="65">
        <v>43515</v>
      </c>
      <c r="C5293" s="66" t="s">
        <v>217</v>
      </c>
      <c r="D5293" s="64" t="s">
        <v>18</v>
      </c>
      <c r="E5293" s="64">
        <v>1</v>
      </c>
    </row>
    <row r="5294" spans="1:5">
      <c r="A5294" s="64" t="s">
        <v>27</v>
      </c>
      <c r="B5294" s="65">
        <v>43516</v>
      </c>
      <c r="C5294" s="66" t="s">
        <v>218</v>
      </c>
      <c r="D5294" s="64" t="s">
        <v>18</v>
      </c>
      <c r="E5294" s="64">
        <v>1</v>
      </c>
    </row>
    <row r="5295" spans="1:5">
      <c r="A5295" s="64" t="s">
        <v>27</v>
      </c>
      <c r="B5295" s="65">
        <v>43517</v>
      </c>
      <c r="C5295" s="66" t="s">
        <v>219</v>
      </c>
      <c r="D5295" s="64" t="s">
        <v>18</v>
      </c>
      <c r="E5295" s="64">
        <v>1</v>
      </c>
    </row>
    <row r="5296" spans="1:5">
      <c r="A5296" s="64" t="s">
        <v>27</v>
      </c>
      <c r="B5296" s="65">
        <v>43518</v>
      </c>
      <c r="C5296" s="66" t="s">
        <v>220</v>
      </c>
      <c r="D5296" s="64" t="s">
        <v>18</v>
      </c>
      <c r="E5296" s="64">
        <v>1</v>
      </c>
    </row>
    <row r="5297" spans="1:5">
      <c r="A5297" s="64" t="s">
        <v>27</v>
      </c>
      <c r="B5297" s="65">
        <v>43521</v>
      </c>
      <c r="C5297" s="66" t="s">
        <v>216</v>
      </c>
      <c r="D5297" s="64" t="s">
        <v>18</v>
      </c>
      <c r="E5297" s="64">
        <v>1</v>
      </c>
    </row>
    <row r="5298" spans="1:5">
      <c r="A5298" s="64" t="s">
        <v>27</v>
      </c>
      <c r="B5298" s="65">
        <v>43522</v>
      </c>
      <c r="C5298" s="66" t="s">
        <v>217</v>
      </c>
      <c r="D5298" s="64" t="s">
        <v>18</v>
      </c>
      <c r="E5298" s="64">
        <v>1</v>
      </c>
    </row>
    <row r="5299" spans="1:5">
      <c r="A5299" s="64" t="s">
        <v>27</v>
      </c>
      <c r="B5299" s="65">
        <v>43523</v>
      </c>
      <c r="C5299" s="66" t="s">
        <v>218</v>
      </c>
      <c r="D5299" s="64" t="s">
        <v>18</v>
      </c>
      <c r="E5299" s="64">
        <v>1</v>
      </c>
    </row>
    <row r="5300" spans="1:5">
      <c r="A5300" s="64" t="s">
        <v>27</v>
      </c>
      <c r="B5300" s="65">
        <v>43524</v>
      </c>
      <c r="C5300" s="66" t="s">
        <v>219</v>
      </c>
      <c r="D5300" s="64" t="s">
        <v>18</v>
      </c>
      <c r="E5300" s="64">
        <v>1</v>
      </c>
    </row>
    <row r="5301" spans="1:5">
      <c r="A5301" s="64" t="s">
        <v>27</v>
      </c>
      <c r="B5301" s="65">
        <v>43525</v>
      </c>
      <c r="C5301" s="66" t="s">
        <v>220</v>
      </c>
      <c r="D5301" s="64" t="s">
        <v>18</v>
      </c>
      <c r="E5301" s="64">
        <v>1</v>
      </c>
    </row>
    <row r="5302" spans="1:5">
      <c r="A5302" s="64" t="s">
        <v>27</v>
      </c>
      <c r="B5302" s="65">
        <v>43528</v>
      </c>
      <c r="C5302" s="66" t="s">
        <v>216</v>
      </c>
      <c r="D5302" s="64" t="s">
        <v>18</v>
      </c>
      <c r="E5302" s="64">
        <v>1</v>
      </c>
    </row>
    <row r="5303" spans="1:5">
      <c r="A5303" s="64" t="s">
        <v>27</v>
      </c>
      <c r="B5303" s="65">
        <v>43529</v>
      </c>
      <c r="C5303" s="66" t="s">
        <v>217</v>
      </c>
      <c r="D5303" s="64" t="s">
        <v>18</v>
      </c>
      <c r="E5303" s="64">
        <v>1</v>
      </c>
    </row>
    <row r="5304" spans="1:5">
      <c r="A5304" s="64" t="s">
        <v>27</v>
      </c>
      <c r="B5304" s="65">
        <v>43530</v>
      </c>
      <c r="C5304" s="66" t="s">
        <v>218</v>
      </c>
      <c r="D5304" s="64" t="s">
        <v>18</v>
      </c>
      <c r="E5304" s="64">
        <v>1</v>
      </c>
    </row>
    <row r="5305" spans="1:5">
      <c r="A5305" s="64" t="s">
        <v>27</v>
      </c>
      <c r="B5305" s="65">
        <v>43531</v>
      </c>
      <c r="C5305" s="66" t="s">
        <v>219</v>
      </c>
      <c r="D5305" s="64" t="s">
        <v>18</v>
      </c>
      <c r="E5305" s="64">
        <v>1</v>
      </c>
    </row>
    <row r="5306" spans="1:5">
      <c r="A5306" s="64" t="s">
        <v>27</v>
      </c>
      <c r="B5306" s="65">
        <v>43532</v>
      </c>
      <c r="C5306" s="66" t="s">
        <v>220</v>
      </c>
      <c r="D5306" s="64" t="s">
        <v>18</v>
      </c>
      <c r="E5306" s="64">
        <v>1</v>
      </c>
    </row>
    <row r="5307" spans="1:5">
      <c r="A5307" s="64" t="s">
        <v>27</v>
      </c>
      <c r="B5307" s="65">
        <v>43535</v>
      </c>
      <c r="C5307" s="66" t="s">
        <v>216</v>
      </c>
      <c r="D5307" s="64" t="s">
        <v>18</v>
      </c>
      <c r="E5307" s="64">
        <v>1</v>
      </c>
    </row>
    <row r="5308" spans="1:5">
      <c r="A5308" s="64" t="s">
        <v>27</v>
      </c>
      <c r="B5308" s="65">
        <v>43536</v>
      </c>
      <c r="C5308" s="66" t="s">
        <v>217</v>
      </c>
      <c r="D5308" s="64" t="s">
        <v>18</v>
      </c>
      <c r="E5308" s="64">
        <v>1</v>
      </c>
    </row>
    <row r="5309" spans="1:5">
      <c r="A5309" s="64" t="s">
        <v>27</v>
      </c>
      <c r="B5309" s="65">
        <v>43537</v>
      </c>
      <c r="C5309" s="66" t="s">
        <v>218</v>
      </c>
      <c r="D5309" s="64" t="s">
        <v>18</v>
      </c>
      <c r="E5309" s="64">
        <v>1</v>
      </c>
    </row>
    <row r="5310" spans="1:5">
      <c r="A5310" s="64" t="s">
        <v>27</v>
      </c>
      <c r="B5310" s="65">
        <v>43538</v>
      </c>
      <c r="C5310" s="66" t="s">
        <v>219</v>
      </c>
      <c r="D5310" s="64" t="s">
        <v>18</v>
      </c>
      <c r="E5310" s="64">
        <v>1</v>
      </c>
    </row>
    <row r="5311" spans="1:5">
      <c r="A5311" s="64" t="s">
        <v>27</v>
      </c>
      <c r="B5311" s="65">
        <v>43539</v>
      </c>
      <c r="C5311" s="66" t="s">
        <v>220</v>
      </c>
      <c r="D5311" s="64" t="s">
        <v>18</v>
      </c>
      <c r="E5311" s="64">
        <v>1</v>
      </c>
    </row>
    <row r="5312" spans="1:5">
      <c r="A5312" s="64" t="s">
        <v>27</v>
      </c>
      <c r="B5312" s="65">
        <v>43542</v>
      </c>
      <c r="C5312" s="66" t="s">
        <v>216</v>
      </c>
      <c r="D5312" s="64" t="s">
        <v>18</v>
      </c>
      <c r="E5312" s="64">
        <v>1</v>
      </c>
    </row>
    <row r="5313" spans="1:5">
      <c r="A5313" s="64" t="s">
        <v>27</v>
      </c>
      <c r="B5313" s="65">
        <v>43543</v>
      </c>
      <c r="C5313" s="66" t="s">
        <v>217</v>
      </c>
      <c r="D5313" s="64" t="s">
        <v>18</v>
      </c>
      <c r="E5313" s="64">
        <v>1</v>
      </c>
    </row>
    <row r="5314" spans="1:5">
      <c r="A5314" s="64" t="s">
        <v>27</v>
      </c>
      <c r="B5314" s="65">
        <v>43544</v>
      </c>
      <c r="C5314" s="66" t="s">
        <v>218</v>
      </c>
      <c r="D5314" s="64" t="s">
        <v>18</v>
      </c>
      <c r="E5314" s="64">
        <v>1</v>
      </c>
    </row>
    <row r="5315" spans="1:5">
      <c r="A5315" s="64" t="s">
        <v>27</v>
      </c>
      <c r="B5315" s="65">
        <v>43545</v>
      </c>
      <c r="C5315" s="66" t="s">
        <v>219</v>
      </c>
      <c r="D5315" s="64" t="s">
        <v>18</v>
      </c>
      <c r="E5315" s="64">
        <v>1</v>
      </c>
    </row>
    <row r="5316" spans="1:5">
      <c r="A5316" s="64" t="s">
        <v>27</v>
      </c>
      <c r="B5316" s="65">
        <v>43546</v>
      </c>
      <c r="C5316" s="66" t="s">
        <v>220</v>
      </c>
      <c r="D5316" s="64" t="s">
        <v>18</v>
      </c>
      <c r="E5316" s="64">
        <v>1</v>
      </c>
    </row>
    <row r="5317" spans="1:5">
      <c r="A5317" s="64" t="s">
        <v>27</v>
      </c>
      <c r="B5317" s="65">
        <v>43549</v>
      </c>
      <c r="C5317" s="66" t="s">
        <v>216</v>
      </c>
      <c r="D5317" s="64" t="s">
        <v>18</v>
      </c>
      <c r="E5317" s="64">
        <v>1</v>
      </c>
    </row>
    <row r="5318" spans="1:5">
      <c r="A5318" s="64" t="s">
        <v>27</v>
      </c>
      <c r="B5318" s="65">
        <v>43550</v>
      </c>
      <c r="C5318" s="66" t="s">
        <v>217</v>
      </c>
      <c r="D5318" s="64" t="s">
        <v>18</v>
      </c>
      <c r="E5318" s="64">
        <v>1</v>
      </c>
    </row>
    <row r="5319" spans="1:5">
      <c r="A5319" s="64" t="s">
        <v>27</v>
      </c>
      <c r="B5319" s="65">
        <v>43551</v>
      </c>
      <c r="C5319" s="66" t="s">
        <v>218</v>
      </c>
      <c r="D5319" s="64" t="s">
        <v>18</v>
      </c>
      <c r="E5319" s="64">
        <v>1</v>
      </c>
    </row>
    <row r="5320" spans="1:5">
      <c r="A5320" s="64" t="s">
        <v>27</v>
      </c>
      <c r="B5320" s="65">
        <v>43552</v>
      </c>
      <c r="C5320" s="66" t="s">
        <v>219</v>
      </c>
      <c r="D5320" s="64" t="s">
        <v>18</v>
      </c>
      <c r="E5320" s="64">
        <v>1</v>
      </c>
    </row>
    <row r="5321" spans="1:5">
      <c r="A5321" s="64" t="s">
        <v>27</v>
      </c>
      <c r="B5321" s="65">
        <v>43553</v>
      </c>
      <c r="C5321" s="66" t="s">
        <v>220</v>
      </c>
      <c r="D5321" s="64" t="s">
        <v>18</v>
      </c>
      <c r="E5321" s="64">
        <v>1</v>
      </c>
    </row>
    <row r="5322" spans="1:5">
      <c r="A5322" s="64" t="s">
        <v>27</v>
      </c>
      <c r="B5322" s="65">
        <v>43346</v>
      </c>
      <c r="C5322" s="66" t="s">
        <v>216</v>
      </c>
      <c r="D5322" s="64" t="s">
        <v>28</v>
      </c>
      <c r="E5322" s="64">
        <v>1</v>
      </c>
    </row>
    <row r="5323" spans="1:5">
      <c r="A5323" s="64" t="s">
        <v>27</v>
      </c>
      <c r="B5323" s="65">
        <v>43347</v>
      </c>
      <c r="C5323" s="66" t="s">
        <v>217</v>
      </c>
      <c r="D5323" s="64" t="s">
        <v>28</v>
      </c>
      <c r="E5323" s="64">
        <v>1</v>
      </c>
    </row>
    <row r="5324" spans="1:5">
      <c r="A5324" s="64" t="s">
        <v>27</v>
      </c>
      <c r="B5324" s="65">
        <v>43348</v>
      </c>
      <c r="C5324" s="66" t="s">
        <v>218</v>
      </c>
      <c r="D5324" s="64" t="s">
        <v>28</v>
      </c>
      <c r="E5324" s="64">
        <v>1</v>
      </c>
    </row>
    <row r="5325" spans="1:5">
      <c r="A5325" s="64" t="s">
        <v>27</v>
      </c>
      <c r="B5325" s="65">
        <v>43349</v>
      </c>
      <c r="C5325" s="66" t="s">
        <v>219</v>
      </c>
      <c r="D5325" s="64" t="s">
        <v>28</v>
      </c>
      <c r="E5325" s="64">
        <v>1</v>
      </c>
    </row>
    <row r="5326" spans="1:5">
      <c r="A5326" s="64" t="s">
        <v>27</v>
      </c>
      <c r="B5326" s="65">
        <v>43350</v>
      </c>
      <c r="C5326" s="66" t="s">
        <v>220</v>
      </c>
      <c r="D5326" s="64" t="s">
        <v>28</v>
      </c>
      <c r="E5326" s="64">
        <v>1</v>
      </c>
    </row>
    <row r="5327" spans="1:5">
      <c r="A5327" s="64" t="s">
        <v>27</v>
      </c>
      <c r="B5327" s="65">
        <v>43351</v>
      </c>
      <c r="C5327" s="66" t="s">
        <v>221</v>
      </c>
      <c r="D5327" s="64" t="s">
        <v>28</v>
      </c>
      <c r="E5327" s="64">
        <v>1</v>
      </c>
    </row>
    <row r="5328" spans="1:5">
      <c r="A5328" s="64" t="s">
        <v>27</v>
      </c>
      <c r="B5328" s="65">
        <v>43352</v>
      </c>
      <c r="C5328" s="66" t="s">
        <v>222</v>
      </c>
      <c r="D5328" s="64" t="s">
        <v>28</v>
      </c>
      <c r="E5328" s="64">
        <v>1</v>
      </c>
    </row>
    <row r="5329" spans="1:5">
      <c r="A5329" s="64" t="s">
        <v>27</v>
      </c>
      <c r="B5329" s="65">
        <v>43353</v>
      </c>
      <c r="C5329" s="66" t="s">
        <v>216</v>
      </c>
      <c r="D5329" s="64" t="s">
        <v>28</v>
      </c>
      <c r="E5329" s="64">
        <v>1</v>
      </c>
    </row>
    <row r="5330" spans="1:5">
      <c r="A5330" s="64" t="s">
        <v>27</v>
      </c>
      <c r="B5330" s="65">
        <v>43354</v>
      </c>
      <c r="C5330" s="66" t="s">
        <v>217</v>
      </c>
      <c r="D5330" s="64" t="s">
        <v>28</v>
      </c>
      <c r="E5330" s="64">
        <v>1</v>
      </c>
    </row>
    <row r="5331" spans="1:5">
      <c r="A5331" s="64" t="s">
        <v>27</v>
      </c>
      <c r="B5331" s="65">
        <v>43355</v>
      </c>
      <c r="C5331" s="66" t="s">
        <v>218</v>
      </c>
      <c r="D5331" s="64" t="s">
        <v>28</v>
      </c>
      <c r="E5331" s="64">
        <v>1</v>
      </c>
    </row>
    <row r="5332" spans="1:5">
      <c r="A5332" s="64" t="s">
        <v>27</v>
      </c>
      <c r="B5332" s="65">
        <v>43356</v>
      </c>
      <c r="C5332" s="66" t="s">
        <v>219</v>
      </c>
      <c r="D5332" s="64" t="s">
        <v>28</v>
      </c>
      <c r="E5332" s="64">
        <v>1</v>
      </c>
    </row>
    <row r="5333" spans="1:5">
      <c r="A5333" s="64" t="s">
        <v>27</v>
      </c>
      <c r="B5333" s="65">
        <v>43357</v>
      </c>
      <c r="C5333" s="66" t="s">
        <v>220</v>
      </c>
      <c r="D5333" s="64" t="s">
        <v>28</v>
      </c>
      <c r="E5333" s="64">
        <v>1</v>
      </c>
    </row>
    <row r="5334" spans="1:5">
      <c r="A5334" s="64" t="s">
        <v>27</v>
      </c>
      <c r="B5334" s="65">
        <v>43358</v>
      </c>
      <c r="C5334" s="66" t="s">
        <v>221</v>
      </c>
      <c r="D5334" s="64" t="s">
        <v>28</v>
      </c>
      <c r="E5334" s="64">
        <v>1</v>
      </c>
    </row>
    <row r="5335" spans="1:5">
      <c r="A5335" s="64" t="s">
        <v>27</v>
      </c>
      <c r="B5335" s="65">
        <v>43359</v>
      </c>
      <c r="C5335" s="66" t="s">
        <v>222</v>
      </c>
      <c r="D5335" s="64" t="s">
        <v>28</v>
      </c>
      <c r="E5335" s="64">
        <v>1</v>
      </c>
    </row>
    <row r="5336" spans="1:5">
      <c r="A5336" s="64" t="s">
        <v>27</v>
      </c>
      <c r="B5336" s="65">
        <v>43360</v>
      </c>
      <c r="C5336" s="66" t="s">
        <v>216</v>
      </c>
      <c r="D5336" s="64" t="s">
        <v>28</v>
      </c>
      <c r="E5336" s="64">
        <v>1</v>
      </c>
    </row>
    <row r="5337" spans="1:5">
      <c r="A5337" s="64" t="s">
        <v>27</v>
      </c>
      <c r="B5337" s="65">
        <v>43361</v>
      </c>
      <c r="C5337" s="66" t="s">
        <v>217</v>
      </c>
      <c r="D5337" s="64" t="s">
        <v>28</v>
      </c>
      <c r="E5337" s="64">
        <v>1</v>
      </c>
    </row>
    <row r="5338" spans="1:5">
      <c r="A5338" s="64" t="s">
        <v>27</v>
      </c>
      <c r="B5338" s="65">
        <v>43362</v>
      </c>
      <c r="C5338" s="66" t="s">
        <v>218</v>
      </c>
      <c r="D5338" s="64" t="s">
        <v>28</v>
      </c>
      <c r="E5338" s="64">
        <v>1</v>
      </c>
    </row>
    <row r="5339" spans="1:5">
      <c r="A5339" s="64" t="s">
        <v>27</v>
      </c>
      <c r="B5339" s="65">
        <v>43363</v>
      </c>
      <c r="C5339" s="66" t="s">
        <v>219</v>
      </c>
      <c r="D5339" s="64" t="s">
        <v>28</v>
      </c>
      <c r="E5339" s="64">
        <v>1</v>
      </c>
    </row>
    <row r="5340" spans="1:5">
      <c r="A5340" s="64" t="s">
        <v>27</v>
      </c>
      <c r="B5340" s="65">
        <v>43364</v>
      </c>
      <c r="C5340" s="66" t="s">
        <v>220</v>
      </c>
      <c r="D5340" s="64" t="s">
        <v>28</v>
      </c>
      <c r="E5340" s="64">
        <v>1</v>
      </c>
    </row>
    <row r="5341" spans="1:5">
      <c r="A5341" s="64" t="s">
        <v>27</v>
      </c>
      <c r="B5341" s="65">
        <v>43365</v>
      </c>
      <c r="C5341" s="66" t="s">
        <v>221</v>
      </c>
      <c r="D5341" s="64" t="s">
        <v>28</v>
      </c>
      <c r="E5341" s="64">
        <v>1</v>
      </c>
    </row>
    <row r="5342" spans="1:5">
      <c r="A5342" s="64" t="s">
        <v>27</v>
      </c>
      <c r="B5342" s="65">
        <v>43366</v>
      </c>
      <c r="C5342" s="66" t="s">
        <v>222</v>
      </c>
      <c r="D5342" s="64" t="s">
        <v>28</v>
      </c>
      <c r="E5342" s="64">
        <v>1</v>
      </c>
    </row>
    <row r="5343" spans="1:5">
      <c r="A5343" s="64" t="s">
        <v>27</v>
      </c>
      <c r="B5343" s="65">
        <v>43367</v>
      </c>
      <c r="C5343" s="66" t="s">
        <v>216</v>
      </c>
      <c r="D5343" s="64" t="s">
        <v>28</v>
      </c>
      <c r="E5343" s="64">
        <v>1</v>
      </c>
    </row>
    <row r="5344" spans="1:5">
      <c r="A5344" s="64" t="s">
        <v>27</v>
      </c>
      <c r="B5344" s="65">
        <v>43368</v>
      </c>
      <c r="C5344" s="66" t="s">
        <v>217</v>
      </c>
      <c r="D5344" s="64" t="s">
        <v>28</v>
      </c>
      <c r="E5344" s="64">
        <v>1</v>
      </c>
    </row>
    <row r="5345" spans="1:5">
      <c r="A5345" s="64" t="s">
        <v>27</v>
      </c>
      <c r="B5345" s="65">
        <v>43369</v>
      </c>
      <c r="C5345" s="66" t="s">
        <v>218</v>
      </c>
      <c r="D5345" s="64" t="s">
        <v>28</v>
      </c>
      <c r="E5345" s="64">
        <v>1</v>
      </c>
    </row>
    <row r="5346" spans="1:5">
      <c r="A5346" s="64" t="s">
        <v>27</v>
      </c>
      <c r="B5346" s="65">
        <v>43370</v>
      </c>
      <c r="C5346" s="66" t="s">
        <v>219</v>
      </c>
      <c r="D5346" s="64" t="s">
        <v>28</v>
      </c>
      <c r="E5346" s="64">
        <v>1</v>
      </c>
    </row>
    <row r="5347" spans="1:5">
      <c r="A5347" s="64" t="s">
        <v>27</v>
      </c>
      <c r="B5347" s="65">
        <v>43371</v>
      </c>
      <c r="C5347" s="66" t="s">
        <v>220</v>
      </c>
      <c r="D5347" s="64" t="s">
        <v>28</v>
      </c>
      <c r="E5347" s="64">
        <v>1</v>
      </c>
    </row>
    <row r="5348" spans="1:5">
      <c r="A5348" s="64" t="s">
        <v>27</v>
      </c>
      <c r="B5348" s="65">
        <v>43372</v>
      </c>
      <c r="C5348" s="66" t="s">
        <v>221</v>
      </c>
      <c r="D5348" s="64" t="s">
        <v>28</v>
      </c>
      <c r="E5348" s="64">
        <v>1</v>
      </c>
    </row>
    <row r="5349" spans="1:5">
      <c r="A5349" s="64" t="s">
        <v>27</v>
      </c>
      <c r="B5349" s="65">
        <v>43373</v>
      </c>
      <c r="C5349" s="66" t="s">
        <v>222</v>
      </c>
      <c r="D5349" s="64" t="s">
        <v>28</v>
      </c>
      <c r="E5349" s="64">
        <v>1</v>
      </c>
    </row>
    <row r="5350" spans="1:5">
      <c r="A5350" s="64" t="s">
        <v>27</v>
      </c>
      <c r="B5350" s="65">
        <v>43374</v>
      </c>
      <c r="C5350" s="66" t="s">
        <v>216</v>
      </c>
      <c r="D5350" s="64" t="s">
        <v>28</v>
      </c>
      <c r="E5350" s="64">
        <v>1</v>
      </c>
    </row>
    <row r="5351" spans="1:5">
      <c r="A5351" s="64" t="s">
        <v>27</v>
      </c>
      <c r="B5351" s="65">
        <v>43375</v>
      </c>
      <c r="C5351" s="66" t="s">
        <v>217</v>
      </c>
      <c r="D5351" s="64" t="s">
        <v>28</v>
      </c>
      <c r="E5351" s="64">
        <v>1</v>
      </c>
    </row>
    <row r="5352" spans="1:5">
      <c r="A5352" s="64" t="s">
        <v>27</v>
      </c>
      <c r="B5352" s="65">
        <v>43376</v>
      </c>
      <c r="C5352" s="66" t="s">
        <v>218</v>
      </c>
      <c r="D5352" s="64" t="s">
        <v>28</v>
      </c>
      <c r="E5352" s="64">
        <v>1</v>
      </c>
    </row>
    <row r="5353" spans="1:5">
      <c r="A5353" s="64" t="s">
        <v>27</v>
      </c>
      <c r="B5353" s="65">
        <v>43377</v>
      </c>
      <c r="C5353" s="66" t="s">
        <v>219</v>
      </c>
      <c r="D5353" s="64" t="s">
        <v>28</v>
      </c>
      <c r="E5353" s="64">
        <v>1</v>
      </c>
    </row>
    <row r="5354" spans="1:5">
      <c r="A5354" s="64" t="s">
        <v>27</v>
      </c>
      <c r="B5354" s="65">
        <v>43378</v>
      </c>
      <c r="C5354" s="66" t="s">
        <v>220</v>
      </c>
      <c r="D5354" s="64" t="s">
        <v>28</v>
      </c>
      <c r="E5354" s="64">
        <v>1</v>
      </c>
    </row>
    <row r="5355" spans="1:5">
      <c r="A5355" s="64" t="s">
        <v>27</v>
      </c>
      <c r="B5355" s="65">
        <v>43379</v>
      </c>
      <c r="C5355" s="66" t="s">
        <v>221</v>
      </c>
      <c r="D5355" s="64" t="s">
        <v>28</v>
      </c>
      <c r="E5355" s="64">
        <v>1</v>
      </c>
    </row>
    <row r="5356" spans="1:5">
      <c r="A5356" s="64" t="s">
        <v>27</v>
      </c>
      <c r="B5356" s="65">
        <v>43380</v>
      </c>
      <c r="C5356" s="66" t="s">
        <v>222</v>
      </c>
      <c r="D5356" s="64" t="s">
        <v>28</v>
      </c>
      <c r="E5356" s="64">
        <v>1</v>
      </c>
    </row>
    <row r="5357" spans="1:5">
      <c r="A5357" s="64" t="s">
        <v>27</v>
      </c>
      <c r="B5357" s="65">
        <v>43381</v>
      </c>
      <c r="C5357" s="66" t="s">
        <v>216</v>
      </c>
      <c r="D5357" s="64" t="s">
        <v>28</v>
      </c>
      <c r="E5357" s="64">
        <v>1</v>
      </c>
    </row>
    <row r="5358" spans="1:5">
      <c r="A5358" s="64" t="s">
        <v>27</v>
      </c>
      <c r="B5358" s="65">
        <v>43382</v>
      </c>
      <c r="C5358" s="66" t="s">
        <v>217</v>
      </c>
      <c r="D5358" s="64" t="s">
        <v>28</v>
      </c>
      <c r="E5358" s="64">
        <v>1</v>
      </c>
    </row>
    <row r="5359" spans="1:5">
      <c r="A5359" s="64" t="s">
        <v>27</v>
      </c>
      <c r="B5359" s="65">
        <v>43383</v>
      </c>
      <c r="C5359" s="66" t="s">
        <v>218</v>
      </c>
      <c r="D5359" s="64" t="s">
        <v>28</v>
      </c>
      <c r="E5359" s="64">
        <v>1</v>
      </c>
    </row>
    <row r="5360" spans="1:5">
      <c r="A5360" s="64" t="s">
        <v>27</v>
      </c>
      <c r="B5360" s="65">
        <v>43384</v>
      </c>
      <c r="C5360" s="66" t="s">
        <v>219</v>
      </c>
      <c r="D5360" s="64" t="s">
        <v>28</v>
      </c>
      <c r="E5360" s="64">
        <v>1</v>
      </c>
    </row>
    <row r="5361" spans="1:5">
      <c r="A5361" s="64" t="s">
        <v>27</v>
      </c>
      <c r="B5361" s="65">
        <v>43385</v>
      </c>
      <c r="C5361" s="66" t="s">
        <v>220</v>
      </c>
      <c r="D5361" s="64" t="s">
        <v>28</v>
      </c>
      <c r="E5361" s="64">
        <v>1</v>
      </c>
    </row>
    <row r="5362" spans="1:5">
      <c r="A5362" s="64" t="s">
        <v>27</v>
      </c>
      <c r="B5362" s="65">
        <v>43386</v>
      </c>
      <c r="C5362" s="66" t="s">
        <v>221</v>
      </c>
      <c r="D5362" s="64" t="s">
        <v>28</v>
      </c>
      <c r="E5362" s="64">
        <v>1</v>
      </c>
    </row>
    <row r="5363" spans="1:5">
      <c r="A5363" s="64" t="s">
        <v>27</v>
      </c>
      <c r="B5363" s="65">
        <v>43387</v>
      </c>
      <c r="C5363" s="66" t="s">
        <v>222</v>
      </c>
      <c r="D5363" s="64" t="s">
        <v>28</v>
      </c>
      <c r="E5363" s="64">
        <v>1</v>
      </c>
    </row>
    <row r="5364" spans="1:5">
      <c r="A5364" s="64" t="s">
        <v>27</v>
      </c>
      <c r="B5364" s="65">
        <v>43388</v>
      </c>
      <c r="C5364" s="66" t="s">
        <v>216</v>
      </c>
      <c r="D5364" s="64" t="s">
        <v>28</v>
      </c>
      <c r="E5364" s="64">
        <v>1</v>
      </c>
    </row>
    <row r="5365" spans="1:5">
      <c r="A5365" s="64" t="s">
        <v>27</v>
      </c>
      <c r="B5365" s="65">
        <v>43389</v>
      </c>
      <c r="C5365" s="66" t="s">
        <v>217</v>
      </c>
      <c r="D5365" s="64" t="s">
        <v>28</v>
      </c>
      <c r="E5365" s="64">
        <v>1</v>
      </c>
    </row>
    <row r="5366" spans="1:5">
      <c r="A5366" s="64" t="s">
        <v>27</v>
      </c>
      <c r="B5366" s="65">
        <v>43390</v>
      </c>
      <c r="C5366" s="66" t="s">
        <v>218</v>
      </c>
      <c r="D5366" s="64" t="s">
        <v>28</v>
      </c>
      <c r="E5366" s="64">
        <v>1</v>
      </c>
    </row>
    <row r="5367" spans="1:5">
      <c r="A5367" s="64" t="s">
        <v>27</v>
      </c>
      <c r="B5367" s="65">
        <v>43391</v>
      </c>
      <c r="C5367" s="66" t="s">
        <v>219</v>
      </c>
      <c r="D5367" s="64" t="s">
        <v>28</v>
      </c>
      <c r="E5367" s="64">
        <v>1</v>
      </c>
    </row>
    <row r="5368" spans="1:5">
      <c r="A5368" s="64" t="s">
        <v>27</v>
      </c>
      <c r="B5368" s="65">
        <v>43392</v>
      </c>
      <c r="C5368" s="66" t="s">
        <v>220</v>
      </c>
      <c r="D5368" s="64" t="s">
        <v>28</v>
      </c>
      <c r="E5368" s="64">
        <v>1</v>
      </c>
    </row>
    <row r="5369" spans="1:5">
      <c r="A5369" s="64" t="s">
        <v>27</v>
      </c>
      <c r="B5369" s="65">
        <v>43393</v>
      </c>
      <c r="C5369" s="66" t="s">
        <v>221</v>
      </c>
      <c r="D5369" s="64" t="s">
        <v>28</v>
      </c>
      <c r="E5369" s="64">
        <v>1</v>
      </c>
    </row>
    <row r="5370" spans="1:5">
      <c r="A5370" s="64" t="s">
        <v>27</v>
      </c>
      <c r="B5370" s="65">
        <v>43394</v>
      </c>
      <c r="C5370" s="66" t="s">
        <v>222</v>
      </c>
      <c r="D5370" s="64" t="s">
        <v>28</v>
      </c>
      <c r="E5370" s="64">
        <v>1</v>
      </c>
    </row>
    <row r="5371" spans="1:5">
      <c r="A5371" s="64" t="s">
        <v>27</v>
      </c>
      <c r="B5371" s="65">
        <v>43395</v>
      </c>
      <c r="C5371" s="66" t="s">
        <v>216</v>
      </c>
      <c r="D5371" s="64" t="s">
        <v>28</v>
      </c>
      <c r="E5371" s="64">
        <v>1</v>
      </c>
    </row>
    <row r="5372" spans="1:5">
      <c r="A5372" s="64" t="s">
        <v>27</v>
      </c>
      <c r="B5372" s="65">
        <v>43396</v>
      </c>
      <c r="C5372" s="66" t="s">
        <v>217</v>
      </c>
      <c r="D5372" s="64" t="s">
        <v>28</v>
      </c>
      <c r="E5372" s="64">
        <v>1</v>
      </c>
    </row>
    <row r="5373" spans="1:5">
      <c r="A5373" s="64" t="s">
        <v>27</v>
      </c>
      <c r="B5373" s="65">
        <v>43397</v>
      </c>
      <c r="C5373" s="66" t="s">
        <v>218</v>
      </c>
      <c r="D5373" s="64" t="s">
        <v>28</v>
      </c>
      <c r="E5373" s="64">
        <v>1</v>
      </c>
    </row>
    <row r="5374" spans="1:5">
      <c r="A5374" s="64" t="s">
        <v>27</v>
      </c>
      <c r="B5374" s="65">
        <v>43398</v>
      </c>
      <c r="C5374" s="66" t="s">
        <v>219</v>
      </c>
      <c r="D5374" s="64" t="s">
        <v>28</v>
      </c>
      <c r="E5374" s="64">
        <v>1</v>
      </c>
    </row>
    <row r="5375" spans="1:5">
      <c r="A5375" s="64" t="s">
        <v>27</v>
      </c>
      <c r="B5375" s="65">
        <v>43399</v>
      </c>
      <c r="C5375" s="66" t="s">
        <v>220</v>
      </c>
      <c r="D5375" s="64" t="s">
        <v>28</v>
      </c>
      <c r="E5375" s="64">
        <v>1</v>
      </c>
    </row>
    <row r="5376" spans="1:5">
      <c r="A5376" s="64" t="s">
        <v>27</v>
      </c>
      <c r="B5376" s="65">
        <v>43400</v>
      </c>
      <c r="C5376" s="66" t="s">
        <v>221</v>
      </c>
      <c r="D5376" s="64" t="s">
        <v>28</v>
      </c>
      <c r="E5376" s="64">
        <v>1</v>
      </c>
    </row>
    <row r="5377" spans="1:5">
      <c r="A5377" s="64" t="s">
        <v>27</v>
      </c>
      <c r="B5377" s="65">
        <v>43401</v>
      </c>
      <c r="C5377" s="66" t="s">
        <v>222</v>
      </c>
      <c r="D5377" s="64" t="s">
        <v>28</v>
      </c>
      <c r="E5377" s="64">
        <v>1</v>
      </c>
    </row>
    <row r="5378" spans="1:5">
      <c r="A5378" s="64" t="s">
        <v>27</v>
      </c>
      <c r="B5378" s="65">
        <v>43402</v>
      </c>
      <c r="C5378" s="66" t="s">
        <v>216</v>
      </c>
      <c r="D5378" s="64" t="s">
        <v>28</v>
      </c>
      <c r="E5378" s="64">
        <v>1</v>
      </c>
    </row>
    <row r="5379" spans="1:5">
      <c r="A5379" s="64" t="s">
        <v>27</v>
      </c>
      <c r="B5379" s="65">
        <v>43403</v>
      </c>
      <c r="C5379" s="66" t="s">
        <v>217</v>
      </c>
      <c r="D5379" s="64" t="s">
        <v>28</v>
      </c>
      <c r="E5379" s="64">
        <v>1</v>
      </c>
    </row>
    <row r="5380" spans="1:5">
      <c r="A5380" s="64" t="s">
        <v>27</v>
      </c>
      <c r="B5380" s="65">
        <v>43404</v>
      </c>
      <c r="C5380" s="66" t="s">
        <v>218</v>
      </c>
      <c r="D5380" s="64" t="s">
        <v>28</v>
      </c>
      <c r="E5380" s="64">
        <v>1</v>
      </c>
    </row>
    <row r="5381" spans="1:5">
      <c r="A5381" s="64" t="s">
        <v>27</v>
      </c>
      <c r="B5381" s="65">
        <v>43405</v>
      </c>
      <c r="C5381" s="66" t="s">
        <v>219</v>
      </c>
      <c r="D5381" s="64" t="s">
        <v>28</v>
      </c>
      <c r="E5381" s="64">
        <v>1</v>
      </c>
    </row>
    <row r="5382" spans="1:5">
      <c r="A5382" s="64" t="s">
        <v>27</v>
      </c>
      <c r="B5382" s="65">
        <v>43406</v>
      </c>
      <c r="C5382" s="66" t="s">
        <v>220</v>
      </c>
      <c r="D5382" s="64" t="s">
        <v>28</v>
      </c>
      <c r="E5382" s="64">
        <v>1</v>
      </c>
    </row>
    <row r="5383" spans="1:5">
      <c r="A5383" s="64" t="s">
        <v>27</v>
      </c>
      <c r="B5383" s="65">
        <v>43407</v>
      </c>
      <c r="C5383" s="66" t="s">
        <v>221</v>
      </c>
      <c r="D5383" s="64" t="s">
        <v>28</v>
      </c>
      <c r="E5383" s="64">
        <v>1</v>
      </c>
    </row>
    <row r="5384" spans="1:5">
      <c r="A5384" s="64" t="s">
        <v>27</v>
      </c>
      <c r="B5384" s="65">
        <v>43408</v>
      </c>
      <c r="C5384" s="66" t="s">
        <v>222</v>
      </c>
      <c r="D5384" s="64" t="s">
        <v>28</v>
      </c>
      <c r="E5384" s="64">
        <v>1</v>
      </c>
    </row>
    <row r="5385" spans="1:5">
      <c r="A5385" s="64" t="s">
        <v>27</v>
      </c>
      <c r="B5385" s="65">
        <v>43409</v>
      </c>
      <c r="C5385" s="66" t="s">
        <v>216</v>
      </c>
      <c r="D5385" s="64" t="s">
        <v>28</v>
      </c>
      <c r="E5385" s="64">
        <v>1</v>
      </c>
    </row>
    <row r="5386" spans="1:5">
      <c r="A5386" s="64" t="s">
        <v>27</v>
      </c>
      <c r="B5386" s="65">
        <v>43410</v>
      </c>
      <c r="C5386" s="66" t="s">
        <v>217</v>
      </c>
      <c r="D5386" s="64" t="s">
        <v>28</v>
      </c>
      <c r="E5386" s="64">
        <v>1</v>
      </c>
    </row>
    <row r="5387" spans="1:5">
      <c r="A5387" s="64" t="s">
        <v>27</v>
      </c>
      <c r="B5387" s="65">
        <v>43411</v>
      </c>
      <c r="C5387" s="66" t="s">
        <v>218</v>
      </c>
      <c r="D5387" s="64" t="s">
        <v>28</v>
      </c>
      <c r="E5387" s="64">
        <v>1</v>
      </c>
    </row>
    <row r="5388" spans="1:5">
      <c r="A5388" s="64" t="s">
        <v>27</v>
      </c>
      <c r="B5388" s="65">
        <v>43412</v>
      </c>
      <c r="C5388" s="66" t="s">
        <v>219</v>
      </c>
      <c r="D5388" s="64" t="s">
        <v>28</v>
      </c>
      <c r="E5388" s="64">
        <v>1</v>
      </c>
    </row>
    <row r="5389" spans="1:5">
      <c r="A5389" s="64" t="s">
        <v>27</v>
      </c>
      <c r="B5389" s="65">
        <v>43413</v>
      </c>
      <c r="C5389" s="66" t="s">
        <v>220</v>
      </c>
      <c r="D5389" s="64" t="s">
        <v>28</v>
      </c>
      <c r="E5389" s="64">
        <v>1</v>
      </c>
    </row>
    <row r="5390" spans="1:5">
      <c r="A5390" s="64" t="s">
        <v>27</v>
      </c>
      <c r="B5390" s="65">
        <v>43414</v>
      </c>
      <c r="C5390" s="66" t="s">
        <v>221</v>
      </c>
      <c r="D5390" s="64" t="s">
        <v>28</v>
      </c>
      <c r="E5390" s="64">
        <v>1</v>
      </c>
    </row>
    <row r="5391" spans="1:5">
      <c r="A5391" s="64" t="s">
        <v>27</v>
      </c>
      <c r="B5391" s="65">
        <v>43415</v>
      </c>
      <c r="C5391" s="66" t="s">
        <v>222</v>
      </c>
      <c r="D5391" s="64" t="s">
        <v>28</v>
      </c>
      <c r="E5391" s="64">
        <v>1</v>
      </c>
    </row>
    <row r="5392" spans="1:5">
      <c r="A5392" s="64" t="s">
        <v>27</v>
      </c>
      <c r="B5392" s="65">
        <v>43416</v>
      </c>
      <c r="C5392" s="66" t="s">
        <v>216</v>
      </c>
      <c r="D5392" s="64" t="s">
        <v>28</v>
      </c>
      <c r="E5392" s="64">
        <v>1</v>
      </c>
    </row>
    <row r="5393" spans="1:5">
      <c r="A5393" s="64" t="s">
        <v>27</v>
      </c>
      <c r="B5393" s="65">
        <v>43417</v>
      </c>
      <c r="C5393" s="66" t="s">
        <v>217</v>
      </c>
      <c r="D5393" s="64" t="s">
        <v>28</v>
      </c>
      <c r="E5393" s="64">
        <v>1</v>
      </c>
    </row>
    <row r="5394" spans="1:5">
      <c r="A5394" s="64" t="s">
        <v>27</v>
      </c>
      <c r="B5394" s="65">
        <v>43418</v>
      </c>
      <c r="C5394" s="66" t="s">
        <v>218</v>
      </c>
      <c r="D5394" s="64" t="s">
        <v>28</v>
      </c>
      <c r="E5394" s="64">
        <v>1</v>
      </c>
    </row>
    <row r="5395" spans="1:5">
      <c r="A5395" s="64" t="s">
        <v>27</v>
      </c>
      <c r="B5395" s="65">
        <v>43419</v>
      </c>
      <c r="C5395" s="66" t="s">
        <v>219</v>
      </c>
      <c r="D5395" s="64" t="s">
        <v>28</v>
      </c>
      <c r="E5395" s="64">
        <v>1</v>
      </c>
    </row>
    <row r="5396" spans="1:5">
      <c r="A5396" s="64" t="s">
        <v>27</v>
      </c>
      <c r="B5396" s="65">
        <v>43420</v>
      </c>
      <c r="C5396" s="66" t="s">
        <v>220</v>
      </c>
      <c r="D5396" s="64" t="s">
        <v>28</v>
      </c>
      <c r="E5396" s="64">
        <v>1</v>
      </c>
    </row>
    <row r="5397" spans="1:5">
      <c r="A5397" s="64" t="s">
        <v>27</v>
      </c>
      <c r="B5397" s="65">
        <v>43421</v>
      </c>
      <c r="C5397" s="66" t="s">
        <v>221</v>
      </c>
      <c r="D5397" s="64" t="s">
        <v>28</v>
      </c>
      <c r="E5397" s="64">
        <v>1</v>
      </c>
    </row>
    <row r="5398" spans="1:5">
      <c r="A5398" s="64" t="s">
        <v>27</v>
      </c>
      <c r="B5398" s="65">
        <v>43422</v>
      </c>
      <c r="C5398" s="66" t="s">
        <v>222</v>
      </c>
      <c r="D5398" s="64" t="s">
        <v>28</v>
      </c>
      <c r="E5398" s="64">
        <v>1</v>
      </c>
    </row>
    <row r="5399" spans="1:5">
      <c r="A5399" s="64" t="s">
        <v>27</v>
      </c>
      <c r="B5399" s="65">
        <v>43423</v>
      </c>
      <c r="C5399" s="66" t="s">
        <v>216</v>
      </c>
      <c r="D5399" s="64" t="s">
        <v>28</v>
      </c>
      <c r="E5399" s="64">
        <v>1</v>
      </c>
    </row>
    <row r="5400" spans="1:5">
      <c r="A5400" s="64" t="s">
        <v>27</v>
      </c>
      <c r="B5400" s="65">
        <v>43424</v>
      </c>
      <c r="C5400" s="66" t="s">
        <v>217</v>
      </c>
      <c r="D5400" s="64" t="s">
        <v>28</v>
      </c>
      <c r="E5400" s="64">
        <v>1</v>
      </c>
    </row>
    <row r="5401" spans="1:5">
      <c r="A5401" s="64" t="s">
        <v>27</v>
      </c>
      <c r="B5401" s="65">
        <v>43425</v>
      </c>
      <c r="C5401" s="66" t="s">
        <v>218</v>
      </c>
      <c r="D5401" s="64" t="s">
        <v>28</v>
      </c>
      <c r="E5401" s="64">
        <v>1</v>
      </c>
    </row>
    <row r="5402" spans="1:5">
      <c r="A5402" s="64" t="s">
        <v>27</v>
      </c>
      <c r="B5402" s="65">
        <v>43426</v>
      </c>
      <c r="C5402" s="66" t="s">
        <v>219</v>
      </c>
      <c r="D5402" s="64" t="s">
        <v>28</v>
      </c>
      <c r="E5402" s="64">
        <v>1</v>
      </c>
    </row>
    <row r="5403" spans="1:5">
      <c r="A5403" s="64" t="s">
        <v>27</v>
      </c>
      <c r="B5403" s="65">
        <v>43427</v>
      </c>
      <c r="C5403" s="66" t="s">
        <v>220</v>
      </c>
      <c r="D5403" s="64" t="s">
        <v>28</v>
      </c>
      <c r="E5403" s="64">
        <v>1</v>
      </c>
    </row>
    <row r="5404" spans="1:5">
      <c r="A5404" s="64" t="s">
        <v>27</v>
      </c>
      <c r="B5404" s="65">
        <v>43428</v>
      </c>
      <c r="C5404" s="66" t="s">
        <v>221</v>
      </c>
      <c r="D5404" s="64" t="s">
        <v>28</v>
      </c>
      <c r="E5404" s="64">
        <v>1</v>
      </c>
    </row>
    <row r="5405" spans="1:5">
      <c r="A5405" s="64" t="s">
        <v>27</v>
      </c>
      <c r="B5405" s="65">
        <v>43429</v>
      </c>
      <c r="C5405" s="66" t="s">
        <v>222</v>
      </c>
      <c r="D5405" s="64" t="s">
        <v>28</v>
      </c>
      <c r="E5405" s="64">
        <v>1</v>
      </c>
    </row>
    <row r="5406" spans="1:5">
      <c r="A5406" s="64" t="s">
        <v>27</v>
      </c>
      <c r="B5406" s="65">
        <v>43430</v>
      </c>
      <c r="C5406" s="66" t="s">
        <v>216</v>
      </c>
      <c r="D5406" s="64" t="s">
        <v>28</v>
      </c>
      <c r="E5406" s="64">
        <v>1</v>
      </c>
    </row>
    <row r="5407" spans="1:5">
      <c r="A5407" s="64" t="s">
        <v>27</v>
      </c>
      <c r="B5407" s="65">
        <v>43431</v>
      </c>
      <c r="C5407" s="66" t="s">
        <v>217</v>
      </c>
      <c r="D5407" s="64" t="s">
        <v>28</v>
      </c>
      <c r="E5407" s="64">
        <v>1</v>
      </c>
    </row>
    <row r="5408" spans="1:5">
      <c r="A5408" s="64" t="s">
        <v>27</v>
      </c>
      <c r="B5408" s="65">
        <v>43432</v>
      </c>
      <c r="C5408" s="66" t="s">
        <v>218</v>
      </c>
      <c r="D5408" s="64" t="s">
        <v>28</v>
      </c>
      <c r="E5408" s="64">
        <v>1</v>
      </c>
    </row>
    <row r="5409" spans="1:5">
      <c r="A5409" s="64" t="s">
        <v>27</v>
      </c>
      <c r="B5409" s="65">
        <v>43433</v>
      </c>
      <c r="C5409" s="66" t="s">
        <v>219</v>
      </c>
      <c r="D5409" s="64" t="s">
        <v>28</v>
      </c>
      <c r="E5409" s="64">
        <v>1</v>
      </c>
    </row>
    <row r="5410" spans="1:5">
      <c r="A5410" s="64" t="s">
        <v>27</v>
      </c>
      <c r="B5410" s="65">
        <v>43434</v>
      </c>
      <c r="C5410" s="66" t="s">
        <v>220</v>
      </c>
      <c r="D5410" s="64" t="s">
        <v>28</v>
      </c>
      <c r="E5410" s="64">
        <v>1</v>
      </c>
    </row>
    <row r="5411" spans="1:5">
      <c r="A5411" s="64" t="s">
        <v>27</v>
      </c>
      <c r="B5411" s="65">
        <v>43435</v>
      </c>
      <c r="C5411" s="66" t="s">
        <v>221</v>
      </c>
      <c r="D5411" s="64" t="s">
        <v>28</v>
      </c>
      <c r="E5411" s="64">
        <v>1</v>
      </c>
    </row>
    <row r="5412" spans="1:5">
      <c r="A5412" s="64" t="s">
        <v>27</v>
      </c>
      <c r="B5412" s="65">
        <v>43436</v>
      </c>
      <c r="C5412" s="66" t="s">
        <v>222</v>
      </c>
      <c r="D5412" s="64" t="s">
        <v>28</v>
      </c>
      <c r="E5412" s="64">
        <v>1</v>
      </c>
    </row>
    <row r="5413" spans="1:5">
      <c r="A5413" s="64" t="s">
        <v>27</v>
      </c>
      <c r="B5413" s="65">
        <v>43437</v>
      </c>
      <c r="C5413" s="66" t="s">
        <v>216</v>
      </c>
      <c r="D5413" s="64" t="s">
        <v>28</v>
      </c>
      <c r="E5413" s="64">
        <v>1</v>
      </c>
    </row>
    <row r="5414" spans="1:5">
      <c r="A5414" s="64" t="s">
        <v>27</v>
      </c>
      <c r="B5414" s="65">
        <v>43438</v>
      </c>
      <c r="C5414" s="66" t="s">
        <v>217</v>
      </c>
      <c r="D5414" s="64" t="s">
        <v>28</v>
      </c>
      <c r="E5414" s="64">
        <v>1</v>
      </c>
    </row>
    <row r="5415" spans="1:5">
      <c r="A5415" s="64" t="s">
        <v>27</v>
      </c>
      <c r="B5415" s="65">
        <v>43439</v>
      </c>
      <c r="C5415" s="66" t="s">
        <v>218</v>
      </c>
      <c r="D5415" s="64" t="s">
        <v>28</v>
      </c>
      <c r="E5415" s="64">
        <v>1</v>
      </c>
    </row>
    <row r="5416" spans="1:5">
      <c r="A5416" s="64" t="s">
        <v>27</v>
      </c>
      <c r="B5416" s="65">
        <v>43440</v>
      </c>
      <c r="C5416" s="66" t="s">
        <v>219</v>
      </c>
      <c r="D5416" s="64" t="s">
        <v>28</v>
      </c>
      <c r="E5416" s="64">
        <v>1</v>
      </c>
    </row>
    <row r="5417" spans="1:5">
      <c r="A5417" s="64" t="s">
        <v>27</v>
      </c>
      <c r="B5417" s="65">
        <v>43441</v>
      </c>
      <c r="C5417" s="66" t="s">
        <v>220</v>
      </c>
      <c r="D5417" s="64" t="s">
        <v>28</v>
      </c>
      <c r="E5417" s="64">
        <v>1</v>
      </c>
    </row>
    <row r="5418" spans="1:5">
      <c r="A5418" s="64" t="s">
        <v>27</v>
      </c>
      <c r="B5418" s="65">
        <v>43442</v>
      </c>
      <c r="C5418" s="66" t="s">
        <v>221</v>
      </c>
      <c r="D5418" s="64" t="s">
        <v>28</v>
      </c>
      <c r="E5418" s="64">
        <v>1</v>
      </c>
    </row>
    <row r="5419" spans="1:5">
      <c r="A5419" s="64" t="s">
        <v>27</v>
      </c>
      <c r="B5419" s="65">
        <v>43443</v>
      </c>
      <c r="C5419" s="66" t="s">
        <v>222</v>
      </c>
      <c r="D5419" s="64" t="s">
        <v>28</v>
      </c>
      <c r="E5419" s="64">
        <v>1</v>
      </c>
    </row>
    <row r="5420" spans="1:5">
      <c r="A5420" s="64" t="s">
        <v>27</v>
      </c>
      <c r="B5420" s="65">
        <v>43444</v>
      </c>
      <c r="C5420" s="66" t="s">
        <v>216</v>
      </c>
      <c r="D5420" s="64" t="s">
        <v>28</v>
      </c>
      <c r="E5420" s="64">
        <v>1</v>
      </c>
    </row>
    <row r="5421" spans="1:5">
      <c r="A5421" s="64" t="s">
        <v>27</v>
      </c>
      <c r="B5421" s="65">
        <v>43445</v>
      </c>
      <c r="C5421" s="66" t="s">
        <v>217</v>
      </c>
      <c r="D5421" s="64" t="s">
        <v>28</v>
      </c>
      <c r="E5421" s="64">
        <v>1</v>
      </c>
    </row>
    <row r="5422" spans="1:5">
      <c r="A5422" s="64" t="s">
        <v>27</v>
      </c>
      <c r="B5422" s="65">
        <v>43446</v>
      </c>
      <c r="C5422" s="66" t="s">
        <v>218</v>
      </c>
      <c r="D5422" s="64" t="s">
        <v>28</v>
      </c>
      <c r="E5422" s="64">
        <v>1</v>
      </c>
    </row>
    <row r="5423" spans="1:5">
      <c r="A5423" s="64" t="s">
        <v>27</v>
      </c>
      <c r="B5423" s="65">
        <v>43447</v>
      </c>
      <c r="C5423" s="66" t="s">
        <v>219</v>
      </c>
      <c r="D5423" s="64" t="s">
        <v>28</v>
      </c>
      <c r="E5423" s="64">
        <v>1</v>
      </c>
    </row>
    <row r="5424" spans="1:5">
      <c r="A5424" s="64" t="s">
        <v>27</v>
      </c>
      <c r="B5424" s="65">
        <v>43448</v>
      </c>
      <c r="C5424" s="66" t="s">
        <v>220</v>
      </c>
      <c r="D5424" s="64" t="s">
        <v>28</v>
      </c>
      <c r="E5424" s="64">
        <v>1</v>
      </c>
    </row>
    <row r="5425" spans="1:5">
      <c r="A5425" s="64" t="s">
        <v>27</v>
      </c>
      <c r="B5425" s="65">
        <v>43449</v>
      </c>
      <c r="C5425" s="66" t="s">
        <v>221</v>
      </c>
      <c r="D5425" s="64" t="s">
        <v>28</v>
      </c>
      <c r="E5425" s="64">
        <v>1</v>
      </c>
    </row>
    <row r="5426" spans="1:5">
      <c r="A5426" s="64" t="s">
        <v>27</v>
      </c>
      <c r="B5426" s="65">
        <v>43450</v>
      </c>
      <c r="C5426" s="66" t="s">
        <v>222</v>
      </c>
      <c r="D5426" s="64" t="s">
        <v>28</v>
      </c>
      <c r="E5426" s="64">
        <v>1</v>
      </c>
    </row>
    <row r="5427" spans="1:5">
      <c r="A5427" s="64" t="s">
        <v>27</v>
      </c>
      <c r="B5427" s="65">
        <v>43451</v>
      </c>
      <c r="C5427" s="66" t="s">
        <v>216</v>
      </c>
      <c r="D5427" s="64" t="s">
        <v>28</v>
      </c>
      <c r="E5427" s="64">
        <v>1</v>
      </c>
    </row>
    <row r="5428" spans="1:5">
      <c r="A5428" s="64" t="s">
        <v>27</v>
      </c>
      <c r="B5428" s="65">
        <v>43452</v>
      </c>
      <c r="C5428" s="66" t="s">
        <v>217</v>
      </c>
      <c r="D5428" s="64" t="s">
        <v>28</v>
      </c>
      <c r="E5428" s="64">
        <v>1</v>
      </c>
    </row>
    <row r="5429" spans="1:5">
      <c r="A5429" s="64" t="s">
        <v>27</v>
      </c>
      <c r="B5429" s="65">
        <v>43453</v>
      </c>
      <c r="C5429" s="66" t="s">
        <v>218</v>
      </c>
      <c r="D5429" s="64" t="s">
        <v>28</v>
      </c>
      <c r="E5429" s="64">
        <v>1</v>
      </c>
    </row>
    <row r="5430" spans="1:5">
      <c r="A5430" s="64" t="s">
        <v>27</v>
      </c>
      <c r="B5430" s="65">
        <v>43454</v>
      </c>
      <c r="C5430" s="66" t="s">
        <v>219</v>
      </c>
      <c r="D5430" s="64" t="s">
        <v>28</v>
      </c>
      <c r="E5430" s="64">
        <v>1</v>
      </c>
    </row>
    <row r="5431" spans="1:5">
      <c r="A5431" s="64" t="s">
        <v>27</v>
      </c>
      <c r="B5431" s="65">
        <v>43455</v>
      </c>
      <c r="C5431" s="66" t="s">
        <v>220</v>
      </c>
      <c r="D5431" s="64" t="s">
        <v>28</v>
      </c>
      <c r="E5431" s="64">
        <v>1</v>
      </c>
    </row>
    <row r="5432" spans="1:5">
      <c r="A5432" s="64" t="s">
        <v>27</v>
      </c>
      <c r="B5432" s="65">
        <v>43456</v>
      </c>
      <c r="C5432" s="66" t="s">
        <v>221</v>
      </c>
      <c r="D5432" s="64" t="s">
        <v>28</v>
      </c>
      <c r="E5432" s="64">
        <v>1</v>
      </c>
    </row>
    <row r="5433" spans="1:5">
      <c r="A5433" s="64" t="s">
        <v>27</v>
      </c>
      <c r="B5433" s="65">
        <v>43457</v>
      </c>
      <c r="C5433" s="66" t="s">
        <v>222</v>
      </c>
      <c r="D5433" s="64" t="s">
        <v>28</v>
      </c>
      <c r="E5433" s="64">
        <v>1</v>
      </c>
    </row>
    <row r="5434" spans="1:5">
      <c r="A5434" s="64" t="s">
        <v>27</v>
      </c>
      <c r="B5434" s="65">
        <v>43458</v>
      </c>
      <c r="C5434" s="66" t="s">
        <v>216</v>
      </c>
      <c r="D5434" s="64" t="s">
        <v>28</v>
      </c>
      <c r="E5434" s="64">
        <v>1</v>
      </c>
    </row>
    <row r="5435" spans="1:5">
      <c r="A5435" s="64" t="s">
        <v>27</v>
      </c>
      <c r="B5435" s="65">
        <v>43459</v>
      </c>
      <c r="C5435" s="66" t="s">
        <v>217</v>
      </c>
      <c r="D5435" s="64" t="s">
        <v>28</v>
      </c>
      <c r="E5435" s="64">
        <v>1</v>
      </c>
    </row>
    <row r="5436" spans="1:5">
      <c r="A5436" s="64" t="s">
        <v>27</v>
      </c>
      <c r="B5436" s="65">
        <v>43460</v>
      </c>
      <c r="C5436" s="66" t="s">
        <v>218</v>
      </c>
      <c r="D5436" s="64" t="s">
        <v>28</v>
      </c>
      <c r="E5436" s="64">
        <v>1</v>
      </c>
    </row>
    <row r="5437" spans="1:5">
      <c r="A5437" s="64" t="s">
        <v>27</v>
      </c>
      <c r="B5437" s="65">
        <v>43461</v>
      </c>
      <c r="C5437" s="66" t="s">
        <v>219</v>
      </c>
      <c r="D5437" s="64" t="s">
        <v>28</v>
      </c>
      <c r="E5437" s="64">
        <v>1</v>
      </c>
    </row>
    <row r="5438" spans="1:5">
      <c r="A5438" s="64" t="s">
        <v>27</v>
      </c>
      <c r="B5438" s="65">
        <v>43462</v>
      </c>
      <c r="C5438" s="66" t="s">
        <v>220</v>
      </c>
      <c r="D5438" s="64" t="s">
        <v>28</v>
      </c>
      <c r="E5438" s="64">
        <v>1</v>
      </c>
    </row>
    <row r="5439" spans="1:5">
      <c r="A5439" s="64" t="s">
        <v>27</v>
      </c>
      <c r="B5439" s="65">
        <v>43463</v>
      </c>
      <c r="C5439" s="66" t="s">
        <v>221</v>
      </c>
      <c r="D5439" s="64" t="s">
        <v>28</v>
      </c>
      <c r="E5439" s="64">
        <v>1</v>
      </c>
    </row>
    <row r="5440" spans="1:5">
      <c r="A5440" s="64" t="s">
        <v>27</v>
      </c>
      <c r="B5440" s="65">
        <v>43464</v>
      </c>
      <c r="C5440" s="66" t="s">
        <v>222</v>
      </c>
      <c r="D5440" s="64" t="s">
        <v>28</v>
      </c>
      <c r="E5440" s="64">
        <v>1</v>
      </c>
    </row>
    <row r="5441" spans="1:5">
      <c r="A5441" s="64" t="s">
        <v>27</v>
      </c>
      <c r="B5441" s="65">
        <v>43465</v>
      </c>
      <c r="C5441" s="66" t="s">
        <v>216</v>
      </c>
      <c r="D5441" s="64" t="s">
        <v>28</v>
      </c>
      <c r="E5441" s="64">
        <v>1</v>
      </c>
    </row>
    <row r="5442" spans="1:5">
      <c r="A5442" s="64" t="s">
        <v>27</v>
      </c>
      <c r="B5442" s="65">
        <v>43466</v>
      </c>
      <c r="C5442" s="66" t="s">
        <v>217</v>
      </c>
      <c r="D5442" s="64" t="s">
        <v>28</v>
      </c>
      <c r="E5442" s="64">
        <v>1</v>
      </c>
    </row>
    <row r="5443" spans="1:5">
      <c r="A5443" s="64" t="s">
        <v>27</v>
      </c>
      <c r="B5443" s="65">
        <v>43467</v>
      </c>
      <c r="C5443" s="66" t="s">
        <v>218</v>
      </c>
      <c r="D5443" s="64" t="s">
        <v>28</v>
      </c>
      <c r="E5443" s="64">
        <v>1</v>
      </c>
    </row>
    <row r="5444" spans="1:5">
      <c r="A5444" s="64" t="s">
        <v>27</v>
      </c>
      <c r="B5444" s="65">
        <v>43468</v>
      </c>
      <c r="C5444" s="66" t="s">
        <v>219</v>
      </c>
      <c r="D5444" s="64" t="s">
        <v>28</v>
      </c>
      <c r="E5444" s="64">
        <v>1</v>
      </c>
    </row>
    <row r="5445" spans="1:5">
      <c r="A5445" s="64" t="s">
        <v>27</v>
      </c>
      <c r="B5445" s="65">
        <v>43469</v>
      </c>
      <c r="C5445" s="66" t="s">
        <v>220</v>
      </c>
      <c r="D5445" s="64" t="s">
        <v>28</v>
      </c>
      <c r="E5445" s="64">
        <v>1</v>
      </c>
    </row>
    <row r="5446" spans="1:5">
      <c r="A5446" s="64" t="s">
        <v>27</v>
      </c>
      <c r="B5446" s="65">
        <v>43470</v>
      </c>
      <c r="C5446" s="66" t="s">
        <v>221</v>
      </c>
      <c r="D5446" s="64" t="s">
        <v>28</v>
      </c>
      <c r="E5446" s="64">
        <v>1</v>
      </c>
    </row>
    <row r="5447" spans="1:5">
      <c r="A5447" s="64" t="s">
        <v>27</v>
      </c>
      <c r="B5447" s="65">
        <v>43471</v>
      </c>
      <c r="C5447" s="66" t="s">
        <v>222</v>
      </c>
      <c r="D5447" s="64" t="s">
        <v>28</v>
      </c>
      <c r="E5447" s="64">
        <v>1</v>
      </c>
    </row>
    <row r="5448" spans="1:5">
      <c r="A5448" s="64" t="s">
        <v>27</v>
      </c>
      <c r="B5448" s="65">
        <v>43472</v>
      </c>
      <c r="C5448" s="66" t="s">
        <v>216</v>
      </c>
      <c r="D5448" s="64" t="s">
        <v>28</v>
      </c>
      <c r="E5448" s="64">
        <v>1</v>
      </c>
    </row>
    <row r="5449" spans="1:5">
      <c r="A5449" s="64" t="s">
        <v>27</v>
      </c>
      <c r="B5449" s="65">
        <v>43473</v>
      </c>
      <c r="C5449" s="66" t="s">
        <v>217</v>
      </c>
      <c r="D5449" s="64" t="s">
        <v>28</v>
      </c>
      <c r="E5449" s="64">
        <v>1</v>
      </c>
    </row>
    <row r="5450" spans="1:5">
      <c r="A5450" s="64" t="s">
        <v>27</v>
      </c>
      <c r="B5450" s="65">
        <v>43474</v>
      </c>
      <c r="C5450" s="66" t="s">
        <v>218</v>
      </c>
      <c r="D5450" s="64" t="s">
        <v>28</v>
      </c>
      <c r="E5450" s="64">
        <v>1</v>
      </c>
    </row>
    <row r="5451" spans="1:5">
      <c r="A5451" s="64" t="s">
        <v>27</v>
      </c>
      <c r="B5451" s="65">
        <v>43475</v>
      </c>
      <c r="C5451" s="66" t="s">
        <v>219</v>
      </c>
      <c r="D5451" s="64" t="s">
        <v>28</v>
      </c>
      <c r="E5451" s="64">
        <v>1</v>
      </c>
    </row>
    <row r="5452" spans="1:5">
      <c r="A5452" s="64" t="s">
        <v>27</v>
      </c>
      <c r="B5452" s="65">
        <v>43476</v>
      </c>
      <c r="C5452" s="66" t="s">
        <v>220</v>
      </c>
      <c r="D5452" s="64" t="s">
        <v>28</v>
      </c>
      <c r="E5452" s="64">
        <v>1</v>
      </c>
    </row>
    <row r="5453" spans="1:5">
      <c r="A5453" s="64" t="s">
        <v>27</v>
      </c>
      <c r="B5453" s="65">
        <v>43477</v>
      </c>
      <c r="C5453" s="66" t="s">
        <v>221</v>
      </c>
      <c r="D5453" s="64" t="s">
        <v>28</v>
      </c>
      <c r="E5453" s="64">
        <v>1</v>
      </c>
    </row>
    <row r="5454" spans="1:5">
      <c r="A5454" s="64" t="s">
        <v>27</v>
      </c>
      <c r="B5454" s="65">
        <v>43478</v>
      </c>
      <c r="C5454" s="66" t="s">
        <v>222</v>
      </c>
      <c r="D5454" s="64" t="s">
        <v>28</v>
      </c>
      <c r="E5454" s="64">
        <v>1</v>
      </c>
    </row>
    <row r="5455" spans="1:5">
      <c r="A5455" s="64" t="s">
        <v>27</v>
      </c>
      <c r="B5455" s="65">
        <v>43479</v>
      </c>
      <c r="C5455" s="66" t="s">
        <v>216</v>
      </c>
      <c r="D5455" s="64" t="s">
        <v>28</v>
      </c>
      <c r="E5455" s="64">
        <v>1</v>
      </c>
    </row>
    <row r="5456" spans="1:5">
      <c r="A5456" s="64" t="s">
        <v>27</v>
      </c>
      <c r="B5456" s="65">
        <v>43480</v>
      </c>
      <c r="C5456" s="66" t="s">
        <v>217</v>
      </c>
      <c r="D5456" s="64" t="s">
        <v>28</v>
      </c>
      <c r="E5456" s="64">
        <v>1</v>
      </c>
    </row>
    <row r="5457" spans="1:5">
      <c r="A5457" s="64" t="s">
        <v>27</v>
      </c>
      <c r="B5457" s="65">
        <v>43481</v>
      </c>
      <c r="C5457" s="66" t="s">
        <v>218</v>
      </c>
      <c r="D5457" s="64" t="s">
        <v>28</v>
      </c>
      <c r="E5457" s="64">
        <v>1</v>
      </c>
    </row>
    <row r="5458" spans="1:5">
      <c r="A5458" s="64" t="s">
        <v>27</v>
      </c>
      <c r="B5458" s="65">
        <v>43482</v>
      </c>
      <c r="C5458" s="66" t="s">
        <v>219</v>
      </c>
      <c r="D5458" s="64" t="s">
        <v>28</v>
      </c>
      <c r="E5458" s="64">
        <v>1</v>
      </c>
    </row>
    <row r="5459" spans="1:5">
      <c r="A5459" s="64" t="s">
        <v>27</v>
      </c>
      <c r="B5459" s="65">
        <v>43483</v>
      </c>
      <c r="C5459" s="66" t="s">
        <v>220</v>
      </c>
      <c r="D5459" s="64" t="s">
        <v>28</v>
      </c>
      <c r="E5459" s="64">
        <v>1</v>
      </c>
    </row>
    <row r="5460" spans="1:5">
      <c r="A5460" s="64" t="s">
        <v>27</v>
      </c>
      <c r="B5460" s="65">
        <v>43484</v>
      </c>
      <c r="C5460" s="66" t="s">
        <v>221</v>
      </c>
      <c r="D5460" s="64" t="s">
        <v>28</v>
      </c>
      <c r="E5460" s="64">
        <v>1</v>
      </c>
    </row>
    <row r="5461" spans="1:5">
      <c r="A5461" s="64" t="s">
        <v>27</v>
      </c>
      <c r="B5461" s="65">
        <v>43485</v>
      </c>
      <c r="C5461" s="66" t="s">
        <v>222</v>
      </c>
      <c r="D5461" s="64" t="s">
        <v>28</v>
      </c>
      <c r="E5461" s="64">
        <v>1</v>
      </c>
    </row>
    <row r="5462" spans="1:5">
      <c r="A5462" s="64" t="s">
        <v>27</v>
      </c>
      <c r="B5462" s="65">
        <v>43486</v>
      </c>
      <c r="C5462" s="66" t="s">
        <v>216</v>
      </c>
      <c r="D5462" s="64" t="s">
        <v>28</v>
      </c>
      <c r="E5462" s="64">
        <v>1</v>
      </c>
    </row>
    <row r="5463" spans="1:5">
      <c r="A5463" s="64" t="s">
        <v>27</v>
      </c>
      <c r="B5463" s="65">
        <v>43487</v>
      </c>
      <c r="C5463" s="66" t="s">
        <v>217</v>
      </c>
      <c r="D5463" s="64" t="s">
        <v>28</v>
      </c>
      <c r="E5463" s="64">
        <v>1</v>
      </c>
    </row>
    <row r="5464" spans="1:5">
      <c r="A5464" s="64" t="s">
        <v>27</v>
      </c>
      <c r="B5464" s="65">
        <v>43488</v>
      </c>
      <c r="C5464" s="66" t="s">
        <v>218</v>
      </c>
      <c r="D5464" s="64" t="s">
        <v>28</v>
      </c>
      <c r="E5464" s="64">
        <v>1</v>
      </c>
    </row>
    <row r="5465" spans="1:5">
      <c r="A5465" s="64" t="s">
        <v>27</v>
      </c>
      <c r="B5465" s="65">
        <v>43489</v>
      </c>
      <c r="C5465" s="66" t="s">
        <v>219</v>
      </c>
      <c r="D5465" s="64" t="s">
        <v>28</v>
      </c>
      <c r="E5465" s="64">
        <v>1</v>
      </c>
    </row>
    <row r="5466" spans="1:5">
      <c r="A5466" s="64" t="s">
        <v>27</v>
      </c>
      <c r="B5466" s="65">
        <v>43490</v>
      </c>
      <c r="C5466" s="66" t="s">
        <v>220</v>
      </c>
      <c r="D5466" s="64" t="s">
        <v>28</v>
      </c>
      <c r="E5466" s="64">
        <v>1</v>
      </c>
    </row>
    <row r="5467" spans="1:5">
      <c r="A5467" s="64" t="s">
        <v>27</v>
      </c>
      <c r="B5467" s="65">
        <v>43491</v>
      </c>
      <c r="C5467" s="66" t="s">
        <v>221</v>
      </c>
      <c r="D5467" s="64" t="s">
        <v>28</v>
      </c>
      <c r="E5467" s="64">
        <v>1</v>
      </c>
    </row>
    <row r="5468" spans="1:5">
      <c r="A5468" s="64" t="s">
        <v>27</v>
      </c>
      <c r="B5468" s="65">
        <v>43492</v>
      </c>
      <c r="C5468" s="66" t="s">
        <v>222</v>
      </c>
      <c r="D5468" s="64" t="s">
        <v>28</v>
      </c>
      <c r="E5468" s="64">
        <v>1</v>
      </c>
    </row>
    <row r="5469" spans="1:5">
      <c r="A5469" s="64" t="s">
        <v>27</v>
      </c>
      <c r="B5469" s="65">
        <v>43493</v>
      </c>
      <c r="C5469" s="66" t="s">
        <v>216</v>
      </c>
      <c r="D5469" s="64" t="s">
        <v>28</v>
      </c>
      <c r="E5469" s="64">
        <v>1</v>
      </c>
    </row>
    <row r="5470" spans="1:5">
      <c r="A5470" s="64" t="s">
        <v>27</v>
      </c>
      <c r="B5470" s="65">
        <v>43494</v>
      </c>
      <c r="C5470" s="66" t="s">
        <v>217</v>
      </c>
      <c r="D5470" s="64" t="s">
        <v>28</v>
      </c>
      <c r="E5470" s="64">
        <v>1</v>
      </c>
    </row>
    <row r="5471" spans="1:5">
      <c r="A5471" s="64" t="s">
        <v>27</v>
      </c>
      <c r="B5471" s="65">
        <v>43495</v>
      </c>
      <c r="C5471" s="66" t="s">
        <v>218</v>
      </c>
      <c r="D5471" s="64" t="s">
        <v>28</v>
      </c>
      <c r="E5471" s="64">
        <v>1</v>
      </c>
    </row>
    <row r="5472" spans="1:5">
      <c r="A5472" s="64" t="s">
        <v>27</v>
      </c>
      <c r="B5472" s="65">
        <v>43496</v>
      </c>
      <c r="C5472" s="66" t="s">
        <v>219</v>
      </c>
      <c r="D5472" s="64" t="s">
        <v>28</v>
      </c>
      <c r="E5472" s="64">
        <v>1</v>
      </c>
    </row>
    <row r="5473" spans="1:5">
      <c r="A5473" s="64" t="s">
        <v>27</v>
      </c>
      <c r="B5473" s="65">
        <v>43497</v>
      </c>
      <c r="C5473" s="66" t="s">
        <v>220</v>
      </c>
      <c r="D5473" s="64" t="s">
        <v>28</v>
      </c>
      <c r="E5473" s="64">
        <v>1</v>
      </c>
    </row>
    <row r="5474" spans="1:5">
      <c r="A5474" s="64" t="s">
        <v>27</v>
      </c>
      <c r="B5474" s="65">
        <v>43498</v>
      </c>
      <c r="C5474" s="66" t="s">
        <v>221</v>
      </c>
      <c r="D5474" s="64" t="s">
        <v>28</v>
      </c>
      <c r="E5474" s="64">
        <v>1</v>
      </c>
    </row>
    <row r="5475" spans="1:5">
      <c r="A5475" s="64" t="s">
        <v>27</v>
      </c>
      <c r="B5475" s="65">
        <v>43499</v>
      </c>
      <c r="C5475" s="66" t="s">
        <v>222</v>
      </c>
      <c r="D5475" s="64" t="s">
        <v>28</v>
      </c>
      <c r="E5475" s="64">
        <v>1</v>
      </c>
    </row>
    <row r="5476" spans="1:5">
      <c r="A5476" s="64" t="s">
        <v>27</v>
      </c>
      <c r="B5476" s="65">
        <v>43500</v>
      </c>
      <c r="C5476" s="66" t="s">
        <v>216</v>
      </c>
      <c r="D5476" s="64" t="s">
        <v>28</v>
      </c>
      <c r="E5476" s="64">
        <v>1</v>
      </c>
    </row>
    <row r="5477" spans="1:5">
      <c r="A5477" s="64" t="s">
        <v>27</v>
      </c>
      <c r="B5477" s="65">
        <v>43501</v>
      </c>
      <c r="C5477" s="66" t="s">
        <v>217</v>
      </c>
      <c r="D5477" s="64" t="s">
        <v>28</v>
      </c>
      <c r="E5477" s="64">
        <v>1</v>
      </c>
    </row>
    <row r="5478" spans="1:5">
      <c r="A5478" s="64" t="s">
        <v>27</v>
      </c>
      <c r="B5478" s="65">
        <v>43502</v>
      </c>
      <c r="C5478" s="66" t="s">
        <v>218</v>
      </c>
      <c r="D5478" s="64" t="s">
        <v>28</v>
      </c>
      <c r="E5478" s="64">
        <v>1</v>
      </c>
    </row>
    <row r="5479" spans="1:5">
      <c r="A5479" s="64" t="s">
        <v>27</v>
      </c>
      <c r="B5479" s="65">
        <v>43503</v>
      </c>
      <c r="C5479" s="66" t="s">
        <v>219</v>
      </c>
      <c r="D5479" s="64" t="s">
        <v>28</v>
      </c>
      <c r="E5479" s="64">
        <v>1</v>
      </c>
    </row>
    <row r="5480" spans="1:5">
      <c r="A5480" s="64" t="s">
        <v>27</v>
      </c>
      <c r="B5480" s="65">
        <v>43504</v>
      </c>
      <c r="C5480" s="66" t="s">
        <v>220</v>
      </c>
      <c r="D5480" s="64" t="s">
        <v>28</v>
      </c>
      <c r="E5480" s="64">
        <v>1</v>
      </c>
    </row>
    <row r="5481" spans="1:5">
      <c r="A5481" s="64" t="s">
        <v>27</v>
      </c>
      <c r="B5481" s="65">
        <v>43505</v>
      </c>
      <c r="C5481" s="66" t="s">
        <v>221</v>
      </c>
      <c r="D5481" s="64" t="s">
        <v>28</v>
      </c>
      <c r="E5481" s="64">
        <v>1</v>
      </c>
    </row>
    <row r="5482" spans="1:5">
      <c r="A5482" s="64" t="s">
        <v>27</v>
      </c>
      <c r="B5482" s="65">
        <v>43506</v>
      </c>
      <c r="C5482" s="66" t="s">
        <v>222</v>
      </c>
      <c r="D5482" s="64" t="s">
        <v>28</v>
      </c>
      <c r="E5482" s="64">
        <v>1</v>
      </c>
    </row>
    <row r="5483" spans="1:5">
      <c r="A5483" s="64" t="s">
        <v>27</v>
      </c>
      <c r="B5483" s="65">
        <v>43507</v>
      </c>
      <c r="C5483" s="66" t="s">
        <v>216</v>
      </c>
      <c r="D5483" s="64" t="s">
        <v>28</v>
      </c>
      <c r="E5483" s="64">
        <v>1</v>
      </c>
    </row>
    <row r="5484" spans="1:5">
      <c r="A5484" s="64" t="s">
        <v>27</v>
      </c>
      <c r="B5484" s="65">
        <v>43508</v>
      </c>
      <c r="C5484" s="66" t="s">
        <v>217</v>
      </c>
      <c r="D5484" s="64" t="s">
        <v>28</v>
      </c>
      <c r="E5484" s="64">
        <v>1</v>
      </c>
    </row>
    <row r="5485" spans="1:5">
      <c r="A5485" s="64" t="s">
        <v>27</v>
      </c>
      <c r="B5485" s="65">
        <v>43509</v>
      </c>
      <c r="C5485" s="66" t="s">
        <v>218</v>
      </c>
      <c r="D5485" s="64" t="s">
        <v>28</v>
      </c>
      <c r="E5485" s="64">
        <v>1</v>
      </c>
    </row>
    <row r="5486" spans="1:5">
      <c r="A5486" s="64" t="s">
        <v>27</v>
      </c>
      <c r="B5486" s="65">
        <v>43510</v>
      </c>
      <c r="C5486" s="66" t="s">
        <v>219</v>
      </c>
      <c r="D5486" s="64" t="s">
        <v>28</v>
      </c>
      <c r="E5486" s="64">
        <v>1</v>
      </c>
    </row>
    <row r="5487" spans="1:5">
      <c r="A5487" s="64" t="s">
        <v>27</v>
      </c>
      <c r="B5487" s="65">
        <v>43511</v>
      </c>
      <c r="C5487" s="66" t="s">
        <v>220</v>
      </c>
      <c r="D5487" s="64" t="s">
        <v>28</v>
      </c>
      <c r="E5487" s="64">
        <v>1</v>
      </c>
    </row>
    <row r="5488" spans="1:5">
      <c r="A5488" s="64" t="s">
        <v>27</v>
      </c>
      <c r="B5488" s="65">
        <v>43512</v>
      </c>
      <c r="C5488" s="66" t="s">
        <v>221</v>
      </c>
      <c r="D5488" s="64" t="s">
        <v>28</v>
      </c>
      <c r="E5488" s="64">
        <v>1</v>
      </c>
    </row>
    <row r="5489" spans="1:5">
      <c r="A5489" s="64" t="s">
        <v>27</v>
      </c>
      <c r="B5489" s="65">
        <v>43513</v>
      </c>
      <c r="C5489" s="66" t="s">
        <v>222</v>
      </c>
      <c r="D5489" s="64" t="s">
        <v>28</v>
      </c>
      <c r="E5489" s="64">
        <v>1</v>
      </c>
    </row>
    <row r="5490" spans="1:5">
      <c r="A5490" s="64" t="s">
        <v>27</v>
      </c>
      <c r="B5490" s="65">
        <v>43514</v>
      </c>
      <c r="C5490" s="66" t="s">
        <v>216</v>
      </c>
      <c r="D5490" s="64" t="s">
        <v>28</v>
      </c>
      <c r="E5490" s="64">
        <v>1</v>
      </c>
    </row>
    <row r="5491" spans="1:5">
      <c r="A5491" s="64" t="s">
        <v>27</v>
      </c>
      <c r="B5491" s="65">
        <v>43515</v>
      </c>
      <c r="C5491" s="66" t="s">
        <v>217</v>
      </c>
      <c r="D5491" s="64" t="s">
        <v>28</v>
      </c>
      <c r="E5491" s="64">
        <v>1</v>
      </c>
    </row>
    <row r="5492" spans="1:5">
      <c r="A5492" s="64" t="s">
        <v>27</v>
      </c>
      <c r="B5492" s="65">
        <v>43516</v>
      </c>
      <c r="C5492" s="66" t="s">
        <v>218</v>
      </c>
      <c r="D5492" s="64" t="s">
        <v>28</v>
      </c>
      <c r="E5492" s="64">
        <v>1</v>
      </c>
    </row>
    <row r="5493" spans="1:5">
      <c r="A5493" s="64" t="s">
        <v>27</v>
      </c>
      <c r="B5493" s="65">
        <v>43517</v>
      </c>
      <c r="C5493" s="66" t="s">
        <v>219</v>
      </c>
      <c r="D5493" s="64" t="s">
        <v>28</v>
      </c>
      <c r="E5493" s="64">
        <v>1</v>
      </c>
    </row>
    <row r="5494" spans="1:5">
      <c r="A5494" s="64" t="s">
        <v>27</v>
      </c>
      <c r="B5494" s="65">
        <v>43518</v>
      </c>
      <c r="C5494" s="66" t="s">
        <v>220</v>
      </c>
      <c r="D5494" s="64" t="s">
        <v>28</v>
      </c>
      <c r="E5494" s="64">
        <v>1</v>
      </c>
    </row>
    <row r="5495" spans="1:5">
      <c r="A5495" s="64" t="s">
        <v>27</v>
      </c>
      <c r="B5495" s="65">
        <v>43519</v>
      </c>
      <c r="C5495" s="66" t="s">
        <v>221</v>
      </c>
      <c r="D5495" s="64" t="s">
        <v>28</v>
      </c>
      <c r="E5495" s="64">
        <v>1</v>
      </c>
    </row>
    <row r="5496" spans="1:5">
      <c r="A5496" s="64" t="s">
        <v>27</v>
      </c>
      <c r="B5496" s="65">
        <v>43520</v>
      </c>
      <c r="C5496" s="66" t="s">
        <v>222</v>
      </c>
      <c r="D5496" s="64" t="s">
        <v>28</v>
      </c>
      <c r="E5496" s="64">
        <v>1</v>
      </c>
    </row>
    <row r="5497" spans="1:5">
      <c r="A5497" s="64" t="s">
        <v>27</v>
      </c>
      <c r="B5497" s="65">
        <v>43521</v>
      </c>
      <c r="C5497" s="66" t="s">
        <v>216</v>
      </c>
      <c r="D5497" s="64" t="s">
        <v>28</v>
      </c>
      <c r="E5497" s="64">
        <v>1</v>
      </c>
    </row>
    <row r="5498" spans="1:5">
      <c r="A5498" s="64" t="s">
        <v>27</v>
      </c>
      <c r="B5498" s="65">
        <v>43522</v>
      </c>
      <c r="C5498" s="66" t="s">
        <v>217</v>
      </c>
      <c r="D5498" s="64" t="s">
        <v>28</v>
      </c>
      <c r="E5498" s="64">
        <v>1</v>
      </c>
    </row>
    <row r="5499" spans="1:5">
      <c r="A5499" s="64" t="s">
        <v>27</v>
      </c>
      <c r="B5499" s="65">
        <v>43523</v>
      </c>
      <c r="C5499" s="66" t="s">
        <v>218</v>
      </c>
      <c r="D5499" s="64" t="s">
        <v>28</v>
      </c>
      <c r="E5499" s="64">
        <v>1</v>
      </c>
    </row>
    <row r="5500" spans="1:5">
      <c r="A5500" s="64" t="s">
        <v>27</v>
      </c>
      <c r="B5500" s="65">
        <v>43524</v>
      </c>
      <c r="C5500" s="66" t="s">
        <v>219</v>
      </c>
      <c r="D5500" s="64" t="s">
        <v>28</v>
      </c>
      <c r="E5500" s="64">
        <v>1</v>
      </c>
    </row>
    <row r="5501" spans="1:5">
      <c r="A5501" s="64" t="s">
        <v>27</v>
      </c>
      <c r="B5501" s="65">
        <v>43525</v>
      </c>
      <c r="C5501" s="66" t="s">
        <v>220</v>
      </c>
      <c r="D5501" s="64" t="s">
        <v>28</v>
      </c>
      <c r="E5501" s="64">
        <v>1</v>
      </c>
    </row>
    <row r="5502" spans="1:5">
      <c r="A5502" s="64" t="s">
        <v>27</v>
      </c>
      <c r="B5502" s="65">
        <v>43526</v>
      </c>
      <c r="C5502" s="66" t="s">
        <v>221</v>
      </c>
      <c r="D5502" s="64" t="s">
        <v>28</v>
      </c>
      <c r="E5502" s="64">
        <v>1</v>
      </c>
    </row>
    <row r="5503" spans="1:5">
      <c r="A5503" s="64" t="s">
        <v>27</v>
      </c>
      <c r="B5503" s="65">
        <v>43527</v>
      </c>
      <c r="C5503" s="66" t="s">
        <v>222</v>
      </c>
      <c r="D5503" s="64" t="s">
        <v>28</v>
      </c>
      <c r="E5503" s="64">
        <v>1</v>
      </c>
    </row>
    <row r="5504" spans="1:5">
      <c r="A5504" s="64" t="s">
        <v>27</v>
      </c>
      <c r="B5504" s="65">
        <v>43528</v>
      </c>
      <c r="C5504" s="66" t="s">
        <v>216</v>
      </c>
      <c r="D5504" s="64" t="s">
        <v>28</v>
      </c>
      <c r="E5504" s="64">
        <v>1</v>
      </c>
    </row>
    <row r="5505" spans="1:5">
      <c r="A5505" s="64" t="s">
        <v>27</v>
      </c>
      <c r="B5505" s="65">
        <v>43529</v>
      </c>
      <c r="C5505" s="66" t="s">
        <v>217</v>
      </c>
      <c r="D5505" s="64" t="s">
        <v>28</v>
      </c>
      <c r="E5505" s="64">
        <v>1</v>
      </c>
    </row>
    <row r="5506" spans="1:5">
      <c r="A5506" s="64" t="s">
        <v>27</v>
      </c>
      <c r="B5506" s="65">
        <v>43530</v>
      </c>
      <c r="C5506" s="66" t="s">
        <v>218</v>
      </c>
      <c r="D5506" s="64" t="s">
        <v>28</v>
      </c>
      <c r="E5506" s="64">
        <v>1</v>
      </c>
    </row>
    <row r="5507" spans="1:5">
      <c r="A5507" s="64" t="s">
        <v>27</v>
      </c>
      <c r="B5507" s="65">
        <v>43531</v>
      </c>
      <c r="C5507" s="66" t="s">
        <v>219</v>
      </c>
      <c r="D5507" s="64" t="s">
        <v>28</v>
      </c>
      <c r="E5507" s="64">
        <v>1</v>
      </c>
    </row>
    <row r="5508" spans="1:5">
      <c r="A5508" s="64" t="s">
        <v>27</v>
      </c>
      <c r="B5508" s="65">
        <v>43532</v>
      </c>
      <c r="C5508" s="66" t="s">
        <v>220</v>
      </c>
      <c r="D5508" s="64" t="s">
        <v>28</v>
      </c>
      <c r="E5508" s="64">
        <v>1</v>
      </c>
    </row>
    <row r="5509" spans="1:5">
      <c r="A5509" s="64" t="s">
        <v>27</v>
      </c>
      <c r="B5509" s="65">
        <v>43533</v>
      </c>
      <c r="C5509" s="66" t="s">
        <v>221</v>
      </c>
      <c r="D5509" s="64" t="s">
        <v>28</v>
      </c>
      <c r="E5509" s="64">
        <v>1</v>
      </c>
    </row>
    <row r="5510" spans="1:5">
      <c r="A5510" s="64" t="s">
        <v>27</v>
      </c>
      <c r="B5510" s="65">
        <v>43534</v>
      </c>
      <c r="C5510" s="66" t="s">
        <v>222</v>
      </c>
      <c r="D5510" s="64" t="s">
        <v>28</v>
      </c>
      <c r="E5510" s="64">
        <v>1</v>
      </c>
    </row>
    <row r="5511" spans="1:5">
      <c r="A5511" s="64" t="s">
        <v>27</v>
      </c>
      <c r="B5511" s="65">
        <v>43535</v>
      </c>
      <c r="C5511" s="66" t="s">
        <v>216</v>
      </c>
      <c r="D5511" s="64" t="s">
        <v>28</v>
      </c>
      <c r="E5511" s="64">
        <v>1</v>
      </c>
    </row>
    <row r="5512" spans="1:5">
      <c r="A5512" s="64" t="s">
        <v>27</v>
      </c>
      <c r="B5512" s="65">
        <v>43536</v>
      </c>
      <c r="C5512" s="66" t="s">
        <v>217</v>
      </c>
      <c r="D5512" s="64" t="s">
        <v>28</v>
      </c>
      <c r="E5512" s="64">
        <v>1</v>
      </c>
    </row>
    <row r="5513" spans="1:5">
      <c r="A5513" s="64" t="s">
        <v>27</v>
      </c>
      <c r="B5513" s="65">
        <v>43537</v>
      </c>
      <c r="C5513" s="66" t="s">
        <v>218</v>
      </c>
      <c r="D5513" s="64" t="s">
        <v>28</v>
      </c>
      <c r="E5513" s="64">
        <v>1</v>
      </c>
    </row>
    <row r="5514" spans="1:5">
      <c r="A5514" s="64" t="s">
        <v>27</v>
      </c>
      <c r="B5514" s="65">
        <v>43538</v>
      </c>
      <c r="C5514" s="66" t="s">
        <v>219</v>
      </c>
      <c r="D5514" s="64" t="s">
        <v>28</v>
      </c>
      <c r="E5514" s="64">
        <v>1</v>
      </c>
    </row>
    <row r="5515" spans="1:5">
      <c r="A5515" s="64" t="s">
        <v>27</v>
      </c>
      <c r="B5515" s="65">
        <v>43539</v>
      </c>
      <c r="C5515" s="66" t="s">
        <v>220</v>
      </c>
      <c r="D5515" s="64" t="s">
        <v>28</v>
      </c>
      <c r="E5515" s="64">
        <v>1</v>
      </c>
    </row>
    <row r="5516" spans="1:5">
      <c r="A5516" s="64" t="s">
        <v>27</v>
      </c>
      <c r="B5516" s="65">
        <v>43540</v>
      </c>
      <c r="C5516" s="66" t="s">
        <v>221</v>
      </c>
      <c r="D5516" s="64" t="s">
        <v>28</v>
      </c>
      <c r="E5516" s="64">
        <v>1</v>
      </c>
    </row>
    <row r="5517" spans="1:5">
      <c r="A5517" s="64" t="s">
        <v>27</v>
      </c>
      <c r="B5517" s="65">
        <v>43541</v>
      </c>
      <c r="C5517" s="66" t="s">
        <v>222</v>
      </c>
      <c r="D5517" s="64" t="s">
        <v>28</v>
      </c>
      <c r="E5517" s="64">
        <v>1</v>
      </c>
    </row>
    <row r="5518" spans="1:5">
      <c r="A5518" s="64" t="s">
        <v>27</v>
      </c>
      <c r="B5518" s="65">
        <v>43542</v>
      </c>
      <c r="C5518" s="66" t="s">
        <v>216</v>
      </c>
      <c r="D5518" s="64" t="s">
        <v>28</v>
      </c>
      <c r="E5518" s="64">
        <v>1</v>
      </c>
    </row>
    <row r="5519" spans="1:5">
      <c r="A5519" s="64" t="s">
        <v>27</v>
      </c>
      <c r="B5519" s="65">
        <v>43543</v>
      </c>
      <c r="C5519" s="66" t="s">
        <v>217</v>
      </c>
      <c r="D5519" s="64" t="s">
        <v>28</v>
      </c>
      <c r="E5519" s="64">
        <v>1</v>
      </c>
    </row>
    <row r="5520" spans="1:5">
      <c r="A5520" s="64" t="s">
        <v>27</v>
      </c>
      <c r="B5520" s="65">
        <v>43544</v>
      </c>
      <c r="C5520" s="66" t="s">
        <v>218</v>
      </c>
      <c r="D5520" s="64" t="s">
        <v>28</v>
      </c>
      <c r="E5520" s="64">
        <v>1</v>
      </c>
    </row>
    <row r="5521" spans="1:5">
      <c r="A5521" s="64" t="s">
        <v>27</v>
      </c>
      <c r="B5521" s="65">
        <v>43545</v>
      </c>
      <c r="C5521" s="66" t="s">
        <v>219</v>
      </c>
      <c r="D5521" s="64" t="s">
        <v>28</v>
      </c>
      <c r="E5521" s="64">
        <v>1</v>
      </c>
    </row>
    <row r="5522" spans="1:5">
      <c r="A5522" s="64" t="s">
        <v>27</v>
      </c>
      <c r="B5522" s="65">
        <v>43546</v>
      </c>
      <c r="C5522" s="66" t="s">
        <v>220</v>
      </c>
      <c r="D5522" s="64" t="s">
        <v>28</v>
      </c>
      <c r="E5522" s="64">
        <v>1</v>
      </c>
    </row>
    <row r="5523" spans="1:5">
      <c r="A5523" s="64" t="s">
        <v>27</v>
      </c>
      <c r="B5523" s="65">
        <v>43547</v>
      </c>
      <c r="C5523" s="66" t="s">
        <v>221</v>
      </c>
      <c r="D5523" s="64" t="s">
        <v>28</v>
      </c>
      <c r="E5523" s="64">
        <v>1</v>
      </c>
    </row>
    <row r="5524" spans="1:5">
      <c r="A5524" s="64" t="s">
        <v>27</v>
      </c>
      <c r="B5524" s="65">
        <v>43548</v>
      </c>
      <c r="C5524" s="66" t="s">
        <v>222</v>
      </c>
      <c r="D5524" s="64" t="s">
        <v>28</v>
      </c>
      <c r="E5524" s="64">
        <v>1</v>
      </c>
    </row>
    <row r="5525" spans="1:5">
      <c r="A5525" s="64" t="s">
        <v>27</v>
      </c>
      <c r="B5525" s="65">
        <v>43549</v>
      </c>
      <c r="C5525" s="66" t="s">
        <v>216</v>
      </c>
      <c r="D5525" s="64" t="s">
        <v>28</v>
      </c>
      <c r="E5525" s="64">
        <v>1</v>
      </c>
    </row>
    <row r="5526" spans="1:5">
      <c r="A5526" s="64" t="s">
        <v>27</v>
      </c>
      <c r="B5526" s="65">
        <v>43550</v>
      </c>
      <c r="C5526" s="66" t="s">
        <v>217</v>
      </c>
      <c r="D5526" s="64" t="s">
        <v>28</v>
      </c>
      <c r="E5526" s="64">
        <v>1</v>
      </c>
    </row>
    <row r="5527" spans="1:5">
      <c r="A5527" s="64" t="s">
        <v>27</v>
      </c>
      <c r="B5527" s="65">
        <v>43551</v>
      </c>
      <c r="C5527" s="66" t="s">
        <v>218</v>
      </c>
      <c r="D5527" s="64" t="s">
        <v>28</v>
      </c>
      <c r="E5527" s="64">
        <v>1</v>
      </c>
    </row>
    <row r="5528" spans="1:5">
      <c r="A5528" s="64" t="s">
        <v>27</v>
      </c>
      <c r="B5528" s="65">
        <v>43552</v>
      </c>
      <c r="C5528" s="66" t="s">
        <v>219</v>
      </c>
      <c r="D5528" s="64" t="s">
        <v>28</v>
      </c>
      <c r="E5528" s="64">
        <v>1</v>
      </c>
    </row>
    <row r="5529" spans="1:5">
      <c r="A5529" s="64" t="s">
        <v>27</v>
      </c>
      <c r="B5529" s="65">
        <v>43553</v>
      </c>
      <c r="C5529" s="66" t="s">
        <v>220</v>
      </c>
      <c r="D5529" s="64" t="s">
        <v>28</v>
      </c>
      <c r="E5529" s="64">
        <v>1</v>
      </c>
    </row>
    <row r="5530" spans="1:5">
      <c r="A5530" s="64" t="s">
        <v>27</v>
      </c>
      <c r="B5530" s="65">
        <v>43554</v>
      </c>
      <c r="C5530" s="66" t="s">
        <v>221</v>
      </c>
      <c r="D5530" s="64" t="s">
        <v>28</v>
      </c>
      <c r="E5530" s="64">
        <v>1</v>
      </c>
    </row>
    <row r="5531" spans="1:5">
      <c r="A5531" s="64" t="s">
        <v>27</v>
      </c>
      <c r="B5531" s="65">
        <v>43555</v>
      </c>
      <c r="C5531" s="66" t="s">
        <v>222</v>
      </c>
      <c r="D5531" s="64" t="s">
        <v>28</v>
      </c>
      <c r="E5531" s="64">
        <v>1</v>
      </c>
    </row>
    <row r="5532" spans="1:5">
      <c r="A5532" s="64" t="s">
        <v>27</v>
      </c>
      <c r="B5532" s="65">
        <v>43556</v>
      </c>
      <c r="C5532" s="66" t="s">
        <v>216</v>
      </c>
      <c r="D5532" s="64" t="s">
        <v>28</v>
      </c>
      <c r="E5532" s="64">
        <v>1</v>
      </c>
    </row>
    <row r="5533" spans="1:5">
      <c r="A5533" s="64" t="s">
        <v>27</v>
      </c>
      <c r="B5533" s="65">
        <v>43557</v>
      </c>
      <c r="C5533" s="66" t="s">
        <v>217</v>
      </c>
      <c r="D5533" s="64" t="s">
        <v>28</v>
      </c>
      <c r="E5533" s="64">
        <v>1</v>
      </c>
    </row>
    <row r="5534" spans="1:5">
      <c r="A5534" s="64" t="s">
        <v>27</v>
      </c>
      <c r="B5534" s="65">
        <v>43558</v>
      </c>
      <c r="C5534" s="66" t="s">
        <v>218</v>
      </c>
      <c r="D5534" s="64" t="s">
        <v>28</v>
      </c>
      <c r="E5534" s="64">
        <v>1</v>
      </c>
    </row>
    <row r="5535" spans="1:5">
      <c r="A5535" s="64" t="s">
        <v>27</v>
      </c>
      <c r="B5535" s="65">
        <v>43559</v>
      </c>
      <c r="C5535" s="66" t="s">
        <v>219</v>
      </c>
      <c r="D5535" s="64" t="s">
        <v>28</v>
      </c>
      <c r="E5535" s="64">
        <v>1</v>
      </c>
    </row>
    <row r="5536" spans="1:5">
      <c r="A5536" s="64" t="s">
        <v>27</v>
      </c>
      <c r="B5536" s="65">
        <v>43560</v>
      </c>
      <c r="C5536" s="66" t="s">
        <v>220</v>
      </c>
      <c r="D5536" s="64" t="s">
        <v>28</v>
      </c>
      <c r="E5536" s="64">
        <v>1</v>
      </c>
    </row>
    <row r="5537" spans="1:5">
      <c r="A5537" s="64" t="s">
        <v>27</v>
      </c>
      <c r="B5537" s="65">
        <v>43561</v>
      </c>
      <c r="C5537" s="66" t="s">
        <v>221</v>
      </c>
      <c r="D5537" s="64" t="s">
        <v>28</v>
      </c>
      <c r="E5537" s="64">
        <v>1</v>
      </c>
    </row>
    <row r="5538" spans="1:5">
      <c r="A5538" s="64" t="s">
        <v>27</v>
      </c>
      <c r="B5538" s="65">
        <v>43562</v>
      </c>
      <c r="C5538" s="66" t="s">
        <v>222</v>
      </c>
      <c r="D5538" s="64" t="s">
        <v>28</v>
      </c>
      <c r="E5538" s="64">
        <v>1</v>
      </c>
    </row>
    <row r="5539" spans="1:5">
      <c r="A5539" s="64" t="s">
        <v>27</v>
      </c>
      <c r="B5539" s="65">
        <v>43563</v>
      </c>
      <c r="C5539" s="66" t="s">
        <v>216</v>
      </c>
      <c r="D5539" s="64" t="s">
        <v>28</v>
      </c>
      <c r="E5539" s="64">
        <v>1</v>
      </c>
    </row>
    <row r="5540" spans="1:5">
      <c r="A5540" s="64" t="s">
        <v>27</v>
      </c>
      <c r="B5540" s="65">
        <v>43564</v>
      </c>
      <c r="C5540" s="66" t="s">
        <v>217</v>
      </c>
      <c r="D5540" s="64" t="s">
        <v>28</v>
      </c>
      <c r="E5540" s="64">
        <v>1</v>
      </c>
    </row>
    <row r="5541" spans="1:5">
      <c r="A5541" s="64" t="s">
        <v>27</v>
      </c>
      <c r="B5541" s="65">
        <v>43565</v>
      </c>
      <c r="C5541" s="66" t="s">
        <v>218</v>
      </c>
      <c r="D5541" s="64" t="s">
        <v>28</v>
      </c>
      <c r="E5541" s="64">
        <v>1</v>
      </c>
    </row>
    <row r="5542" spans="1:5">
      <c r="A5542" s="64" t="s">
        <v>27</v>
      </c>
      <c r="B5542" s="65">
        <v>43566</v>
      </c>
      <c r="C5542" s="66" t="s">
        <v>219</v>
      </c>
      <c r="D5542" s="64" t="s">
        <v>28</v>
      </c>
      <c r="E5542" s="64">
        <v>1</v>
      </c>
    </row>
    <row r="5543" spans="1:5">
      <c r="A5543" s="64" t="s">
        <v>27</v>
      </c>
      <c r="B5543" s="65">
        <v>43567</v>
      </c>
      <c r="C5543" s="66" t="s">
        <v>220</v>
      </c>
      <c r="D5543" s="64" t="s">
        <v>28</v>
      </c>
      <c r="E5543" s="64">
        <v>1</v>
      </c>
    </row>
    <row r="5544" spans="1:5">
      <c r="A5544" s="64" t="s">
        <v>27</v>
      </c>
      <c r="B5544" s="65">
        <v>43568</v>
      </c>
      <c r="C5544" s="66" t="s">
        <v>221</v>
      </c>
      <c r="D5544" s="64" t="s">
        <v>28</v>
      </c>
      <c r="E5544" s="64">
        <v>1</v>
      </c>
    </row>
    <row r="5545" spans="1:5">
      <c r="A5545" s="64" t="s">
        <v>27</v>
      </c>
      <c r="B5545" s="65">
        <v>43569</v>
      </c>
      <c r="C5545" s="66" t="s">
        <v>222</v>
      </c>
      <c r="D5545" s="64" t="s">
        <v>28</v>
      </c>
      <c r="E5545" s="64">
        <v>1</v>
      </c>
    </row>
    <row r="5546" spans="1:5">
      <c r="A5546" s="64" t="s">
        <v>27</v>
      </c>
      <c r="B5546" s="65">
        <v>43570</v>
      </c>
      <c r="C5546" s="66" t="s">
        <v>216</v>
      </c>
      <c r="D5546" s="64" t="s">
        <v>28</v>
      </c>
      <c r="E5546" s="64">
        <v>1</v>
      </c>
    </row>
    <row r="5547" spans="1:5">
      <c r="A5547" s="64" t="s">
        <v>27</v>
      </c>
      <c r="B5547" s="65">
        <v>43571</v>
      </c>
      <c r="C5547" s="66" t="s">
        <v>217</v>
      </c>
      <c r="D5547" s="64" t="s">
        <v>28</v>
      </c>
      <c r="E5547" s="64">
        <v>1</v>
      </c>
    </row>
    <row r="5548" spans="1:5">
      <c r="A5548" s="64" t="s">
        <v>27</v>
      </c>
      <c r="B5548" s="65">
        <v>43572</v>
      </c>
      <c r="C5548" s="66" t="s">
        <v>218</v>
      </c>
      <c r="D5548" s="64" t="s">
        <v>28</v>
      </c>
      <c r="E5548" s="64">
        <v>1</v>
      </c>
    </row>
    <row r="5549" spans="1:5">
      <c r="A5549" s="64" t="s">
        <v>27</v>
      </c>
      <c r="B5549" s="65">
        <v>43573</v>
      </c>
      <c r="C5549" s="66" t="s">
        <v>219</v>
      </c>
      <c r="D5549" s="64" t="s">
        <v>28</v>
      </c>
      <c r="E5549" s="64">
        <v>1</v>
      </c>
    </row>
    <row r="5550" spans="1:5">
      <c r="A5550" s="64" t="s">
        <v>27</v>
      </c>
      <c r="B5550" s="65">
        <v>43574</v>
      </c>
      <c r="C5550" s="66" t="s">
        <v>220</v>
      </c>
      <c r="D5550" s="3" t="s">
        <v>28</v>
      </c>
      <c r="E5550" s="64">
        <v>1</v>
      </c>
    </row>
    <row r="5551" spans="1:5">
      <c r="A5551" s="64" t="s">
        <v>27</v>
      </c>
      <c r="B5551" s="65">
        <v>43575</v>
      </c>
      <c r="C5551" s="66" t="s">
        <v>221</v>
      </c>
      <c r="D5551" s="3" t="s">
        <v>28</v>
      </c>
      <c r="E5551" s="64">
        <v>1</v>
      </c>
    </row>
    <row r="5552" spans="1:5">
      <c r="A5552" s="64" t="s">
        <v>27</v>
      </c>
      <c r="B5552" s="65">
        <v>43576</v>
      </c>
      <c r="C5552" s="66" t="s">
        <v>222</v>
      </c>
      <c r="D5552" s="3" t="s">
        <v>28</v>
      </c>
      <c r="E5552" s="64">
        <v>1</v>
      </c>
    </row>
    <row r="5553" spans="1:5">
      <c r="A5553" s="64" t="s">
        <v>27</v>
      </c>
      <c r="B5553" s="65">
        <v>43577</v>
      </c>
      <c r="C5553" s="66" t="s">
        <v>216</v>
      </c>
      <c r="D5553" s="3" t="s">
        <v>28</v>
      </c>
      <c r="E5553" s="64">
        <v>1</v>
      </c>
    </row>
    <row r="5554" spans="1:5">
      <c r="A5554" s="64" t="s">
        <v>27</v>
      </c>
      <c r="B5554" s="65">
        <v>43578</v>
      </c>
      <c r="C5554" s="66" t="s">
        <v>217</v>
      </c>
      <c r="D5554" s="3" t="s">
        <v>28</v>
      </c>
      <c r="E5554" s="64">
        <v>1</v>
      </c>
    </row>
    <row r="5555" spans="1:5">
      <c r="A5555" s="64" t="s">
        <v>27</v>
      </c>
      <c r="B5555" s="65">
        <v>43579</v>
      </c>
      <c r="C5555" s="66" t="s">
        <v>218</v>
      </c>
      <c r="D5555" s="3" t="s">
        <v>28</v>
      </c>
      <c r="E5555" s="64">
        <v>1</v>
      </c>
    </row>
    <row r="5556" spans="1:5">
      <c r="A5556" s="64" t="s">
        <v>27</v>
      </c>
      <c r="B5556" s="65">
        <v>43580</v>
      </c>
      <c r="C5556" s="66" t="s">
        <v>219</v>
      </c>
      <c r="D5556" s="3" t="s">
        <v>28</v>
      </c>
      <c r="E5556" s="64">
        <v>1</v>
      </c>
    </row>
    <row r="5557" spans="1:5">
      <c r="A5557" s="64" t="s">
        <v>27</v>
      </c>
      <c r="B5557" s="65">
        <v>43581</v>
      </c>
      <c r="C5557" s="66" t="s">
        <v>220</v>
      </c>
      <c r="D5557" s="3" t="s">
        <v>28</v>
      </c>
      <c r="E5557" s="64">
        <v>1</v>
      </c>
    </row>
    <row r="5558" spans="1:5">
      <c r="A5558" s="64" t="s">
        <v>27</v>
      </c>
      <c r="B5558" s="65">
        <v>43582</v>
      </c>
      <c r="C5558" s="66" t="s">
        <v>221</v>
      </c>
      <c r="D5558" s="3" t="s">
        <v>28</v>
      </c>
      <c r="E5558" s="64">
        <v>1</v>
      </c>
    </row>
    <row r="5559" spans="1:5">
      <c r="A5559" s="64" t="s">
        <v>27</v>
      </c>
      <c r="B5559" s="65">
        <v>43583</v>
      </c>
      <c r="C5559" s="66" t="s">
        <v>222</v>
      </c>
      <c r="D5559" s="3" t="s">
        <v>28</v>
      </c>
      <c r="E5559" s="64">
        <v>1</v>
      </c>
    </row>
    <row r="5560" spans="1:5">
      <c r="A5560" s="64" t="s">
        <v>27</v>
      </c>
      <c r="B5560" s="65">
        <v>43584</v>
      </c>
      <c r="C5560" s="66" t="s">
        <v>216</v>
      </c>
      <c r="D5560" s="3" t="s">
        <v>28</v>
      </c>
      <c r="E5560" s="64">
        <v>1</v>
      </c>
    </row>
    <row r="5561" spans="1:5">
      <c r="A5561" s="64" t="s">
        <v>27</v>
      </c>
      <c r="B5561" s="65">
        <v>43585</v>
      </c>
      <c r="C5561" s="66" t="s">
        <v>217</v>
      </c>
      <c r="D5561" s="3" t="s">
        <v>28</v>
      </c>
      <c r="E5561" s="64">
        <v>1</v>
      </c>
    </row>
    <row r="5562" spans="1:5">
      <c r="A5562" s="64" t="s">
        <v>27</v>
      </c>
      <c r="B5562" s="65">
        <v>43586</v>
      </c>
      <c r="C5562" s="66" t="s">
        <v>218</v>
      </c>
      <c r="D5562" s="3" t="s">
        <v>28</v>
      </c>
      <c r="E5562" s="64">
        <v>1</v>
      </c>
    </row>
    <row r="5563" spans="1:5">
      <c r="A5563" s="64" t="s">
        <v>27</v>
      </c>
      <c r="B5563" s="65">
        <v>43587</v>
      </c>
      <c r="C5563" s="66" t="s">
        <v>219</v>
      </c>
      <c r="D5563" s="3" t="s">
        <v>28</v>
      </c>
      <c r="E5563" s="64">
        <v>1</v>
      </c>
    </row>
    <row r="5564" spans="1:5">
      <c r="A5564" s="64" t="s">
        <v>27</v>
      </c>
      <c r="B5564" s="65">
        <v>43588</v>
      </c>
      <c r="C5564" s="66" t="s">
        <v>220</v>
      </c>
      <c r="D5564" s="3" t="s">
        <v>28</v>
      </c>
      <c r="E5564" s="64">
        <v>1</v>
      </c>
    </row>
    <row r="5565" spans="1:5">
      <c r="A5565" s="64" t="s">
        <v>27</v>
      </c>
      <c r="B5565" s="65">
        <v>43589</v>
      </c>
      <c r="C5565" s="66" t="s">
        <v>221</v>
      </c>
      <c r="D5565" s="3" t="s">
        <v>28</v>
      </c>
      <c r="E5565" s="64">
        <v>1</v>
      </c>
    </row>
    <row r="5566" spans="1:5">
      <c r="A5566" s="64" t="s">
        <v>27</v>
      </c>
      <c r="B5566" s="65">
        <v>43590</v>
      </c>
      <c r="C5566" s="66" t="s">
        <v>222</v>
      </c>
      <c r="D5566" s="3" t="s">
        <v>28</v>
      </c>
      <c r="E5566" s="64">
        <v>1</v>
      </c>
    </row>
    <row r="5567" spans="1:5">
      <c r="A5567" s="64" t="s">
        <v>27</v>
      </c>
      <c r="B5567" s="65">
        <v>43591</v>
      </c>
      <c r="C5567" s="66" t="s">
        <v>216</v>
      </c>
      <c r="D5567" s="3" t="s">
        <v>28</v>
      </c>
      <c r="E5567" s="64">
        <v>1</v>
      </c>
    </row>
    <row r="5568" spans="1:5">
      <c r="A5568" s="64" t="s">
        <v>27</v>
      </c>
      <c r="B5568" s="65">
        <v>43592</v>
      </c>
      <c r="C5568" s="66" t="s">
        <v>217</v>
      </c>
      <c r="D5568" s="3" t="s">
        <v>28</v>
      </c>
      <c r="E5568" s="64">
        <v>1</v>
      </c>
    </row>
    <row r="5569" spans="1:5">
      <c r="A5569" s="64" t="s">
        <v>27</v>
      </c>
      <c r="B5569" s="65">
        <v>43593</v>
      </c>
      <c r="C5569" s="66" t="s">
        <v>218</v>
      </c>
      <c r="D5569" s="3" t="s">
        <v>28</v>
      </c>
      <c r="E5569" s="64">
        <v>1</v>
      </c>
    </row>
    <row r="5570" spans="1:5">
      <c r="A5570" s="64" t="s">
        <v>27</v>
      </c>
      <c r="B5570" s="65">
        <v>43594</v>
      </c>
      <c r="C5570" s="66" t="s">
        <v>219</v>
      </c>
      <c r="D5570" s="3" t="s">
        <v>28</v>
      </c>
      <c r="E5570" s="64">
        <v>1</v>
      </c>
    </row>
    <row r="5571" spans="1:5">
      <c r="A5571" s="64" t="s">
        <v>27</v>
      </c>
      <c r="B5571" s="65">
        <v>43595</v>
      </c>
      <c r="C5571" s="66" t="s">
        <v>220</v>
      </c>
      <c r="D5571" s="3" t="s">
        <v>28</v>
      </c>
      <c r="E5571" s="64">
        <v>1</v>
      </c>
    </row>
    <row r="5572" spans="1:5">
      <c r="A5572" s="64" t="s">
        <v>27</v>
      </c>
      <c r="B5572" s="65">
        <v>43596</v>
      </c>
      <c r="C5572" s="66" t="s">
        <v>221</v>
      </c>
      <c r="D5572" s="3" t="s">
        <v>28</v>
      </c>
      <c r="E5572" s="64">
        <v>1</v>
      </c>
    </row>
    <row r="5573" spans="1:5">
      <c r="A5573" s="64" t="s">
        <v>27</v>
      </c>
      <c r="B5573" s="65">
        <v>43597</v>
      </c>
      <c r="C5573" s="66" t="s">
        <v>222</v>
      </c>
      <c r="D5573" s="3" t="s">
        <v>28</v>
      </c>
      <c r="E5573" s="64">
        <v>1</v>
      </c>
    </row>
    <row r="5574" spans="1:5">
      <c r="A5574" s="64" t="s">
        <v>27</v>
      </c>
      <c r="B5574" s="65">
        <v>43598</v>
      </c>
      <c r="C5574" s="66" t="s">
        <v>216</v>
      </c>
      <c r="D5574" s="3" t="s">
        <v>28</v>
      </c>
      <c r="E5574" s="64">
        <v>1</v>
      </c>
    </row>
    <row r="5575" spans="1:5">
      <c r="A5575" s="64" t="s">
        <v>27</v>
      </c>
      <c r="B5575" s="65">
        <v>43599</v>
      </c>
      <c r="C5575" s="66" t="s">
        <v>217</v>
      </c>
      <c r="D5575" s="3" t="s">
        <v>28</v>
      </c>
      <c r="E5575" s="64">
        <v>1</v>
      </c>
    </row>
    <row r="5576" spans="1:5">
      <c r="A5576" s="64" t="s">
        <v>27</v>
      </c>
      <c r="B5576" s="65">
        <v>43600</v>
      </c>
      <c r="C5576" s="66" t="s">
        <v>218</v>
      </c>
      <c r="D5576" s="3" t="s">
        <v>28</v>
      </c>
      <c r="E5576" s="64">
        <v>1</v>
      </c>
    </row>
    <row r="5577" spans="1:5">
      <c r="A5577" s="64" t="s">
        <v>27</v>
      </c>
      <c r="B5577" s="65">
        <v>43601</v>
      </c>
      <c r="C5577" s="66" t="s">
        <v>219</v>
      </c>
      <c r="D5577" s="3" t="s">
        <v>28</v>
      </c>
      <c r="E5577" s="64">
        <v>1</v>
      </c>
    </row>
    <row r="5578" spans="1:5">
      <c r="A5578" s="64" t="s">
        <v>27</v>
      </c>
      <c r="B5578" s="65">
        <v>43602</v>
      </c>
      <c r="C5578" s="66" t="s">
        <v>220</v>
      </c>
      <c r="D5578" s="3" t="s">
        <v>28</v>
      </c>
      <c r="E5578" s="64">
        <v>1</v>
      </c>
    </row>
    <row r="5579" spans="1:5">
      <c r="A5579" s="64" t="s">
        <v>27</v>
      </c>
      <c r="B5579" s="65">
        <v>43603</v>
      </c>
      <c r="C5579" s="66" t="s">
        <v>221</v>
      </c>
      <c r="D5579" s="3" t="s">
        <v>28</v>
      </c>
      <c r="E5579" s="64">
        <v>1</v>
      </c>
    </row>
    <row r="5580" spans="1:5">
      <c r="A5580" s="64" t="s">
        <v>27</v>
      </c>
      <c r="B5580" s="65">
        <v>43604</v>
      </c>
      <c r="C5580" s="66" t="s">
        <v>222</v>
      </c>
      <c r="D5580" s="3" t="s">
        <v>28</v>
      </c>
      <c r="E5580" s="64">
        <v>1</v>
      </c>
    </row>
    <row r="5581" spans="1:5">
      <c r="A5581" s="64" t="s">
        <v>27</v>
      </c>
      <c r="B5581" s="65">
        <v>43605</v>
      </c>
      <c r="C5581" s="66" t="s">
        <v>216</v>
      </c>
      <c r="D5581" s="3" t="s">
        <v>28</v>
      </c>
      <c r="E5581" s="64">
        <v>1</v>
      </c>
    </row>
    <row r="5582" spans="1:5">
      <c r="A5582" s="64" t="s">
        <v>27</v>
      </c>
      <c r="B5582" s="65">
        <v>43606</v>
      </c>
      <c r="C5582" s="66" t="s">
        <v>217</v>
      </c>
      <c r="D5582" s="3" t="s">
        <v>28</v>
      </c>
      <c r="E5582" s="64">
        <v>1</v>
      </c>
    </row>
    <row r="5583" spans="1:5">
      <c r="A5583" s="64" t="s">
        <v>27</v>
      </c>
      <c r="B5583" s="65">
        <v>43607</v>
      </c>
      <c r="C5583" s="66" t="s">
        <v>218</v>
      </c>
      <c r="D5583" s="3" t="s">
        <v>28</v>
      </c>
      <c r="E5583" s="64">
        <v>1</v>
      </c>
    </row>
    <row r="5584" spans="1:5">
      <c r="A5584" s="64" t="s">
        <v>27</v>
      </c>
      <c r="B5584" s="65">
        <v>43608</v>
      </c>
      <c r="C5584" s="66" t="s">
        <v>219</v>
      </c>
      <c r="D5584" s="3" t="s">
        <v>28</v>
      </c>
      <c r="E5584" s="64">
        <v>1</v>
      </c>
    </row>
    <row r="5585" spans="1:5">
      <c r="A5585" s="64" t="s">
        <v>27</v>
      </c>
      <c r="B5585" s="65">
        <v>43609</v>
      </c>
      <c r="C5585" s="66" t="s">
        <v>220</v>
      </c>
      <c r="D5585" s="3" t="s">
        <v>28</v>
      </c>
      <c r="E5585" s="64">
        <v>1</v>
      </c>
    </row>
    <row r="5586" spans="1:5">
      <c r="A5586" s="64" t="s">
        <v>27</v>
      </c>
      <c r="B5586" s="65">
        <v>43610</v>
      </c>
      <c r="C5586" s="66" t="s">
        <v>221</v>
      </c>
      <c r="D5586" s="3" t="s">
        <v>28</v>
      </c>
      <c r="E5586" s="64">
        <v>1</v>
      </c>
    </row>
    <row r="5587" spans="1:5">
      <c r="A5587" s="64" t="s">
        <v>27</v>
      </c>
      <c r="B5587" s="65">
        <v>43611</v>
      </c>
      <c r="C5587" s="66" t="s">
        <v>222</v>
      </c>
      <c r="D5587" s="3" t="s">
        <v>28</v>
      </c>
      <c r="E5587" s="64">
        <v>1</v>
      </c>
    </row>
    <row r="5588" spans="1:5">
      <c r="A5588" s="64" t="s">
        <v>27</v>
      </c>
      <c r="B5588" s="65">
        <v>43612</v>
      </c>
      <c r="C5588" s="66" t="s">
        <v>216</v>
      </c>
      <c r="D5588" s="3" t="s">
        <v>28</v>
      </c>
      <c r="E5588" s="64">
        <v>1</v>
      </c>
    </row>
    <row r="5589" spans="1:5">
      <c r="A5589" s="64" t="s">
        <v>27</v>
      </c>
      <c r="B5589" s="65">
        <v>43613</v>
      </c>
      <c r="C5589" s="66" t="s">
        <v>217</v>
      </c>
      <c r="D5589" s="3" t="s">
        <v>28</v>
      </c>
      <c r="E5589" s="64">
        <v>1</v>
      </c>
    </row>
    <row r="5590" spans="1:5">
      <c r="A5590" s="64" t="s">
        <v>27</v>
      </c>
      <c r="B5590" s="65">
        <v>43614</v>
      </c>
      <c r="C5590" s="66" t="s">
        <v>218</v>
      </c>
      <c r="D5590" s="3" t="s">
        <v>28</v>
      </c>
      <c r="E5590" s="64">
        <v>1</v>
      </c>
    </row>
    <row r="5591" spans="1:5">
      <c r="A5591" s="64" t="s">
        <v>27</v>
      </c>
      <c r="B5591" s="65">
        <v>43615</v>
      </c>
      <c r="C5591" s="66" t="s">
        <v>219</v>
      </c>
      <c r="D5591" s="3" t="s">
        <v>28</v>
      </c>
      <c r="E5591" s="64">
        <v>1</v>
      </c>
    </row>
    <row r="5592" spans="1:5">
      <c r="A5592" s="64" t="s">
        <v>27</v>
      </c>
      <c r="B5592" s="65">
        <v>43616</v>
      </c>
      <c r="C5592" s="66" t="s">
        <v>220</v>
      </c>
      <c r="D5592" s="3" t="s">
        <v>28</v>
      </c>
      <c r="E5592" s="64">
        <v>1</v>
      </c>
    </row>
    <row r="5593" spans="1:5">
      <c r="A5593" s="64" t="s">
        <v>27</v>
      </c>
      <c r="B5593" s="65">
        <v>43617</v>
      </c>
      <c r="C5593" s="66" t="s">
        <v>221</v>
      </c>
      <c r="D5593" s="3" t="s">
        <v>28</v>
      </c>
      <c r="E5593" s="64">
        <v>1</v>
      </c>
    </row>
    <row r="5594" spans="1:5">
      <c r="A5594" s="64" t="s">
        <v>27</v>
      </c>
      <c r="B5594" s="65">
        <v>43618</v>
      </c>
      <c r="C5594" s="66" t="s">
        <v>222</v>
      </c>
      <c r="D5594" s="3" t="s">
        <v>28</v>
      </c>
      <c r="E5594" s="64">
        <v>1</v>
      </c>
    </row>
    <row r="5595" spans="1:5">
      <c r="A5595" s="64" t="s">
        <v>27</v>
      </c>
      <c r="B5595" s="65">
        <v>43619</v>
      </c>
      <c r="C5595" s="66" t="s">
        <v>216</v>
      </c>
      <c r="D5595" s="3" t="s">
        <v>28</v>
      </c>
      <c r="E5595" s="64">
        <v>1</v>
      </c>
    </row>
    <row r="5596" spans="1:5">
      <c r="A5596" s="64" t="s">
        <v>27</v>
      </c>
      <c r="B5596" s="65">
        <v>43620</v>
      </c>
      <c r="C5596" s="66" t="s">
        <v>217</v>
      </c>
      <c r="D5596" s="3" t="s">
        <v>28</v>
      </c>
      <c r="E5596" s="64">
        <v>1</v>
      </c>
    </row>
    <row r="5597" spans="1:5">
      <c r="A5597" s="64" t="s">
        <v>27</v>
      </c>
      <c r="B5597" s="65">
        <v>43621</v>
      </c>
      <c r="C5597" s="66" t="s">
        <v>218</v>
      </c>
      <c r="D5597" s="3" t="s">
        <v>28</v>
      </c>
      <c r="E5597" s="64">
        <v>1</v>
      </c>
    </row>
    <row r="5598" spans="1:5">
      <c r="A5598" s="64" t="s">
        <v>27</v>
      </c>
      <c r="B5598" s="65">
        <v>43622</v>
      </c>
      <c r="C5598" s="66" t="s">
        <v>219</v>
      </c>
      <c r="D5598" s="3" t="s">
        <v>28</v>
      </c>
      <c r="E5598" s="64">
        <v>1</v>
      </c>
    </row>
    <row r="5599" spans="1:5">
      <c r="A5599" s="64" t="s">
        <v>27</v>
      </c>
      <c r="B5599" s="65">
        <v>43623</v>
      </c>
      <c r="C5599" s="66" t="s">
        <v>220</v>
      </c>
      <c r="D5599" s="3" t="s">
        <v>28</v>
      </c>
      <c r="E5599" s="64">
        <v>1</v>
      </c>
    </row>
    <row r="5600" spans="1:5">
      <c r="A5600" s="64" t="s">
        <v>27</v>
      </c>
      <c r="B5600" s="65">
        <v>43624</v>
      </c>
      <c r="C5600" s="66" t="s">
        <v>221</v>
      </c>
      <c r="D5600" s="3" t="s">
        <v>28</v>
      </c>
      <c r="E5600" s="64">
        <v>1</v>
      </c>
    </row>
    <row r="5601" spans="1:5">
      <c r="A5601" s="64" t="s">
        <v>27</v>
      </c>
      <c r="B5601" s="65">
        <v>43625</v>
      </c>
      <c r="C5601" s="66" t="s">
        <v>222</v>
      </c>
      <c r="D5601" s="3" t="s">
        <v>28</v>
      </c>
      <c r="E5601" s="64">
        <v>1</v>
      </c>
    </row>
    <row r="5602" spans="1:5">
      <c r="A5602" s="64" t="s">
        <v>27</v>
      </c>
      <c r="B5602" s="65">
        <v>43626</v>
      </c>
      <c r="C5602" s="66" t="s">
        <v>216</v>
      </c>
      <c r="D5602" s="3" t="s">
        <v>28</v>
      </c>
      <c r="E5602" s="64">
        <v>1</v>
      </c>
    </row>
    <row r="5603" spans="1:5">
      <c r="A5603" s="64" t="s">
        <v>27</v>
      </c>
      <c r="B5603" s="65">
        <v>43627</v>
      </c>
      <c r="C5603" s="66" t="s">
        <v>217</v>
      </c>
      <c r="D5603" s="3" t="s">
        <v>28</v>
      </c>
      <c r="E5603" s="64">
        <v>1</v>
      </c>
    </row>
    <row r="5604" spans="1:5">
      <c r="A5604" s="64" t="s">
        <v>27</v>
      </c>
      <c r="B5604" s="65">
        <v>43628</v>
      </c>
      <c r="C5604" s="66" t="s">
        <v>218</v>
      </c>
      <c r="D5604" s="3" t="s">
        <v>28</v>
      </c>
      <c r="E5604" s="64">
        <v>1</v>
      </c>
    </row>
    <row r="5605" spans="1:5">
      <c r="A5605" s="64" t="s">
        <v>27</v>
      </c>
      <c r="B5605" s="65">
        <v>43629</v>
      </c>
      <c r="C5605" s="66" t="s">
        <v>219</v>
      </c>
      <c r="D5605" s="3" t="s">
        <v>28</v>
      </c>
      <c r="E5605" s="64">
        <v>1</v>
      </c>
    </row>
    <row r="5606" spans="1:5">
      <c r="A5606" s="64" t="s">
        <v>27</v>
      </c>
      <c r="B5606" s="65">
        <v>43630</v>
      </c>
      <c r="C5606" s="66" t="s">
        <v>220</v>
      </c>
      <c r="D5606" s="3" t="s">
        <v>28</v>
      </c>
      <c r="E5606" s="64">
        <v>1</v>
      </c>
    </row>
    <row r="5607" spans="1:5">
      <c r="A5607" s="64" t="s">
        <v>27</v>
      </c>
      <c r="B5607" s="65">
        <v>43631</v>
      </c>
      <c r="C5607" s="66" t="s">
        <v>221</v>
      </c>
      <c r="D5607" s="3" t="s">
        <v>28</v>
      </c>
      <c r="E5607" s="64">
        <v>1</v>
      </c>
    </row>
    <row r="5608" spans="1:5">
      <c r="A5608" s="64" t="s">
        <v>27</v>
      </c>
      <c r="B5608" s="65">
        <v>43632</v>
      </c>
      <c r="C5608" s="66" t="s">
        <v>222</v>
      </c>
      <c r="D5608" s="3" t="s">
        <v>28</v>
      </c>
      <c r="E5608" s="64">
        <v>1</v>
      </c>
    </row>
    <row r="5609" spans="1:5">
      <c r="A5609" s="64" t="s">
        <v>27</v>
      </c>
      <c r="B5609" s="65">
        <v>43633</v>
      </c>
      <c r="C5609" s="66" t="s">
        <v>216</v>
      </c>
      <c r="D5609" s="3" t="s">
        <v>28</v>
      </c>
      <c r="E5609" s="64">
        <v>1</v>
      </c>
    </row>
    <row r="5610" spans="1:5">
      <c r="A5610" s="64" t="s">
        <v>27</v>
      </c>
      <c r="B5610" s="65">
        <v>43634</v>
      </c>
      <c r="C5610" s="66" t="s">
        <v>217</v>
      </c>
      <c r="D5610" s="3" t="s">
        <v>28</v>
      </c>
      <c r="E5610" s="64">
        <v>1</v>
      </c>
    </row>
    <row r="5611" spans="1:5">
      <c r="A5611" s="64" t="s">
        <v>27</v>
      </c>
      <c r="B5611" s="65">
        <v>43635</v>
      </c>
      <c r="C5611" s="66" t="s">
        <v>218</v>
      </c>
      <c r="D5611" s="3" t="s">
        <v>28</v>
      </c>
      <c r="E5611" s="64">
        <v>1</v>
      </c>
    </row>
    <row r="5612" spans="1:5">
      <c r="A5612" s="64" t="s">
        <v>27</v>
      </c>
      <c r="B5612" s="65">
        <v>43636</v>
      </c>
      <c r="C5612" s="66" t="s">
        <v>219</v>
      </c>
      <c r="D5612" s="3" t="s">
        <v>28</v>
      </c>
      <c r="E5612" s="64">
        <v>1</v>
      </c>
    </row>
    <row r="5613" spans="1:5">
      <c r="A5613" s="64" t="s">
        <v>27</v>
      </c>
      <c r="B5613" s="65">
        <v>43637</v>
      </c>
      <c r="C5613" s="66" t="s">
        <v>220</v>
      </c>
      <c r="D5613" s="3" t="s">
        <v>28</v>
      </c>
      <c r="E5613" s="64">
        <v>1</v>
      </c>
    </row>
    <row r="5614" spans="1:5">
      <c r="A5614" s="64" t="s">
        <v>27</v>
      </c>
      <c r="B5614" s="65">
        <v>43638</v>
      </c>
      <c r="C5614" s="66" t="s">
        <v>221</v>
      </c>
      <c r="D5614" s="3" t="s">
        <v>28</v>
      </c>
      <c r="E5614" s="64">
        <v>1</v>
      </c>
    </row>
    <row r="5615" spans="1:5">
      <c r="A5615" s="64" t="s">
        <v>27</v>
      </c>
      <c r="B5615" s="65">
        <v>43639</v>
      </c>
      <c r="C5615" s="66" t="s">
        <v>222</v>
      </c>
      <c r="D5615" s="3" t="s">
        <v>28</v>
      </c>
      <c r="E5615" s="64">
        <v>1</v>
      </c>
    </row>
    <row r="5616" spans="1:5">
      <c r="A5616" s="64" t="s">
        <v>27</v>
      </c>
      <c r="B5616" s="65">
        <v>43640</v>
      </c>
      <c r="C5616" s="66" t="s">
        <v>216</v>
      </c>
      <c r="D5616" s="3" t="s">
        <v>28</v>
      </c>
      <c r="E5616" s="64">
        <v>1</v>
      </c>
    </row>
    <row r="5617" spans="1:5">
      <c r="A5617" s="64" t="s">
        <v>27</v>
      </c>
      <c r="B5617" s="65">
        <v>43641</v>
      </c>
      <c r="C5617" s="66" t="s">
        <v>217</v>
      </c>
      <c r="D5617" s="3" t="s">
        <v>28</v>
      </c>
      <c r="E5617" s="64">
        <v>1</v>
      </c>
    </row>
    <row r="5618" spans="1:5">
      <c r="A5618" s="64" t="s">
        <v>27</v>
      </c>
      <c r="B5618" s="65">
        <v>43642</v>
      </c>
      <c r="C5618" s="66" t="s">
        <v>218</v>
      </c>
      <c r="D5618" s="3" t="s">
        <v>28</v>
      </c>
      <c r="E5618" s="64">
        <v>1</v>
      </c>
    </row>
    <row r="5619" spans="1:5">
      <c r="A5619" s="64" t="s">
        <v>27</v>
      </c>
      <c r="B5619" s="65">
        <v>43643</v>
      </c>
      <c r="C5619" s="66" t="s">
        <v>219</v>
      </c>
      <c r="D5619" s="3" t="s">
        <v>28</v>
      </c>
      <c r="E5619" s="64">
        <v>1</v>
      </c>
    </row>
    <row r="5620" spans="1:5">
      <c r="A5620" s="64" t="s">
        <v>27</v>
      </c>
      <c r="B5620" s="65">
        <v>43644</v>
      </c>
      <c r="C5620" s="66" t="s">
        <v>220</v>
      </c>
      <c r="D5620" s="3" t="s">
        <v>28</v>
      </c>
      <c r="E5620" s="64">
        <v>1</v>
      </c>
    </row>
    <row r="5621" spans="1:5">
      <c r="A5621" s="64" t="s">
        <v>27</v>
      </c>
      <c r="B5621" s="65">
        <v>43645</v>
      </c>
      <c r="C5621" s="66" t="s">
        <v>221</v>
      </c>
      <c r="D5621" s="3" t="s">
        <v>28</v>
      </c>
      <c r="E5621" s="64">
        <v>1</v>
      </c>
    </row>
    <row r="5622" spans="1:5">
      <c r="A5622" s="64" t="s">
        <v>27</v>
      </c>
      <c r="B5622" s="65">
        <v>43646</v>
      </c>
      <c r="C5622" s="66" t="s">
        <v>222</v>
      </c>
      <c r="D5622" s="3" t="s">
        <v>28</v>
      </c>
      <c r="E5622" s="64">
        <v>1</v>
      </c>
    </row>
    <row r="5623" spans="1:5">
      <c r="A5623" s="64" t="s">
        <v>27</v>
      </c>
      <c r="B5623" s="65">
        <v>43328</v>
      </c>
      <c r="C5623" s="66" t="s">
        <v>219</v>
      </c>
      <c r="D5623" s="3" t="s">
        <v>29</v>
      </c>
      <c r="E5623" s="64">
        <v>1</v>
      </c>
    </row>
    <row r="5624" spans="1:5">
      <c r="A5624" s="64" t="s">
        <v>27</v>
      </c>
      <c r="B5624" s="65">
        <v>43329</v>
      </c>
      <c r="C5624" s="66" t="s">
        <v>220</v>
      </c>
      <c r="D5624" s="3" t="s">
        <v>29</v>
      </c>
      <c r="E5624" s="64">
        <v>1</v>
      </c>
    </row>
    <row r="5625" spans="1:5">
      <c r="A5625" s="64" t="s">
        <v>27</v>
      </c>
      <c r="B5625" s="65">
        <v>43330</v>
      </c>
      <c r="C5625" s="66" t="s">
        <v>221</v>
      </c>
      <c r="D5625" s="3" t="s">
        <v>29</v>
      </c>
      <c r="E5625" s="64">
        <v>1</v>
      </c>
    </row>
    <row r="5626" spans="1:5">
      <c r="A5626" s="64" t="s">
        <v>27</v>
      </c>
      <c r="B5626" s="65">
        <v>43331</v>
      </c>
      <c r="C5626" s="66" t="s">
        <v>222</v>
      </c>
      <c r="D5626" s="3" t="s">
        <v>29</v>
      </c>
      <c r="E5626" s="64">
        <v>1</v>
      </c>
    </row>
    <row r="5627" spans="1:5">
      <c r="A5627" s="64" t="s">
        <v>27</v>
      </c>
      <c r="B5627" s="65">
        <v>43332</v>
      </c>
      <c r="C5627" s="66" t="s">
        <v>216</v>
      </c>
      <c r="D5627" s="3" t="s">
        <v>29</v>
      </c>
      <c r="E5627" s="64">
        <v>1</v>
      </c>
    </row>
    <row r="5628" spans="1:5">
      <c r="A5628" s="64" t="s">
        <v>27</v>
      </c>
      <c r="B5628" s="65">
        <v>43333</v>
      </c>
      <c r="C5628" s="66" t="s">
        <v>217</v>
      </c>
      <c r="D5628" s="3" t="s">
        <v>29</v>
      </c>
      <c r="E5628" s="64">
        <v>1</v>
      </c>
    </row>
    <row r="5629" spans="1:5">
      <c r="A5629" s="64" t="s">
        <v>27</v>
      </c>
      <c r="B5629" s="65">
        <v>43334</v>
      </c>
      <c r="C5629" s="66" t="s">
        <v>218</v>
      </c>
      <c r="D5629" s="3" t="s">
        <v>29</v>
      </c>
      <c r="E5629" s="64">
        <v>1</v>
      </c>
    </row>
    <row r="5630" spans="1:5">
      <c r="A5630" s="64" t="s">
        <v>27</v>
      </c>
      <c r="B5630" s="65">
        <v>43335</v>
      </c>
      <c r="C5630" s="66" t="s">
        <v>219</v>
      </c>
      <c r="D5630" s="3" t="s">
        <v>29</v>
      </c>
      <c r="E5630" s="64">
        <v>1</v>
      </c>
    </row>
    <row r="5631" spans="1:5">
      <c r="A5631" s="64" t="s">
        <v>27</v>
      </c>
      <c r="B5631" s="65">
        <v>43336</v>
      </c>
      <c r="C5631" s="66" t="s">
        <v>220</v>
      </c>
      <c r="D5631" s="3" t="s">
        <v>29</v>
      </c>
      <c r="E5631" s="64">
        <v>1</v>
      </c>
    </row>
    <row r="5632" spans="1:5">
      <c r="A5632" s="64" t="s">
        <v>27</v>
      </c>
      <c r="B5632" s="65">
        <v>43337</v>
      </c>
      <c r="C5632" s="66" t="s">
        <v>221</v>
      </c>
      <c r="D5632" s="3" t="s">
        <v>29</v>
      </c>
      <c r="E5632" s="64">
        <v>1</v>
      </c>
    </row>
    <row r="5633" spans="1:5">
      <c r="A5633" s="64" t="s">
        <v>27</v>
      </c>
      <c r="B5633" s="65">
        <v>43338</v>
      </c>
      <c r="C5633" s="66" t="s">
        <v>222</v>
      </c>
      <c r="D5633" s="3" t="s">
        <v>29</v>
      </c>
      <c r="E5633" s="64">
        <v>1</v>
      </c>
    </row>
    <row r="5634" spans="1:5">
      <c r="A5634" s="64" t="s">
        <v>27</v>
      </c>
      <c r="B5634" s="65">
        <v>43339</v>
      </c>
      <c r="C5634" s="66" t="s">
        <v>216</v>
      </c>
      <c r="D5634" s="3" t="s">
        <v>29</v>
      </c>
      <c r="E5634" s="64">
        <v>1</v>
      </c>
    </row>
    <row r="5635" spans="1:5">
      <c r="A5635" s="64" t="s">
        <v>27</v>
      </c>
      <c r="B5635" s="65">
        <v>43340</v>
      </c>
      <c r="C5635" s="66" t="s">
        <v>217</v>
      </c>
      <c r="D5635" s="3" t="s">
        <v>29</v>
      </c>
      <c r="E5635" s="64">
        <v>1</v>
      </c>
    </row>
    <row r="5636" spans="1:5">
      <c r="A5636" s="64" t="s">
        <v>27</v>
      </c>
      <c r="B5636" s="65">
        <v>43341</v>
      </c>
      <c r="C5636" s="66" t="s">
        <v>218</v>
      </c>
      <c r="D5636" s="3" t="s">
        <v>29</v>
      </c>
      <c r="E5636" s="64">
        <v>1</v>
      </c>
    </row>
    <row r="5637" spans="1:5">
      <c r="A5637" s="64" t="s">
        <v>27</v>
      </c>
      <c r="B5637" s="65">
        <v>43342</v>
      </c>
      <c r="C5637" s="66" t="s">
        <v>219</v>
      </c>
      <c r="D5637" s="3" t="s">
        <v>29</v>
      </c>
      <c r="E5637" s="64">
        <v>1</v>
      </c>
    </row>
    <row r="5638" spans="1:5">
      <c r="A5638" s="64" t="s">
        <v>27</v>
      </c>
      <c r="B5638" s="65">
        <v>43343</v>
      </c>
      <c r="C5638" s="66" t="s">
        <v>220</v>
      </c>
      <c r="D5638" s="3" t="s">
        <v>29</v>
      </c>
      <c r="E5638" s="64">
        <v>1</v>
      </c>
    </row>
    <row r="5639" spans="1:5">
      <c r="A5639" s="64" t="s">
        <v>27</v>
      </c>
      <c r="B5639" s="65">
        <v>43344</v>
      </c>
      <c r="C5639" s="66" t="s">
        <v>221</v>
      </c>
      <c r="D5639" s="3" t="s">
        <v>29</v>
      </c>
      <c r="E5639" s="64">
        <v>1</v>
      </c>
    </row>
    <row r="5640" spans="1:5">
      <c r="A5640" s="64" t="s">
        <v>27</v>
      </c>
      <c r="B5640" s="65">
        <v>43345</v>
      </c>
      <c r="C5640" s="66" t="s">
        <v>222</v>
      </c>
      <c r="D5640" s="3" t="s">
        <v>29</v>
      </c>
      <c r="E5640" s="64">
        <v>1</v>
      </c>
    </row>
    <row r="5641" spans="1:5">
      <c r="A5641" s="64" t="s">
        <v>27</v>
      </c>
      <c r="B5641" s="65">
        <v>43346</v>
      </c>
      <c r="C5641" s="66" t="s">
        <v>216</v>
      </c>
      <c r="D5641" s="3" t="s">
        <v>29</v>
      </c>
      <c r="E5641" s="64">
        <v>1</v>
      </c>
    </row>
    <row r="5642" spans="1:5">
      <c r="A5642" s="64" t="s">
        <v>27</v>
      </c>
      <c r="B5642" s="65">
        <v>43347</v>
      </c>
      <c r="C5642" s="66" t="s">
        <v>217</v>
      </c>
      <c r="D5642" s="3" t="s">
        <v>29</v>
      </c>
      <c r="E5642" s="64">
        <v>1</v>
      </c>
    </row>
    <row r="5643" spans="1:5">
      <c r="A5643" s="64" t="s">
        <v>27</v>
      </c>
      <c r="B5643" s="65">
        <v>43348</v>
      </c>
      <c r="C5643" s="66" t="s">
        <v>218</v>
      </c>
      <c r="D5643" s="3" t="s">
        <v>29</v>
      </c>
      <c r="E5643" s="64">
        <v>1</v>
      </c>
    </row>
    <row r="5644" spans="1:5">
      <c r="A5644" s="64" t="s">
        <v>27</v>
      </c>
      <c r="B5644" s="65">
        <v>43349</v>
      </c>
      <c r="C5644" s="66" t="s">
        <v>219</v>
      </c>
      <c r="D5644" s="3" t="s">
        <v>29</v>
      </c>
      <c r="E5644" s="64">
        <v>1</v>
      </c>
    </row>
    <row r="5645" spans="1:5">
      <c r="A5645" s="64" t="s">
        <v>27</v>
      </c>
      <c r="B5645" s="65">
        <v>43350</v>
      </c>
      <c r="C5645" s="66" t="s">
        <v>220</v>
      </c>
      <c r="D5645" s="3" t="s">
        <v>29</v>
      </c>
      <c r="E5645" s="64">
        <v>1</v>
      </c>
    </row>
    <row r="5646" spans="1:5">
      <c r="A5646" s="64" t="s">
        <v>27</v>
      </c>
      <c r="B5646" s="65">
        <v>43351</v>
      </c>
      <c r="C5646" s="66" t="s">
        <v>221</v>
      </c>
      <c r="D5646" s="3" t="s">
        <v>29</v>
      </c>
      <c r="E5646" s="64">
        <v>1</v>
      </c>
    </row>
    <row r="5647" spans="1:5">
      <c r="A5647" s="64" t="s">
        <v>27</v>
      </c>
      <c r="B5647" s="65">
        <v>43352</v>
      </c>
      <c r="C5647" s="66" t="s">
        <v>222</v>
      </c>
      <c r="D5647" s="3" t="s">
        <v>29</v>
      </c>
      <c r="E5647" s="64">
        <v>1</v>
      </c>
    </row>
    <row r="5648" spans="1:5">
      <c r="A5648" s="64" t="s">
        <v>27</v>
      </c>
      <c r="B5648" s="65">
        <v>43353</v>
      </c>
      <c r="C5648" s="66" t="s">
        <v>216</v>
      </c>
      <c r="D5648" s="3" t="s">
        <v>29</v>
      </c>
      <c r="E5648" s="64">
        <v>1</v>
      </c>
    </row>
    <row r="5649" spans="1:5">
      <c r="A5649" s="64" t="s">
        <v>27</v>
      </c>
      <c r="B5649" s="65">
        <v>43354</v>
      </c>
      <c r="C5649" s="66" t="s">
        <v>217</v>
      </c>
      <c r="D5649" s="3" t="s">
        <v>29</v>
      </c>
      <c r="E5649" s="64">
        <v>1</v>
      </c>
    </row>
    <row r="5650" spans="1:5">
      <c r="A5650" s="64" t="s">
        <v>27</v>
      </c>
      <c r="B5650" s="65">
        <v>43355</v>
      </c>
      <c r="C5650" s="66" t="s">
        <v>218</v>
      </c>
      <c r="D5650" s="3" t="s">
        <v>29</v>
      </c>
      <c r="E5650" s="64">
        <v>1</v>
      </c>
    </row>
    <row r="5651" spans="1:5">
      <c r="A5651" s="64" t="s">
        <v>27</v>
      </c>
      <c r="B5651" s="65">
        <v>43356</v>
      </c>
      <c r="C5651" s="66" t="s">
        <v>219</v>
      </c>
      <c r="D5651" s="3" t="s">
        <v>29</v>
      </c>
      <c r="E5651" s="64">
        <v>1</v>
      </c>
    </row>
    <row r="5652" spans="1:5">
      <c r="A5652" s="64" t="s">
        <v>27</v>
      </c>
      <c r="B5652" s="65">
        <v>43357</v>
      </c>
      <c r="C5652" s="66" t="s">
        <v>220</v>
      </c>
      <c r="D5652" s="3" t="s">
        <v>29</v>
      </c>
      <c r="E5652" s="64">
        <v>1</v>
      </c>
    </row>
    <row r="5653" spans="1:5">
      <c r="A5653" s="64" t="s">
        <v>27</v>
      </c>
      <c r="B5653" s="65">
        <v>43358</v>
      </c>
      <c r="C5653" s="66" t="s">
        <v>221</v>
      </c>
      <c r="D5653" s="3" t="s">
        <v>29</v>
      </c>
      <c r="E5653" s="64">
        <v>1</v>
      </c>
    </row>
    <row r="5654" spans="1:5">
      <c r="A5654" s="64" t="s">
        <v>27</v>
      </c>
      <c r="B5654" s="65">
        <v>43359</v>
      </c>
      <c r="C5654" s="66" t="s">
        <v>222</v>
      </c>
      <c r="D5654" s="3" t="s">
        <v>29</v>
      </c>
      <c r="E5654" s="64">
        <v>1</v>
      </c>
    </row>
    <row r="5655" spans="1:5">
      <c r="A5655" s="64" t="s">
        <v>27</v>
      </c>
      <c r="B5655" s="65">
        <v>43360</v>
      </c>
      <c r="C5655" s="66" t="s">
        <v>216</v>
      </c>
      <c r="D5655" s="3" t="s">
        <v>29</v>
      </c>
      <c r="E5655" s="64">
        <v>1</v>
      </c>
    </row>
    <row r="5656" spans="1:5">
      <c r="A5656" s="64" t="s">
        <v>27</v>
      </c>
      <c r="B5656" s="65">
        <v>43361</v>
      </c>
      <c r="C5656" s="66" t="s">
        <v>217</v>
      </c>
      <c r="D5656" s="3" t="s">
        <v>29</v>
      </c>
      <c r="E5656" s="64">
        <v>1</v>
      </c>
    </row>
    <row r="5657" spans="1:5">
      <c r="A5657" s="64" t="s">
        <v>27</v>
      </c>
      <c r="B5657" s="65">
        <v>43362</v>
      </c>
      <c r="C5657" s="66" t="s">
        <v>218</v>
      </c>
      <c r="D5657" s="3" t="s">
        <v>29</v>
      </c>
      <c r="E5657" s="64">
        <v>1</v>
      </c>
    </row>
    <row r="5658" spans="1:5">
      <c r="A5658" s="64" t="s">
        <v>27</v>
      </c>
      <c r="B5658" s="65">
        <v>43363</v>
      </c>
      <c r="C5658" s="66" t="s">
        <v>219</v>
      </c>
      <c r="D5658" s="3" t="s">
        <v>29</v>
      </c>
      <c r="E5658" s="64">
        <v>1</v>
      </c>
    </row>
    <row r="5659" spans="1:5">
      <c r="A5659" s="64" t="s">
        <v>27</v>
      </c>
      <c r="B5659" s="65">
        <v>43364</v>
      </c>
      <c r="C5659" s="66" t="s">
        <v>220</v>
      </c>
      <c r="D5659" s="3" t="s">
        <v>29</v>
      </c>
      <c r="E5659" s="64">
        <v>1</v>
      </c>
    </row>
    <row r="5660" spans="1:5">
      <c r="A5660" s="64" t="s">
        <v>27</v>
      </c>
      <c r="B5660" s="65">
        <v>43365</v>
      </c>
      <c r="C5660" s="66" t="s">
        <v>221</v>
      </c>
      <c r="D5660" s="3" t="s">
        <v>29</v>
      </c>
      <c r="E5660" s="64">
        <v>1</v>
      </c>
    </row>
    <row r="5661" spans="1:5">
      <c r="A5661" s="64" t="s">
        <v>27</v>
      </c>
      <c r="B5661" s="65">
        <v>43366</v>
      </c>
      <c r="C5661" s="66" t="s">
        <v>222</v>
      </c>
      <c r="D5661" s="3" t="s">
        <v>29</v>
      </c>
      <c r="E5661" s="64">
        <v>1</v>
      </c>
    </row>
    <row r="5662" spans="1:5">
      <c r="A5662" s="64" t="s">
        <v>27</v>
      </c>
      <c r="B5662" s="65">
        <v>43367</v>
      </c>
      <c r="C5662" s="66" t="s">
        <v>216</v>
      </c>
      <c r="D5662" s="3" t="s">
        <v>29</v>
      </c>
      <c r="E5662" s="64">
        <v>1</v>
      </c>
    </row>
    <row r="5663" spans="1:5">
      <c r="A5663" s="64" t="s">
        <v>27</v>
      </c>
      <c r="B5663" s="65">
        <v>43368</v>
      </c>
      <c r="C5663" s="66" t="s">
        <v>217</v>
      </c>
      <c r="D5663" s="3" t="s">
        <v>29</v>
      </c>
      <c r="E5663" s="64">
        <v>1</v>
      </c>
    </row>
    <row r="5664" spans="1:5">
      <c r="A5664" s="64" t="s">
        <v>27</v>
      </c>
      <c r="B5664" s="65">
        <v>43369</v>
      </c>
      <c r="C5664" s="66" t="s">
        <v>218</v>
      </c>
      <c r="D5664" s="3" t="s">
        <v>29</v>
      </c>
      <c r="E5664" s="64">
        <v>1</v>
      </c>
    </row>
    <row r="5665" spans="1:5">
      <c r="A5665" s="64" t="s">
        <v>27</v>
      </c>
      <c r="B5665" s="65">
        <v>43370</v>
      </c>
      <c r="C5665" s="66" t="s">
        <v>219</v>
      </c>
      <c r="D5665" s="3" t="s">
        <v>29</v>
      </c>
      <c r="E5665" s="64">
        <v>1</v>
      </c>
    </row>
    <row r="5666" spans="1:5">
      <c r="A5666" s="64" t="s">
        <v>27</v>
      </c>
      <c r="B5666" s="65">
        <v>43371</v>
      </c>
      <c r="C5666" s="66" t="s">
        <v>220</v>
      </c>
      <c r="D5666" s="3" t="s">
        <v>29</v>
      </c>
      <c r="E5666" s="64">
        <v>1</v>
      </c>
    </row>
    <row r="5667" spans="1:5">
      <c r="A5667" s="64" t="s">
        <v>27</v>
      </c>
      <c r="B5667" s="65">
        <v>43372</v>
      </c>
      <c r="C5667" s="66" t="s">
        <v>221</v>
      </c>
      <c r="D5667" s="3" t="s">
        <v>29</v>
      </c>
      <c r="E5667" s="64">
        <v>1</v>
      </c>
    </row>
    <row r="5668" spans="1:5">
      <c r="A5668" s="64" t="s">
        <v>27</v>
      </c>
      <c r="B5668" s="65">
        <v>43373</v>
      </c>
      <c r="C5668" s="66" t="s">
        <v>222</v>
      </c>
      <c r="D5668" s="3" t="s">
        <v>29</v>
      </c>
      <c r="E5668" s="64">
        <v>1</v>
      </c>
    </row>
    <row r="5669" spans="1:5">
      <c r="A5669" s="64" t="s">
        <v>27</v>
      </c>
      <c r="B5669" s="65">
        <v>43374</v>
      </c>
      <c r="C5669" s="66" t="s">
        <v>216</v>
      </c>
      <c r="D5669" s="3" t="s">
        <v>29</v>
      </c>
      <c r="E5669" s="64">
        <v>1</v>
      </c>
    </row>
    <row r="5670" spans="1:5">
      <c r="A5670" s="64" t="s">
        <v>27</v>
      </c>
      <c r="B5670" s="65">
        <v>43375</v>
      </c>
      <c r="C5670" s="66" t="s">
        <v>217</v>
      </c>
      <c r="D5670" s="3" t="s">
        <v>29</v>
      </c>
      <c r="E5670" s="64">
        <v>1</v>
      </c>
    </row>
    <row r="5671" spans="1:5">
      <c r="A5671" s="64" t="s">
        <v>27</v>
      </c>
      <c r="B5671" s="65">
        <v>43376</v>
      </c>
      <c r="C5671" s="66" t="s">
        <v>218</v>
      </c>
      <c r="D5671" s="3" t="s">
        <v>29</v>
      </c>
      <c r="E5671" s="64">
        <v>1</v>
      </c>
    </row>
    <row r="5672" spans="1:5">
      <c r="A5672" s="64" t="s">
        <v>27</v>
      </c>
      <c r="B5672" s="65">
        <v>43377</v>
      </c>
      <c r="C5672" s="66" t="s">
        <v>219</v>
      </c>
      <c r="D5672" s="3" t="s">
        <v>29</v>
      </c>
      <c r="E5672" s="64">
        <v>1</v>
      </c>
    </row>
    <row r="5673" spans="1:5">
      <c r="A5673" s="64" t="s">
        <v>27</v>
      </c>
      <c r="B5673" s="65">
        <v>43378</v>
      </c>
      <c r="C5673" s="66" t="s">
        <v>220</v>
      </c>
      <c r="D5673" s="3" t="s">
        <v>29</v>
      </c>
      <c r="E5673" s="64">
        <v>1</v>
      </c>
    </row>
    <row r="5674" spans="1:5">
      <c r="A5674" s="64" t="s">
        <v>27</v>
      </c>
      <c r="B5674" s="65">
        <v>43379</v>
      </c>
      <c r="C5674" s="66" t="s">
        <v>221</v>
      </c>
      <c r="D5674" s="3" t="s">
        <v>29</v>
      </c>
      <c r="E5674" s="64">
        <v>1</v>
      </c>
    </row>
    <row r="5675" spans="1:5">
      <c r="A5675" s="64" t="s">
        <v>27</v>
      </c>
      <c r="B5675" s="65">
        <v>43380</v>
      </c>
      <c r="C5675" s="66" t="s">
        <v>222</v>
      </c>
      <c r="D5675" s="3" t="s">
        <v>29</v>
      </c>
      <c r="E5675" s="64">
        <v>1</v>
      </c>
    </row>
    <row r="5676" spans="1:5">
      <c r="A5676" s="64" t="s">
        <v>27</v>
      </c>
      <c r="B5676" s="65">
        <v>43381</v>
      </c>
      <c r="C5676" s="66" t="s">
        <v>216</v>
      </c>
      <c r="D5676" s="3" t="s">
        <v>29</v>
      </c>
      <c r="E5676" s="64">
        <v>1</v>
      </c>
    </row>
    <row r="5677" spans="1:5">
      <c r="A5677" s="64" t="s">
        <v>27</v>
      </c>
      <c r="B5677" s="65">
        <v>43382</v>
      </c>
      <c r="C5677" s="66" t="s">
        <v>217</v>
      </c>
      <c r="D5677" s="3" t="s">
        <v>29</v>
      </c>
      <c r="E5677" s="64">
        <v>1</v>
      </c>
    </row>
    <row r="5678" spans="1:5">
      <c r="A5678" s="64" t="s">
        <v>27</v>
      </c>
      <c r="B5678" s="65">
        <v>43383</v>
      </c>
      <c r="C5678" s="66" t="s">
        <v>218</v>
      </c>
      <c r="D5678" s="3" t="s">
        <v>29</v>
      </c>
      <c r="E5678" s="64">
        <v>1</v>
      </c>
    </row>
    <row r="5679" spans="1:5">
      <c r="A5679" s="64" t="s">
        <v>27</v>
      </c>
      <c r="B5679" s="65">
        <v>43384</v>
      </c>
      <c r="C5679" s="66" t="s">
        <v>219</v>
      </c>
      <c r="D5679" s="3" t="s">
        <v>29</v>
      </c>
      <c r="E5679" s="64">
        <v>1</v>
      </c>
    </row>
    <row r="5680" spans="1:5">
      <c r="A5680" s="64" t="s">
        <v>27</v>
      </c>
      <c r="B5680" s="65">
        <v>43385</v>
      </c>
      <c r="C5680" s="66" t="s">
        <v>220</v>
      </c>
      <c r="D5680" s="3" t="s">
        <v>29</v>
      </c>
      <c r="E5680" s="64">
        <v>1</v>
      </c>
    </row>
    <row r="5681" spans="1:5">
      <c r="A5681" s="64" t="s">
        <v>27</v>
      </c>
      <c r="B5681" s="65">
        <v>43386</v>
      </c>
      <c r="C5681" s="66" t="s">
        <v>221</v>
      </c>
      <c r="D5681" s="3" t="s">
        <v>29</v>
      </c>
      <c r="E5681" s="64">
        <v>1</v>
      </c>
    </row>
    <row r="5682" spans="1:5">
      <c r="A5682" s="64" t="s">
        <v>27</v>
      </c>
      <c r="B5682" s="65">
        <v>43387</v>
      </c>
      <c r="C5682" s="66" t="s">
        <v>222</v>
      </c>
      <c r="D5682" s="3" t="s">
        <v>29</v>
      </c>
      <c r="E5682" s="64">
        <v>1</v>
      </c>
    </row>
    <row r="5683" spans="1:5">
      <c r="A5683" s="64" t="s">
        <v>27</v>
      </c>
      <c r="B5683" s="65">
        <v>43388</v>
      </c>
      <c r="C5683" s="66" t="s">
        <v>216</v>
      </c>
      <c r="D5683" s="3" t="s">
        <v>29</v>
      </c>
      <c r="E5683" s="64">
        <v>1</v>
      </c>
    </row>
    <row r="5684" spans="1:5">
      <c r="A5684" s="64" t="s">
        <v>27</v>
      </c>
      <c r="B5684" s="65">
        <v>43389</v>
      </c>
      <c r="C5684" s="66" t="s">
        <v>217</v>
      </c>
      <c r="D5684" s="3" t="s">
        <v>29</v>
      </c>
      <c r="E5684" s="64">
        <v>1</v>
      </c>
    </row>
    <row r="5685" spans="1:5">
      <c r="A5685" s="64" t="s">
        <v>27</v>
      </c>
      <c r="B5685" s="65">
        <v>43390</v>
      </c>
      <c r="C5685" s="66" t="s">
        <v>218</v>
      </c>
      <c r="D5685" s="3" t="s">
        <v>29</v>
      </c>
      <c r="E5685" s="64">
        <v>1</v>
      </c>
    </row>
    <row r="5686" spans="1:5">
      <c r="A5686" s="64" t="s">
        <v>27</v>
      </c>
      <c r="B5686" s="65">
        <v>43391</v>
      </c>
      <c r="C5686" s="66" t="s">
        <v>219</v>
      </c>
      <c r="D5686" s="3" t="s">
        <v>29</v>
      </c>
      <c r="E5686" s="64">
        <v>1</v>
      </c>
    </row>
    <row r="5687" spans="1:5">
      <c r="A5687" s="64" t="s">
        <v>27</v>
      </c>
      <c r="B5687" s="65">
        <v>43392</v>
      </c>
      <c r="C5687" s="66" t="s">
        <v>220</v>
      </c>
      <c r="D5687" s="3" t="s">
        <v>29</v>
      </c>
      <c r="E5687" s="64">
        <v>1</v>
      </c>
    </row>
    <row r="5688" spans="1:5">
      <c r="A5688" s="64" t="s">
        <v>27</v>
      </c>
      <c r="B5688" s="65">
        <v>43393</v>
      </c>
      <c r="C5688" s="66" t="s">
        <v>221</v>
      </c>
      <c r="D5688" s="3" t="s">
        <v>29</v>
      </c>
      <c r="E5688" s="64">
        <v>1</v>
      </c>
    </row>
    <row r="5689" spans="1:5">
      <c r="A5689" s="64" t="s">
        <v>27</v>
      </c>
      <c r="B5689" s="65">
        <v>43394</v>
      </c>
      <c r="C5689" s="66" t="s">
        <v>222</v>
      </c>
      <c r="D5689" s="3" t="s">
        <v>29</v>
      </c>
      <c r="E5689" s="64">
        <v>1</v>
      </c>
    </row>
    <row r="5690" spans="1:5">
      <c r="A5690" s="64" t="s">
        <v>27</v>
      </c>
      <c r="B5690" s="65">
        <v>43395</v>
      </c>
      <c r="C5690" s="66" t="s">
        <v>216</v>
      </c>
      <c r="D5690" s="3" t="s">
        <v>29</v>
      </c>
      <c r="E5690" s="64">
        <v>1</v>
      </c>
    </row>
    <row r="5691" spans="1:5">
      <c r="A5691" s="64" t="s">
        <v>27</v>
      </c>
      <c r="B5691" s="65">
        <v>43396</v>
      </c>
      <c r="C5691" s="66" t="s">
        <v>217</v>
      </c>
      <c r="D5691" s="3" t="s">
        <v>29</v>
      </c>
      <c r="E5691" s="64">
        <v>1</v>
      </c>
    </row>
    <row r="5692" spans="1:5">
      <c r="A5692" s="64" t="s">
        <v>27</v>
      </c>
      <c r="B5692" s="65">
        <v>43397</v>
      </c>
      <c r="C5692" s="66" t="s">
        <v>218</v>
      </c>
      <c r="D5692" s="3" t="s">
        <v>29</v>
      </c>
      <c r="E5692" s="64">
        <v>1</v>
      </c>
    </row>
    <row r="5693" spans="1:5">
      <c r="A5693" s="64" t="s">
        <v>27</v>
      </c>
      <c r="B5693" s="65">
        <v>43398</v>
      </c>
      <c r="C5693" s="66" t="s">
        <v>219</v>
      </c>
      <c r="D5693" s="3" t="s">
        <v>29</v>
      </c>
      <c r="E5693" s="64">
        <v>1</v>
      </c>
    </row>
    <row r="5694" spans="1:5">
      <c r="A5694" s="64" t="s">
        <v>27</v>
      </c>
      <c r="B5694" s="65">
        <v>43399</v>
      </c>
      <c r="C5694" s="66" t="s">
        <v>220</v>
      </c>
      <c r="D5694" s="3" t="s">
        <v>29</v>
      </c>
      <c r="E5694" s="64">
        <v>1</v>
      </c>
    </row>
    <row r="5695" spans="1:5">
      <c r="A5695" s="64" t="s">
        <v>27</v>
      </c>
      <c r="B5695" s="65">
        <v>43400</v>
      </c>
      <c r="C5695" s="66" t="s">
        <v>221</v>
      </c>
      <c r="D5695" s="3" t="s">
        <v>29</v>
      </c>
      <c r="E5695" s="64">
        <v>1</v>
      </c>
    </row>
    <row r="5696" spans="1:5">
      <c r="A5696" s="64" t="s">
        <v>27</v>
      </c>
      <c r="B5696" s="65">
        <v>43401</v>
      </c>
      <c r="C5696" s="66" t="s">
        <v>222</v>
      </c>
      <c r="D5696" s="3" t="s">
        <v>29</v>
      </c>
      <c r="E5696" s="64">
        <v>1</v>
      </c>
    </row>
    <row r="5697" spans="1:5">
      <c r="A5697" s="64" t="s">
        <v>27</v>
      </c>
      <c r="B5697" s="65">
        <v>43402</v>
      </c>
      <c r="C5697" s="66" t="s">
        <v>216</v>
      </c>
      <c r="D5697" s="3" t="s">
        <v>29</v>
      </c>
      <c r="E5697" s="64">
        <v>1</v>
      </c>
    </row>
    <row r="5698" spans="1:5">
      <c r="A5698" s="64" t="s">
        <v>27</v>
      </c>
      <c r="B5698" s="65">
        <v>43403</v>
      </c>
      <c r="C5698" s="66" t="s">
        <v>217</v>
      </c>
      <c r="D5698" s="3" t="s">
        <v>29</v>
      </c>
      <c r="E5698" s="64">
        <v>1</v>
      </c>
    </row>
    <row r="5699" spans="1:5">
      <c r="A5699" s="64" t="s">
        <v>27</v>
      </c>
      <c r="B5699" s="65">
        <v>43404</v>
      </c>
      <c r="C5699" s="66" t="s">
        <v>218</v>
      </c>
      <c r="D5699" s="3" t="s">
        <v>29</v>
      </c>
      <c r="E5699" s="64">
        <v>1</v>
      </c>
    </row>
    <row r="5700" spans="1:5">
      <c r="A5700" s="64" t="s">
        <v>27</v>
      </c>
      <c r="B5700" s="65">
        <v>43405</v>
      </c>
      <c r="C5700" s="66" t="s">
        <v>219</v>
      </c>
      <c r="D5700" s="3" t="s">
        <v>29</v>
      </c>
      <c r="E5700" s="64">
        <v>1</v>
      </c>
    </row>
    <row r="5701" spans="1:5">
      <c r="A5701" s="64" t="s">
        <v>27</v>
      </c>
      <c r="B5701" s="65">
        <v>43406</v>
      </c>
      <c r="C5701" s="66" t="s">
        <v>220</v>
      </c>
      <c r="D5701" s="3" t="s">
        <v>29</v>
      </c>
      <c r="E5701" s="64">
        <v>1</v>
      </c>
    </row>
    <row r="5702" spans="1:5">
      <c r="A5702" s="64" t="s">
        <v>27</v>
      </c>
      <c r="B5702" s="65">
        <v>43407</v>
      </c>
      <c r="C5702" s="66" t="s">
        <v>221</v>
      </c>
      <c r="D5702" s="3" t="s">
        <v>29</v>
      </c>
      <c r="E5702" s="64">
        <v>1</v>
      </c>
    </row>
    <row r="5703" spans="1:5">
      <c r="A5703" s="64" t="s">
        <v>27</v>
      </c>
      <c r="B5703" s="65">
        <v>43408</v>
      </c>
      <c r="C5703" s="66" t="s">
        <v>222</v>
      </c>
      <c r="D5703" s="3" t="s">
        <v>29</v>
      </c>
      <c r="E5703" s="64">
        <v>1</v>
      </c>
    </row>
    <row r="5704" spans="1:5">
      <c r="A5704" s="64" t="s">
        <v>27</v>
      </c>
      <c r="B5704" s="65">
        <v>43409</v>
      </c>
      <c r="C5704" s="66" t="s">
        <v>216</v>
      </c>
      <c r="D5704" s="3" t="s">
        <v>29</v>
      </c>
      <c r="E5704" s="64">
        <v>1</v>
      </c>
    </row>
    <row r="5705" spans="1:5">
      <c r="A5705" s="64" t="s">
        <v>27</v>
      </c>
      <c r="B5705" s="65">
        <v>43410</v>
      </c>
      <c r="C5705" s="66" t="s">
        <v>217</v>
      </c>
      <c r="D5705" s="3" t="s">
        <v>29</v>
      </c>
      <c r="E5705" s="64">
        <v>1</v>
      </c>
    </row>
    <row r="5706" spans="1:5">
      <c r="A5706" s="64" t="s">
        <v>27</v>
      </c>
      <c r="B5706" s="65">
        <v>43411</v>
      </c>
      <c r="C5706" s="66" t="s">
        <v>218</v>
      </c>
      <c r="D5706" s="3" t="s">
        <v>29</v>
      </c>
      <c r="E5706" s="64">
        <v>1</v>
      </c>
    </row>
    <row r="5707" spans="1:5">
      <c r="A5707" s="64" t="s">
        <v>27</v>
      </c>
      <c r="B5707" s="65">
        <v>43412</v>
      </c>
      <c r="C5707" s="66" t="s">
        <v>219</v>
      </c>
      <c r="D5707" s="3" t="s">
        <v>29</v>
      </c>
      <c r="E5707" s="64">
        <v>1</v>
      </c>
    </row>
    <row r="5708" spans="1:5">
      <c r="A5708" s="64" t="s">
        <v>27</v>
      </c>
      <c r="B5708" s="65">
        <v>43413</v>
      </c>
      <c r="C5708" s="66" t="s">
        <v>220</v>
      </c>
      <c r="D5708" s="3" t="s">
        <v>29</v>
      </c>
      <c r="E5708" s="64">
        <v>1</v>
      </c>
    </row>
    <row r="5709" spans="1:5">
      <c r="A5709" s="64" t="s">
        <v>27</v>
      </c>
      <c r="B5709" s="65">
        <v>43414</v>
      </c>
      <c r="C5709" s="66" t="s">
        <v>221</v>
      </c>
      <c r="D5709" s="3" t="s">
        <v>29</v>
      </c>
      <c r="E5709" s="64">
        <v>1</v>
      </c>
    </row>
    <row r="5710" spans="1:5">
      <c r="A5710" s="64" t="s">
        <v>27</v>
      </c>
      <c r="B5710" s="65">
        <v>43415</v>
      </c>
      <c r="C5710" s="66" t="s">
        <v>222</v>
      </c>
      <c r="D5710" s="3" t="s">
        <v>29</v>
      </c>
      <c r="E5710" s="64">
        <v>1</v>
      </c>
    </row>
    <row r="5711" spans="1:5">
      <c r="A5711" s="64" t="s">
        <v>27</v>
      </c>
      <c r="B5711" s="65">
        <v>43416</v>
      </c>
      <c r="C5711" s="66" t="s">
        <v>216</v>
      </c>
      <c r="D5711" s="3" t="s">
        <v>29</v>
      </c>
      <c r="E5711" s="64">
        <v>1</v>
      </c>
    </row>
    <row r="5712" spans="1:5">
      <c r="A5712" s="64" t="s">
        <v>27</v>
      </c>
      <c r="B5712" s="65">
        <v>43417</v>
      </c>
      <c r="C5712" s="66" t="s">
        <v>217</v>
      </c>
      <c r="D5712" s="3" t="s">
        <v>29</v>
      </c>
      <c r="E5712" s="64">
        <v>1</v>
      </c>
    </row>
    <row r="5713" spans="1:5">
      <c r="A5713" s="64" t="s">
        <v>27</v>
      </c>
      <c r="B5713" s="65">
        <v>43418</v>
      </c>
      <c r="C5713" s="66" t="s">
        <v>218</v>
      </c>
      <c r="D5713" s="3" t="s">
        <v>29</v>
      </c>
      <c r="E5713" s="64">
        <v>1</v>
      </c>
    </row>
    <row r="5714" spans="1:5">
      <c r="A5714" s="64" t="s">
        <v>27</v>
      </c>
      <c r="B5714" s="65">
        <v>43419</v>
      </c>
      <c r="C5714" s="66" t="s">
        <v>219</v>
      </c>
      <c r="D5714" s="3" t="s">
        <v>29</v>
      </c>
      <c r="E5714" s="64">
        <v>1</v>
      </c>
    </row>
    <row r="5715" spans="1:5">
      <c r="A5715" s="64" t="s">
        <v>27</v>
      </c>
      <c r="B5715" s="65">
        <v>43420</v>
      </c>
      <c r="C5715" s="66" t="s">
        <v>220</v>
      </c>
      <c r="D5715" s="3" t="s">
        <v>29</v>
      </c>
      <c r="E5715" s="64">
        <v>1</v>
      </c>
    </row>
    <row r="5716" spans="1:5">
      <c r="A5716" s="64" t="s">
        <v>27</v>
      </c>
      <c r="B5716" s="65">
        <v>43421</v>
      </c>
      <c r="C5716" s="66" t="s">
        <v>221</v>
      </c>
      <c r="D5716" s="3" t="s">
        <v>29</v>
      </c>
      <c r="E5716" s="64">
        <v>1</v>
      </c>
    </row>
    <row r="5717" spans="1:5">
      <c r="A5717" s="64" t="s">
        <v>27</v>
      </c>
      <c r="B5717" s="65">
        <v>43422</v>
      </c>
      <c r="C5717" s="66" t="s">
        <v>222</v>
      </c>
      <c r="D5717" s="3" t="s">
        <v>29</v>
      </c>
      <c r="E5717" s="64">
        <v>1</v>
      </c>
    </row>
    <row r="5718" spans="1:5">
      <c r="A5718" s="64" t="s">
        <v>27</v>
      </c>
      <c r="B5718" s="65">
        <v>43423</v>
      </c>
      <c r="C5718" s="66" t="s">
        <v>216</v>
      </c>
      <c r="D5718" s="3" t="s">
        <v>29</v>
      </c>
      <c r="E5718" s="64">
        <v>1</v>
      </c>
    </row>
    <row r="5719" spans="1:5">
      <c r="A5719" s="64" t="s">
        <v>27</v>
      </c>
      <c r="B5719" s="65">
        <v>43424</v>
      </c>
      <c r="C5719" s="66" t="s">
        <v>217</v>
      </c>
      <c r="D5719" s="3" t="s">
        <v>29</v>
      </c>
      <c r="E5719" s="64">
        <v>1</v>
      </c>
    </row>
    <row r="5720" spans="1:5">
      <c r="A5720" s="64" t="s">
        <v>27</v>
      </c>
      <c r="B5720" s="65">
        <v>43425</v>
      </c>
      <c r="C5720" s="66" t="s">
        <v>218</v>
      </c>
      <c r="D5720" s="3" t="s">
        <v>29</v>
      </c>
      <c r="E5720" s="64">
        <v>1</v>
      </c>
    </row>
    <row r="5721" spans="1:5">
      <c r="A5721" s="64" t="s">
        <v>27</v>
      </c>
      <c r="B5721" s="65">
        <v>43426</v>
      </c>
      <c r="C5721" s="66" t="s">
        <v>219</v>
      </c>
      <c r="D5721" s="3" t="s">
        <v>29</v>
      </c>
      <c r="E5721" s="64">
        <v>1</v>
      </c>
    </row>
    <row r="5722" spans="1:5">
      <c r="A5722" s="64" t="s">
        <v>27</v>
      </c>
      <c r="B5722" s="65">
        <v>43427</v>
      </c>
      <c r="C5722" s="66" t="s">
        <v>220</v>
      </c>
      <c r="D5722" s="3" t="s">
        <v>29</v>
      </c>
      <c r="E5722" s="64">
        <v>1</v>
      </c>
    </row>
    <row r="5723" spans="1:5">
      <c r="A5723" s="64" t="s">
        <v>27</v>
      </c>
      <c r="B5723" s="65">
        <v>43428</v>
      </c>
      <c r="C5723" s="66" t="s">
        <v>221</v>
      </c>
      <c r="D5723" s="3" t="s">
        <v>29</v>
      </c>
      <c r="E5723" s="64">
        <v>1</v>
      </c>
    </row>
    <row r="5724" spans="1:5">
      <c r="A5724" s="64" t="s">
        <v>27</v>
      </c>
      <c r="B5724" s="65">
        <v>43429</v>
      </c>
      <c r="C5724" s="66" t="s">
        <v>222</v>
      </c>
      <c r="D5724" s="3" t="s">
        <v>29</v>
      </c>
      <c r="E5724" s="64">
        <v>1</v>
      </c>
    </row>
    <row r="5725" spans="1:5">
      <c r="A5725" s="64" t="s">
        <v>27</v>
      </c>
      <c r="B5725" s="65">
        <v>43430</v>
      </c>
      <c r="C5725" s="66" t="s">
        <v>216</v>
      </c>
      <c r="D5725" s="3" t="s">
        <v>29</v>
      </c>
      <c r="E5725" s="64">
        <v>1</v>
      </c>
    </row>
    <row r="5726" spans="1:5">
      <c r="A5726" s="64" t="s">
        <v>27</v>
      </c>
      <c r="B5726" s="65">
        <v>43431</v>
      </c>
      <c r="C5726" s="66" t="s">
        <v>217</v>
      </c>
      <c r="D5726" s="3" t="s">
        <v>29</v>
      </c>
      <c r="E5726" s="64">
        <v>1</v>
      </c>
    </row>
    <row r="5727" spans="1:5">
      <c r="A5727" s="64" t="s">
        <v>27</v>
      </c>
      <c r="B5727" s="65">
        <v>43432</v>
      </c>
      <c r="C5727" s="66" t="s">
        <v>218</v>
      </c>
      <c r="D5727" s="3" t="s">
        <v>29</v>
      </c>
      <c r="E5727" s="64">
        <v>1</v>
      </c>
    </row>
    <row r="5728" spans="1:5">
      <c r="A5728" s="64" t="s">
        <v>27</v>
      </c>
      <c r="B5728" s="65">
        <v>43433</v>
      </c>
      <c r="C5728" s="66" t="s">
        <v>219</v>
      </c>
      <c r="D5728" s="3" t="s">
        <v>29</v>
      </c>
      <c r="E5728" s="64">
        <v>1</v>
      </c>
    </row>
    <row r="5729" spans="1:5">
      <c r="A5729" s="64" t="s">
        <v>27</v>
      </c>
      <c r="B5729" s="65">
        <v>43434</v>
      </c>
      <c r="C5729" s="66" t="s">
        <v>220</v>
      </c>
      <c r="D5729" s="3" t="s">
        <v>29</v>
      </c>
      <c r="E5729" s="64">
        <v>1</v>
      </c>
    </row>
    <row r="5730" spans="1:5">
      <c r="A5730" s="64" t="s">
        <v>27</v>
      </c>
      <c r="B5730" s="65">
        <v>43435</v>
      </c>
      <c r="C5730" s="66" t="s">
        <v>221</v>
      </c>
      <c r="D5730" s="3" t="s">
        <v>29</v>
      </c>
      <c r="E5730" s="64">
        <v>1</v>
      </c>
    </row>
    <row r="5731" spans="1:5">
      <c r="A5731" s="64" t="s">
        <v>27</v>
      </c>
      <c r="B5731" s="65">
        <v>43436</v>
      </c>
      <c r="C5731" s="66" t="s">
        <v>222</v>
      </c>
      <c r="D5731" s="3" t="s">
        <v>29</v>
      </c>
      <c r="E5731" s="64">
        <v>1</v>
      </c>
    </row>
    <row r="5732" spans="1:5">
      <c r="A5732" s="64" t="s">
        <v>27</v>
      </c>
      <c r="B5732" s="65">
        <v>43437</v>
      </c>
      <c r="C5732" s="66" t="s">
        <v>216</v>
      </c>
      <c r="D5732" s="3" t="s">
        <v>29</v>
      </c>
      <c r="E5732" s="64">
        <v>1</v>
      </c>
    </row>
    <row r="5733" spans="1:5">
      <c r="A5733" s="64" t="s">
        <v>27</v>
      </c>
      <c r="B5733" s="65">
        <v>43438</v>
      </c>
      <c r="C5733" s="66" t="s">
        <v>217</v>
      </c>
      <c r="D5733" s="3" t="s">
        <v>29</v>
      </c>
      <c r="E5733" s="64">
        <v>1</v>
      </c>
    </row>
    <row r="5734" spans="1:5">
      <c r="A5734" s="64" t="s">
        <v>27</v>
      </c>
      <c r="B5734" s="65">
        <v>43439</v>
      </c>
      <c r="C5734" s="66" t="s">
        <v>218</v>
      </c>
      <c r="D5734" s="3" t="s">
        <v>29</v>
      </c>
      <c r="E5734" s="64">
        <v>1</v>
      </c>
    </row>
    <row r="5735" spans="1:5">
      <c r="A5735" s="64" t="s">
        <v>27</v>
      </c>
      <c r="B5735" s="65">
        <v>43440</v>
      </c>
      <c r="C5735" s="66" t="s">
        <v>219</v>
      </c>
      <c r="D5735" s="3" t="s">
        <v>29</v>
      </c>
      <c r="E5735" s="64">
        <v>1</v>
      </c>
    </row>
    <row r="5736" spans="1:5">
      <c r="A5736" s="64" t="s">
        <v>27</v>
      </c>
      <c r="B5736" s="65">
        <v>43441</v>
      </c>
      <c r="C5736" s="66" t="s">
        <v>220</v>
      </c>
      <c r="D5736" s="3" t="s">
        <v>29</v>
      </c>
      <c r="E5736" s="64">
        <v>1</v>
      </c>
    </row>
    <row r="5737" spans="1:5">
      <c r="A5737" s="64" t="s">
        <v>27</v>
      </c>
      <c r="B5737" s="65">
        <v>43442</v>
      </c>
      <c r="C5737" s="66" t="s">
        <v>221</v>
      </c>
      <c r="D5737" s="3" t="s">
        <v>29</v>
      </c>
      <c r="E5737" s="64">
        <v>1</v>
      </c>
    </row>
    <row r="5738" spans="1:5">
      <c r="A5738" s="64" t="s">
        <v>27</v>
      </c>
      <c r="B5738" s="65">
        <v>43443</v>
      </c>
      <c r="C5738" s="66" t="s">
        <v>222</v>
      </c>
      <c r="D5738" s="3" t="s">
        <v>29</v>
      </c>
      <c r="E5738" s="64">
        <v>1</v>
      </c>
    </row>
    <row r="5739" spans="1:5">
      <c r="A5739" s="64" t="s">
        <v>27</v>
      </c>
      <c r="B5739" s="65">
        <v>43444</v>
      </c>
      <c r="C5739" s="66" t="s">
        <v>216</v>
      </c>
      <c r="D5739" s="3" t="s">
        <v>29</v>
      </c>
      <c r="E5739" s="64">
        <v>1</v>
      </c>
    </row>
    <row r="5740" spans="1:5">
      <c r="A5740" s="64" t="s">
        <v>27</v>
      </c>
      <c r="B5740" s="65">
        <v>43445</v>
      </c>
      <c r="C5740" s="66" t="s">
        <v>217</v>
      </c>
      <c r="D5740" s="3" t="s">
        <v>29</v>
      </c>
      <c r="E5740" s="64">
        <v>1</v>
      </c>
    </row>
    <row r="5741" spans="1:5">
      <c r="A5741" s="64" t="s">
        <v>27</v>
      </c>
      <c r="B5741" s="65">
        <v>43446</v>
      </c>
      <c r="C5741" s="66" t="s">
        <v>218</v>
      </c>
      <c r="D5741" s="3" t="s">
        <v>29</v>
      </c>
      <c r="E5741" s="64">
        <v>1</v>
      </c>
    </row>
    <row r="5742" spans="1:5">
      <c r="A5742" s="64" t="s">
        <v>27</v>
      </c>
      <c r="B5742" s="65">
        <v>43447</v>
      </c>
      <c r="C5742" s="66" t="s">
        <v>219</v>
      </c>
      <c r="D5742" s="3" t="s">
        <v>29</v>
      </c>
      <c r="E5742" s="64">
        <v>1</v>
      </c>
    </row>
    <row r="5743" spans="1:5">
      <c r="A5743" s="64" t="s">
        <v>27</v>
      </c>
      <c r="B5743" s="65">
        <v>43448</v>
      </c>
      <c r="C5743" s="66" t="s">
        <v>220</v>
      </c>
      <c r="D5743" s="3" t="s">
        <v>29</v>
      </c>
      <c r="E5743" s="64">
        <v>1</v>
      </c>
    </row>
    <row r="5744" spans="1:5">
      <c r="A5744" s="64" t="s">
        <v>27</v>
      </c>
      <c r="B5744" s="65">
        <v>43449</v>
      </c>
      <c r="C5744" s="66" t="s">
        <v>221</v>
      </c>
      <c r="D5744" s="3" t="s">
        <v>29</v>
      </c>
      <c r="E5744" s="64">
        <v>1</v>
      </c>
    </row>
    <row r="5745" spans="1:5">
      <c r="A5745" s="64" t="s">
        <v>27</v>
      </c>
      <c r="B5745" s="65">
        <v>43450</v>
      </c>
      <c r="C5745" s="66" t="s">
        <v>222</v>
      </c>
      <c r="D5745" s="3" t="s">
        <v>29</v>
      </c>
      <c r="E5745" s="64">
        <v>1</v>
      </c>
    </row>
    <row r="5746" spans="1:5">
      <c r="A5746" s="64" t="s">
        <v>27</v>
      </c>
      <c r="B5746" s="65">
        <v>43451</v>
      </c>
      <c r="C5746" s="66" t="s">
        <v>216</v>
      </c>
      <c r="D5746" s="3" t="s">
        <v>29</v>
      </c>
      <c r="E5746" s="64">
        <v>1</v>
      </c>
    </row>
    <row r="5747" spans="1:5">
      <c r="A5747" s="64" t="s">
        <v>27</v>
      </c>
      <c r="B5747" s="65">
        <v>43452</v>
      </c>
      <c r="C5747" s="66" t="s">
        <v>217</v>
      </c>
      <c r="D5747" s="3" t="s">
        <v>29</v>
      </c>
      <c r="E5747" s="64">
        <v>1</v>
      </c>
    </row>
    <row r="5748" spans="1:5">
      <c r="A5748" s="64" t="s">
        <v>27</v>
      </c>
      <c r="B5748" s="65">
        <v>43453</v>
      </c>
      <c r="C5748" s="66" t="s">
        <v>218</v>
      </c>
      <c r="D5748" s="3" t="s">
        <v>29</v>
      </c>
      <c r="E5748" s="64">
        <v>1</v>
      </c>
    </row>
    <row r="5749" spans="1:5">
      <c r="A5749" s="64" t="s">
        <v>27</v>
      </c>
      <c r="B5749" s="65">
        <v>43454</v>
      </c>
      <c r="C5749" s="66" t="s">
        <v>219</v>
      </c>
      <c r="D5749" s="3" t="s">
        <v>29</v>
      </c>
      <c r="E5749" s="64">
        <v>1</v>
      </c>
    </row>
    <row r="5750" spans="1:5">
      <c r="A5750" s="64" t="s">
        <v>27</v>
      </c>
      <c r="B5750" s="65">
        <v>43455</v>
      </c>
      <c r="C5750" s="66" t="s">
        <v>220</v>
      </c>
      <c r="D5750" s="3" t="s">
        <v>29</v>
      </c>
      <c r="E5750" s="64">
        <v>1</v>
      </c>
    </row>
    <row r="5751" spans="1:5">
      <c r="A5751" s="64" t="s">
        <v>27</v>
      </c>
      <c r="B5751" s="65">
        <v>43456</v>
      </c>
      <c r="C5751" s="66" t="s">
        <v>221</v>
      </c>
      <c r="D5751" s="3" t="s">
        <v>29</v>
      </c>
      <c r="E5751" s="64">
        <v>1</v>
      </c>
    </row>
    <row r="5752" spans="1:5">
      <c r="A5752" s="64" t="s">
        <v>27</v>
      </c>
      <c r="B5752" s="65">
        <v>43457</v>
      </c>
      <c r="C5752" s="66" t="s">
        <v>222</v>
      </c>
      <c r="D5752" s="3" t="s">
        <v>29</v>
      </c>
      <c r="E5752" s="64">
        <v>1</v>
      </c>
    </row>
    <row r="5753" spans="1:5">
      <c r="A5753" s="64" t="s">
        <v>27</v>
      </c>
      <c r="B5753" s="65">
        <v>43458</v>
      </c>
      <c r="C5753" s="66" t="s">
        <v>216</v>
      </c>
      <c r="D5753" s="3" t="s">
        <v>29</v>
      </c>
      <c r="E5753" s="64">
        <v>1</v>
      </c>
    </row>
    <row r="5754" spans="1:5">
      <c r="A5754" s="64" t="s">
        <v>27</v>
      </c>
      <c r="B5754" s="65">
        <v>43459</v>
      </c>
      <c r="C5754" s="66" t="s">
        <v>217</v>
      </c>
      <c r="D5754" s="3" t="s">
        <v>29</v>
      </c>
      <c r="E5754" s="64">
        <v>1</v>
      </c>
    </row>
    <row r="5755" spans="1:5">
      <c r="A5755" s="64" t="s">
        <v>27</v>
      </c>
      <c r="B5755" s="65">
        <v>43460</v>
      </c>
      <c r="C5755" s="66" t="s">
        <v>218</v>
      </c>
      <c r="D5755" s="3" t="s">
        <v>29</v>
      </c>
      <c r="E5755" s="64">
        <v>1</v>
      </c>
    </row>
    <row r="5756" spans="1:5">
      <c r="A5756" s="64" t="s">
        <v>27</v>
      </c>
      <c r="B5756" s="65">
        <v>43461</v>
      </c>
      <c r="C5756" s="66" t="s">
        <v>219</v>
      </c>
      <c r="D5756" s="3" t="s">
        <v>29</v>
      </c>
      <c r="E5756" s="64">
        <v>1</v>
      </c>
    </row>
    <row r="5757" spans="1:5">
      <c r="A5757" s="64" t="s">
        <v>27</v>
      </c>
      <c r="B5757" s="65">
        <v>43462</v>
      </c>
      <c r="C5757" s="66" t="s">
        <v>220</v>
      </c>
      <c r="D5757" s="3" t="s">
        <v>29</v>
      </c>
      <c r="E5757" s="64">
        <v>1</v>
      </c>
    </row>
    <row r="5758" spans="1:5">
      <c r="A5758" s="64" t="s">
        <v>27</v>
      </c>
      <c r="B5758" s="65">
        <v>43463</v>
      </c>
      <c r="C5758" s="66" t="s">
        <v>221</v>
      </c>
      <c r="D5758" s="3" t="s">
        <v>29</v>
      </c>
      <c r="E5758" s="64">
        <v>1</v>
      </c>
    </row>
    <row r="5759" spans="1:5">
      <c r="A5759" s="64" t="s">
        <v>27</v>
      </c>
      <c r="B5759" s="65">
        <v>43464</v>
      </c>
      <c r="C5759" s="66" t="s">
        <v>222</v>
      </c>
      <c r="D5759" s="3" t="s">
        <v>29</v>
      </c>
      <c r="E5759" s="64">
        <v>1</v>
      </c>
    </row>
    <row r="5760" spans="1:5">
      <c r="A5760" s="64" t="s">
        <v>27</v>
      </c>
      <c r="B5760" s="65">
        <v>43465</v>
      </c>
      <c r="C5760" s="66" t="s">
        <v>216</v>
      </c>
      <c r="D5760" s="3" t="s">
        <v>29</v>
      </c>
      <c r="E5760" s="64">
        <v>1</v>
      </c>
    </row>
    <row r="5761" spans="1:5">
      <c r="A5761" s="64" t="s">
        <v>27</v>
      </c>
      <c r="B5761" s="65">
        <v>43466</v>
      </c>
      <c r="C5761" s="66" t="s">
        <v>217</v>
      </c>
      <c r="D5761" s="3" t="s">
        <v>29</v>
      </c>
      <c r="E5761" s="64">
        <v>1</v>
      </c>
    </row>
    <row r="5762" spans="1:5">
      <c r="A5762" s="64" t="s">
        <v>27</v>
      </c>
      <c r="B5762" s="65">
        <v>43467</v>
      </c>
      <c r="C5762" s="66" t="s">
        <v>218</v>
      </c>
      <c r="D5762" s="3" t="s">
        <v>29</v>
      </c>
      <c r="E5762" s="64">
        <v>1</v>
      </c>
    </row>
    <row r="5763" spans="1:5">
      <c r="A5763" s="64" t="s">
        <v>27</v>
      </c>
      <c r="B5763" s="65">
        <v>43468</v>
      </c>
      <c r="C5763" s="66" t="s">
        <v>219</v>
      </c>
      <c r="D5763" s="3" t="s">
        <v>29</v>
      </c>
      <c r="E5763" s="64">
        <v>1</v>
      </c>
    </row>
    <row r="5764" spans="1:5">
      <c r="A5764" s="64" t="s">
        <v>27</v>
      </c>
      <c r="B5764" s="65">
        <v>43469</v>
      </c>
      <c r="C5764" s="66" t="s">
        <v>220</v>
      </c>
      <c r="D5764" s="3" t="s">
        <v>29</v>
      </c>
      <c r="E5764" s="64">
        <v>1</v>
      </c>
    </row>
    <row r="5765" spans="1:5">
      <c r="A5765" s="64" t="s">
        <v>27</v>
      </c>
      <c r="B5765" s="65">
        <v>43470</v>
      </c>
      <c r="C5765" s="66" t="s">
        <v>221</v>
      </c>
      <c r="D5765" s="3" t="s">
        <v>29</v>
      </c>
      <c r="E5765" s="64">
        <v>1</v>
      </c>
    </row>
    <row r="5766" spans="1:5">
      <c r="A5766" s="64" t="s">
        <v>27</v>
      </c>
      <c r="B5766" s="65">
        <v>43471</v>
      </c>
      <c r="C5766" s="66" t="s">
        <v>222</v>
      </c>
      <c r="D5766" s="3" t="s">
        <v>29</v>
      </c>
      <c r="E5766" s="64">
        <v>1</v>
      </c>
    </row>
    <row r="5767" spans="1:5">
      <c r="A5767" s="64" t="s">
        <v>27</v>
      </c>
      <c r="B5767" s="65">
        <v>43472</v>
      </c>
      <c r="C5767" s="66" t="s">
        <v>216</v>
      </c>
      <c r="D5767" s="3" t="s">
        <v>29</v>
      </c>
      <c r="E5767" s="64">
        <v>1</v>
      </c>
    </row>
    <row r="5768" spans="1:5">
      <c r="A5768" s="64" t="s">
        <v>27</v>
      </c>
      <c r="B5768" s="65">
        <v>43473</v>
      </c>
      <c r="C5768" s="66" t="s">
        <v>217</v>
      </c>
      <c r="D5768" s="3" t="s">
        <v>29</v>
      </c>
      <c r="E5768" s="64">
        <v>1</v>
      </c>
    </row>
    <row r="5769" spans="1:5">
      <c r="A5769" s="64" t="s">
        <v>27</v>
      </c>
      <c r="B5769" s="65">
        <v>43474</v>
      </c>
      <c r="C5769" s="66" t="s">
        <v>218</v>
      </c>
      <c r="D5769" s="3" t="s">
        <v>29</v>
      </c>
      <c r="E5769" s="64">
        <v>1</v>
      </c>
    </row>
    <row r="5770" spans="1:5">
      <c r="A5770" s="64" t="s">
        <v>27</v>
      </c>
      <c r="B5770" s="65">
        <v>43475</v>
      </c>
      <c r="C5770" s="66" t="s">
        <v>219</v>
      </c>
      <c r="D5770" s="3" t="s">
        <v>29</v>
      </c>
      <c r="E5770" s="64">
        <v>1</v>
      </c>
    </row>
    <row r="5771" spans="1:5">
      <c r="A5771" s="64" t="s">
        <v>27</v>
      </c>
      <c r="B5771" s="65">
        <v>43476</v>
      </c>
      <c r="C5771" s="66" t="s">
        <v>220</v>
      </c>
      <c r="D5771" s="3" t="s">
        <v>29</v>
      </c>
      <c r="E5771" s="64">
        <v>1</v>
      </c>
    </row>
    <row r="5772" spans="1:5">
      <c r="A5772" s="64" t="s">
        <v>27</v>
      </c>
      <c r="B5772" s="65">
        <v>43477</v>
      </c>
      <c r="C5772" s="66" t="s">
        <v>221</v>
      </c>
      <c r="D5772" s="3" t="s">
        <v>29</v>
      </c>
      <c r="E5772" s="64">
        <v>1</v>
      </c>
    </row>
    <row r="5773" spans="1:5">
      <c r="A5773" s="64" t="s">
        <v>27</v>
      </c>
      <c r="B5773" s="65">
        <v>43478</v>
      </c>
      <c r="C5773" s="66" t="s">
        <v>222</v>
      </c>
      <c r="D5773" s="3" t="s">
        <v>29</v>
      </c>
      <c r="E5773" s="64">
        <v>1</v>
      </c>
    </row>
    <row r="5774" spans="1:5">
      <c r="A5774" s="64" t="s">
        <v>27</v>
      </c>
      <c r="B5774" s="65">
        <v>43479</v>
      </c>
      <c r="C5774" s="66" t="s">
        <v>216</v>
      </c>
      <c r="D5774" s="3" t="s">
        <v>29</v>
      </c>
      <c r="E5774" s="64">
        <v>1</v>
      </c>
    </row>
    <row r="5775" spans="1:5">
      <c r="A5775" s="64" t="s">
        <v>27</v>
      </c>
      <c r="B5775" s="65">
        <v>43480</v>
      </c>
      <c r="C5775" s="66" t="s">
        <v>217</v>
      </c>
      <c r="D5775" s="3" t="s">
        <v>29</v>
      </c>
      <c r="E5775" s="64">
        <v>1</v>
      </c>
    </row>
    <row r="5776" spans="1:5">
      <c r="A5776" s="64" t="s">
        <v>27</v>
      </c>
      <c r="B5776" s="65">
        <v>43481</v>
      </c>
      <c r="C5776" s="66" t="s">
        <v>218</v>
      </c>
      <c r="D5776" s="3" t="s">
        <v>29</v>
      </c>
      <c r="E5776" s="64">
        <v>1</v>
      </c>
    </row>
    <row r="5777" spans="1:5">
      <c r="A5777" s="64" t="s">
        <v>27</v>
      </c>
      <c r="B5777" s="65">
        <v>43482</v>
      </c>
      <c r="C5777" s="66" t="s">
        <v>219</v>
      </c>
      <c r="D5777" s="3" t="s">
        <v>29</v>
      </c>
      <c r="E5777" s="64">
        <v>1</v>
      </c>
    </row>
    <row r="5778" spans="1:5">
      <c r="A5778" s="64" t="s">
        <v>27</v>
      </c>
      <c r="B5778" s="65">
        <v>43483</v>
      </c>
      <c r="C5778" s="66" t="s">
        <v>220</v>
      </c>
      <c r="D5778" s="3" t="s">
        <v>29</v>
      </c>
      <c r="E5778" s="64">
        <v>1</v>
      </c>
    </row>
    <row r="5779" spans="1:5">
      <c r="A5779" s="64" t="s">
        <v>27</v>
      </c>
      <c r="B5779" s="65">
        <v>43484</v>
      </c>
      <c r="C5779" s="66" t="s">
        <v>221</v>
      </c>
      <c r="D5779" s="3" t="s">
        <v>29</v>
      </c>
      <c r="E5779" s="64">
        <v>1</v>
      </c>
    </row>
    <row r="5780" spans="1:5">
      <c r="A5780" s="64" t="s">
        <v>27</v>
      </c>
      <c r="B5780" s="65">
        <v>43485</v>
      </c>
      <c r="C5780" s="66" t="s">
        <v>222</v>
      </c>
      <c r="D5780" s="3" t="s">
        <v>29</v>
      </c>
      <c r="E5780" s="64">
        <v>1</v>
      </c>
    </row>
    <row r="5781" spans="1:5">
      <c r="A5781" s="64" t="s">
        <v>27</v>
      </c>
      <c r="B5781" s="65">
        <v>43486</v>
      </c>
      <c r="C5781" s="66" t="s">
        <v>216</v>
      </c>
      <c r="D5781" s="3" t="s">
        <v>29</v>
      </c>
      <c r="E5781" s="64">
        <v>1</v>
      </c>
    </row>
    <row r="5782" spans="1:5">
      <c r="A5782" s="64" t="s">
        <v>27</v>
      </c>
      <c r="B5782" s="65">
        <v>43487</v>
      </c>
      <c r="C5782" s="66" t="s">
        <v>217</v>
      </c>
      <c r="D5782" s="3" t="s">
        <v>29</v>
      </c>
      <c r="E5782" s="64">
        <v>1</v>
      </c>
    </row>
    <row r="5783" spans="1:5">
      <c r="A5783" s="64" t="s">
        <v>27</v>
      </c>
      <c r="B5783" s="65">
        <v>43488</v>
      </c>
      <c r="C5783" s="66" t="s">
        <v>218</v>
      </c>
      <c r="D5783" s="3" t="s">
        <v>29</v>
      </c>
      <c r="E5783" s="64">
        <v>1</v>
      </c>
    </row>
    <row r="5784" spans="1:5">
      <c r="A5784" s="64" t="s">
        <v>27</v>
      </c>
      <c r="B5784" s="65">
        <v>43489</v>
      </c>
      <c r="C5784" s="66" t="s">
        <v>219</v>
      </c>
      <c r="D5784" s="3" t="s">
        <v>29</v>
      </c>
      <c r="E5784" s="64">
        <v>1</v>
      </c>
    </row>
    <row r="5785" spans="1:5">
      <c r="A5785" s="64" t="s">
        <v>27</v>
      </c>
      <c r="B5785" s="65">
        <v>43490</v>
      </c>
      <c r="C5785" s="66" t="s">
        <v>220</v>
      </c>
      <c r="D5785" s="3" t="s">
        <v>29</v>
      </c>
      <c r="E5785" s="64">
        <v>1</v>
      </c>
    </row>
    <row r="5786" spans="1:5">
      <c r="A5786" s="64" t="s">
        <v>27</v>
      </c>
      <c r="B5786" s="65">
        <v>43491</v>
      </c>
      <c r="C5786" s="66" t="s">
        <v>221</v>
      </c>
      <c r="D5786" s="3" t="s">
        <v>29</v>
      </c>
      <c r="E5786" s="64">
        <v>1</v>
      </c>
    </row>
    <row r="5787" spans="1:5">
      <c r="A5787" s="64" t="s">
        <v>27</v>
      </c>
      <c r="B5787" s="65">
        <v>43492</v>
      </c>
      <c r="C5787" s="66" t="s">
        <v>222</v>
      </c>
      <c r="D5787" s="3" t="s">
        <v>29</v>
      </c>
      <c r="E5787" s="64">
        <v>1</v>
      </c>
    </row>
    <row r="5788" spans="1:5">
      <c r="A5788" s="64" t="s">
        <v>27</v>
      </c>
      <c r="B5788" s="65">
        <v>43493</v>
      </c>
      <c r="C5788" s="66" t="s">
        <v>216</v>
      </c>
      <c r="D5788" s="3" t="s">
        <v>29</v>
      </c>
      <c r="E5788" s="64">
        <v>1</v>
      </c>
    </row>
    <row r="5789" spans="1:5">
      <c r="A5789" s="64" t="s">
        <v>27</v>
      </c>
      <c r="B5789" s="65">
        <v>43494</v>
      </c>
      <c r="C5789" s="66" t="s">
        <v>217</v>
      </c>
      <c r="D5789" s="3" t="s">
        <v>29</v>
      </c>
      <c r="E5789" s="64">
        <v>1</v>
      </c>
    </row>
    <row r="5790" spans="1:5">
      <c r="A5790" s="64" t="s">
        <v>27</v>
      </c>
      <c r="B5790" s="65">
        <v>43495</v>
      </c>
      <c r="C5790" s="66" t="s">
        <v>218</v>
      </c>
      <c r="D5790" s="3" t="s">
        <v>29</v>
      </c>
      <c r="E5790" s="64">
        <v>1</v>
      </c>
    </row>
    <row r="5791" spans="1:5">
      <c r="A5791" s="64" t="s">
        <v>27</v>
      </c>
      <c r="B5791" s="65">
        <v>43496</v>
      </c>
      <c r="C5791" s="66" t="s">
        <v>219</v>
      </c>
      <c r="D5791" s="3" t="s">
        <v>29</v>
      </c>
      <c r="E5791" s="64">
        <v>1</v>
      </c>
    </row>
    <row r="5792" spans="1:5">
      <c r="A5792" s="64" t="s">
        <v>27</v>
      </c>
      <c r="B5792" s="65">
        <v>43497</v>
      </c>
      <c r="C5792" s="66" t="s">
        <v>220</v>
      </c>
      <c r="D5792" s="3" t="s">
        <v>29</v>
      </c>
      <c r="E5792" s="64">
        <v>1</v>
      </c>
    </row>
    <row r="5793" spans="1:5">
      <c r="A5793" s="64" t="s">
        <v>27</v>
      </c>
      <c r="B5793" s="65">
        <v>43498</v>
      </c>
      <c r="C5793" s="66" t="s">
        <v>221</v>
      </c>
      <c r="D5793" s="3" t="s">
        <v>29</v>
      </c>
      <c r="E5793" s="64">
        <v>1</v>
      </c>
    </row>
    <row r="5794" spans="1:5">
      <c r="A5794" s="64" t="s">
        <v>27</v>
      </c>
      <c r="B5794" s="65">
        <v>43499</v>
      </c>
      <c r="C5794" s="66" t="s">
        <v>222</v>
      </c>
      <c r="D5794" s="3" t="s">
        <v>29</v>
      </c>
      <c r="E5794" s="64">
        <v>1</v>
      </c>
    </row>
    <row r="5795" spans="1:5">
      <c r="A5795" s="64" t="s">
        <v>27</v>
      </c>
      <c r="B5795" s="65">
        <v>43500</v>
      </c>
      <c r="C5795" s="66" t="s">
        <v>216</v>
      </c>
      <c r="D5795" s="3" t="s">
        <v>29</v>
      </c>
      <c r="E5795" s="64">
        <v>1</v>
      </c>
    </row>
    <row r="5796" spans="1:5">
      <c r="A5796" s="64" t="s">
        <v>27</v>
      </c>
      <c r="B5796" s="65">
        <v>43501</v>
      </c>
      <c r="C5796" s="66" t="s">
        <v>217</v>
      </c>
      <c r="D5796" s="3" t="s">
        <v>29</v>
      </c>
      <c r="E5796" s="64">
        <v>1</v>
      </c>
    </row>
    <row r="5797" spans="1:5">
      <c r="A5797" s="64" t="s">
        <v>27</v>
      </c>
      <c r="B5797" s="65">
        <v>43502</v>
      </c>
      <c r="C5797" s="66" t="s">
        <v>218</v>
      </c>
      <c r="D5797" s="3" t="s">
        <v>29</v>
      </c>
      <c r="E5797" s="64">
        <v>1</v>
      </c>
    </row>
    <row r="5798" spans="1:5">
      <c r="A5798" s="64" t="s">
        <v>27</v>
      </c>
      <c r="B5798" s="65">
        <v>43503</v>
      </c>
      <c r="C5798" s="66" t="s">
        <v>219</v>
      </c>
      <c r="D5798" s="3" t="s">
        <v>29</v>
      </c>
      <c r="E5798" s="64">
        <v>1</v>
      </c>
    </row>
    <row r="5799" spans="1:5">
      <c r="A5799" s="64" t="s">
        <v>27</v>
      </c>
      <c r="B5799" s="65">
        <v>43504</v>
      </c>
      <c r="C5799" s="66" t="s">
        <v>220</v>
      </c>
      <c r="D5799" s="3" t="s">
        <v>29</v>
      </c>
      <c r="E5799" s="64">
        <v>1</v>
      </c>
    </row>
    <row r="5800" spans="1:5">
      <c r="A5800" s="64" t="s">
        <v>27</v>
      </c>
      <c r="B5800" s="65">
        <v>43505</v>
      </c>
      <c r="C5800" s="66" t="s">
        <v>221</v>
      </c>
      <c r="D5800" s="3" t="s">
        <v>29</v>
      </c>
      <c r="E5800" s="64">
        <v>1</v>
      </c>
    </row>
    <row r="5801" spans="1:5">
      <c r="A5801" s="64" t="s">
        <v>27</v>
      </c>
      <c r="B5801" s="65">
        <v>43506</v>
      </c>
      <c r="C5801" s="66" t="s">
        <v>222</v>
      </c>
      <c r="D5801" s="3" t="s">
        <v>29</v>
      </c>
      <c r="E5801" s="64">
        <v>1</v>
      </c>
    </row>
    <row r="5802" spans="1:5">
      <c r="A5802" s="64" t="s">
        <v>27</v>
      </c>
      <c r="B5802" s="65">
        <v>43507</v>
      </c>
      <c r="C5802" s="66" t="s">
        <v>216</v>
      </c>
      <c r="D5802" s="3" t="s">
        <v>29</v>
      </c>
      <c r="E5802" s="64">
        <v>1</v>
      </c>
    </row>
    <row r="5803" spans="1:5">
      <c r="A5803" s="64" t="s">
        <v>27</v>
      </c>
      <c r="B5803" s="65">
        <v>43508</v>
      </c>
      <c r="C5803" s="66" t="s">
        <v>217</v>
      </c>
      <c r="D5803" s="3" t="s">
        <v>29</v>
      </c>
      <c r="E5803" s="64">
        <v>1</v>
      </c>
    </row>
    <row r="5804" spans="1:5">
      <c r="A5804" s="64" t="s">
        <v>27</v>
      </c>
      <c r="B5804" s="65">
        <v>43509</v>
      </c>
      <c r="C5804" s="66" t="s">
        <v>218</v>
      </c>
      <c r="D5804" s="3" t="s">
        <v>29</v>
      </c>
      <c r="E5804" s="64">
        <v>1</v>
      </c>
    </row>
    <row r="5805" spans="1:5">
      <c r="A5805" s="64" t="s">
        <v>27</v>
      </c>
      <c r="B5805" s="65">
        <v>43510</v>
      </c>
      <c r="C5805" s="66" t="s">
        <v>219</v>
      </c>
      <c r="D5805" s="3" t="s">
        <v>29</v>
      </c>
      <c r="E5805" s="64">
        <v>1</v>
      </c>
    </row>
    <row r="5806" spans="1:5">
      <c r="A5806" s="64" t="s">
        <v>27</v>
      </c>
      <c r="B5806" s="65">
        <v>43511</v>
      </c>
      <c r="C5806" s="66" t="s">
        <v>220</v>
      </c>
      <c r="D5806" s="3" t="s">
        <v>29</v>
      </c>
      <c r="E5806" s="64">
        <v>1</v>
      </c>
    </row>
    <row r="5807" spans="1:5">
      <c r="A5807" s="64" t="s">
        <v>27</v>
      </c>
      <c r="B5807" s="65">
        <v>43512</v>
      </c>
      <c r="C5807" s="66" t="s">
        <v>221</v>
      </c>
      <c r="D5807" s="3" t="s">
        <v>29</v>
      </c>
      <c r="E5807" s="64">
        <v>1</v>
      </c>
    </row>
    <row r="5808" spans="1:5">
      <c r="A5808" s="64" t="s">
        <v>27</v>
      </c>
      <c r="B5808" s="65">
        <v>43513</v>
      </c>
      <c r="C5808" s="66" t="s">
        <v>222</v>
      </c>
      <c r="D5808" s="3" t="s">
        <v>29</v>
      </c>
      <c r="E5808" s="64">
        <v>1</v>
      </c>
    </row>
    <row r="5809" spans="1:5">
      <c r="A5809" s="64" t="s">
        <v>27</v>
      </c>
      <c r="B5809" s="65">
        <v>43514</v>
      </c>
      <c r="C5809" s="66" t="s">
        <v>216</v>
      </c>
      <c r="D5809" s="3" t="s">
        <v>29</v>
      </c>
      <c r="E5809" s="64">
        <v>1</v>
      </c>
    </row>
    <row r="5810" spans="1:5">
      <c r="A5810" s="64" t="s">
        <v>27</v>
      </c>
      <c r="B5810" s="65">
        <v>43515</v>
      </c>
      <c r="C5810" s="66" t="s">
        <v>217</v>
      </c>
      <c r="D5810" s="3" t="s">
        <v>29</v>
      </c>
      <c r="E5810" s="64">
        <v>1</v>
      </c>
    </row>
    <row r="5811" spans="1:5">
      <c r="A5811" s="64" t="s">
        <v>27</v>
      </c>
      <c r="B5811" s="65">
        <v>43516</v>
      </c>
      <c r="C5811" s="66" t="s">
        <v>218</v>
      </c>
      <c r="D5811" s="3" t="s">
        <v>29</v>
      </c>
      <c r="E5811" s="64">
        <v>1</v>
      </c>
    </row>
    <row r="5812" spans="1:5">
      <c r="A5812" s="64" t="s">
        <v>27</v>
      </c>
      <c r="B5812" s="65">
        <v>43517</v>
      </c>
      <c r="C5812" s="66" t="s">
        <v>219</v>
      </c>
      <c r="D5812" s="3" t="s">
        <v>29</v>
      </c>
      <c r="E5812" s="64">
        <v>1</v>
      </c>
    </row>
    <row r="5813" spans="1:5">
      <c r="A5813" s="64" t="s">
        <v>27</v>
      </c>
      <c r="B5813" s="65">
        <v>43518</v>
      </c>
      <c r="C5813" s="66" t="s">
        <v>220</v>
      </c>
      <c r="D5813" s="3" t="s">
        <v>29</v>
      </c>
      <c r="E5813" s="64">
        <v>1</v>
      </c>
    </row>
    <row r="5814" spans="1:5">
      <c r="A5814" s="64" t="s">
        <v>27</v>
      </c>
      <c r="B5814" s="65">
        <v>43519</v>
      </c>
      <c r="C5814" s="66" t="s">
        <v>221</v>
      </c>
      <c r="D5814" s="3" t="s">
        <v>29</v>
      </c>
      <c r="E5814" s="64">
        <v>1</v>
      </c>
    </row>
    <row r="5815" spans="1:5">
      <c r="A5815" s="64" t="s">
        <v>27</v>
      </c>
      <c r="B5815" s="65">
        <v>43520</v>
      </c>
      <c r="C5815" s="66" t="s">
        <v>222</v>
      </c>
      <c r="D5815" s="3" t="s">
        <v>29</v>
      </c>
      <c r="E5815" s="64">
        <v>1</v>
      </c>
    </row>
    <row r="5816" spans="1:5">
      <c r="A5816" s="64" t="s">
        <v>27</v>
      </c>
      <c r="B5816" s="65">
        <v>43521</v>
      </c>
      <c r="C5816" s="66" t="s">
        <v>216</v>
      </c>
      <c r="D5816" s="3" t="s">
        <v>29</v>
      </c>
      <c r="E5816" s="64">
        <v>1</v>
      </c>
    </row>
    <row r="5817" spans="1:5">
      <c r="A5817" s="64" t="s">
        <v>27</v>
      </c>
      <c r="B5817" s="65">
        <v>43522</v>
      </c>
      <c r="C5817" s="66" t="s">
        <v>217</v>
      </c>
      <c r="D5817" s="3" t="s">
        <v>29</v>
      </c>
      <c r="E5817" s="64">
        <v>1</v>
      </c>
    </row>
    <row r="5818" spans="1:5">
      <c r="A5818" s="64" t="s">
        <v>27</v>
      </c>
      <c r="B5818" s="65">
        <v>43523</v>
      </c>
      <c r="C5818" s="66" t="s">
        <v>218</v>
      </c>
      <c r="D5818" s="3" t="s">
        <v>29</v>
      </c>
      <c r="E5818" s="64">
        <v>1</v>
      </c>
    </row>
    <row r="5819" spans="1:5">
      <c r="A5819" s="64" t="s">
        <v>27</v>
      </c>
      <c r="B5819" s="65">
        <v>43524</v>
      </c>
      <c r="C5819" s="66" t="s">
        <v>219</v>
      </c>
      <c r="D5819" s="3" t="s">
        <v>29</v>
      </c>
      <c r="E5819" s="64">
        <v>1</v>
      </c>
    </row>
    <row r="5820" spans="1:5">
      <c r="A5820" s="64" t="s">
        <v>27</v>
      </c>
      <c r="B5820" s="65">
        <v>43525</v>
      </c>
      <c r="C5820" s="66" t="s">
        <v>220</v>
      </c>
      <c r="D5820" s="3" t="s">
        <v>29</v>
      </c>
      <c r="E5820" s="64">
        <v>1</v>
      </c>
    </row>
    <row r="5821" spans="1:5">
      <c r="A5821" s="64" t="s">
        <v>27</v>
      </c>
      <c r="B5821" s="65">
        <v>43526</v>
      </c>
      <c r="C5821" s="66" t="s">
        <v>221</v>
      </c>
      <c r="D5821" s="3" t="s">
        <v>29</v>
      </c>
      <c r="E5821" s="64">
        <v>1</v>
      </c>
    </row>
    <row r="5822" spans="1:5">
      <c r="A5822" s="64" t="s">
        <v>27</v>
      </c>
      <c r="B5822" s="65">
        <v>43527</v>
      </c>
      <c r="C5822" s="66" t="s">
        <v>222</v>
      </c>
      <c r="D5822" s="3" t="s">
        <v>29</v>
      </c>
      <c r="E5822" s="64">
        <v>1</v>
      </c>
    </row>
    <row r="5823" spans="1:5">
      <c r="A5823" s="64" t="s">
        <v>27</v>
      </c>
      <c r="B5823" s="65">
        <v>43528</v>
      </c>
      <c r="C5823" s="66" t="s">
        <v>216</v>
      </c>
      <c r="D5823" s="3" t="s">
        <v>29</v>
      </c>
      <c r="E5823" s="64">
        <v>1</v>
      </c>
    </row>
    <row r="5824" spans="1:5">
      <c r="A5824" s="64" t="s">
        <v>27</v>
      </c>
      <c r="B5824" s="65">
        <v>43529</v>
      </c>
      <c r="C5824" s="66" t="s">
        <v>217</v>
      </c>
      <c r="D5824" s="3" t="s">
        <v>29</v>
      </c>
      <c r="E5824" s="64">
        <v>1</v>
      </c>
    </row>
    <row r="5825" spans="1:5">
      <c r="A5825" s="64" t="s">
        <v>27</v>
      </c>
      <c r="B5825" s="65">
        <v>43530</v>
      </c>
      <c r="C5825" s="66" t="s">
        <v>218</v>
      </c>
      <c r="D5825" s="3" t="s">
        <v>29</v>
      </c>
      <c r="E5825" s="64">
        <v>1</v>
      </c>
    </row>
    <row r="5826" spans="1:5">
      <c r="A5826" s="64" t="s">
        <v>27</v>
      </c>
      <c r="B5826" s="65">
        <v>43531</v>
      </c>
      <c r="C5826" s="66" t="s">
        <v>219</v>
      </c>
      <c r="D5826" s="3" t="s">
        <v>29</v>
      </c>
      <c r="E5826" s="64">
        <v>1</v>
      </c>
    </row>
    <row r="5827" spans="1:5">
      <c r="A5827" s="64" t="s">
        <v>27</v>
      </c>
      <c r="B5827" s="65">
        <v>43532</v>
      </c>
      <c r="C5827" s="66" t="s">
        <v>220</v>
      </c>
      <c r="D5827" s="3" t="s">
        <v>29</v>
      </c>
      <c r="E5827" s="64">
        <v>1</v>
      </c>
    </row>
    <row r="5828" spans="1:5">
      <c r="A5828" s="64" t="s">
        <v>27</v>
      </c>
      <c r="B5828" s="65">
        <v>43533</v>
      </c>
      <c r="C5828" s="66" t="s">
        <v>221</v>
      </c>
      <c r="D5828" s="3" t="s">
        <v>29</v>
      </c>
      <c r="E5828" s="64">
        <v>1</v>
      </c>
    </row>
    <row r="5829" spans="1:5">
      <c r="A5829" s="64" t="s">
        <v>27</v>
      </c>
      <c r="B5829" s="65">
        <v>43534</v>
      </c>
      <c r="C5829" s="66" t="s">
        <v>222</v>
      </c>
      <c r="D5829" s="3" t="s">
        <v>29</v>
      </c>
      <c r="E5829" s="64">
        <v>1</v>
      </c>
    </row>
    <row r="5830" spans="1:5">
      <c r="A5830" s="64" t="s">
        <v>27</v>
      </c>
      <c r="B5830" s="65">
        <v>43535</v>
      </c>
      <c r="C5830" s="66" t="s">
        <v>216</v>
      </c>
      <c r="D5830" s="3" t="s">
        <v>29</v>
      </c>
      <c r="E5830" s="64">
        <v>1</v>
      </c>
    </row>
    <row r="5831" spans="1:5">
      <c r="A5831" s="64" t="s">
        <v>27</v>
      </c>
      <c r="B5831" s="65">
        <v>43536</v>
      </c>
      <c r="C5831" s="66" t="s">
        <v>217</v>
      </c>
      <c r="D5831" s="3" t="s">
        <v>29</v>
      </c>
      <c r="E5831" s="64">
        <v>1</v>
      </c>
    </row>
    <row r="5832" spans="1:5">
      <c r="A5832" s="64" t="s">
        <v>27</v>
      </c>
      <c r="B5832" s="65">
        <v>43537</v>
      </c>
      <c r="C5832" s="66" t="s">
        <v>218</v>
      </c>
      <c r="D5832" s="3" t="s">
        <v>29</v>
      </c>
      <c r="E5832" s="64">
        <v>1</v>
      </c>
    </row>
    <row r="5833" spans="1:5">
      <c r="A5833" s="64" t="s">
        <v>27</v>
      </c>
      <c r="B5833" s="65">
        <v>43538</v>
      </c>
      <c r="C5833" s="66" t="s">
        <v>219</v>
      </c>
      <c r="D5833" s="3" t="s">
        <v>29</v>
      </c>
      <c r="E5833" s="64">
        <v>1</v>
      </c>
    </row>
    <row r="5834" spans="1:5">
      <c r="A5834" s="64" t="s">
        <v>27</v>
      </c>
      <c r="B5834" s="65">
        <v>43539</v>
      </c>
      <c r="C5834" s="66" t="s">
        <v>220</v>
      </c>
      <c r="D5834" s="3" t="s">
        <v>29</v>
      </c>
      <c r="E5834" s="64">
        <v>1</v>
      </c>
    </row>
    <row r="5835" spans="1:5">
      <c r="A5835" s="64" t="s">
        <v>27</v>
      </c>
      <c r="B5835" s="65">
        <v>43540</v>
      </c>
      <c r="C5835" s="66" t="s">
        <v>221</v>
      </c>
      <c r="D5835" s="3" t="s">
        <v>29</v>
      </c>
      <c r="E5835" s="64">
        <v>1</v>
      </c>
    </row>
    <row r="5836" spans="1:5">
      <c r="A5836" s="64" t="s">
        <v>27</v>
      </c>
      <c r="B5836" s="65">
        <v>43541</v>
      </c>
      <c r="C5836" s="66" t="s">
        <v>222</v>
      </c>
      <c r="D5836" s="3" t="s">
        <v>29</v>
      </c>
      <c r="E5836" s="64">
        <v>1</v>
      </c>
    </row>
    <row r="5837" spans="1:5">
      <c r="A5837" s="64" t="s">
        <v>27</v>
      </c>
      <c r="B5837" s="65">
        <v>43542</v>
      </c>
      <c r="C5837" s="66" t="s">
        <v>216</v>
      </c>
      <c r="D5837" s="3" t="s">
        <v>29</v>
      </c>
      <c r="E5837" s="64">
        <v>1</v>
      </c>
    </row>
    <row r="5838" spans="1:5">
      <c r="A5838" s="64" t="s">
        <v>27</v>
      </c>
      <c r="B5838" s="65">
        <v>43543</v>
      </c>
      <c r="C5838" s="66" t="s">
        <v>217</v>
      </c>
      <c r="D5838" s="3" t="s">
        <v>29</v>
      </c>
      <c r="E5838" s="64">
        <v>1</v>
      </c>
    </row>
    <row r="5839" spans="1:5">
      <c r="A5839" s="64" t="s">
        <v>27</v>
      </c>
      <c r="B5839" s="65">
        <v>43544</v>
      </c>
      <c r="C5839" s="66" t="s">
        <v>218</v>
      </c>
      <c r="D5839" s="3" t="s">
        <v>29</v>
      </c>
      <c r="E5839" s="64">
        <v>1</v>
      </c>
    </row>
    <row r="5840" spans="1:5">
      <c r="A5840" s="64" t="s">
        <v>27</v>
      </c>
      <c r="B5840" s="65">
        <v>43545</v>
      </c>
      <c r="C5840" s="66" t="s">
        <v>219</v>
      </c>
      <c r="D5840" s="3" t="s">
        <v>29</v>
      </c>
      <c r="E5840" s="64">
        <v>1</v>
      </c>
    </row>
    <row r="5841" spans="1:5">
      <c r="A5841" s="64" t="s">
        <v>27</v>
      </c>
      <c r="B5841" s="65">
        <v>43546</v>
      </c>
      <c r="C5841" s="66" t="s">
        <v>220</v>
      </c>
      <c r="D5841" s="3" t="s">
        <v>29</v>
      </c>
      <c r="E5841" s="64">
        <v>1</v>
      </c>
    </row>
    <row r="5842" spans="1:5">
      <c r="A5842" s="64" t="s">
        <v>27</v>
      </c>
      <c r="B5842" s="65">
        <v>43547</v>
      </c>
      <c r="C5842" s="66" t="s">
        <v>221</v>
      </c>
      <c r="D5842" s="3" t="s">
        <v>29</v>
      </c>
      <c r="E5842" s="64">
        <v>1</v>
      </c>
    </row>
    <row r="5843" spans="1:5">
      <c r="A5843" s="64" t="s">
        <v>27</v>
      </c>
      <c r="B5843" s="65">
        <v>43548</v>
      </c>
      <c r="C5843" s="66" t="s">
        <v>222</v>
      </c>
      <c r="D5843" s="3" t="s">
        <v>29</v>
      </c>
      <c r="E5843" s="64">
        <v>1</v>
      </c>
    </row>
    <row r="5844" spans="1:5">
      <c r="A5844" s="64" t="s">
        <v>27</v>
      </c>
      <c r="B5844" s="65">
        <v>43549</v>
      </c>
      <c r="C5844" s="66" t="s">
        <v>216</v>
      </c>
      <c r="D5844" s="3" t="s">
        <v>29</v>
      </c>
      <c r="E5844" s="64">
        <v>1</v>
      </c>
    </row>
    <row r="5845" spans="1:5">
      <c r="A5845" s="64" t="s">
        <v>27</v>
      </c>
      <c r="B5845" s="65">
        <v>43550</v>
      </c>
      <c r="C5845" s="66" t="s">
        <v>217</v>
      </c>
      <c r="D5845" s="3" t="s">
        <v>29</v>
      </c>
      <c r="E5845" s="64">
        <v>1</v>
      </c>
    </row>
    <row r="5846" spans="1:5">
      <c r="A5846" s="64" t="s">
        <v>27</v>
      </c>
      <c r="B5846" s="65">
        <v>43551</v>
      </c>
      <c r="C5846" s="66" t="s">
        <v>218</v>
      </c>
      <c r="D5846" s="3" t="s">
        <v>29</v>
      </c>
      <c r="E5846" s="64">
        <v>1</v>
      </c>
    </row>
    <row r="5847" spans="1:5">
      <c r="A5847" s="64" t="s">
        <v>27</v>
      </c>
      <c r="B5847" s="65">
        <v>43552</v>
      </c>
      <c r="C5847" s="66" t="s">
        <v>219</v>
      </c>
      <c r="D5847" s="3" t="s">
        <v>29</v>
      </c>
      <c r="E5847" s="64">
        <v>1</v>
      </c>
    </row>
    <row r="5848" spans="1:5">
      <c r="A5848" s="64" t="s">
        <v>27</v>
      </c>
      <c r="B5848" s="65">
        <v>43553</v>
      </c>
      <c r="C5848" s="66" t="s">
        <v>220</v>
      </c>
      <c r="D5848" s="3" t="s">
        <v>29</v>
      </c>
      <c r="E5848" s="64">
        <v>1</v>
      </c>
    </row>
    <row r="5849" spans="1:5">
      <c r="A5849" s="64" t="s">
        <v>27</v>
      </c>
      <c r="B5849" s="65">
        <v>43554</v>
      </c>
      <c r="C5849" s="66" t="s">
        <v>221</v>
      </c>
      <c r="D5849" s="3" t="s">
        <v>29</v>
      </c>
      <c r="E5849" s="64">
        <v>1</v>
      </c>
    </row>
    <row r="5850" spans="1:5">
      <c r="A5850" s="64" t="s">
        <v>27</v>
      </c>
      <c r="B5850" s="65">
        <v>43555</v>
      </c>
      <c r="C5850" s="66" t="s">
        <v>222</v>
      </c>
      <c r="D5850" s="3" t="s">
        <v>29</v>
      </c>
      <c r="E5850" s="64">
        <v>1</v>
      </c>
    </row>
    <row r="5851" spans="1:5">
      <c r="A5851" s="64" t="s">
        <v>27</v>
      </c>
      <c r="B5851" s="65">
        <v>43556</v>
      </c>
      <c r="C5851" s="66" t="s">
        <v>216</v>
      </c>
      <c r="D5851" s="3" t="s">
        <v>29</v>
      </c>
      <c r="E5851" s="64">
        <v>1</v>
      </c>
    </row>
    <row r="5852" spans="1:5">
      <c r="A5852" s="64" t="s">
        <v>27</v>
      </c>
      <c r="B5852" s="65">
        <v>43557</v>
      </c>
      <c r="C5852" s="66" t="s">
        <v>217</v>
      </c>
      <c r="D5852" s="3" t="s">
        <v>29</v>
      </c>
      <c r="E5852" s="64">
        <v>1</v>
      </c>
    </row>
    <row r="5853" spans="1:5">
      <c r="A5853" s="64" t="s">
        <v>27</v>
      </c>
      <c r="B5853" s="65">
        <v>43558</v>
      </c>
      <c r="C5853" s="66" t="s">
        <v>218</v>
      </c>
      <c r="D5853" s="3" t="s">
        <v>29</v>
      </c>
      <c r="E5853" s="64">
        <v>1</v>
      </c>
    </row>
    <row r="5854" spans="1:5">
      <c r="A5854" s="64" t="s">
        <v>27</v>
      </c>
      <c r="B5854" s="65">
        <v>43559</v>
      </c>
      <c r="C5854" s="66" t="s">
        <v>219</v>
      </c>
      <c r="D5854" s="3" t="s">
        <v>29</v>
      </c>
      <c r="E5854" s="64">
        <v>1</v>
      </c>
    </row>
    <row r="5855" spans="1:5">
      <c r="A5855" s="64" t="s">
        <v>27</v>
      </c>
      <c r="B5855" s="65">
        <v>43560</v>
      </c>
      <c r="C5855" s="66" t="s">
        <v>220</v>
      </c>
      <c r="D5855" s="3" t="s">
        <v>29</v>
      </c>
      <c r="E5855" s="64">
        <v>1</v>
      </c>
    </row>
    <row r="5856" spans="1:5">
      <c r="A5856" s="64" t="s">
        <v>27</v>
      </c>
      <c r="B5856" s="65">
        <v>43561</v>
      </c>
      <c r="C5856" s="66" t="s">
        <v>221</v>
      </c>
      <c r="D5856" s="3" t="s">
        <v>29</v>
      </c>
      <c r="E5856" s="64">
        <v>1</v>
      </c>
    </row>
    <row r="5857" spans="1:5">
      <c r="A5857" s="64" t="s">
        <v>27</v>
      </c>
      <c r="B5857" s="65">
        <v>43562</v>
      </c>
      <c r="C5857" s="66" t="s">
        <v>222</v>
      </c>
      <c r="D5857" s="3" t="s">
        <v>29</v>
      </c>
      <c r="E5857" s="64">
        <v>1</v>
      </c>
    </row>
    <row r="5858" spans="1:5">
      <c r="A5858" s="64" t="s">
        <v>27</v>
      </c>
      <c r="B5858" s="65">
        <v>43563</v>
      </c>
      <c r="C5858" s="66" t="s">
        <v>216</v>
      </c>
      <c r="D5858" s="3" t="s">
        <v>29</v>
      </c>
      <c r="E5858" s="64">
        <v>1</v>
      </c>
    </row>
    <row r="5859" spans="1:5">
      <c r="A5859" s="64" t="s">
        <v>27</v>
      </c>
      <c r="B5859" s="65">
        <v>43564</v>
      </c>
      <c r="C5859" s="66" t="s">
        <v>217</v>
      </c>
      <c r="D5859" s="3" t="s">
        <v>29</v>
      </c>
      <c r="E5859" s="64">
        <v>1</v>
      </c>
    </row>
    <row r="5860" spans="1:5">
      <c r="A5860" s="64" t="s">
        <v>27</v>
      </c>
      <c r="B5860" s="65">
        <v>43565</v>
      </c>
      <c r="C5860" s="66" t="s">
        <v>218</v>
      </c>
      <c r="D5860" s="3" t="s">
        <v>29</v>
      </c>
      <c r="E5860" s="64">
        <v>1</v>
      </c>
    </row>
    <row r="5861" spans="1:5">
      <c r="A5861" s="64" t="s">
        <v>27</v>
      </c>
      <c r="B5861" s="65">
        <v>43566</v>
      </c>
      <c r="C5861" s="66" t="s">
        <v>219</v>
      </c>
      <c r="D5861" s="3" t="s">
        <v>29</v>
      </c>
      <c r="E5861" s="64">
        <v>1</v>
      </c>
    </row>
    <row r="5862" spans="1:5">
      <c r="A5862" s="64" t="s">
        <v>27</v>
      </c>
      <c r="B5862" s="65">
        <v>43567</v>
      </c>
      <c r="C5862" s="66" t="s">
        <v>220</v>
      </c>
      <c r="D5862" s="3" t="s">
        <v>29</v>
      </c>
      <c r="E5862" s="64">
        <v>1</v>
      </c>
    </row>
    <row r="5863" spans="1:5">
      <c r="A5863" s="64" t="s">
        <v>27</v>
      </c>
      <c r="B5863" s="65">
        <v>43568</v>
      </c>
      <c r="C5863" s="66" t="s">
        <v>221</v>
      </c>
      <c r="D5863" s="3" t="s">
        <v>29</v>
      </c>
      <c r="E5863" s="64">
        <v>1</v>
      </c>
    </row>
    <row r="5864" spans="1:5">
      <c r="A5864" s="64" t="s">
        <v>27</v>
      </c>
      <c r="B5864" s="65">
        <v>43569</v>
      </c>
      <c r="C5864" s="66" t="s">
        <v>222</v>
      </c>
      <c r="D5864" s="3" t="s">
        <v>29</v>
      </c>
      <c r="E5864" s="64">
        <v>1</v>
      </c>
    </row>
    <row r="5865" spans="1:5">
      <c r="A5865" s="64" t="s">
        <v>27</v>
      </c>
      <c r="B5865" s="65">
        <v>43570</v>
      </c>
      <c r="C5865" s="66" t="s">
        <v>216</v>
      </c>
      <c r="D5865" s="3" t="s">
        <v>29</v>
      </c>
      <c r="E5865" s="64">
        <v>1</v>
      </c>
    </row>
    <row r="5866" spans="1:5">
      <c r="A5866" s="64" t="s">
        <v>27</v>
      </c>
      <c r="B5866" s="65">
        <v>43571</v>
      </c>
      <c r="C5866" s="66" t="s">
        <v>217</v>
      </c>
      <c r="D5866" s="3" t="s">
        <v>29</v>
      </c>
      <c r="E5866" s="64">
        <v>1</v>
      </c>
    </row>
    <row r="5867" spans="1:5">
      <c r="A5867" s="64" t="s">
        <v>27</v>
      </c>
      <c r="B5867" s="65">
        <v>43572</v>
      </c>
      <c r="C5867" s="66" t="s">
        <v>218</v>
      </c>
      <c r="D5867" s="3" t="s">
        <v>29</v>
      </c>
      <c r="E5867" s="64">
        <v>1</v>
      </c>
    </row>
    <row r="5868" spans="1:5">
      <c r="A5868" s="64" t="s">
        <v>27</v>
      </c>
      <c r="B5868" s="65">
        <v>43573</v>
      </c>
      <c r="C5868" s="66" t="s">
        <v>219</v>
      </c>
      <c r="D5868" s="3" t="s">
        <v>29</v>
      </c>
      <c r="E5868" s="64">
        <v>1</v>
      </c>
    </row>
    <row r="5869" spans="1:5">
      <c r="A5869" s="64" t="s">
        <v>27</v>
      </c>
      <c r="B5869" s="65">
        <v>43574</v>
      </c>
      <c r="C5869" s="66" t="s">
        <v>220</v>
      </c>
      <c r="D5869" s="3" t="s">
        <v>29</v>
      </c>
      <c r="E5869" s="64">
        <v>1</v>
      </c>
    </row>
    <row r="5870" spans="1:5">
      <c r="A5870" s="64" t="s">
        <v>27</v>
      </c>
      <c r="B5870" s="65">
        <v>43575</v>
      </c>
      <c r="C5870" s="66" t="s">
        <v>221</v>
      </c>
      <c r="D5870" s="3" t="s">
        <v>29</v>
      </c>
      <c r="E5870" s="64">
        <v>1</v>
      </c>
    </row>
    <row r="5871" spans="1:5">
      <c r="A5871" s="64" t="s">
        <v>27</v>
      </c>
      <c r="B5871" s="65">
        <v>43576</v>
      </c>
      <c r="C5871" s="66" t="s">
        <v>222</v>
      </c>
      <c r="D5871" s="3" t="s">
        <v>29</v>
      </c>
      <c r="E5871" s="64">
        <v>1</v>
      </c>
    </row>
    <row r="5872" spans="1:5">
      <c r="A5872" s="64" t="s">
        <v>27</v>
      </c>
      <c r="B5872" s="65">
        <v>43577</v>
      </c>
      <c r="C5872" s="66" t="s">
        <v>216</v>
      </c>
      <c r="D5872" s="3" t="s">
        <v>29</v>
      </c>
      <c r="E5872" s="64">
        <v>1</v>
      </c>
    </row>
    <row r="5873" spans="1:5">
      <c r="A5873" s="64" t="s">
        <v>27</v>
      </c>
      <c r="B5873" s="65">
        <v>43578</v>
      </c>
      <c r="C5873" s="66" t="s">
        <v>217</v>
      </c>
      <c r="D5873" s="3" t="s">
        <v>29</v>
      </c>
      <c r="E5873" s="64">
        <v>1</v>
      </c>
    </row>
    <row r="5874" spans="1:5">
      <c r="A5874" s="64" t="s">
        <v>27</v>
      </c>
      <c r="B5874" s="65">
        <v>43579</v>
      </c>
      <c r="C5874" s="66" t="s">
        <v>218</v>
      </c>
      <c r="D5874" s="3" t="s">
        <v>29</v>
      </c>
      <c r="E5874" s="64">
        <v>1</v>
      </c>
    </row>
    <row r="5875" spans="1:5">
      <c r="A5875" s="64" t="s">
        <v>27</v>
      </c>
      <c r="B5875" s="65">
        <v>43580</v>
      </c>
      <c r="C5875" s="66" t="s">
        <v>219</v>
      </c>
      <c r="D5875" s="3" t="s">
        <v>29</v>
      </c>
      <c r="E5875" s="64">
        <v>1</v>
      </c>
    </row>
    <row r="5876" spans="1:5">
      <c r="A5876" s="64" t="s">
        <v>27</v>
      </c>
      <c r="B5876" s="65">
        <v>43581</v>
      </c>
      <c r="C5876" s="66" t="s">
        <v>220</v>
      </c>
      <c r="D5876" s="3" t="s">
        <v>29</v>
      </c>
      <c r="E5876" s="64">
        <v>1</v>
      </c>
    </row>
    <row r="5877" spans="1:5">
      <c r="A5877" s="64" t="s">
        <v>27</v>
      </c>
      <c r="B5877" s="65">
        <v>43582</v>
      </c>
      <c r="C5877" s="66" t="s">
        <v>221</v>
      </c>
      <c r="D5877" s="3" t="s">
        <v>29</v>
      </c>
      <c r="E5877" s="64">
        <v>1</v>
      </c>
    </row>
    <row r="5878" spans="1:5">
      <c r="A5878" s="64" t="s">
        <v>27</v>
      </c>
      <c r="B5878" s="65">
        <v>43583</v>
      </c>
      <c r="C5878" s="66" t="s">
        <v>222</v>
      </c>
      <c r="D5878" s="3" t="s">
        <v>29</v>
      </c>
      <c r="E5878" s="64">
        <v>1</v>
      </c>
    </row>
    <row r="5879" spans="1:5">
      <c r="A5879" s="64" t="s">
        <v>27</v>
      </c>
      <c r="B5879" s="65">
        <v>43584</v>
      </c>
      <c r="C5879" s="66" t="s">
        <v>216</v>
      </c>
      <c r="D5879" s="3" t="s">
        <v>29</v>
      </c>
      <c r="E5879" s="64">
        <v>1</v>
      </c>
    </row>
    <row r="5880" spans="1:5">
      <c r="A5880" s="64" t="s">
        <v>27</v>
      </c>
      <c r="B5880" s="65">
        <v>43585</v>
      </c>
      <c r="C5880" s="66" t="s">
        <v>217</v>
      </c>
      <c r="D5880" s="3" t="s">
        <v>29</v>
      </c>
      <c r="E5880" s="64">
        <v>1</v>
      </c>
    </row>
    <row r="5881" spans="1:5">
      <c r="A5881" s="64" t="s">
        <v>27</v>
      </c>
      <c r="B5881" s="65">
        <v>43586</v>
      </c>
      <c r="C5881" s="66" t="s">
        <v>218</v>
      </c>
      <c r="D5881" s="3" t="s">
        <v>29</v>
      </c>
      <c r="E5881" s="64">
        <v>1</v>
      </c>
    </row>
    <row r="5882" spans="1:5">
      <c r="A5882" s="64" t="s">
        <v>27</v>
      </c>
      <c r="B5882" s="65">
        <v>43587</v>
      </c>
      <c r="C5882" s="66" t="s">
        <v>219</v>
      </c>
      <c r="D5882" s="3" t="s">
        <v>29</v>
      </c>
      <c r="E5882" s="64">
        <v>1</v>
      </c>
    </row>
    <row r="5883" spans="1:5">
      <c r="A5883" s="64" t="s">
        <v>27</v>
      </c>
      <c r="B5883" s="65">
        <v>43588</v>
      </c>
      <c r="C5883" s="66" t="s">
        <v>220</v>
      </c>
      <c r="D5883" s="3" t="s">
        <v>29</v>
      </c>
      <c r="E5883" s="64">
        <v>1</v>
      </c>
    </row>
    <row r="5884" spans="1:5">
      <c r="A5884" s="64" t="s">
        <v>27</v>
      </c>
      <c r="B5884" s="65">
        <v>43589</v>
      </c>
      <c r="C5884" s="66" t="s">
        <v>221</v>
      </c>
      <c r="D5884" s="3" t="s">
        <v>29</v>
      </c>
      <c r="E5884" s="64">
        <v>1</v>
      </c>
    </row>
    <row r="5885" spans="1:5">
      <c r="A5885" s="64" t="s">
        <v>27</v>
      </c>
      <c r="B5885" s="65">
        <v>43590</v>
      </c>
      <c r="C5885" s="66" t="s">
        <v>222</v>
      </c>
      <c r="D5885" s="3" t="s">
        <v>29</v>
      </c>
      <c r="E5885" s="64">
        <v>1</v>
      </c>
    </row>
    <row r="5886" spans="1:5">
      <c r="A5886" s="64" t="s">
        <v>27</v>
      </c>
      <c r="B5886" s="65">
        <v>43591</v>
      </c>
      <c r="C5886" s="66" t="s">
        <v>216</v>
      </c>
      <c r="D5886" s="3" t="s">
        <v>29</v>
      </c>
      <c r="E5886" s="64">
        <v>1</v>
      </c>
    </row>
    <row r="5887" spans="1:5">
      <c r="A5887" s="64" t="s">
        <v>27</v>
      </c>
      <c r="B5887" s="65">
        <v>43592</v>
      </c>
      <c r="C5887" s="66" t="s">
        <v>217</v>
      </c>
      <c r="D5887" s="3" t="s">
        <v>29</v>
      </c>
      <c r="E5887" s="64">
        <v>1</v>
      </c>
    </row>
    <row r="5888" spans="1:5">
      <c r="A5888" s="64" t="s">
        <v>27</v>
      </c>
      <c r="B5888" s="65">
        <v>43593</v>
      </c>
      <c r="C5888" s="66" t="s">
        <v>218</v>
      </c>
      <c r="D5888" s="3" t="s">
        <v>29</v>
      </c>
      <c r="E5888" s="64">
        <v>1</v>
      </c>
    </row>
    <row r="5889" spans="1:5">
      <c r="A5889" s="64" t="s">
        <v>27</v>
      </c>
      <c r="B5889" s="65">
        <v>43594</v>
      </c>
      <c r="C5889" s="66" t="s">
        <v>219</v>
      </c>
      <c r="D5889" s="3" t="s">
        <v>29</v>
      </c>
      <c r="E5889" s="64">
        <v>1</v>
      </c>
    </row>
    <row r="5890" spans="1:5">
      <c r="A5890" s="64" t="s">
        <v>27</v>
      </c>
      <c r="B5890" s="65">
        <v>43595</v>
      </c>
      <c r="C5890" s="66" t="s">
        <v>220</v>
      </c>
      <c r="D5890" s="3" t="s">
        <v>29</v>
      </c>
      <c r="E5890" s="64">
        <v>1</v>
      </c>
    </row>
    <row r="5891" spans="1:5">
      <c r="A5891" s="64" t="s">
        <v>27</v>
      </c>
      <c r="B5891" s="65">
        <v>43596</v>
      </c>
      <c r="C5891" s="66" t="s">
        <v>221</v>
      </c>
      <c r="D5891" s="3" t="s">
        <v>29</v>
      </c>
      <c r="E5891" s="64">
        <v>1</v>
      </c>
    </row>
    <row r="5892" spans="1:5">
      <c r="A5892" s="64" t="s">
        <v>27</v>
      </c>
      <c r="B5892" s="65">
        <v>43597</v>
      </c>
      <c r="C5892" s="66" t="s">
        <v>222</v>
      </c>
      <c r="D5892" s="3" t="s">
        <v>29</v>
      </c>
      <c r="E5892" s="64">
        <v>1</v>
      </c>
    </row>
    <row r="5893" spans="1:5">
      <c r="A5893" s="64" t="s">
        <v>27</v>
      </c>
      <c r="B5893" s="65">
        <v>43598</v>
      </c>
      <c r="C5893" s="66" t="s">
        <v>216</v>
      </c>
      <c r="D5893" s="3" t="s">
        <v>29</v>
      </c>
      <c r="E5893" s="64">
        <v>1</v>
      </c>
    </row>
    <row r="5894" spans="1:5">
      <c r="A5894" s="64" t="s">
        <v>27</v>
      </c>
      <c r="B5894" s="65">
        <v>43599</v>
      </c>
      <c r="C5894" s="66" t="s">
        <v>217</v>
      </c>
      <c r="D5894" s="3" t="s">
        <v>29</v>
      </c>
      <c r="E5894" s="64">
        <v>1</v>
      </c>
    </row>
    <row r="5895" spans="1:5">
      <c r="A5895" s="64" t="s">
        <v>27</v>
      </c>
      <c r="B5895" s="65">
        <v>43600</v>
      </c>
      <c r="C5895" s="66" t="s">
        <v>218</v>
      </c>
      <c r="D5895" s="3" t="s">
        <v>29</v>
      </c>
      <c r="E5895" s="64">
        <v>1</v>
      </c>
    </row>
    <row r="5896" spans="1:5">
      <c r="A5896" s="64" t="s">
        <v>27</v>
      </c>
      <c r="B5896" s="65">
        <v>43601</v>
      </c>
      <c r="C5896" s="66" t="s">
        <v>219</v>
      </c>
      <c r="D5896" s="3" t="s">
        <v>29</v>
      </c>
      <c r="E5896" s="64">
        <v>1</v>
      </c>
    </row>
    <row r="5897" spans="1:5">
      <c r="A5897" s="64" t="s">
        <v>27</v>
      </c>
      <c r="B5897" s="65">
        <v>43602</v>
      </c>
      <c r="C5897" s="66" t="s">
        <v>220</v>
      </c>
      <c r="D5897" s="3" t="s">
        <v>29</v>
      </c>
      <c r="E5897" s="64">
        <v>1</v>
      </c>
    </row>
    <row r="5898" spans="1:5">
      <c r="A5898" s="64" t="s">
        <v>27</v>
      </c>
      <c r="B5898" s="65">
        <v>43603</v>
      </c>
      <c r="C5898" s="66" t="s">
        <v>221</v>
      </c>
      <c r="D5898" s="3" t="s">
        <v>29</v>
      </c>
      <c r="E5898" s="64">
        <v>1</v>
      </c>
    </row>
    <row r="5899" spans="1:5">
      <c r="A5899" s="64" t="s">
        <v>27</v>
      </c>
      <c r="B5899" s="65">
        <v>43604</v>
      </c>
      <c r="C5899" s="66" t="s">
        <v>222</v>
      </c>
      <c r="D5899" s="3" t="s">
        <v>29</v>
      </c>
      <c r="E5899" s="64">
        <v>1</v>
      </c>
    </row>
    <row r="5900" spans="1:5">
      <c r="A5900" s="64" t="s">
        <v>27</v>
      </c>
      <c r="B5900" s="65">
        <v>43605</v>
      </c>
      <c r="C5900" s="66" t="s">
        <v>216</v>
      </c>
      <c r="D5900" s="3" t="s">
        <v>29</v>
      </c>
      <c r="E5900" s="64">
        <v>1</v>
      </c>
    </row>
    <row r="5901" spans="1:5">
      <c r="A5901" s="64" t="s">
        <v>27</v>
      </c>
      <c r="B5901" s="65">
        <v>43606</v>
      </c>
      <c r="C5901" s="66" t="s">
        <v>217</v>
      </c>
      <c r="D5901" s="3" t="s">
        <v>29</v>
      </c>
      <c r="E5901" s="64">
        <v>1</v>
      </c>
    </row>
    <row r="5902" spans="1:5">
      <c r="A5902" s="64" t="s">
        <v>27</v>
      </c>
      <c r="B5902" s="65">
        <v>43607</v>
      </c>
      <c r="C5902" s="66" t="s">
        <v>218</v>
      </c>
      <c r="D5902" s="3" t="s">
        <v>29</v>
      </c>
      <c r="E5902" s="64">
        <v>1</v>
      </c>
    </row>
    <row r="5903" spans="1:5">
      <c r="A5903" s="64" t="s">
        <v>27</v>
      </c>
      <c r="B5903" s="65">
        <v>43608</v>
      </c>
      <c r="C5903" s="66" t="s">
        <v>219</v>
      </c>
      <c r="D5903" s="3" t="s">
        <v>29</v>
      </c>
      <c r="E5903" s="64">
        <v>1</v>
      </c>
    </row>
    <row r="5904" spans="1:5">
      <c r="A5904" s="64" t="s">
        <v>27</v>
      </c>
      <c r="B5904" s="65">
        <v>43609</v>
      </c>
      <c r="C5904" s="66" t="s">
        <v>220</v>
      </c>
      <c r="D5904" s="3" t="s">
        <v>29</v>
      </c>
      <c r="E5904" s="64">
        <v>1</v>
      </c>
    </row>
    <row r="5905" spans="1:5">
      <c r="A5905" s="64" t="s">
        <v>27</v>
      </c>
      <c r="B5905" s="65">
        <v>43610</v>
      </c>
      <c r="C5905" s="66" t="s">
        <v>221</v>
      </c>
      <c r="D5905" s="3" t="s">
        <v>29</v>
      </c>
      <c r="E5905" s="64">
        <v>1</v>
      </c>
    </row>
    <row r="5906" spans="1:5">
      <c r="A5906" s="64" t="s">
        <v>27</v>
      </c>
      <c r="B5906" s="65">
        <v>43611</v>
      </c>
      <c r="C5906" s="66" t="s">
        <v>222</v>
      </c>
      <c r="D5906" s="3" t="s">
        <v>29</v>
      </c>
      <c r="E5906" s="64">
        <v>1</v>
      </c>
    </row>
    <row r="5907" spans="1:5">
      <c r="A5907" s="64" t="s">
        <v>27</v>
      </c>
      <c r="B5907" s="65">
        <v>43612</v>
      </c>
      <c r="C5907" s="66" t="s">
        <v>216</v>
      </c>
      <c r="D5907" s="3" t="s">
        <v>29</v>
      </c>
      <c r="E5907" s="64">
        <v>1</v>
      </c>
    </row>
    <row r="5908" spans="1:5">
      <c r="A5908" s="64" t="s">
        <v>27</v>
      </c>
      <c r="B5908" s="65">
        <v>43613</v>
      </c>
      <c r="C5908" s="66" t="s">
        <v>217</v>
      </c>
      <c r="D5908" s="3" t="s">
        <v>29</v>
      </c>
      <c r="E5908" s="64">
        <v>1</v>
      </c>
    </row>
    <row r="5909" spans="1:5">
      <c r="A5909" s="64" t="s">
        <v>27</v>
      </c>
      <c r="B5909" s="65">
        <v>43614</v>
      </c>
      <c r="C5909" s="66" t="s">
        <v>218</v>
      </c>
      <c r="D5909" s="3" t="s">
        <v>29</v>
      </c>
      <c r="E5909" s="64">
        <v>1</v>
      </c>
    </row>
    <row r="5910" spans="1:5">
      <c r="A5910" s="64" t="s">
        <v>27</v>
      </c>
      <c r="B5910" s="65">
        <v>43615</v>
      </c>
      <c r="C5910" s="66" t="s">
        <v>219</v>
      </c>
      <c r="D5910" s="3" t="s">
        <v>29</v>
      </c>
      <c r="E5910" s="64">
        <v>1</v>
      </c>
    </row>
    <row r="5911" spans="1:5">
      <c r="A5911" s="64" t="s">
        <v>27</v>
      </c>
      <c r="B5911" s="65">
        <v>43616</v>
      </c>
      <c r="C5911" s="66" t="s">
        <v>220</v>
      </c>
      <c r="D5911" s="3" t="s">
        <v>29</v>
      </c>
      <c r="E5911" s="64">
        <v>1</v>
      </c>
    </row>
    <row r="5912" spans="1:5">
      <c r="A5912" s="64" t="s">
        <v>27</v>
      </c>
      <c r="B5912" s="65">
        <v>43617</v>
      </c>
      <c r="C5912" s="66" t="s">
        <v>221</v>
      </c>
      <c r="D5912" s="3" t="s">
        <v>29</v>
      </c>
      <c r="E5912" s="64">
        <v>1</v>
      </c>
    </row>
    <row r="5913" spans="1:5">
      <c r="A5913" s="64" t="s">
        <v>27</v>
      </c>
      <c r="B5913" s="65">
        <v>43618</v>
      </c>
      <c r="C5913" s="66" t="s">
        <v>222</v>
      </c>
      <c r="D5913" s="3" t="s">
        <v>29</v>
      </c>
      <c r="E5913" s="64">
        <v>1</v>
      </c>
    </row>
    <row r="5914" spans="1:5">
      <c r="A5914" s="64" t="s">
        <v>27</v>
      </c>
      <c r="B5914" s="65">
        <v>43619</v>
      </c>
      <c r="C5914" s="66" t="s">
        <v>216</v>
      </c>
      <c r="D5914" s="3" t="s">
        <v>29</v>
      </c>
      <c r="E5914" s="64">
        <v>1</v>
      </c>
    </row>
    <row r="5915" spans="1:5">
      <c r="A5915" s="64" t="s">
        <v>27</v>
      </c>
      <c r="B5915" s="65">
        <v>43620</v>
      </c>
      <c r="C5915" s="66" t="s">
        <v>217</v>
      </c>
      <c r="D5915" s="3" t="s">
        <v>29</v>
      </c>
      <c r="E5915" s="64">
        <v>1</v>
      </c>
    </row>
    <row r="5916" spans="1:5">
      <c r="A5916" s="64" t="s">
        <v>27</v>
      </c>
      <c r="B5916" s="65">
        <v>43621</v>
      </c>
      <c r="C5916" s="66" t="s">
        <v>218</v>
      </c>
      <c r="D5916" s="3" t="s">
        <v>29</v>
      </c>
      <c r="E5916" s="64">
        <v>1</v>
      </c>
    </row>
    <row r="5917" spans="1:5">
      <c r="A5917" s="64" t="s">
        <v>27</v>
      </c>
      <c r="B5917" s="65">
        <v>43622</v>
      </c>
      <c r="C5917" s="66" t="s">
        <v>219</v>
      </c>
      <c r="D5917" s="3" t="s">
        <v>29</v>
      </c>
      <c r="E5917" s="64">
        <v>1</v>
      </c>
    </row>
    <row r="5918" spans="1:5">
      <c r="A5918" s="64" t="s">
        <v>27</v>
      </c>
      <c r="B5918" s="65">
        <v>43623</v>
      </c>
      <c r="C5918" s="66" t="s">
        <v>220</v>
      </c>
      <c r="D5918" s="3" t="s">
        <v>29</v>
      </c>
      <c r="E5918" s="64">
        <v>1</v>
      </c>
    </row>
    <row r="5919" spans="1:5">
      <c r="A5919" s="64" t="s">
        <v>27</v>
      </c>
      <c r="B5919" s="65">
        <v>43624</v>
      </c>
      <c r="C5919" s="66" t="s">
        <v>221</v>
      </c>
      <c r="D5919" s="3" t="s">
        <v>29</v>
      </c>
      <c r="E5919" s="64">
        <v>1</v>
      </c>
    </row>
    <row r="5920" spans="1:5">
      <c r="A5920" s="64" t="s">
        <v>27</v>
      </c>
      <c r="B5920" s="65">
        <v>43625</v>
      </c>
      <c r="C5920" s="66" t="s">
        <v>222</v>
      </c>
      <c r="D5920" s="3" t="s">
        <v>29</v>
      </c>
      <c r="E5920" s="64">
        <v>1</v>
      </c>
    </row>
    <row r="5921" spans="1:5">
      <c r="A5921" s="64" t="s">
        <v>27</v>
      </c>
      <c r="B5921" s="65">
        <v>43626</v>
      </c>
      <c r="C5921" s="66" t="s">
        <v>216</v>
      </c>
      <c r="D5921" s="3" t="s">
        <v>29</v>
      </c>
      <c r="E5921" s="64">
        <v>1</v>
      </c>
    </row>
    <row r="5922" spans="1:5">
      <c r="A5922" s="64" t="s">
        <v>27</v>
      </c>
      <c r="B5922" s="65">
        <v>43627</v>
      </c>
      <c r="C5922" s="66" t="s">
        <v>217</v>
      </c>
      <c r="D5922" s="3" t="s">
        <v>29</v>
      </c>
      <c r="E5922" s="64">
        <v>1</v>
      </c>
    </row>
    <row r="5923" spans="1:5">
      <c r="A5923" s="64" t="s">
        <v>27</v>
      </c>
      <c r="B5923" s="65">
        <v>43628</v>
      </c>
      <c r="C5923" s="66" t="s">
        <v>218</v>
      </c>
      <c r="D5923" s="3" t="s">
        <v>29</v>
      </c>
      <c r="E5923" s="64">
        <v>1</v>
      </c>
    </row>
    <row r="5924" spans="1:5">
      <c r="A5924" s="64" t="s">
        <v>27</v>
      </c>
      <c r="B5924" s="65">
        <v>43629</v>
      </c>
      <c r="C5924" s="66" t="s">
        <v>219</v>
      </c>
      <c r="D5924" s="3" t="s">
        <v>29</v>
      </c>
      <c r="E5924" s="64">
        <v>1</v>
      </c>
    </row>
    <row r="5925" spans="1:5">
      <c r="A5925" s="64" t="s">
        <v>27</v>
      </c>
      <c r="B5925" s="65">
        <v>43630</v>
      </c>
      <c r="C5925" s="66" t="s">
        <v>220</v>
      </c>
      <c r="D5925" s="3" t="s">
        <v>29</v>
      </c>
      <c r="E5925" s="64">
        <v>1</v>
      </c>
    </row>
    <row r="5926" spans="1:5">
      <c r="A5926" s="64" t="s">
        <v>27</v>
      </c>
      <c r="B5926" s="65">
        <v>43631</v>
      </c>
      <c r="C5926" s="66" t="s">
        <v>221</v>
      </c>
      <c r="D5926" s="3" t="s">
        <v>29</v>
      </c>
      <c r="E5926" s="64">
        <v>1</v>
      </c>
    </row>
    <row r="5927" spans="1:5">
      <c r="A5927" s="64" t="s">
        <v>27</v>
      </c>
      <c r="B5927" s="65">
        <v>43632</v>
      </c>
      <c r="C5927" s="66" t="s">
        <v>222</v>
      </c>
      <c r="D5927" s="3" t="s">
        <v>29</v>
      </c>
      <c r="E5927" s="64">
        <v>1</v>
      </c>
    </row>
    <row r="5928" spans="1:5">
      <c r="A5928" s="64" t="s">
        <v>27</v>
      </c>
      <c r="B5928" s="65">
        <v>43633</v>
      </c>
      <c r="C5928" s="66" t="s">
        <v>216</v>
      </c>
      <c r="D5928" s="3" t="s">
        <v>29</v>
      </c>
      <c r="E5928" s="64">
        <v>1</v>
      </c>
    </row>
    <row r="5929" spans="1:5">
      <c r="A5929" s="64" t="s">
        <v>27</v>
      </c>
      <c r="B5929" s="65">
        <v>43634</v>
      </c>
      <c r="C5929" s="66" t="s">
        <v>217</v>
      </c>
      <c r="D5929" s="3" t="s">
        <v>29</v>
      </c>
      <c r="E5929" s="64">
        <v>1</v>
      </c>
    </row>
    <row r="5930" spans="1:5">
      <c r="A5930" s="64" t="s">
        <v>27</v>
      </c>
      <c r="B5930" s="65">
        <v>43635</v>
      </c>
      <c r="C5930" s="66" t="s">
        <v>218</v>
      </c>
      <c r="D5930" s="3" t="s">
        <v>29</v>
      </c>
      <c r="E5930" s="64">
        <v>1</v>
      </c>
    </row>
    <row r="5931" spans="1:5">
      <c r="A5931" s="64" t="s">
        <v>27</v>
      </c>
      <c r="B5931" s="65">
        <v>43636</v>
      </c>
      <c r="C5931" s="66" t="s">
        <v>219</v>
      </c>
      <c r="D5931" s="3" t="s">
        <v>29</v>
      </c>
      <c r="E5931" s="64">
        <v>1</v>
      </c>
    </row>
    <row r="5932" spans="1:5">
      <c r="A5932" s="64" t="s">
        <v>27</v>
      </c>
      <c r="B5932" s="65">
        <v>43637</v>
      </c>
      <c r="C5932" s="66" t="s">
        <v>220</v>
      </c>
      <c r="D5932" s="3" t="s">
        <v>29</v>
      </c>
      <c r="E5932" s="64">
        <v>1</v>
      </c>
    </row>
    <row r="5933" spans="1:5">
      <c r="A5933" s="64" t="s">
        <v>27</v>
      </c>
      <c r="B5933" s="65">
        <v>43638</v>
      </c>
      <c r="C5933" s="66" t="s">
        <v>221</v>
      </c>
      <c r="D5933" s="3" t="s">
        <v>29</v>
      </c>
      <c r="E5933" s="64">
        <v>1</v>
      </c>
    </row>
    <row r="5934" spans="1:5">
      <c r="A5934" s="64" t="s">
        <v>27</v>
      </c>
      <c r="B5934" s="65">
        <v>43639</v>
      </c>
      <c r="C5934" s="66" t="s">
        <v>222</v>
      </c>
      <c r="D5934" s="3" t="s">
        <v>29</v>
      </c>
      <c r="E5934" s="64">
        <v>1</v>
      </c>
    </row>
    <row r="5935" spans="1:5">
      <c r="A5935" s="64" t="s">
        <v>27</v>
      </c>
      <c r="B5935" s="65">
        <v>43640</v>
      </c>
      <c r="C5935" s="66" t="s">
        <v>216</v>
      </c>
      <c r="D5935" s="3" t="s">
        <v>29</v>
      </c>
      <c r="E5935" s="64">
        <v>1</v>
      </c>
    </row>
    <row r="5936" spans="1:5">
      <c r="A5936" s="64" t="s">
        <v>27</v>
      </c>
      <c r="B5936" s="65">
        <v>43641</v>
      </c>
      <c r="C5936" s="66" t="s">
        <v>217</v>
      </c>
      <c r="D5936" s="3" t="s">
        <v>29</v>
      </c>
      <c r="E5936" s="64">
        <v>1</v>
      </c>
    </row>
    <row r="5937" spans="1:5">
      <c r="A5937" s="64" t="s">
        <v>27</v>
      </c>
      <c r="B5937" s="65">
        <v>43642</v>
      </c>
      <c r="C5937" s="66" t="s">
        <v>218</v>
      </c>
      <c r="D5937" s="3" t="s">
        <v>29</v>
      </c>
      <c r="E5937" s="64">
        <v>1</v>
      </c>
    </row>
    <row r="5938" spans="1:5">
      <c r="A5938" s="64" t="s">
        <v>27</v>
      </c>
      <c r="B5938" s="65">
        <v>43643</v>
      </c>
      <c r="C5938" s="66" t="s">
        <v>219</v>
      </c>
      <c r="D5938" s="3" t="s">
        <v>29</v>
      </c>
      <c r="E5938" s="64">
        <v>1</v>
      </c>
    </row>
    <row r="5939" spans="1:5">
      <c r="A5939" s="64" t="s">
        <v>27</v>
      </c>
      <c r="B5939" s="65">
        <v>43644</v>
      </c>
      <c r="C5939" s="66" t="s">
        <v>220</v>
      </c>
      <c r="D5939" s="3" t="s">
        <v>29</v>
      </c>
      <c r="E5939" s="64">
        <v>1</v>
      </c>
    </row>
    <row r="5940" spans="1:5">
      <c r="A5940" s="64" t="s">
        <v>27</v>
      </c>
      <c r="B5940" s="65">
        <v>43645</v>
      </c>
      <c r="C5940" s="66" t="s">
        <v>221</v>
      </c>
      <c r="D5940" s="3" t="s">
        <v>29</v>
      </c>
      <c r="E5940" s="64">
        <v>1</v>
      </c>
    </row>
    <row r="5941" spans="1:5">
      <c r="A5941" s="64" t="s">
        <v>27</v>
      </c>
      <c r="B5941" s="65">
        <v>43646</v>
      </c>
      <c r="C5941" s="66" t="s">
        <v>222</v>
      </c>
      <c r="D5941" s="3" t="s">
        <v>29</v>
      </c>
      <c r="E5941" s="64">
        <v>1</v>
      </c>
    </row>
    <row r="5942" spans="1:5">
      <c r="A5942" s="64" t="s">
        <v>27</v>
      </c>
      <c r="B5942" s="65">
        <v>43535</v>
      </c>
      <c r="C5942" s="66" t="s">
        <v>216</v>
      </c>
      <c r="D5942" s="3" t="s">
        <v>30</v>
      </c>
      <c r="E5942" s="64">
        <v>1</v>
      </c>
    </row>
    <row r="5943" spans="1:5">
      <c r="A5943" s="64" t="s">
        <v>27</v>
      </c>
      <c r="B5943" s="65">
        <v>43536</v>
      </c>
      <c r="C5943" s="66" t="s">
        <v>217</v>
      </c>
      <c r="D5943" s="3" t="s">
        <v>30</v>
      </c>
      <c r="E5943" s="64">
        <v>1</v>
      </c>
    </row>
    <row r="5944" spans="1:5">
      <c r="A5944" s="64" t="s">
        <v>27</v>
      </c>
      <c r="B5944" s="65">
        <v>43537</v>
      </c>
      <c r="C5944" s="66" t="s">
        <v>218</v>
      </c>
      <c r="D5944" s="3" t="s">
        <v>30</v>
      </c>
      <c r="E5944" s="64">
        <v>1</v>
      </c>
    </row>
    <row r="5945" spans="1:5">
      <c r="A5945" s="64" t="s">
        <v>27</v>
      </c>
      <c r="B5945" s="65">
        <v>43538</v>
      </c>
      <c r="C5945" s="66" t="s">
        <v>219</v>
      </c>
      <c r="D5945" s="3" t="s">
        <v>30</v>
      </c>
      <c r="E5945" s="64">
        <v>1</v>
      </c>
    </row>
    <row r="5946" spans="1:5">
      <c r="A5946" s="64" t="s">
        <v>27</v>
      </c>
      <c r="B5946" s="65">
        <v>43539</v>
      </c>
      <c r="C5946" s="66" t="s">
        <v>220</v>
      </c>
      <c r="D5946" s="3" t="s">
        <v>30</v>
      </c>
      <c r="E5946" s="64">
        <v>1</v>
      </c>
    </row>
    <row r="5947" spans="1:5">
      <c r="A5947" s="64" t="s">
        <v>27</v>
      </c>
      <c r="B5947" s="65">
        <v>43540</v>
      </c>
      <c r="C5947" s="66" t="s">
        <v>221</v>
      </c>
      <c r="D5947" s="3" t="s">
        <v>30</v>
      </c>
      <c r="E5947" s="64">
        <v>1</v>
      </c>
    </row>
    <row r="5948" spans="1:5">
      <c r="A5948" s="64" t="s">
        <v>27</v>
      </c>
      <c r="B5948" s="65">
        <v>43541</v>
      </c>
      <c r="C5948" s="66" t="s">
        <v>222</v>
      </c>
      <c r="D5948" s="3" t="s">
        <v>30</v>
      </c>
      <c r="E5948" s="64">
        <v>1</v>
      </c>
    </row>
    <row r="5949" spans="1:5">
      <c r="A5949" s="64" t="s">
        <v>27</v>
      </c>
      <c r="B5949" s="65">
        <v>43542</v>
      </c>
      <c r="C5949" s="66" t="s">
        <v>216</v>
      </c>
      <c r="D5949" s="3" t="s">
        <v>30</v>
      </c>
      <c r="E5949" s="64">
        <v>1</v>
      </c>
    </row>
    <row r="5950" spans="1:5">
      <c r="A5950" s="64" t="s">
        <v>27</v>
      </c>
      <c r="B5950" s="65">
        <v>43543</v>
      </c>
      <c r="C5950" s="66" t="s">
        <v>217</v>
      </c>
      <c r="D5950" s="3" t="s">
        <v>30</v>
      </c>
      <c r="E5950" s="64">
        <v>1</v>
      </c>
    </row>
    <row r="5951" spans="1:5">
      <c r="A5951" s="64" t="s">
        <v>27</v>
      </c>
      <c r="B5951" s="65">
        <v>43544</v>
      </c>
      <c r="C5951" s="66" t="s">
        <v>218</v>
      </c>
      <c r="D5951" s="3" t="s">
        <v>30</v>
      </c>
      <c r="E5951" s="64">
        <v>1</v>
      </c>
    </row>
    <row r="5952" spans="1:5">
      <c r="A5952" s="64" t="s">
        <v>27</v>
      </c>
      <c r="B5952" s="65">
        <v>43545</v>
      </c>
      <c r="C5952" s="66" t="s">
        <v>219</v>
      </c>
      <c r="D5952" s="3" t="s">
        <v>30</v>
      </c>
      <c r="E5952" s="64">
        <v>1</v>
      </c>
    </row>
    <row r="5953" spans="1:5">
      <c r="A5953" s="64" t="s">
        <v>27</v>
      </c>
      <c r="B5953" s="65">
        <v>43546</v>
      </c>
      <c r="C5953" s="66" t="s">
        <v>220</v>
      </c>
      <c r="D5953" s="3" t="s">
        <v>30</v>
      </c>
      <c r="E5953" s="64">
        <v>1</v>
      </c>
    </row>
    <row r="5954" spans="1:5">
      <c r="A5954" s="64" t="s">
        <v>27</v>
      </c>
      <c r="B5954" s="65">
        <v>43557</v>
      </c>
      <c r="C5954" s="66" t="s">
        <v>217</v>
      </c>
      <c r="D5954" s="3" t="s">
        <v>31</v>
      </c>
      <c r="E5954" s="64">
        <v>1</v>
      </c>
    </row>
    <row r="5955" spans="1:5">
      <c r="A5955" s="64" t="s">
        <v>27</v>
      </c>
      <c r="B5955" s="65">
        <v>43558</v>
      </c>
      <c r="C5955" s="66" t="s">
        <v>218</v>
      </c>
      <c r="D5955" s="3" t="s">
        <v>31</v>
      </c>
      <c r="E5955" s="64">
        <v>1</v>
      </c>
    </row>
    <row r="5956" spans="1:5">
      <c r="A5956" s="64" t="s">
        <v>27</v>
      </c>
      <c r="B5956" s="65">
        <v>43559</v>
      </c>
      <c r="C5956" s="66" t="s">
        <v>219</v>
      </c>
      <c r="D5956" s="3" t="s">
        <v>31</v>
      </c>
      <c r="E5956" s="64">
        <v>1</v>
      </c>
    </row>
    <row r="5957" spans="1:5">
      <c r="A5957" s="64" t="s">
        <v>27</v>
      </c>
      <c r="B5957" s="65">
        <v>43560</v>
      </c>
      <c r="C5957" s="66" t="s">
        <v>220</v>
      </c>
      <c r="D5957" s="3" t="s">
        <v>31</v>
      </c>
      <c r="E5957" s="64">
        <v>1</v>
      </c>
    </row>
    <row r="5958" spans="1:5">
      <c r="A5958" s="64" t="s">
        <v>27</v>
      </c>
      <c r="B5958" s="65">
        <v>43561</v>
      </c>
      <c r="C5958" s="66" t="s">
        <v>221</v>
      </c>
      <c r="D5958" s="3" t="s">
        <v>31</v>
      </c>
      <c r="E5958" s="64">
        <v>1</v>
      </c>
    </row>
    <row r="5959" spans="1:5">
      <c r="A5959" s="64" t="s">
        <v>27</v>
      </c>
      <c r="B5959" s="65">
        <v>43562</v>
      </c>
      <c r="C5959" s="66" t="s">
        <v>222</v>
      </c>
      <c r="D5959" s="3" t="s">
        <v>31</v>
      </c>
      <c r="E5959" s="64">
        <v>1</v>
      </c>
    </row>
    <row r="5960" spans="1:5">
      <c r="A5960" s="64" t="s">
        <v>27</v>
      </c>
      <c r="B5960" s="65">
        <v>43563</v>
      </c>
      <c r="C5960" s="66" t="s">
        <v>216</v>
      </c>
      <c r="D5960" s="3" t="s">
        <v>31</v>
      </c>
      <c r="E5960" s="64">
        <v>1</v>
      </c>
    </row>
    <row r="5961" spans="1:5">
      <c r="A5961" s="64" t="s">
        <v>27</v>
      </c>
      <c r="B5961" s="65">
        <v>43564</v>
      </c>
      <c r="C5961" s="66" t="s">
        <v>217</v>
      </c>
      <c r="D5961" s="3" t="s">
        <v>31</v>
      </c>
      <c r="E5961" s="64">
        <v>1</v>
      </c>
    </row>
    <row r="5962" spans="1:5">
      <c r="A5962" s="64" t="s">
        <v>27</v>
      </c>
      <c r="B5962" s="65">
        <v>43565</v>
      </c>
      <c r="C5962" s="66" t="s">
        <v>218</v>
      </c>
      <c r="D5962" s="3" t="s">
        <v>31</v>
      </c>
      <c r="E5962" s="64">
        <v>1</v>
      </c>
    </row>
    <row r="5963" spans="1:5">
      <c r="A5963" s="64" t="s">
        <v>27</v>
      </c>
      <c r="B5963" s="65">
        <v>43566</v>
      </c>
      <c r="C5963" s="66" t="s">
        <v>219</v>
      </c>
      <c r="D5963" s="3" t="s">
        <v>31</v>
      </c>
      <c r="E5963" s="64">
        <v>1</v>
      </c>
    </row>
    <row r="5964" spans="1:5">
      <c r="A5964" s="64" t="s">
        <v>27</v>
      </c>
      <c r="B5964" s="65">
        <v>43567</v>
      </c>
      <c r="C5964" s="66" t="s">
        <v>220</v>
      </c>
      <c r="D5964" s="3" t="s">
        <v>31</v>
      </c>
      <c r="E5964" s="64">
        <v>1</v>
      </c>
    </row>
    <row r="5965" spans="1:5">
      <c r="A5965" s="64" t="s">
        <v>27</v>
      </c>
      <c r="B5965" s="65">
        <v>43568</v>
      </c>
      <c r="C5965" s="66" t="s">
        <v>221</v>
      </c>
      <c r="D5965" s="3" t="s">
        <v>31</v>
      </c>
      <c r="E5965" s="64">
        <v>1</v>
      </c>
    </row>
    <row r="5966" spans="1:5">
      <c r="A5966" s="64" t="s">
        <v>27</v>
      </c>
      <c r="B5966" s="65">
        <v>43569</v>
      </c>
      <c r="C5966" s="66" t="s">
        <v>222</v>
      </c>
      <c r="D5966" s="3" t="s">
        <v>31</v>
      </c>
      <c r="E5966" s="64">
        <v>1</v>
      </c>
    </row>
    <row r="5967" spans="1:5">
      <c r="A5967" s="64" t="s">
        <v>27</v>
      </c>
      <c r="B5967" s="65">
        <v>43570</v>
      </c>
      <c r="C5967" s="66" t="s">
        <v>216</v>
      </c>
      <c r="D5967" s="3" t="s">
        <v>31</v>
      </c>
      <c r="E5967" s="64">
        <v>1</v>
      </c>
    </row>
    <row r="5968" spans="1:5">
      <c r="A5968" s="64" t="s">
        <v>27</v>
      </c>
      <c r="B5968" s="65">
        <v>43571</v>
      </c>
      <c r="C5968" s="66" t="s">
        <v>217</v>
      </c>
      <c r="D5968" s="3" t="s">
        <v>31</v>
      </c>
      <c r="E5968" s="64">
        <v>1</v>
      </c>
    </row>
    <row r="5969" spans="1:5">
      <c r="A5969" s="64" t="s">
        <v>27</v>
      </c>
      <c r="B5969" s="65">
        <v>43572</v>
      </c>
      <c r="C5969" s="66" t="s">
        <v>218</v>
      </c>
      <c r="D5969" s="3" t="s">
        <v>31</v>
      </c>
      <c r="E5969" s="64">
        <v>1</v>
      </c>
    </row>
    <row r="5970" spans="1:5">
      <c r="A5970" s="64" t="s">
        <v>27</v>
      </c>
      <c r="B5970" s="65">
        <v>43573</v>
      </c>
      <c r="C5970" s="66" t="s">
        <v>219</v>
      </c>
      <c r="D5970" s="3" t="s">
        <v>31</v>
      </c>
      <c r="E5970" s="64">
        <v>1</v>
      </c>
    </row>
    <row r="5971" spans="1:5">
      <c r="A5971" s="64" t="s">
        <v>27</v>
      </c>
      <c r="B5971" s="65">
        <v>43574</v>
      </c>
      <c r="C5971" s="66" t="s">
        <v>220</v>
      </c>
      <c r="D5971" s="3" t="s">
        <v>31</v>
      </c>
      <c r="E5971" s="64">
        <v>1</v>
      </c>
    </row>
    <row r="5972" spans="1:5">
      <c r="A5972" s="64" t="s">
        <v>27</v>
      </c>
      <c r="B5972" s="65">
        <v>43575</v>
      </c>
      <c r="C5972" s="66" t="s">
        <v>221</v>
      </c>
      <c r="D5972" s="3" t="s">
        <v>31</v>
      </c>
      <c r="E5972" s="64">
        <v>1</v>
      </c>
    </row>
    <row r="5973" spans="1:5">
      <c r="A5973" s="64" t="s">
        <v>27</v>
      </c>
      <c r="B5973" s="65">
        <v>43576</v>
      </c>
      <c r="C5973" s="66" t="s">
        <v>222</v>
      </c>
      <c r="D5973" s="3" t="s">
        <v>31</v>
      </c>
      <c r="E5973" s="64">
        <v>1</v>
      </c>
    </row>
    <row r="5974" spans="1:5">
      <c r="A5974" s="64" t="s">
        <v>27</v>
      </c>
      <c r="B5974" s="65">
        <v>43577</v>
      </c>
      <c r="C5974" s="66" t="s">
        <v>216</v>
      </c>
      <c r="D5974" s="3" t="s">
        <v>31</v>
      </c>
      <c r="E5974" s="64">
        <v>1</v>
      </c>
    </row>
    <row r="5975" spans="1:5">
      <c r="A5975" s="64" t="s">
        <v>27</v>
      </c>
      <c r="B5975" s="65">
        <v>43578</v>
      </c>
      <c r="C5975" s="66" t="s">
        <v>217</v>
      </c>
      <c r="D5975" s="3" t="s">
        <v>31</v>
      </c>
      <c r="E5975" s="64">
        <v>1</v>
      </c>
    </row>
    <row r="5976" spans="1:5">
      <c r="A5976" s="64" t="s">
        <v>27</v>
      </c>
      <c r="B5976" s="65">
        <v>43579</v>
      </c>
      <c r="C5976" s="66" t="s">
        <v>218</v>
      </c>
      <c r="D5976" s="3" t="s">
        <v>31</v>
      </c>
      <c r="E5976" s="64">
        <v>1</v>
      </c>
    </row>
    <row r="5977" spans="1:5">
      <c r="A5977" s="64" t="s">
        <v>27</v>
      </c>
      <c r="B5977" s="65">
        <v>43580</v>
      </c>
      <c r="C5977" s="66" t="s">
        <v>219</v>
      </c>
      <c r="D5977" s="3" t="s">
        <v>31</v>
      </c>
      <c r="E5977" s="64">
        <v>1</v>
      </c>
    </row>
    <row r="5978" spans="1:5">
      <c r="A5978" s="64" t="s">
        <v>27</v>
      </c>
      <c r="B5978" s="65">
        <v>43581</v>
      </c>
      <c r="C5978" s="66" t="s">
        <v>220</v>
      </c>
      <c r="D5978" s="3" t="s">
        <v>31</v>
      </c>
      <c r="E5978" s="64">
        <v>1</v>
      </c>
    </row>
    <row r="5979" spans="1:5">
      <c r="A5979" s="64" t="s">
        <v>27</v>
      </c>
      <c r="B5979" s="65">
        <v>43582</v>
      </c>
      <c r="C5979" s="66" t="s">
        <v>221</v>
      </c>
      <c r="D5979" s="3" t="s">
        <v>31</v>
      </c>
      <c r="E5979" s="64">
        <v>1</v>
      </c>
    </row>
    <row r="5980" spans="1:5">
      <c r="A5980" s="64" t="s">
        <v>27</v>
      </c>
      <c r="B5980" s="65">
        <v>43583</v>
      </c>
      <c r="C5980" s="66" t="s">
        <v>222</v>
      </c>
      <c r="D5980" s="3" t="s">
        <v>31</v>
      </c>
      <c r="E5980" s="64">
        <v>1</v>
      </c>
    </row>
    <row r="5981" spans="1:5">
      <c r="A5981" s="64" t="s">
        <v>27</v>
      </c>
      <c r="B5981" s="65">
        <v>43584</v>
      </c>
      <c r="C5981" s="66" t="s">
        <v>216</v>
      </c>
      <c r="D5981" s="3" t="s">
        <v>31</v>
      </c>
      <c r="E5981" s="64">
        <v>1</v>
      </c>
    </row>
    <row r="5982" spans="1:5">
      <c r="A5982" s="64" t="s">
        <v>27</v>
      </c>
      <c r="B5982" s="65">
        <v>43585</v>
      </c>
      <c r="C5982" s="66" t="s">
        <v>217</v>
      </c>
      <c r="D5982" s="3" t="s">
        <v>31</v>
      </c>
      <c r="E5982" s="64">
        <v>1</v>
      </c>
    </row>
    <row r="5983" spans="1:5">
      <c r="A5983" s="64" t="s">
        <v>27</v>
      </c>
      <c r="B5983" s="65">
        <v>43586</v>
      </c>
      <c r="C5983" s="66" t="s">
        <v>218</v>
      </c>
      <c r="D5983" s="3" t="s">
        <v>31</v>
      </c>
      <c r="E5983" s="64">
        <v>1</v>
      </c>
    </row>
    <row r="5984" spans="1:5">
      <c r="A5984" s="64" t="s">
        <v>27</v>
      </c>
      <c r="B5984" s="65">
        <v>43587</v>
      </c>
      <c r="C5984" s="66" t="s">
        <v>219</v>
      </c>
      <c r="D5984" s="3" t="s">
        <v>31</v>
      </c>
      <c r="E5984" s="64">
        <v>1</v>
      </c>
    </row>
    <row r="5985" spans="1:5">
      <c r="A5985" s="64" t="s">
        <v>27</v>
      </c>
      <c r="B5985" s="65">
        <v>43588</v>
      </c>
      <c r="C5985" s="66" t="s">
        <v>220</v>
      </c>
      <c r="D5985" s="3" t="s">
        <v>31</v>
      </c>
      <c r="E5985" s="64">
        <v>1</v>
      </c>
    </row>
    <row r="5986" spans="1:5">
      <c r="A5986" s="64" t="s">
        <v>27</v>
      </c>
      <c r="B5986" s="65">
        <v>43589</v>
      </c>
      <c r="C5986" s="66" t="s">
        <v>221</v>
      </c>
      <c r="D5986" s="3" t="s">
        <v>31</v>
      </c>
      <c r="E5986" s="64">
        <v>1</v>
      </c>
    </row>
    <row r="5987" spans="1:5">
      <c r="A5987" s="64" t="s">
        <v>27</v>
      </c>
      <c r="B5987" s="65">
        <v>43590</v>
      </c>
      <c r="C5987" s="66" t="s">
        <v>222</v>
      </c>
      <c r="D5987" s="3" t="s">
        <v>31</v>
      </c>
      <c r="E5987" s="64">
        <v>1</v>
      </c>
    </row>
    <row r="5988" spans="1:5">
      <c r="A5988" s="64" t="s">
        <v>27</v>
      </c>
      <c r="B5988" s="65">
        <v>43591</v>
      </c>
      <c r="C5988" s="66" t="s">
        <v>216</v>
      </c>
      <c r="D5988" s="3" t="s">
        <v>31</v>
      </c>
      <c r="E5988" s="64">
        <v>1</v>
      </c>
    </row>
    <row r="5989" spans="1:5">
      <c r="A5989" s="64" t="s">
        <v>27</v>
      </c>
      <c r="B5989" s="65">
        <v>43592</v>
      </c>
      <c r="C5989" s="66" t="s">
        <v>217</v>
      </c>
      <c r="D5989" s="3" t="s">
        <v>31</v>
      </c>
      <c r="E5989" s="64">
        <v>1</v>
      </c>
    </row>
    <row r="5990" spans="1:5">
      <c r="A5990" s="64" t="s">
        <v>27</v>
      </c>
      <c r="B5990" s="65">
        <v>43593</v>
      </c>
      <c r="C5990" s="66" t="s">
        <v>218</v>
      </c>
      <c r="D5990" s="3" t="s">
        <v>31</v>
      </c>
      <c r="E5990" s="64">
        <v>1</v>
      </c>
    </row>
    <row r="5991" spans="1:5">
      <c r="A5991" s="64" t="s">
        <v>27</v>
      </c>
      <c r="B5991" s="65">
        <v>43594</v>
      </c>
      <c r="C5991" s="66" t="s">
        <v>219</v>
      </c>
      <c r="D5991" s="3" t="s">
        <v>31</v>
      </c>
      <c r="E5991" s="64">
        <v>1</v>
      </c>
    </row>
    <row r="5992" spans="1:5">
      <c r="A5992" s="64" t="s">
        <v>27</v>
      </c>
      <c r="B5992" s="65">
        <v>43595</v>
      </c>
      <c r="C5992" s="66" t="s">
        <v>220</v>
      </c>
      <c r="D5992" s="3" t="s">
        <v>31</v>
      </c>
      <c r="E5992" s="64">
        <v>1</v>
      </c>
    </row>
    <row r="5993" spans="1:5">
      <c r="A5993" s="64" t="s">
        <v>27</v>
      </c>
      <c r="B5993" s="65">
        <v>43596</v>
      </c>
      <c r="C5993" s="66" t="s">
        <v>221</v>
      </c>
      <c r="D5993" s="3" t="s">
        <v>31</v>
      </c>
      <c r="E5993" s="64">
        <v>1</v>
      </c>
    </row>
    <row r="5994" spans="1:5">
      <c r="A5994" s="64" t="s">
        <v>27</v>
      </c>
      <c r="B5994" s="65">
        <v>43597</v>
      </c>
      <c r="C5994" s="66" t="s">
        <v>222</v>
      </c>
      <c r="D5994" s="3" t="s">
        <v>31</v>
      </c>
      <c r="E5994" s="64">
        <v>1</v>
      </c>
    </row>
    <row r="5995" spans="1:5">
      <c r="A5995" s="64" t="s">
        <v>27</v>
      </c>
      <c r="B5995" s="65">
        <v>43598</v>
      </c>
      <c r="C5995" s="66" t="s">
        <v>216</v>
      </c>
      <c r="D5995" s="3" t="s">
        <v>31</v>
      </c>
      <c r="E5995" s="64">
        <v>1</v>
      </c>
    </row>
    <row r="5996" spans="1:5">
      <c r="A5996" s="64" t="s">
        <v>27</v>
      </c>
      <c r="B5996" s="65">
        <v>43599</v>
      </c>
      <c r="C5996" s="66" t="s">
        <v>217</v>
      </c>
      <c r="D5996" s="3" t="s">
        <v>31</v>
      </c>
      <c r="E5996" s="64">
        <v>1</v>
      </c>
    </row>
    <row r="5997" spans="1:5">
      <c r="A5997" s="64" t="s">
        <v>27</v>
      </c>
      <c r="B5997" s="65">
        <v>43600</v>
      </c>
      <c r="C5997" s="66" t="s">
        <v>218</v>
      </c>
      <c r="D5997" s="3" t="s">
        <v>31</v>
      </c>
      <c r="E5997" s="64">
        <v>1</v>
      </c>
    </row>
    <row r="5998" spans="1:5">
      <c r="A5998" s="64" t="s">
        <v>27</v>
      </c>
      <c r="B5998" s="65">
        <v>43601</v>
      </c>
      <c r="C5998" s="66" t="s">
        <v>219</v>
      </c>
      <c r="D5998" s="3" t="s">
        <v>31</v>
      </c>
      <c r="E5998" s="64">
        <v>1</v>
      </c>
    </row>
    <row r="5999" spans="1:5">
      <c r="A5999" s="64" t="s">
        <v>27</v>
      </c>
      <c r="B5999" s="65">
        <v>43602</v>
      </c>
      <c r="C5999" s="66" t="s">
        <v>220</v>
      </c>
      <c r="D5999" s="3" t="s">
        <v>31</v>
      </c>
      <c r="E5999" s="64">
        <v>1</v>
      </c>
    </row>
    <row r="6000" spans="1:5">
      <c r="A6000" s="64" t="s">
        <v>27</v>
      </c>
      <c r="B6000" s="65">
        <v>43603</v>
      </c>
      <c r="C6000" s="66" t="s">
        <v>221</v>
      </c>
      <c r="D6000" s="3" t="s">
        <v>31</v>
      </c>
      <c r="E6000" s="64">
        <v>1</v>
      </c>
    </row>
    <row r="6001" spans="1:5">
      <c r="A6001" s="64" t="s">
        <v>27</v>
      </c>
      <c r="B6001" s="65">
        <v>43604</v>
      </c>
      <c r="C6001" s="66" t="s">
        <v>222</v>
      </c>
      <c r="D6001" s="3" t="s">
        <v>31</v>
      </c>
      <c r="E6001" s="64">
        <v>1</v>
      </c>
    </row>
    <row r="6002" spans="1:5">
      <c r="A6002" s="64" t="s">
        <v>27</v>
      </c>
      <c r="B6002" s="65">
        <v>43605</v>
      </c>
      <c r="C6002" s="66" t="s">
        <v>216</v>
      </c>
      <c r="D6002" s="3" t="s">
        <v>31</v>
      </c>
      <c r="E6002" s="64">
        <v>1</v>
      </c>
    </row>
    <row r="6003" spans="1:5">
      <c r="A6003" s="64" t="s">
        <v>27</v>
      </c>
      <c r="B6003" s="65">
        <v>43606</v>
      </c>
      <c r="C6003" s="66" t="s">
        <v>217</v>
      </c>
      <c r="D6003" s="3" t="s">
        <v>31</v>
      </c>
      <c r="E6003" s="64">
        <v>1</v>
      </c>
    </row>
    <row r="6004" spans="1:5">
      <c r="A6004" s="64" t="s">
        <v>27</v>
      </c>
      <c r="B6004" s="65">
        <v>43607</v>
      </c>
      <c r="C6004" s="66" t="s">
        <v>218</v>
      </c>
      <c r="D6004" s="3" t="s">
        <v>31</v>
      </c>
      <c r="E6004" s="64">
        <v>1</v>
      </c>
    </row>
    <row r="6005" spans="1:5">
      <c r="A6005" s="64" t="s">
        <v>27</v>
      </c>
      <c r="B6005" s="65">
        <v>43608</v>
      </c>
      <c r="C6005" s="66" t="s">
        <v>219</v>
      </c>
      <c r="D6005" s="3" t="s">
        <v>31</v>
      </c>
      <c r="E6005" s="64">
        <v>1</v>
      </c>
    </row>
    <row r="6006" spans="1:5">
      <c r="A6006" s="64" t="s">
        <v>27</v>
      </c>
      <c r="B6006" s="65">
        <v>43609</v>
      </c>
      <c r="C6006" s="66" t="s">
        <v>220</v>
      </c>
      <c r="D6006" s="3" t="s">
        <v>31</v>
      </c>
      <c r="E6006" s="64">
        <v>1</v>
      </c>
    </row>
    <row r="6007" spans="1:5">
      <c r="A6007" s="64" t="s">
        <v>27</v>
      </c>
      <c r="B6007" s="65">
        <v>43610</v>
      </c>
      <c r="C6007" s="66" t="s">
        <v>221</v>
      </c>
      <c r="D6007" s="3" t="s">
        <v>31</v>
      </c>
      <c r="E6007" s="64">
        <v>1</v>
      </c>
    </row>
    <row r="6008" spans="1:5">
      <c r="A6008" s="64" t="s">
        <v>27</v>
      </c>
      <c r="B6008" s="65">
        <v>43611</v>
      </c>
      <c r="C6008" s="66" t="s">
        <v>222</v>
      </c>
      <c r="D6008" s="3" t="s">
        <v>31</v>
      </c>
      <c r="E6008" s="64">
        <v>1</v>
      </c>
    </row>
    <row r="6009" spans="1:5">
      <c r="A6009" s="64" t="s">
        <v>27</v>
      </c>
      <c r="B6009" s="65">
        <v>43612</v>
      </c>
      <c r="C6009" s="66" t="s">
        <v>216</v>
      </c>
      <c r="D6009" s="3" t="s">
        <v>31</v>
      </c>
      <c r="E6009" s="64">
        <v>1</v>
      </c>
    </row>
    <row r="6010" spans="1:5">
      <c r="A6010" s="64" t="s">
        <v>27</v>
      </c>
      <c r="B6010" s="65">
        <v>43613</v>
      </c>
      <c r="C6010" s="66" t="s">
        <v>217</v>
      </c>
      <c r="D6010" s="3" t="s">
        <v>31</v>
      </c>
      <c r="E6010" s="64">
        <v>1</v>
      </c>
    </row>
    <row r="6011" spans="1:5">
      <c r="A6011" s="64" t="s">
        <v>27</v>
      </c>
      <c r="B6011" s="65">
        <v>43614</v>
      </c>
      <c r="C6011" s="66" t="s">
        <v>218</v>
      </c>
      <c r="D6011" s="3" t="s">
        <v>31</v>
      </c>
      <c r="E6011" s="64">
        <v>1</v>
      </c>
    </row>
    <row r="6012" spans="1:5">
      <c r="A6012" s="64" t="s">
        <v>27</v>
      </c>
      <c r="B6012" s="65">
        <v>43615</v>
      </c>
      <c r="C6012" s="66" t="s">
        <v>219</v>
      </c>
      <c r="D6012" s="3" t="s">
        <v>31</v>
      </c>
      <c r="E6012" s="64">
        <v>1</v>
      </c>
    </row>
    <row r="6013" spans="1:5">
      <c r="A6013" s="64" t="s">
        <v>27</v>
      </c>
      <c r="B6013" s="65">
        <v>43616</v>
      </c>
      <c r="C6013" s="66" t="s">
        <v>220</v>
      </c>
      <c r="D6013" s="3" t="s">
        <v>31</v>
      </c>
      <c r="E6013" s="64">
        <v>1</v>
      </c>
    </row>
    <row r="6014" spans="1:5">
      <c r="A6014" s="64" t="s">
        <v>27</v>
      </c>
      <c r="B6014" s="65">
        <v>43617</v>
      </c>
      <c r="C6014" s="66" t="s">
        <v>221</v>
      </c>
      <c r="D6014" s="3" t="s">
        <v>31</v>
      </c>
      <c r="E6014" s="64">
        <v>1</v>
      </c>
    </row>
    <row r="6015" spans="1:5">
      <c r="A6015" s="64" t="s">
        <v>27</v>
      </c>
      <c r="B6015" s="65">
        <v>43618</v>
      </c>
      <c r="C6015" s="66" t="s">
        <v>222</v>
      </c>
      <c r="D6015" s="3" t="s">
        <v>31</v>
      </c>
      <c r="E6015" s="64">
        <v>1</v>
      </c>
    </row>
    <row r="6016" spans="1:5">
      <c r="A6016" s="64" t="s">
        <v>27</v>
      </c>
      <c r="B6016" s="65">
        <v>43619</v>
      </c>
      <c r="C6016" s="66" t="s">
        <v>216</v>
      </c>
      <c r="D6016" s="3" t="s">
        <v>31</v>
      </c>
      <c r="E6016" s="64">
        <v>1</v>
      </c>
    </row>
    <row r="6017" spans="1:5">
      <c r="A6017" s="64" t="s">
        <v>27</v>
      </c>
      <c r="B6017" s="65">
        <v>43620</v>
      </c>
      <c r="C6017" s="66" t="s">
        <v>217</v>
      </c>
      <c r="D6017" s="3" t="s">
        <v>31</v>
      </c>
      <c r="E6017" s="64">
        <v>1</v>
      </c>
    </row>
    <row r="6018" spans="1:5">
      <c r="A6018" s="64" t="s">
        <v>27</v>
      </c>
      <c r="B6018" s="65">
        <v>43621</v>
      </c>
      <c r="C6018" s="66" t="s">
        <v>218</v>
      </c>
      <c r="D6018" s="3" t="s">
        <v>31</v>
      </c>
      <c r="E6018" s="64">
        <v>1</v>
      </c>
    </row>
    <row r="6019" spans="1:5">
      <c r="A6019" s="64" t="s">
        <v>27</v>
      </c>
      <c r="B6019" s="65">
        <v>43622</v>
      </c>
      <c r="C6019" s="66" t="s">
        <v>219</v>
      </c>
      <c r="D6019" s="3" t="s">
        <v>31</v>
      </c>
      <c r="E6019" s="64">
        <v>1</v>
      </c>
    </row>
    <row r="6020" spans="1:5">
      <c r="A6020" s="64" t="s">
        <v>27</v>
      </c>
      <c r="B6020" s="65">
        <v>43623</v>
      </c>
      <c r="C6020" s="66" t="s">
        <v>220</v>
      </c>
      <c r="D6020" s="3" t="s">
        <v>31</v>
      </c>
      <c r="E6020" s="64">
        <v>1</v>
      </c>
    </row>
    <row r="6021" spans="1:5">
      <c r="A6021" s="64" t="s">
        <v>27</v>
      </c>
      <c r="B6021" s="65">
        <v>43624</v>
      </c>
      <c r="C6021" s="66" t="s">
        <v>221</v>
      </c>
      <c r="D6021" s="3" t="s">
        <v>31</v>
      </c>
      <c r="E6021" s="64">
        <v>1</v>
      </c>
    </row>
    <row r="6022" spans="1:5">
      <c r="A6022" s="64" t="s">
        <v>27</v>
      </c>
      <c r="B6022" s="65">
        <v>43625</v>
      </c>
      <c r="C6022" s="66" t="s">
        <v>222</v>
      </c>
      <c r="D6022" s="3" t="s">
        <v>31</v>
      </c>
      <c r="E6022" s="64">
        <v>1</v>
      </c>
    </row>
    <row r="6023" spans="1:5">
      <c r="A6023" s="64" t="s">
        <v>27</v>
      </c>
      <c r="B6023" s="65">
        <v>43626</v>
      </c>
      <c r="C6023" s="66" t="s">
        <v>216</v>
      </c>
      <c r="D6023" s="3" t="s">
        <v>31</v>
      </c>
      <c r="E6023" s="64">
        <v>1</v>
      </c>
    </row>
    <row r="6024" spans="1:5">
      <c r="A6024" s="64" t="s">
        <v>27</v>
      </c>
      <c r="B6024" s="65">
        <v>43627</v>
      </c>
      <c r="C6024" s="66" t="s">
        <v>217</v>
      </c>
      <c r="D6024" s="3" t="s">
        <v>31</v>
      </c>
      <c r="E6024" s="64">
        <v>1</v>
      </c>
    </row>
    <row r="6025" spans="1:5">
      <c r="A6025" s="64" t="s">
        <v>27</v>
      </c>
      <c r="B6025" s="65">
        <v>43628</v>
      </c>
      <c r="C6025" s="66" t="s">
        <v>218</v>
      </c>
      <c r="D6025" s="3" t="s">
        <v>31</v>
      </c>
      <c r="E6025" s="64">
        <v>1</v>
      </c>
    </row>
    <row r="6026" spans="1:5">
      <c r="A6026" s="64" t="s">
        <v>27</v>
      </c>
      <c r="B6026" s="65">
        <v>43629</v>
      </c>
      <c r="C6026" s="66" t="s">
        <v>219</v>
      </c>
      <c r="D6026" s="3" t="s">
        <v>31</v>
      </c>
      <c r="E6026" s="64">
        <v>1</v>
      </c>
    </row>
    <row r="6027" spans="1:5">
      <c r="A6027" s="64" t="s">
        <v>27</v>
      </c>
      <c r="B6027" s="65">
        <v>43630</v>
      </c>
      <c r="C6027" s="66" t="s">
        <v>220</v>
      </c>
      <c r="D6027" s="3" t="s">
        <v>31</v>
      </c>
      <c r="E6027" s="64">
        <v>1</v>
      </c>
    </row>
    <row r="6028" spans="1:5">
      <c r="A6028" s="64" t="s">
        <v>27</v>
      </c>
      <c r="B6028" s="65">
        <v>43631</v>
      </c>
      <c r="C6028" s="66" t="s">
        <v>221</v>
      </c>
      <c r="D6028" s="3" t="s">
        <v>31</v>
      </c>
      <c r="E6028" s="64">
        <v>1</v>
      </c>
    </row>
    <row r="6029" spans="1:5">
      <c r="A6029" s="64" t="s">
        <v>27</v>
      </c>
      <c r="B6029" s="65">
        <v>43632</v>
      </c>
      <c r="C6029" s="66" t="s">
        <v>222</v>
      </c>
      <c r="D6029" s="3" t="s">
        <v>31</v>
      </c>
      <c r="E6029" s="64">
        <v>1</v>
      </c>
    </row>
    <row r="6030" spans="1:5">
      <c r="A6030" s="64" t="s">
        <v>27</v>
      </c>
      <c r="B6030" s="65">
        <v>43633</v>
      </c>
      <c r="C6030" s="66" t="s">
        <v>216</v>
      </c>
      <c r="D6030" s="3" t="s">
        <v>31</v>
      </c>
      <c r="E6030" s="64">
        <v>1</v>
      </c>
    </row>
    <row r="6031" spans="1:5">
      <c r="A6031" s="64" t="s">
        <v>27</v>
      </c>
      <c r="B6031" s="65">
        <v>43634</v>
      </c>
      <c r="C6031" s="66" t="s">
        <v>217</v>
      </c>
      <c r="D6031" s="3" t="s">
        <v>31</v>
      </c>
      <c r="E6031" s="64">
        <v>1</v>
      </c>
    </row>
    <row r="6032" spans="1:5">
      <c r="A6032" s="64" t="s">
        <v>27</v>
      </c>
      <c r="B6032" s="65">
        <v>43635</v>
      </c>
      <c r="C6032" s="66" t="s">
        <v>218</v>
      </c>
      <c r="D6032" s="3" t="s">
        <v>31</v>
      </c>
      <c r="E6032" s="64">
        <v>1</v>
      </c>
    </row>
    <row r="6033" spans="1:5">
      <c r="A6033" s="64" t="s">
        <v>27</v>
      </c>
      <c r="B6033" s="65">
        <v>43636</v>
      </c>
      <c r="C6033" s="66" t="s">
        <v>219</v>
      </c>
      <c r="D6033" s="3" t="s">
        <v>31</v>
      </c>
      <c r="E6033" s="64">
        <v>1</v>
      </c>
    </row>
    <row r="6034" spans="1:5">
      <c r="A6034" s="64" t="s">
        <v>27</v>
      </c>
      <c r="B6034" s="65">
        <v>43637</v>
      </c>
      <c r="C6034" s="66" t="s">
        <v>220</v>
      </c>
      <c r="D6034" s="3" t="s">
        <v>31</v>
      </c>
      <c r="E6034" s="64">
        <v>1</v>
      </c>
    </row>
    <row r="6035" spans="1:5">
      <c r="A6035" s="64" t="s">
        <v>27</v>
      </c>
      <c r="B6035" s="65">
        <v>43638</v>
      </c>
      <c r="C6035" s="66" t="s">
        <v>221</v>
      </c>
      <c r="D6035" s="3" t="s">
        <v>31</v>
      </c>
      <c r="E6035" s="64">
        <v>1</v>
      </c>
    </row>
    <row r="6036" spans="1:5">
      <c r="A6036" s="64" t="s">
        <v>27</v>
      </c>
      <c r="B6036" s="65">
        <v>43639</v>
      </c>
      <c r="C6036" s="66" t="s">
        <v>222</v>
      </c>
      <c r="D6036" s="3" t="s">
        <v>31</v>
      </c>
      <c r="E6036" s="64">
        <v>1</v>
      </c>
    </row>
    <row r="6037" spans="1:5">
      <c r="A6037" s="64" t="s">
        <v>27</v>
      </c>
      <c r="B6037" s="65">
        <v>43640</v>
      </c>
      <c r="C6037" s="66" t="s">
        <v>216</v>
      </c>
      <c r="D6037" s="3" t="s">
        <v>31</v>
      </c>
      <c r="E6037" s="64">
        <v>1</v>
      </c>
    </row>
    <row r="6038" spans="1:5">
      <c r="A6038" s="64" t="s">
        <v>27</v>
      </c>
      <c r="B6038" s="65">
        <v>43641</v>
      </c>
      <c r="C6038" s="66" t="s">
        <v>217</v>
      </c>
      <c r="D6038" s="3" t="s">
        <v>31</v>
      </c>
      <c r="E6038" s="64">
        <v>1</v>
      </c>
    </row>
    <row r="6039" spans="1:5">
      <c r="A6039" s="64" t="s">
        <v>27</v>
      </c>
      <c r="B6039" s="65">
        <v>43642</v>
      </c>
      <c r="C6039" s="66" t="s">
        <v>218</v>
      </c>
      <c r="D6039" s="3" t="s">
        <v>31</v>
      </c>
      <c r="E6039" s="64">
        <v>1</v>
      </c>
    </row>
    <row r="6040" spans="1:5">
      <c r="A6040" s="64" t="s">
        <v>27</v>
      </c>
      <c r="B6040" s="65">
        <v>43643</v>
      </c>
      <c r="C6040" s="66" t="s">
        <v>219</v>
      </c>
      <c r="D6040" s="3" t="s">
        <v>31</v>
      </c>
      <c r="E6040" s="64">
        <v>1</v>
      </c>
    </row>
    <row r="6041" spans="1:5">
      <c r="A6041" s="64" t="s">
        <v>27</v>
      </c>
      <c r="B6041" s="65">
        <v>43644</v>
      </c>
      <c r="C6041" s="66" t="s">
        <v>220</v>
      </c>
      <c r="D6041" s="3" t="s">
        <v>31</v>
      </c>
      <c r="E6041" s="64">
        <v>1</v>
      </c>
    </row>
    <row r="6042" spans="1:5">
      <c r="A6042" s="64" t="s">
        <v>27</v>
      </c>
      <c r="B6042" s="65">
        <v>43645</v>
      </c>
      <c r="C6042" s="66" t="s">
        <v>221</v>
      </c>
      <c r="D6042" s="3" t="s">
        <v>31</v>
      </c>
      <c r="E6042" s="64">
        <v>1</v>
      </c>
    </row>
    <row r="6043" spans="1:5">
      <c r="A6043" s="64" t="s">
        <v>27</v>
      </c>
      <c r="B6043" s="65">
        <v>43646</v>
      </c>
      <c r="C6043" s="66" t="s">
        <v>222</v>
      </c>
      <c r="D6043" s="3" t="s">
        <v>31</v>
      </c>
      <c r="E6043" s="64">
        <v>1</v>
      </c>
    </row>
    <row r="6044" spans="1:5">
      <c r="A6044" s="64" t="s">
        <v>27</v>
      </c>
      <c r="B6044" s="65">
        <v>43374</v>
      </c>
      <c r="C6044" s="66" t="s">
        <v>216</v>
      </c>
      <c r="D6044" s="3" t="s">
        <v>32</v>
      </c>
      <c r="E6044" s="64">
        <v>1</v>
      </c>
    </row>
    <row r="6045" spans="1:5">
      <c r="A6045" s="64" t="s">
        <v>27</v>
      </c>
      <c r="B6045" s="65">
        <v>43375</v>
      </c>
      <c r="C6045" s="66" t="s">
        <v>217</v>
      </c>
      <c r="D6045" s="3" t="s">
        <v>32</v>
      </c>
      <c r="E6045" s="64">
        <v>1</v>
      </c>
    </row>
    <row r="6046" spans="1:5">
      <c r="A6046" s="64" t="s">
        <v>27</v>
      </c>
      <c r="B6046" s="65">
        <v>43376</v>
      </c>
      <c r="C6046" s="66" t="s">
        <v>218</v>
      </c>
      <c r="D6046" s="3" t="s">
        <v>32</v>
      </c>
      <c r="E6046" s="64">
        <v>1</v>
      </c>
    </row>
    <row r="6047" spans="1:5">
      <c r="A6047" s="64" t="s">
        <v>27</v>
      </c>
      <c r="B6047" s="65">
        <v>43377</v>
      </c>
      <c r="C6047" s="66" t="s">
        <v>219</v>
      </c>
      <c r="D6047" s="3" t="s">
        <v>32</v>
      </c>
      <c r="E6047" s="64">
        <v>1</v>
      </c>
    </row>
    <row r="6048" spans="1:5">
      <c r="A6048" s="64" t="s">
        <v>27</v>
      </c>
      <c r="B6048" s="65">
        <v>43378</v>
      </c>
      <c r="C6048" s="66" t="s">
        <v>220</v>
      </c>
      <c r="D6048" s="3" t="s">
        <v>32</v>
      </c>
      <c r="E6048" s="64">
        <v>1</v>
      </c>
    </row>
    <row r="6049" spans="1:5">
      <c r="A6049" s="64" t="s">
        <v>27</v>
      </c>
      <c r="B6049" s="65">
        <v>43379</v>
      </c>
      <c r="C6049" s="66" t="s">
        <v>221</v>
      </c>
      <c r="D6049" s="3" t="s">
        <v>32</v>
      </c>
      <c r="E6049" s="64">
        <v>1</v>
      </c>
    </row>
    <row r="6050" spans="1:5">
      <c r="A6050" s="64" t="s">
        <v>27</v>
      </c>
      <c r="B6050" s="65">
        <v>43380</v>
      </c>
      <c r="C6050" s="66" t="s">
        <v>222</v>
      </c>
      <c r="D6050" s="3" t="s">
        <v>32</v>
      </c>
      <c r="E6050" s="64">
        <v>1</v>
      </c>
    </row>
    <row r="6051" spans="1:5">
      <c r="A6051" s="64" t="s">
        <v>27</v>
      </c>
      <c r="B6051" s="65">
        <v>43381</v>
      </c>
      <c r="C6051" s="66" t="s">
        <v>216</v>
      </c>
      <c r="D6051" s="3" t="s">
        <v>32</v>
      </c>
      <c r="E6051" s="64">
        <v>1</v>
      </c>
    </row>
    <row r="6052" spans="1:5">
      <c r="A6052" s="64" t="s">
        <v>27</v>
      </c>
      <c r="B6052" s="65">
        <v>43382</v>
      </c>
      <c r="C6052" s="66" t="s">
        <v>217</v>
      </c>
      <c r="D6052" s="3" t="s">
        <v>32</v>
      </c>
      <c r="E6052" s="64">
        <v>1</v>
      </c>
    </row>
    <row r="6053" spans="1:5">
      <c r="A6053" s="64" t="s">
        <v>27</v>
      </c>
      <c r="B6053" s="65">
        <v>43383</v>
      </c>
      <c r="C6053" s="66" t="s">
        <v>218</v>
      </c>
      <c r="D6053" s="3" t="s">
        <v>32</v>
      </c>
      <c r="E6053" s="64">
        <v>1</v>
      </c>
    </row>
    <row r="6054" spans="1:5">
      <c r="A6054" s="64" t="s">
        <v>27</v>
      </c>
      <c r="B6054" s="65">
        <v>43384</v>
      </c>
      <c r="C6054" s="66" t="s">
        <v>219</v>
      </c>
      <c r="D6054" s="3" t="s">
        <v>32</v>
      </c>
      <c r="E6054" s="64">
        <v>1</v>
      </c>
    </row>
    <row r="6055" spans="1:5">
      <c r="A6055" s="64" t="s">
        <v>27</v>
      </c>
      <c r="B6055" s="65">
        <v>43385</v>
      </c>
      <c r="C6055" s="66" t="s">
        <v>220</v>
      </c>
      <c r="D6055" s="3" t="s">
        <v>32</v>
      </c>
      <c r="E6055" s="64">
        <v>1</v>
      </c>
    </row>
    <row r="6056" spans="1:5">
      <c r="A6056" s="64" t="s">
        <v>27</v>
      </c>
      <c r="B6056" s="65">
        <v>43386</v>
      </c>
      <c r="C6056" s="66" t="s">
        <v>221</v>
      </c>
      <c r="D6056" s="3" t="s">
        <v>32</v>
      </c>
      <c r="E6056" s="64">
        <v>1</v>
      </c>
    </row>
    <row r="6057" spans="1:5">
      <c r="A6057" s="64" t="s">
        <v>27</v>
      </c>
      <c r="B6057" s="65">
        <v>43387</v>
      </c>
      <c r="C6057" s="66" t="s">
        <v>222</v>
      </c>
      <c r="D6057" s="3" t="s">
        <v>32</v>
      </c>
      <c r="E6057" s="64">
        <v>1</v>
      </c>
    </row>
    <row r="6058" spans="1:5">
      <c r="A6058" s="64" t="s">
        <v>27</v>
      </c>
      <c r="B6058" s="65">
        <v>43388</v>
      </c>
      <c r="C6058" s="66" t="s">
        <v>216</v>
      </c>
      <c r="D6058" s="3" t="s">
        <v>32</v>
      </c>
      <c r="E6058" s="64">
        <v>1</v>
      </c>
    </row>
    <row r="6059" spans="1:5">
      <c r="A6059" s="64" t="s">
        <v>27</v>
      </c>
      <c r="B6059" s="65">
        <v>43389</v>
      </c>
      <c r="C6059" s="66" t="s">
        <v>217</v>
      </c>
      <c r="D6059" s="3" t="s">
        <v>32</v>
      </c>
      <c r="E6059" s="64">
        <v>1</v>
      </c>
    </row>
    <row r="6060" spans="1:5">
      <c r="A6060" s="64" t="s">
        <v>27</v>
      </c>
      <c r="B6060" s="65">
        <v>43390</v>
      </c>
      <c r="C6060" s="66" t="s">
        <v>218</v>
      </c>
      <c r="D6060" s="3" t="s">
        <v>32</v>
      </c>
      <c r="E6060" s="64">
        <v>1</v>
      </c>
    </row>
    <row r="6061" spans="1:5">
      <c r="A6061" s="64" t="s">
        <v>27</v>
      </c>
      <c r="B6061" s="65">
        <v>43391</v>
      </c>
      <c r="C6061" s="66" t="s">
        <v>219</v>
      </c>
      <c r="D6061" s="3" t="s">
        <v>32</v>
      </c>
      <c r="E6061" s="64">
        <v>1</v>
      </c>
    </row>
    <row r="6062" spans="1:5">
      <c r="A6062" s="64" t="s">
        <v>27</v>
      </c>
      <c r="B6062" s="65">
        <v>43392</v>
      </c>
      <c r="C6062" s="66" t="s">
        <v>220</v>
      </c>
      <c r="D6062" s="3" t="s">
        <v>32</v>
      </c>
      <c r="E6062" s="64">
        <v>1</v>
      </c>
    </row>
    <row r="6063" spans="1:5">
      <c r="A6063" s="64" t="s">
        <v>27</v>
      </c>
      <c r="B6063" s="65">
        <v>43393</v>
      </c>
      <c r="C6063" s="66" t="s">
        <v>221</v>
      </c>
      <c r="D6063" s="3" t="s">
        <v>32</v>
      </c>
      <c r="E6063" s="64">
        <v>1</v>
      </c>
    </row>
    <row r="6064" spans="1:5">
      <c r="A6064" s="64" t="s">
        <v>27</v>
      </c>
      <c r="B6064" s="65">
        <v>43394</v>
      </c>
      <c r="C6064" s="66" t="s">
        <v>222</v>
      </c>
      <c r="D6064" s="3" t="s">
        <v>32</v>
      </c>
      <c r="E6064" s="64">
        <v>1</v>
      </c>
    </row>
    <row r="6065" spans="1:5">
      <c r="A6065" s="64" t="s">
        <v>27</v>
      </c>
      <c r="B6065" s="65">
        <v>43395</v>
      </c>
      <c r="C6065" s="66" t="s">
        <v>216</v>
      </c>
      <c r="D6065" s="3" t="s">
        <v>32</v>
      </c>
      <c r="E6065" s="64">
        <v>1</v>
      </c>
    </row>
    <row r="6066" spans="1:5">
      <c r="A6066" s="64" t="s">
        <v>27</v>
      </c>
      <c r="B6066" s="65">
        <v>43396</v>
      </c>
      <c r="C6066" s="66" t="s">
        <v>217</v>
      </c>
      <c r="D6066" s="3" t="s">
        <v>32</v>
      </c>
      <c r="E6066" s="64">
        <v>1</v>
      </c>
    </row>
    <row r="6067" spans="1:5">
      <c r="A6067" s="64" t="s">
        <v>27</v>
      </c>
      <c r="B6067" s="65">
        <v>43397</v>
      </c>
      <c r="C6067" s="66" t="s">
        <v>218</v>
      </c>
      <c r="D6067" s="3" t="s">
        <v>32</v>
      </c>
      <c r="E6067" s="64">
        <v>1</v>
      </c>
    </row>
    <row r="6068" spans="1:5">
      <c r="A6068" s="64" t="s">
        <v>27</v>
      </c>
      <c r="B6068" s="65">
        <v>43398</v>
      </c>
      <c r="C6068" s="66" t="s">
        <v>219</v>
      </c>
      <c r="D6068" s="3" t="s">
        <v>32</v>
      </c>
      <c r="E6068" s="64">
        <v>1</v>
      </c>
    </row>
    <row r="6069" spans="1:5">
      <c r="A6069" s="64" t="s">
        <v>27</v>
      </c>
      <c r="B6069" s="65">
        <v>43399</v>
      </c>
      <c r="C6069" s="66" t="s">
        <v>220</v>
      </c>
      <c r="D6069" s="3" t="s">
        <v>32</v>
      </c>
      <c r="E6069" s="64">
        <v>1</v>
      </c>
    </row>
    <row r="6070" spans="1:5">
      <c r="A6070" s="64" t="s">
        <v>27</v>
      </c>
      <c r="B6070" s="65">
        <v>43400</v>
      </c>
      <c r="C6070" s="66" t="s">
        <v>221</v>
      </c>
      <c r="D6070" s="3" t="s">
        <v>32</v>
      </c>
      <c r="E6070" s="64">
        <v>1</v>
      </c>
    </row>
    <row r="6071" spans="1:5">
      <c r="A6071" s="64" t="s">
        <v>27</v>
      </c>
      <c r="B6071" s="65">
        <v>43401</v>
      </c>
      <c r="C6071" s="66" t="s">
        <v>222</v>
      </c>
      <c r="D6071" s="3" t="s">
        <v>32</v>
      </c>
      <c r="E6071" s="64">
        <v>1</v>
      </c>
    </row>
    <row r="6072" spans="1:5">
      <c r="A6072" s="64" t="s">
        <v>27</v>
      </c>
      <c r="B6072" s="65">
        <v>43402</v>
      </c>
      <c r="C6072" s="66" t="s">
        <v>216</v>
      </c>
      <c r="D6072" s="3" t="s">
        <v>32</v>
      </c>
      <c r="E6072" s="64">
        <v>1</v>
      </c>
    </row>
    <row r="6073" spans="1:5">
      <c r="A6073" s="64" t="s">
        <v>27</v>
      </c>
      <c r="B6073" s="65">
        <v>43403</v>
      </c>
      <c r="C6073" s="66" t="s">
        <v>217</v>
      </c>
      <c r="D6073" s="3" t="s">
        <v>32</v>
      </c>
      <c r="E6073" s="64">
        <v>1</v>
      </c>
    </row>
    <row r="6074" spans="1:5">
      <c r="A6074" s="64" t="s">
        <v>27</v>
      </c>
      <c r="B6074" s="65">
        <v>43404</v>
      </c>
      <c r="C6074" s="66" t="s">
        <v>218</v>
      </c>
      <c r="D6074" s="3" t="s">
        <v>32</v>
      </c>
      <c r="E6074" s="64">
        <v>1</v>
      </c>
    </row>
    <row r="6075" spans="1:5">
      <c r="A6075" s="64" t="s">
        <v>27</v>
      </c>
      <c r="B6075" s="65">
        <v>43405</v>
      </c>
      <c r="C6075" s="66" t="s">
        <v>219</v>
      </c>
      <c r="D6075" s="3" t="s">
        <v>32</v>
      </c>
      <c r="E6075" s="64">
        <v>1</v>
      </c>
    </row>
    <row r="6076" spans="1:5">
      <c r="A6076" s="64" t="s">
        <v>27</v>
      </c>
      <c r="B6076" s="65">
        <v>43406</v>
      </c>
      <c r="C6076" s="66" t="s">
        <v>220</v>
      </c>
      <c r="D6076" s="3" t="s">
        <v>32</v>
      </c>
      <c r="E6076" s="64">
        <v>1</v>
      </c>
    </row>
    <row r="6077" spans="1:5">
      <c r="A6077" s="64" t="s">
        <v>27</v>
      </c>
      <c r="B6077" s="65">
        <v>43407</v>
      </c>
      <c r="C6077" s="66" t="s">
        <v>221</v>
      </c>
      <c r="D6077" s="3" t="s">
        <v>32</v>
      </c>
      <c r="E6077" s="64">
        <v>1</v>
      </c>
    </row>
    <row r="6078" spans="1:5">
      <c r="A6078" s="64" t="s">
        <v>27</v>
      </c>
      <c r="B6078" s="65">
        <v>43408</v>
      </c>
      <c r="C6078" s="66" t="s">
        <v>222</v>
      </c>
      <c r="D6078" s="3" t="s">
        <v>32</v>
      </c>
      <c r="E6078" s="64">
        <v>1</v>
      </c>
    </row>
    <row r="6079" spans="1:5">
      <c r="A6079" s="64" t="s">
        <v>27</v>
      </c>
      <c r="B6079" s="65">
        <v>43409</v>
      </c>
      <c r="C6079" s="66" t="s">
        <v>216</v>
      </c>
      <c r="D6079" s="3" t="s">
        <v>32</v>
      </c>
      <c r="E6079" s="64">
        <v>1</v>
      </c>
    </row>
    <row r="6080" spans="1:5">
      <c r="A6080" s="64" t="s">
        <v>27</v>
      </c>
      <c r="B6080" s="65">
        <v>43410</v>
      </c>
      <c r="C6080" s="66" t="s">
        <v>217</v>
      </c>
      <c r="D6080" s="3" t="s">
        <v>32</v>
      </c>
      <c r="E6080" s="64">
        <v>1</v>
      </c>
    </row>
    <row r="6081" spans="1:5">
      <c r="A6081" s="64" t="s">
        <v>27</v>
      </c>
      <c r="B6081" s="65">
        <v>43411</v>
      </c>
      <c r="C6081" s="66" t="s">
        <v>218</v>
      </c>
      <c r="D6081" s="3" t="s">
        <v>32</v>
      </c>
      <c r="E6081" s="64">
        <v>1</v>
      </c>
    </row>
    <row r="6082" spans="1:5">
      <c r="A6082" s="64" t="s">
        <v>27</v>
      </c>
      <c r="B6082" s="65">
        <v>43412</v>
      </c>
      <c r="C6082" s="66" t="s">
        <v>219</v>
      </c>
      <c r="D6082" s="3" t="s">
        <v>32</v>
      </c>
      <c r="E6082" s="64">
        <v>1</v>
      </c>
    </row>
    <row r="6083" spans="1:5">
      <c r="A6083" s="64" t="s">
        <v>27</v>
      </c>
      <c r="B6083" s="65">
        <v>43413</v>
      </c>
      <c r="C6083" s="66" t="s">
        <v>220</v>
      </c>
      <c r="D6083" s="3" t="s">
        <v>32</v>
      </c>
      <c r="E6083" s="64">
        <v>1</v>
      </c>
    </row>
    <row r="6084" spans="1:5">
      <c r="A6084" s="64" t="s">
        <v>27</v>
      </c>
      <c r="B6084" s="65">
        <v>43414</v>
      </c>
      <c r="C6084" s="66" t="s">
        <v>221</v>
      </c>
      <c r="D6084" s="3" t="s">
        <v>32</v>
      </c>
      <c r="E6084" s="64">
        <v>1</v>
      </c>
    </row>
    <row r="6085" spans="1:5">
      <c r="A6085" s="64" t="s">
        <v>27</v>
      </c>
      <c r="B6085" s="65">
        <v>43415</v>
      </c>
      <c r="C6085" s="66" t="s">
        <v>222</v>
      </c>
      <c r="D6085" s="3" t="s">
        <v>32</v>
      </c>
      <c r="E6085" s="64">
        <v>1</v>
      </c>
    </row>
    <row r="6086" spans="1:5">
      <c r="A6086" s="64" t="s">
        <v>27</v>
      </c>
      <c r="B6086" s="65">
        <v>43416</v>
      </c>
      <c r="C6086" s="66" t="s">
        <v>216</v>
      </c>
      <c r="D6086" s="3" t="s">
        <v>32</v>
      </c>
      <c r="E6086" s="64">
        <v>1</v>
      </c>
    </row>
    <row r="6087" spans="1:5">
      <c r="A6087" s="64" t="s">
        <v>27</v>
      </c>
      <c r="B6087" s="65">
        <v>43417</v>
      </c>
      <c r="C6087" s="66" t="s">
        <v>217</v>
      </c>
      <c r="D6087" s="3" t="s">
        <v>32</v>
      </c>
      <c r="E6087" s="64">
        <v>1</v>
      </c>
    </row>
    <row r="6088" spans="1:5">
      <c r="A6088" s="64" t="s">
        <v>27</v>
      </c>
      <c r="B6088" s="65">
        <v>43418</v>
      </c>
      <c r="C6088" s="66" t="s">
        <v>218</v>
      </c>
      <c r="D6088" s="3" t="s">
        <v>32</v>
      </c>
      <c r="E6088" s="64">
        <v>1</v>
      </c>
    </row>
    <row r="6089" spans="1:5">
      <c r="A6089" s="64" t="s">
        <v>27</v>
      </c>
      <c r="B6089" s="65">
        <v>43419</v>
      </c>
      <c r="C6089" s="66" t="s">
        <v>219</v>
      </c>
      <c r="D6089" s="3" t="s">
        <v>32</v>
      </c>
      <c r="E6089" s="64">
        <v>1</v>
      </c>
    </row>
    <row r="6090" spans="1:5">
      <c r="A6090" s="64" t="s">
        <v>27</v>
      </c>
      <c r="B6090" s="65">
        <v>43420</v>
      </c>
      <c r="C6090" s="66" t="s">
        <v>220</v>
      </c>
      <c r="D6090" s="3" t="s">
        <v>32</v>
      </c>
      <c r="E6090" s="64">
        <v>1</v>
      </c>
    </row>
    <row r="6091" spans="1:5">
      <c r="A6091" s="64" t="s">
        <v>27</v>
      </c>
      <c r="B6091" s="65">
        <v>43421</v>
      </c>
      <c r="C6091" s="66" t="s">
        <v>221</v>
      </c>
      <c r="D6091" s="3" t="s">
        <v>32</v>
      </c>
      <c r="E6091" s="64">
        <v>1</v>
      </c>
    </row>
    <row r="6092" spans="1:5">
      <c r="A6092" s="64" t="s">
        <v>27</v>
      </c>
      <c r="B6092" s="65">
        <v>43422</v>
      </c>
      <c r="C6092" s="66" t="s">
        <v>222</v>
      </c>
      <c r="D6092" s="3" t="s">
        <v>32</v>
      </c>
      <c r="E6092" s="64">
        <v>1</v>
      </c>
    </row>
    <row r="6093" spans="1:5">
      <c r="A6093" s="64" t="s">
        <v>27</v>
      </c>
      <c r="B6093" s="65">
        <v>43423</v>
      </c>
      <c r="C6093" s="66" t="s">
        <v>216</v>
      </c>
      <c r="D6093" s="3" t="s">
        <v>32</v>
      </c>
      <c r="E6093" s="64">
        <v>1</v>
      </c>
    </row>
    <row r="6094" spans="1:5">
      <c r="A6094" s="64" t="s">
        <v>27</v>
      </c>
      <c r="B6094" s="65">
        <v>43424</v>
      </c>
      <c r="C6094" s="66" t="s">
        <v>217</v>
      </c>
      <c r="D6094" s="3" t="s">
        <v>32</v>
      </c>
      <c r="E6094" s="64">
        <v>1</v>
      </c>
    </row>
    <row r="6095" spans="1:5">
      <c r="A6095" s="64" t="s">
        <v>27</v>
      </c>
      <c r="B6095" s="65">
        <v>43425</v>
      </c>
      <c r="C6095" s="66" t="s">
        <v>218</v>
      </c>
      <c r="D6095" s="3" t="s">
        <v>32</v>
      </c>
      <c r="E6095" s="64">
        <v>1</v>
      </c>
    </row>
    <row r="6096" spans="1:5">
      <c r="A6096" s="64" t="s">
        <v>27</v>
      </c>
      <c r="B6096" s="65">
        <v>43426</v>
      </c>
      <c r="C6096" s="66" t="s">
        <v>219</v>
      </c>
      <c r="D6096" s="3" t="s">
        <v>32</v>
      </c>
      <c r="E6096" s="64">
        <v>1</v>
      </c>
    </row>
    <row r="6097" spans="1:5">
      <c r="A6097" s="64" t="s">
        <v>27</v>
      </c>
      <c r="B6097" s="65">
        <v>43427</v>
      </c>
      <c r="C6097" s="66" t="s">
        <v>220</v>
      </c>
      <c r="D6097" s="3" t="s">
        <v>32</v>
      </c>
      <c r="E6097" s="64">
        <v>1</v>
      </c>
    </row>
    <row r="6098" spans="1:5">
      <c r="A6098" s="64" t="s">
        <v>27</v>
      </c>
      <c r="B6098" s="65">
        <v>43428</v>
      </c>
      <c r="C6098" s="66" t="s">
        <v>221</v>
      </c>
      <c r="D6098" s="3" t="s">
        <v>32</v>
      </c>
      <c r="E6098" s="64">
        <v>1</v>
      </c>
    </row>
    <row r="6099" spans="1:5">
      <c r="A6099" s="64" t="s">
        <v>27</v>
      </c>
      <c r="B6099" s="65">
        <v>43429</v>
      </c>
      <c r="C6099" s="66" t="s">
        <v>222</v>
      </c>
      <c r="D6099" s="3" t="s">
        <v>32</v>
      </c>
      <c r="E6099" s="64">
        <v>1</v>
      </c>
    </row>
    <row r="6100" spans="1:5">
      <c r="A6100" s="64" t="s">
        <v>27</v>
      </c>
      <c r="B6100" s="65">
        <v>43430</v>
      </c>
      <c r="C6100" s="66" t="s">
        <v>216</v>
      </c>
      <c r="D6100" s="3" t="s">
        <v>32</v>
      </c>
      <c r="E6100" s="64">
        <v>1</v>
      </c>
    </row>
    <row r="6101" spans="1:5">
      <c r="A6101" s="64" t="s">
        <v>27</v>
      </c>
      <c r="B6101" s="65">
        <v>43431</v>
      </c>
      <c r="C6101" s="66" t="s">
        <v>217</v>
      </c>
      <c r="D6101" s="3" t="s">
        <v>32</v>
      </c>
      <c r="E6101" s="64">
        <v>1</v>
      </c>
    </row>
    <row r="6102" spans="1:5">
      <c r="A6102" s="64" t="s">
        <v>27</v>
      </c>
      <c r="B6102" s="65">
        <v>43432</v>
      </c>
      <c r="C6102" s="66" t="s">
        <v>218</v>
      </c>
      <c r="D6102" s="3" t="s">
        <v>32</v>
      </c>
      <c r="E6102" s="64">
        <v>1</v>
      </c>
    </row>
    <row r="6103" spans="1:5">
      <c r="A6103" s="64" t="s">
        <v>27</v>
      </c>
      <c r="B6103" s="65">
        <v>43433</v>
      </c>
      <c r="C6103" s="66" t="s">
        <v>219</v>
      </c>
      <c r="D6103" s="3" t="s">
        <v>32</v>
      </c>
      <c r="E6103" s="64">
        <v>1</v>
      </c>
    </row>
    <row r="6104" spans="1:5">
      <c r="A6104" s="64" t="s">
        <v>27</v>
      </c>
      <c r="B6104" s="65">
        <v>43434</v>
      </c>
      <c r="C6104" s="66" t="s">
        <v>220</v>
      </c>
      <c r="D6104" s="3" t="s">
        <v>32</v>
      </c>
      <c r="E6104" s="64">
        <v>1</v>
      </c>
    </row>
    <row r="6105" spans="1:5">
      <c r="A6105" s="64" t="s">
        <v>27</v>
      </c>
      <c r="B6105" s="65">
        <v>43435</v>
      </c>
      <c r="C6105" s="66" t="s">
        <v>221</v>
      </c>
      <c r="D6105" s="3" t="s">
        <v>32</v>
      </c>
      <c r="E6105" s="64">
        <v>1</v>
      </c>
    </row>
    <row r="6106" spans="1:5">
      <c r="A6106" s="64" t="s">
        <v>27</v>
      </c>
      <c r="B6106" s="65">
        <v>43436</v>
      </c>
      <c r="C6106" s="66" t="s">
        <v>222</v>
      </c>
      <c r="D6106" s="3" t="s">
        <v>32</v>
      </c>
      <c r="E6106" s="64">
        <v>1</v>
      </c>
    </row>
    <row r="6107" spans="1:5">
      <c r="A6107" s="64" t="s">
        <v>27</v>
      </c>
      <c r="B6107" s="65">
        <v>43437</v>
      </c>
      <c r="C6107" s="66" t="s">
        <v>216</v>
      </c>
      <c r="D6107" s="3" t="s">
        <v>32</v>
      </c>
      <c r="E6107" s="64">
        <v>1</v>
      </c>
    </row>
    <row r="6108" spans="1:5">
      <c r="A6108" s="64" t="s">
        <v>27</v>
      </c>
      <c r="B6108" s="65">
        <v>43438</v>
      </c>
      <c r="C6108" s="66" t="s">
        <v>217</v>
      </c>
      <c r="D6108" s="3" t="s">
        <v>32</v>
      </c>
      <c r="E6108" s="64">
        <v>1</v>
      </c>
    </row>
    <row r="6109" spans="1:5">
      <c r="A6109" s="64" t="s">
        <v>27</v>
      </c>
      <c r="B6109" s="65">
        <v>43439</v>
      </c>
      <c r="C6109" s="66" t="s">
        <v>218</v>
      </c>
      <c r="D6109" s="3" t="s">
        <v>32</v>
      </c>
      <c r="E6109" s="64">
        <v>1</v>
      </c>
    </row>
    <row r="6110" spans="1:5">
      <c r="A6110" s="64" t="s">
        <v>27</v>
      </c>
      <c r="B6110" s="65">
        <v>43440</v>
      </c>
      <c r="C6110" s="66" t="s">
        <v>219</v>
      </c>
      <c r="D6110" s="3" t="s">
        <v>32</v>
      </c>
      <c r="E6110" s="64">
        <v>1</v>
      </c>
    </row>
    <row r="6111" spans="1:5">
      <c r="A6111" s="64" t="s">
        <v>27</v>
      </c>
      <c r="B6111" s="65">
        <v>43441</v>
      </c>
      <c r="C6111" s="66" t="s">
        <v>220</v>
      </c>
      <c r="D6111" s="3" t="s">
        <v>32</v>
      </c>
      <c r="E6111" s="64">
        <v>1</v>
      </c>
    </row>
    <row r="6112" spans="1:5">
      <c r="A6112" s="64" t="s">
        <v>27</v>
      </c>
      <c r="B6112" s="65">
        <v>43442</v>
      </c>
      <c r="C6112" s="66" t="s">
        <v>221</v>
      </c>
      <c r="D6112" s="3" t="s">
        <v>32</v>
      </c>
      <c r="E6112" s="64">
        <v>1</v>
      </c>
    </row>
    <row r="6113" spans="1:5">
      <c r="A6113" s="64" t="s">
        <v>27</v>
      </c>
      <c r="B6113" s="65">
        <v>43443</v>
      </c>
      <c r="C6113" s="66" t="s">
        <v>222</v>
      </c>
      <c r="D6113" s="3" t="s">
        <v>32</v>
      </c>
      <c r="E6113" s="64">
        <v>1</v>
      </c>
    </row>
    <row r="6114" spans="1:5">
      <c r="A6114" s="64" t="s">
        <v>27</v>
      </c>
      <c r="B6114" s="65">
        <v>43444</v>
      </c>
      <c r="C6114" s="66" t="s">
        <v>216</v>
      </c>
      <c r="D6114" s="3" t="s">
        <v>32</v>
      </c>
      <c r="E6114" s="64">
        <v>1</v>
      </c>
    </row>
    <row r="6115" spans="1:5">
      <c r="A6115" s="64" t="s">
        <v>27</v>
      </c>
      <c r="B6115" s="65">
        <v>43445</v>
      </c>
      <c r="C6115" s="66" t="s">
        <v>217</v>
      </c>
      <c r="D6115" s="3" t="s">
        <v>32</v>
      </c>
      <c r="E6115" s="64">
        <v>1</v>
      </c>
    </row>
    <row r="6116" spans="1:5">
      <c r="A6116" s="64" t="s">
        <v>27</v>
      </c>
      <c r="B6116" s="65">
        <v>43446</v>
      </c>
      <c r="C6116" s="66" t="s">
        <v>218</v>
      </c>
      <c r="D6116" s="3" t="s">
        <v>32</v>
      </c>
      <c r="E6116" s="64">
        <v>1</v>
      </c>
    </row>
    <row r="6117" spans="1:5">
      <c r="A6117" s="64" t="s">
        <v>27</v>
      </c>
      <c r="B6117" s="65">
        <v>43447</v>
      </c>
      <c r="C6117" s="66" t="s">
        <v>219</v>
      </c>
      <c r="D6117" s="3" t="s">
        <v>32</v>
      </c>
      <c r="E6117" s="64">
        <v>1</v>
      </c>
    </row>
    <row r="6118" spans="1:5">
      <c r="A6118" s="64" t="s">
        <v>27</v>
      </c>
      <c r="B6118" s="65">
        <v>43448</v>
      </c>
      <c r="C6118" s="66" t="s">
        <v>220</v>
      </c>
      <c r="D6118" s="3" t="s">
        <v>32</v>
      </c>
      <c r="E6118" s="64">
        <v>1</v>
      </c>
    </row>
    <row r="6119" spans="1:5">
      <c r="A6119" s="64" t="s">
        <v>27</v>
      </c>
      <c r="B6119" s="65">
        <v>43449</v>
      </c>
      <c r="C6119" s="66" t="s">
        <v>221</v>
      </c>
      <c r="D6119" s="3" t="s">
        <v>32</v>
      </c>
      <c r="E6119" s="64">
        <v>1</v>
      </c>
    </row>
    <row r="6120" spans="1:5">
      <c r="A6120" s="64" t="s">
        <v>27</v>
      </c>
      <c r="B6120" s="65">
        <v>43450</v>
      </c>
      <c r="C6120" s="66" t="s">
        <v>222</v>
      </c>
      <c r="D6120" s="3" t="s">
        <v>32</v>
      </c>
      <c r="E6120" s="64">
        <v>1</v>
      </c>
    </row>
    <row r="6121" spans="1:5">
      <c r="A6121" s="64" t="s">
        <v>27</v>
      </c>
      <c r="B6121" s="65">
        <v>43451</v>
      </c>
      <c r="C6121" s="66" t="s">
        <v>216</v>
      </c>
      <c r="D6121" s="3" t="s">
        <v>32</v>
      </c>
      <c r="E6121" s="64">
        <v>1</v>
      </c>
    </row>
    <row r="6122" spans="1:5">
      <c r="A6122" s="64" t="s">
        <v>27</v>
      </c>
      <c r="B6122" s="65">
        <v>43452</v>
      </c>
      <c r="C6122" s="66" t="s">
        <v>217</v>
      </c>
      <c r="D6122" s="3" t="s">
        <v>32</v>
      </c>
      <c r="E6122" s="64">
        <v>1</v>
      </c>
    </row>
    <row r="6123" spans="1:5">
      <c r="A6123" s="64" t="s">
        <v>27</v>
      </c>
      <c r="B6123" s="65">
        <v>43453</v>
      </c>
      <c r="C6123" s="66" t="s">
        <v>218</v>
      </c>
      <c r="D6123" s="3" t="s">
        <v>32</v>
      </c>
      <c r="E6123" s="64">
        <v>1</v>
      </c>
    </row>
    <row r="6124" spans="1:5">
      <c r="A6124" s="64" t="s">
        <v>27</v>
      </c>
      <c r="B6124" s="65">
        <v>43454</v>
      </c>
      <c r="C6124" s="66" t="s">
        <v>219</v>
      </c>
      <c r="D6124" s="3" t="s">
        <v>32</v>
      </c>
      <c r="E6124" s="64">
        <v>1</v>
      </c>
    </row>
    <row r="6125" spans="1:5">
      <c r="A6125" s="64" t="s">
        <v>27</v>
      </c>
      <c r="B6125" s="65">
        <v>43455</v>
      </c>
      <c r="C6125" s="66" t="s">
        <v>220</v>
      </c>
      <c r="D6125" s="3" t="s">
        <v>32</v>
      </c>
      <c r="E6125" s="64">
        <v>1</v>
      </c>
    </row>
    <row r="6126" spans="1:5">
      <c r="A6126" s="64" t="s">
        <v>27</v>
      </c>
      <c r="B6126" s="65">
        <v>43456</v>
      </c>
      <c r="C6126" s="66" t="s">
        <v>221</v>
      </c>
      <c r="D6126" s="3" t="s">
        <v>32</v>
      </c>
      <c r="E6126" s="64">
        <v>1</v>
      </c>
    </row>
    <row r="6127" spans="1:5">
      <c r="A6127" s="64" t="s">
        <v>27</v>
      </c>
      <c r="B6127" s="65">
        <v>43457</v>
      </c>
      <c r="C6127" s="66" t="s">
        <v>222</v>
      </c>
      <c r="D6127" s="3" t="s">
        <v>32</v>
      </c>
      <c r="E6127" s="64">
        <v>1</v>
      </c>
    </row>
    <row r="6128" spans="1:5">
      <c r="A6128" s="64" t="s">
        <v>27</v>
      </c>
      <c r="B6128" s="65">
        <v>43458</v>
      </c>
      <c r="C6128" s="66" t="s">
        <v>216</v>
      </c>
      <c r="D6128" s="3" t="s">
        <v>32</v>
      </c>
      <c r="E6128" s="64">
        <v>1</v>
      </c>
    </row>
    <row r="6129" spans="1:5">
      <c r="A6129" s="64" t="s">
        <v>27</v>
      </c>
      <c r="B6129" s="65">
        <v>43459</v>
      </c>
      <c r="C6129" s="66" t="s">
        <v>217</v>
      </c>
      <c r="D6129" s="3" t="s">
        <v>32</v>
      </c>
      <c r="E6129" s="64">
        <v>1</v>
      </c>
    </row>
    <row r="6130" spans="1:5">
      <c r="A6130" s="64" t="s">
        <v>27</v>
      </c>
      <c r="B6130" s="65">
        <v>43460</v>
      </c>
      <c r="C6130" s="66" t="s">
        <v>218</v>
      </c>
      <c r="D6130" s="3" t="s">
        <v>32</v>
      </c>
      <c r="E6130" s="64">
        <v>1</v>
      </c>
    </row>
    <row r="6131" spans="1:5">
      <c r="A6131" s="64" t="s">
        <v>27</v>
      </c>
      <c r="B6131" s="65">
        <v>43461</v>
      </c>
      <c r="C6131" s="66" t="s">
        <v>219</v>
      </c>
      <c r="D6131" s="3" t="s">
        <v>32</v>
      </c>
      <c r="E6131" s="64">
        <v>1</v>
      </c>
    </row>
    <row r="6132" spans="1:5">
      <c r="A6132" s="64" t="s">
        <v>27</v>
      </c>
      <c r="B6132" s="65">
        <v>43462</v>
      </c>
      <c r="C6132" s="66" t="s">
        <v>220</v>
      </c>
      <c r="D6132" s="3" t="s">
        <v>32</v>
      </c>
      <c r="E6132" s="64">
        <v>1</v>
      </c>
    </row>
    <row r="6133" spans="1:5">
      <c r="A6133" s="64" t="s">
        <v>27</v>
      </c>
      <c r="B6133" s="65">
        <v>43463</v>
      </c>
      <c r="C6133" s="66" t="s">
        <v>221</v>
      </c>
      <c r="D6133" s="3" t="s">
        <v>32</v>
      </c>
      <c r="E6133" s="64">
        <v>1</v>
      </c>
    </row>
    <row r="6134" spans="1:5">
      <c r="A6134" s="64" t="s">
        <v>27</v>
      </c>
      <c r="B6134" s="65">
        <v>43464</v>
      </c>
      <c r="C6134" s="66" t="s">
        <v>222</v>
      </c>
      <c r="D6134" s="3" t="s">
        <v>32</v>
      </c>
      <c r="E6134" s="64">
        <v>1</v>
      </c>
    </row>
    <row r="6135" spans="1:5">
      <c r="A6135" s="64" t="s">
        <v>27</v>
      </c>
      <c r="B6135" s="65">
        <v>43465</v>
      </c>
      <c r="C6135" s="66" t="s">
        <v>216</v>
      </c>
      <c r="D6135" s="3" t="s">
        <v>32</v>
      </c>
      <c r="E6135" s="64">
        <v>1</v>
      </c>
    </row>
    <row r="6136" spans="1:5">
      <c r="A6136" s="64" t="s">
        <v>27</v>
      </c>
      <c r="B6136" s="65">
        <v>43466</v>
      </c>
      <c r="C6136" s="66" t="s">
        <v>217</v>
      </c>
      <c r="D6136" s="3" t="s">
        <v>32</v>
      </c>
      <c r="E6136" s="64">
        <v>1</v>
      </c>
    </row>
    <row r="6137" spans="1:5">
      <c r="A6137" s="64" t="s">
        <v>27</v>
      </c>
      <c r="B6137" s="65">
        <v>43467</v>
      </c>
      <c r="C6137" s="66" t="s">
        <v>218</v>
      </c>
      <c r="D6137" s="3" t="s">
        <v>32</v>
      </c>
      <c r="E6137" s="64">
        <v>1</v>
      </c>
    </row>
    <row r="6138" spans="1:5">
      <c r="A6138" s="64" t="s">
        <v>27</v>
      </c>
      <c r="B6138" s="65">
        <v>43468</v>
      </c>
      <c r="C6138" s="66" t="s">
        <v>219</v>
      </c>
      <c r="D6138" s="3" t="s">
        <v>32</v>
      </c>
      <c r="E6138" s="64">
        <v>1</v>
      </c>
    </row>
    <row r="6139" spans="1:5">
      <c r="A6139" s="64" t="s">
        <v>27</v>
      </c>
      <c r="B6139" s="65">
        <v>43469</v>
      </c>
      <c r="C6139" s="66" t="s">
        <v>220</v>
      </c>
      <c r="D6139" s="3" t="s">
        <v>32</v>
      </c>
      <c r="E6139" s="64">
        <v>1</v>
      </c>
    </row>
    <row r="6140" spans="1:5">
      <c r="A6140" s="64" t="s">
        <v>27</v>
      </c>
      <c r="B6140" s="65">
        <v>43470</v>
      </c>
      <c r="C6140" s="66" t="s">
        <v>221</v>
      </c>
      <c r="D6140" s="3" t="s">
        <v>32</v>
      </c>
      <c r="E6140" s="64">
        <v>1</v>
      </c>
    </row>
    <row r="6141" spans="1:5">
      <c r="A6141" s="64" t="s">
        <v>27</v>
      </c>
      <c r="B6141" s="65">
        <v>43471</v>
      </c>
      <c r="C6141" s="66" t="s">
        <v>222</v>
      </c>
      <c r="D6141" s="3" t="s">
        <v>32</v>
      </c>
      <c r="E6141" s="64">
        <v>1</v>
      </c>
    </row>
    <row r="6142" spans="1:5">
      <c r="A6142" s="64" t="s">
        <v>27</v>
      </c>
      <c r="B6142" s="65">
        <v>43472</v>
      </c>
      <c r="C6142" s="66" t="s">
        <v>216</v>
      </c>
      <c r="D6142" s="3" t="s">
        <v>32</v>
      </c>
      <c r="E6142" s="64">
        <v>1</v>
      </c>
    </row>
    <row r="6143" spans="1:5">
      <c r="A6143" s="64" t="s">
        <v>27</v>
      </c>
      <c r="B6143" s="65">
        <v>43473</v>
      </c>
      <c r="C6143" s="66" t="s">
        <v>217</v>
      </c>
      <c r="D6143" s="3" t="s">
        <v>32</v>
      </c>
      <c r="E6143" s="64">
        <v>1</v>
      </c>
    </row>
    <row r="6144" spans="1:5">
      <c r="A6144" s="64" t="s">
        <v>27</v>
      </c>
      <c r="B6144" s="65">
        <v>43474</v>
      </c>
      <c r="C6144" s="66" t="s">
        <v>218</v>
      </c>
      <c r="D6144" s="3" t="s">
        <v>32</v>
      </c>
      <c r="E6144" s="64">
        <v>1</v>
      </c>
    </row>
    <row r="6145" spans="1:5">
      <c r="A6145" s="64" t="s">
        <v>27</v>
      </c>
      <c r="B6145" s="65">
        <v>43475</v>
      </c>
      <c r="C6145" s="66" t="s">
        <v>219</v>
      </c>
      <c r="D6145" s="3" t="s">
        <v>32</v>
      </c>
      <c r="E6145" s="64">
        <v>1</v>
      </c>
    </row>
    <row r="6146" spans="1:5">
      <c r="A6146" s="64" t="s">
        <v>27</v>
      </c>
      <c r="B6146" s="65">
        <v>43476</v>
      </c>
      <c r="C6146" s="66" t="s">
        <v>220</v>
      </c>
      <c r="D6146" s="3" t="s">
        <v>32</v>
      </c>
      <c r="E6146" s="64">
        <v>1</v>
      </c>
    </row>
    <row r="6147" spans="1:5">
      <c r="A6147" s="64" t="s">
        <v>27</v>
      </c>
      <c r="B6147" s="65">
        <v>43477</v>
      </c>
      <c r="C6147" s="66" t="s">
        <v>221</v>
      </c>
      <c r="D6147" s="3" t="s">
        <v>32</v>
      </c>
      <c r="E6147" s="64">
        <v>1</v>
      </c>
    </row>
    <row r="6148" spans="1:5">
      <c r="A6148" s="64" t="s">
        <v>27</v>
      </c>
      <c r="B6148" s="65">
        <v>43478</v>
      </c>
      <c r="C6148" s="66" t="s">
        <v>222</v>
      </c>
      <c r="D6148" s="3" t="s">
        <v>32</v>
      </c>
      <c r="E6148" s="64">
        <v>1</v>
      </c>
    </row>
    <row r="6149" spans="1:5">
      <c r="A6149" s="64" t="s">
        <v>27</v>
      </c>
      <c r="B6149" s="65">
        <v>43479</v>
      </c>
      <c r="C6149" s="66" t="s">
        <v>216</v>
      </c>
      <c r="D6149" s="3" t="s">
        <v>32</v>
      </c>
      <c r="E6149" s="64">
        <v>1</v>
      </c>
    </row>
    <row r="6150" spans="1:5">
      <c r="A6150" s="64" t="s">
        <v>27</v>
      </c>
      <c r="B6150" s="65">
        <v>43480</v>
      </c>
      <c r="C6150" s="66" t="s">
        <v>217</v>
      </c>
      <c r="D6150" s="3" t="s">
        <v>32</v>
      </c>
      <c r="E6150" s="64">
        <v>1</v>
      </c>
    </row>
    <row r="6151" spans="1:5">
      <c r="A6151" s="64" t="s">
        <v>27</v>
      </c>
      <c r="B6151" s="65">
        <v>43481</v>
      </c>
      <c r="C6151" s="66" t="s">
        <v>218</v>
      </c>
      <c r="D6151" s="3" t="s">
        <v>32</v>
      </c>
      <c r="E6151" s="64">
        <v>1</v>
      </c>
    </row>
    <row r="6152" spans="1:5">
      <c r="A6152" s="64" t="s">
        <v>27</v>
      </c>
      <c r="B6152" s="65">
        <v>43482</v>
      </c>
      <c r="C6152" s="66" t="s">
        <v>219</v>
      </c>
      <c r="D6152" s="3" t="s">
        <v>32</v>
      </c>
      <c r="E6152" s="64">
        <v>1</v>
      </c>
    </row>
    <row r="6153" spans="1:5">
      <c r="A6153" s="64" t="s">
        <v>27</v>
      </c>
      <c r="B6153" s="65">
        <v>43483</v>
      </c>
      <c r="C6153" s="66" t="s">
        <v>220</v>
      </c>
      <c r="D6153" s="3" t="s">
        <v>32</v>
      </c>
      <c r="E6153" s="64">
        <v>1</v>
      </c>
    </row>
    <row r="6154" spans="1:5">
      <c r="A6154" s="64" t="s">
        <v>27</v>
      </c>
      <c r="B6154" s="65">
        <v>43484</v>
      </c>
      <c r="C6154" s="66" t="s">
        <v>221</v>
      </c>
      <c r="D6154" s="3" t="s">
        <v>32</v>
      </c>
      <c r="E6154" s="64">
        <v>1</v>
      </c>
    </row>
    <row r="6155" spans="1:5">
      <c r="A6155" s="64" t="s">
        <v>27</v>
      </c>
      <c r="B6155" s="65">
        <v>43485</v>
      </c>
      <c r="C6155" s="66" t="s">
        <v>222</v>
      </c>
      <c r="D6155" s="3" t="s">
        <v>32</v>
      </c>
      <c r="E6155" s="64">
        <v>1</v>
      </c>
    </row>
    <row r="6156" spans="1:5">
      <c r="A6156" s="64" t="s">
        <v>27</v>
      </c>
      <c r="B6156" s="65">
        <v>43486</v>
      </c>
      <c r="C6156" s="66" t="s">
        <v>216</v>
      </c>
      <c r="D6156" s="3" t="s">
        <v>32</v>
      </c>
      <c r="E6156" s="64">
        <v>1</v>
      </c>
    </row>
    <row r="6157" spans="1:5">
      <c r="A6157" s="64" t="s">
        <v>27</v>
      </c>
      <c r="B6157" s="65">
        <v>43487</v>
      </c>
      <c r="C6157" s="66" t="s">
        <v>217</v>
      </c>
      <c r="D6157" s="3" t="s">
        <v>32</v>
      </c>
      <c r="E6157" s="64">
        <v>1</v>
      </c>
    </row>
    <row r="6158" spans="1:5">
      <c r="A6158" s="64" t="s">
        <v>27</v>
      </c>
      <c r="B6158" s="65">
        <v>43488</v>
      </c>
      <c r="C6158" s="66" t="s">
        <v>218</v>
      </c>
      <c r="D6158" s="3" t="s">
        <v>32</v>
      </c>
      <c r="E6158" s="64">
        <v>1</v>
      </c>
    </row>
    <row r="6159" spans="1:5">
      <c r="A6159" s="64" t="s">
        <v>27</v>
      </c>
      <c r="B6159" s="65">
        <v>43489</v>
      </c>
      <c r="C6159" s="66" t="s">
        <v>219</v>
      </c>
      <c r="D6159" s="3" t="s">
        <v>32</v>
      </c>
      <c r="E6159" s="64">
        <v>1</v>
      </c>
    </row>
    <row r="6160" spans="1:5">
      <c r="A6160" s="64" t="s">
        <v>27</v>
      </c>
      <c r="B6160" s="65">
        <v>43490</v>
      </c>
      <c r="C6160" s="66" t="s">
        <v>220</v>
      </c>
      <c r="D6160" s="3" t="s">
        <v>32</v>
      </c>
      <c r="E6160" s="64">
        <v>1</v>
      </c>
    </row>
    <row r="6161" spans="1:5">
      <c r="A6161" s="64" t="s">
        <v>27</v>
      </c>
      <c r="B6161" s="65">
        <v>43491</v>
      </c>
      <c r="C6161" s="66" t="s">
        <v>221</v>
      </c>
      <c r="D6161" s="3" t="s">
        <v>32</v>
      </c>
      <c r="E6161" s="64">
        <v>1</v>
      </c>
    </row>
    <row r="6162" spans="1:5">
      <c r="A6162" s="64" t="s">
        <v>27</v>
      </c>
      <c r="B6162" s="65">
        <v>43492</v>
      </c>
      <c r="C6162" s="66" t="s">
        <v>222</v>
      </c>
      <c r="D6162" s="3" t="s">
        <v>32</v>
      </c>
      <c r="E6162" s="64">
        <v>1</v>
      </c>
    </row>
    <row r="6163" spans="1:5">
      <c r="A6163" s="64" t="s">
        <v>27</v>
      </c>
      <c r="B6163" s="65">
        <v>43493</v>
      </c>
      <c r="C6163" s="66" t="s">
        <v>216</v>
      </c>
      <c r="D6163" s="3" t="s">
        <v>32</v>
      </c>
      <c r="E6163" s="64">
        <v>1</v>
      </c>
    </row>
    <row r="6164" spans="1:5">
      <c r="A6164" s="64" t="s">
        <v>27</v>
      </c>
      <c r="B6164" s="65">
        <v>43494</v>
      </c>
      <c r="C6164" s="66" t="s">
        <v>217</v>
      </c>
      <c r="D6164" s="3" t="s">
        <v>32</v>
      </c>
      <c r="E6164" s="64">
        <v>1</v>
      </c>
    </row>
    <row r="6165" spans="1:5">
      <c r="A6165" s="64" t="s">
        <v>27</v>
      </c>
      <c r="B6165" s="65">
        <v>43495</v>
      </c>
      <c r="C6165" s="66" t="s">
        <v>218</v>
      </c>
      <c r="D6165" s="3" t="s">
        <v>32</v>
      </c>
      <c r="E6165" s="64">
        <v>1</v>
      </c>
    </row>
    <row r="6166" spans="1:5">
      <c r="A6166" s="64" t="s">
        <v>27</v>
      </c>
      <c r="B6166" s="65">
        <v>43496</v>
      </c>
      <c r="C6166" s="66" t="s">
        <v>219</v>
      </c>
      <c r="D6166" s="3" t="s">
        <v>32</v>
      </c>
      <c r="E6166" s="64">
        <v>1</v>
      </c>
    </row>
    <row r="6167" spans="1:5">
      <c r="A6167" s="64" t="s">
        <v>27</v>
      </c>
      <c r="B6167" s="65">
        <v>43497</v>
      </c>
      <c r="C6167" s="66" t="s">
        <v>220</v>
      </c>
      <c r="D6167" s="3" t="s">
        <v>32</v>
      </c>
      <c r="E6167" s="64">
        <v>1</v>
      </c>
    </row>
    <row r="6168" spans="1:5">
      <c r="A6168" s="64" t="s">
        <v>27</v>
      </c>
      <c r="B6168" s="65">
        <v>43498</v>
      </c>
      <c r="C6168" s="66" t="s">
        <v>221</v>
      </c>
      <c r="D6168" s="3" t="s">
        <v>32</v>
      </c>
      <c r="E6168" s="64">
        <v>1</v>
      </c>
    </row>
    <row r="6169" spans="1:5">
      <c r="A6169" s="64" t="s">
        <v>27</v>
      </c>
      <c r="B6169" s="65">
        <v>43499</v>
      </c>
      <c r="C6169" s="66" t="s">
        <v>222</v>
      </c>
      <c r="D6169" s="3" t="s">
        <v>32</v>
      </c>
      <c r="E6169" s="64">
        <v>1</v>
      </c>
    </row>
    <row r="6170" spans="1:5">
      <c r="A6170" s="64" t="s">
        <v>27</v>
      </c>
      <c r="B6170" s="65">
        <v>43500</v>
      </c>
      <c r="C6170" s="66" t="s">
        <v>216</v>
      </c>
      <c r="D6170" s="3" t="s">
        <v>32</v>
      </c>
      <c r="E6170" s="64">
        <v>1</v>
      </c>
    </row>
    <row r="6171" spans="1:5">
      <c r="A6171" s="64" t="s">
        <v>27</v>
      </c>
      <c r="B6171" s="65">
        <v>43501</v>
      </c>
      <c r="C6171" s="66" t="s">
        <v>217</v>
      </c>
      <c r="D6171" s="3" t="s">
        <v>32</v>
      </c>
      <c r="E6171" s="64">
        <v>1</v>
      </c>
    </row>
    <row r="6172" spans="1:5">
      <c r="A6172" s="64" t="s">
        <v>27</v>
      </c>
      <c r="B6172" s="65">
        <v>43502</v>
      </c>
      <c r="C6172" s="66" t="s">
        <v>218</v>
      </c>
      <c r="D6172" s="3" t="s">
        <v>32</v>
      </c>
      <c r="E6172" s="64">
        <v>1</v>
      </c>
    </row>
    <row r="6173" spans="1:5">
      <c r="A6173" s="64" t="s">
        <v>27</v>
      </c>
      <c r="B6173" s="65">
        <v>43503</v>
      </c>
      <c r="C6173" s="66" t="s">
        <v>219</v>
      </c>
      <c r="D6173" s="3" t="s">
        <v>32</v>
      </c>
      <c r="E6173" s="64">
        <v>1</v>
      </c>
    </row>
    <row r="6174" spans="1:5">
      <c r="A6174" s="64" t="s">
        <v>27</v>
      </c>
      <c r="B6174" s="65">
        <v>43504</v>
      </c>
      <c r="C6174" s="66" t="s">
        <v>220</v>
      </c>
      <c r="D6174" s="3" t="s">
        <v>32</v>
      </c>
      <c r="E6174" s="64">
        <v>1</v>
      </c>
    </row>
    <row r="6175" spans="1:5">
      <c r="A6175" s="64" t="s">
        <v>27</v>
      </c>
      <c r="B6175" s="65">
        <v>43505</v>
      </c>
      <c r="C6175" s="66" t="s">
        <v>221</v>
      </c>
      <c r="D6175" s="3" t="s">
        <v>32</v>
      </c>
      <c r="E6175" s="64">
        <v>1</v>
      </c>
    </row>
    <row r="6176" spans="1:5">
      <c r="A6176" s="64" t="s">
        <v>27</v>
      </c>
      <c r="B6176" s="65">
        <v>43506</v>
      </c>
      <c r="C6176" s="66" t="s">
        <v>222</v>
      </c>
      <c r="D6176" s="3" t="s">
        <v>32</v>
      </c>
      <c r="E6176" s="64">
        <v>1</v>
      </c>
    </row>
    <row r="6177" spans="1:5">
      <c r="A6177" s="64" t="s">
        <v>27</v>
      </c>
      <c r="B6177" s="65">
        <v>43507</v>
      </c>
      <c r="C6177" s="66" t="s">
        <v>216</v>
      </c>
      <c r="D6177" s="3" t="s">
        <v>32</v>
      </c>
      <c r="E6177" s="64">
        <v>1</v>
      </c>
    </row>
    <row r="6178" spans="1:5">
      <c r="A6178" s="64" t="s">
        <v>27</v>
      </c>
      <c r="B6178" s="65">
        <v>43508</v>
      </c>
      <c r="C6178" s="66" t="s">
        <v>217</v>
      </c>
      <c r="D6178" s="3" t="s">
        <v>32</v>
      </c>
      <c r="E6178" s="64">
        <v>1</v>
      </c>
    </row>
    <row r="6179" spans="1:5">
      <c r="A6179" s="64" t="s">
        <v>27</v>
      </c>
      <c r="B6179" s="65">
        <v>43509</v>
      </c>
      <c r="C6179" s="66" t="s">
        <v>218</v>
      </c>
      <c r="D6179" s="3" t="s">
        <v>32</v>
      </c>
      <c r="E6179" s="64">
        <v>1</v>
      </c>
    </row>
    <row r="6180" spans="1:5">
      <c r="A6180" s="64" t="s">
        <v>27</v>
      </c>
      <c r="B6180" s="65">
        <v>43510</v>
      </c>
      <c r="C6180" s="66" t="s">
        <v>219</v>
      </c>
      <c r="D6180" s="3" t="s">
        <v>32</v>
      </c>
      <c r="E6180" s="64">
        <v>1</v>
      </c>
    </row>
    <row r="6181" spans="1:5">
      <c r="A6181" s="64" t="s">
        <v>27</v>
      </c>
      <c r="B6181" s="65">
        <v>43511</v>
      </c>
      <c r="C6181" s="66" t="s">
        <v>220</v>
      </c>
      <c r="D6181" s="3" t="s">
        <v>32</v>
      </c>
      <c r="E6181" s="64">
        <v>1</v>
      </c>
    </row>
    <row r="6182" spans="1:5">
      <c r="A6182" s="64" t="s">
        <v>27</v>
      </c>
      <c r="B6182" s="65">
        <v>43512</v>
      </c>
      <c r="C6182" s="66" t="s">
        <v>221</v>
      </c>
      <c r="D6182" s="3" t="s">
        <v>32</v>
      </c>
      <c r="E6182" s="64">
        <v>1</v>
      </c>
    </row>
    <row r="6183" spans="1:5">
      <c r="A6183" s="64" t="s">
        <v>27</v>
      </c>
      <c r="B6183" s="65">
        <v>43513</v>
      </c>
      <c r="C6183" s="66" t="s">
        <v>222</v>
      </c>
      <c r="D6183" s="3" t="s">
        <v>32</v>
      </c>
      <c r="E6183" s="64">
        <v>1</v>
      </c>
    </row>
    <row r="6184" spans="1:5">
      <c r="A6184" s="64" t="s">
        <v>27</v>
      </c>
      <c r="B6184" s="65">
        <v>43514</v>
      </c>
      <c r="C6184" s="66" t="s">
        <v>216</v>
      </c>
      <c r="D6184" s="3" t="s">
        <v>32</v>
      </c>
      <c r="E6184" s="64">
        <v>1</v>
      </c>
    </row>
    <row r="6185" spans="1:5">
      <c r="A6185" s="64" t="s">
        <v>27</v>
      </c>
      <c r="B6185" s="65">
        <v>43515</v>
      </c>
      <c r="C6185" s="66" t="s">
        <v>217</v>
      </c>
      <c r="D6185" s="3" t="s">
        <v>32</v>
      </c>
      <c r="E6185" s="64">
        <v>1</v>
      </c>
    </row>
    <row r="6186" spans="1:5">
      <c r="A6186" s="64" t="s">
        <v>27</v>
      </c>
      <c r="B6186" s="65">
        <v>43516</v>
      </c>
      <c r="C6186" s="66" t="s">
        <v>218</v>
      </c>
      <c r="D6186" s="3" t="s">
        <v>32</v>
      </c>
      <c r="E6186" s="64">
        <v>1</v>
      </c>
    </row>
    <row r="6187" spans="1:5">
      <c r="A6187" s="64" t="s">
        <v>27</v>
      </c>
      <c r="B6187" s="65">
        <v>43517</v>
      </c>
      <c r="C6187" s="66" t="s">
        <v>219</v>
      </c>
      <c r="D6187" s="3" t="s">
        <v>32</v>
      </c>
      <c r="E6187" s="64">
        <v>1</v>
      </c>
    </row>
    <row r="6188" spans="1:5">
      <c r="A6188" s="64" t="s">
        <v>27</v>
      </c>
      <c r="B6188" s="65">
        <v>43518</v>
      </c>
      <c r="C6188" s="66" t="s">
        <v>220</v>
      </c>
      <c r="D6188" s="3" t="s">
        <v>32</v>
      </c>
      <c r="E6188" s="64">
        <v>1</v>
      </c>
    </row>
    <row r="6189" spans="1:5">
      <c r="A6189" s="64" t="s">
        <v>27</v>
      </c>
      <c r="B6189" s="65">
        <v>43519</v>
      </c>
      <c r="C6189" s="66" t="s">
        <v>221</v>
      </c>
      <c r="D6189" s="3" t="s">
        <v>32</v>
      </c>
      <c r="E6189" s="64">
        <v>1</v>
      </c>
    </row>
    <row r="6190" spans="1:5">
      <c r="A6190" s="64" t="s">
        <v>27</v>
      </c>
      <c r="B6190" s="65">
        <v>43520</v>
      </c>
      <c r="C6190" s="66" t="s">
        <v>222</v>
      </c>
      <c r="D6190" s="3" t="s">
        <v>32</v>
      </c>
      <c r="E6190" s="64">
        <v>1</v>
      </c>
    </row>
    <row r="6191" spans="1:5">
      <c r="A6191" s="64" t="s">
        <v>27</v>
      </c>
      <c r="B6191" s="65">
        <v>43521</v>
      </c>
      <c r="C6191" s="66" t="s">
        <v>216</v>
      </c>
      <c r="D6191" s="3" t="s">
        <v>32</v>
      </c>
      <c r="E6191" s="64">
        <v>1</v>
      </c>
    </row>
    <row r="6192" spans="1:5">
      <c r="A6192" s="64" t="s">
        <v>27</v>
      </c>
      <c r="B6192" s="65">
        <v>43522</v>
      </c>
      <c r="C6192" s="66" t="s">
        <v>217</v>
      </c>
      <c r="D6192" s="3" t="s">
        <v>32</v>
      </c>
      <c r="E6192" s="64">
        <v>1</v>
      </c>
    </row>
    <row r="6193" spans="1:5">
      <c r="A6193" s="64" t="s">
        <v>27</v>
      </c>
      <c r="B6193" s="65">
        <v>43523</v>
      </c>
      <c r="C6193" s="66" t="s">
        <v>218</v>
      </c>
      <c r="D6193" s="3" t="s">
        <v>32</v>
      </c>
      <c r="E6193" s="64">
        <v>1</v>
      </c>
    </row>
    <row r="6194" spans="1:5">
      <c r="A6194" s="64" t="s">
        <v>27</v>
      </c>
      <c r="B6194" s="65">
        <v>43524</v>
      </c>
      <c r="C6194" s="66" t="s">
        <v>219</v>
      </c>
      <c r="D6194" s="3" t="s">
        <v>32</v>
      </c>
      <c r="E6194" s="64">
        <v>1</v>
      </c>
    </row>
    <row r="6195" spans="1:5">
      <c r="A6195" s="64" t="s">
        <v>27</v>
      </c>
      <c r="B6195" s="65">
        <v>43525</v>
      </c>
      <c r="C6195" s="66" t="s">
        <v>220</v>
      </c>
      <c r="D6195" s="3" t="s">
        <v>32</v>
      </c>
      <c r="E6195" s="64">
        <v>1</v>
      </c>
    </row>
    <row r="6196" spans="1:5">
      <c r="A6196" s="64" t="s">
        <v>27</v>
      </c>
      <c r="B6196" s="65">
        <v>43526</v>
      </c>
      <c r="C6196" s="66" t="s">
        <v>221</v>
      </c>
      <c r="D6196" s="3" t="s">
        <v>32</v>
      </c>
      <c r="E6196" s="64">
        <v>1</v>
      </c>
    </row>
    <row r="6197" spans="1:5">
      <c r="A6197" s="64" t="s">
        <v>27</v>
      </c>
      <c r="B6197" s="65">
        <v>43527</v>
      </c>
      <c r="C6197" s="66" t="s">
        <v>222</v>
      </c>
      <c r="D6197" s="3" t="s">
        <v>32</v>
      </c>
      <c r="E6197" s="64">
        <v>1</v>
      </c>
    </row>
    <row r="6198" spans="1:5">
      <c r="A6198" s="64" t="s">
        <v>27</v>
      </c>
      <c r="B6198" s="65">
        <v>43528</v>
      </c>
      <c r="C6198" s="66" t="s">
        <v>216</v>
      </c>
      <c r="D6198" s="3" t="s">
        <v>32</v>
      </c>
      <c r="E6198" s="64">
        <v>1</v>
      </c>
    </row>
    <row r="6199" spans="1:5">
      <c r="A6199" s="64" t="s">
        <v>27</v>
      </c>
      <c r="B6199" s="65">
        <v>43529</v>
      </c>
      <c r="C6199" s="66" t="s">
        <v>217</v>
      </c>
      <c r="D6199" s="3" t="s">
        <v>32</v>
      </c>
      <c r="E6199" s="64">
        <v>1</v>
      </c>
    </row>
    <row r="6200" spans="1:5">
      <c r="A6200" s="64" t="s">
        <v>27</v>
      </c>
      <c r="B6200" s="65">
        <v>43530</v>
      </c>
      <c r="C6200" s="66" t="s">
        <v>218</v>
      </c>
      <c r="D6200" s="3" t="s">
        <v>32</v>
      </c>
      <c r="E6200" s="64">
        <v>1</v>
      </c>
    </row>
    <row r="6201" spans="1:5">
      <c r="A6201" s="64" t="s">
        <v>27</v>
      </c>
      <c r="B6201" s="65">
        <v>43531</v>
      </c>
      <c r="C6201" s="66" t="s">
        <v>219</v>
      </c>
      <c r="D6201" s="3" t="s">
        <v>32</v>
      </c>
      <c r="E6201" s="64">
        <v>1</v>
      </c>
    </row>
    <row r="6202" spans="1:5">
      <c r="A6202" s="64" t="s">
        <v>27</v>
      </c>
      <c r="B6202" s="65">
        <v>43532</v>
      </c>
      <c r="C6202" s="66" t="s">
        <v>220</v>
      </c>
      <c r="D6202" s="3" t="s">
        <v>32</v>
      </c>
      <c r="E6202" s="64">
        <v>1</v>
      </c>
    </row>
    <row r="6203" spans="1:5">
      <c r="A6203" s="64" t="s">
        <v>27</v>
      </c>
      <c r="B6203" s="65">
        <v>43533</v>
      </c>
      <c r="C6203" s="66" t="s">
        <v>221</v>
      </c>
      <c r="D6203" s="3" t="s">
        <v>32</v>
      </c>
      <c r="E6203" s="64">
        <v>1</v>
      </c>
    </row>
    <row r="6204" spans="1:5">
      <c r="A6204" s="64" t="s">
        <v>27</v>
      </c>
      <c r="B6204" s="65">
        <v>43534</v>
      </c>
      <c r="C6204" s="66" t="s">
        <v>222</v>
      </c>
      <c r="D6204" s="3" t="s">
        <v>32</v>
      </c>
      <c r="E6204" s="64">
        <v>1</v>
      </c>
    </row>
    <row r="6205" spans="1:5">
      <c r="A6205" s="64" t="s">
        <v>27</v>
      </c>
      <c r="B6205" s="65">
        <v>43535</v>
      </c>
      <c r="C6205" s="66" t="s">
        <v>216</v>
      </c>
      <c r="D6205" s="3" t="s">
        <v>32</v>
      </c>
      <c r="E6205" s="64">
        <v>1</v>
      </c>
    </row>
    <row r="6206" spans="1:5">
      <c r="A6206" s="64" t="s">
        <v>27</v>
      </c>
      <c r="B6206" s="65">
        <v>43536</v>
      </c>
      <c r="C6206" s="66" t="s">
        <v>217</v>
      </c>
      <c r="D6206" s="3" t="s">
        <v>32</v>
      </c>
      <c r="E6206" s="64">
        <v>1</v>
      </c>
    </row>
    <row r="6207" spans="1:5">
      <c r="A6207" s="64" t="s">
        <v>27</v>
      </c>
      <c r="B6207" s="65">
        <v>43537</v>
      </c>
      <c r="C6207" s="66" t="s">
        <v>218</v>
      </c>
      <c r="D6207" s="3" t="s">
        <v>32</v>
      </c>
      <c r="E6207" s="64">
        <v>1</v>
      </c>
    </row>
    <row r="6208" spans="1:5">
      <c r="A6208" s="64" t="s">
        <v>27</v>
      </c>
      <c r="B6208" s="65">
        <v>43538</v>
      </c>
      <c r="C6208" s="66" t="s">
        <v>219</v>
      </c>
      <c r="D6208" s="3" t="s">
        <v>32</v>
      </c>
      <c r="E6208" s="64">
        <v>1</v>
      </c>
    </row>
    <row r="6209" spans="1:5">
      <c r="A6209" s="64" t="s">
        <v>27</v>
      </c>
      <c r="B6209" s="65">
        <v>43539</v>
      </c>
      <c r="C6209" s="66" t="s">
        <v>220</v>
      </c>
      <c r="D6209" s="3" t="s">
        <v>32</v>
      </c>
      <c r="E6209" s="64">
        <v>1</v>
      </c>
    </row>
    <row r="6210" spans="1:5">
      <c r="A6210" s="64" t="s">
        <v>27</v>
      </c>
      <c r="B6210" s="65">
        <v>43540</v>
      </c>
      <c r="C6210" s="66" t="s">
        <v>221</v>
      </c>
      <c r="D6210" s="3" t="s">
        <v>32</v>
      </c>
      <c r="E6210" s="64">
        <v>1</v>
      </c>
    </row>
    <row r="6211" spans="1:5">
      <c r="A6211" s="64" t="s">
        <v>27</v>
      </c>
      <c r="B6211" s="65">
        <v>43541</v>
      </c>
      <c r="C6211" s="66" t="s">
        <v>222</v>
      </c>
      <c r="D6211" s="3" t="s">
        <v>32</v>
      </c>
      <c r="E6211" s="64">
        <v>1</v>
      </c>
    </row>
    <row r="6212" spans="1:5">
      <c r="A6212" s="64" t="s">
        <v>27</v>
      </c>
      <c r="B6212" s="65">
        <v>43542</v>
      </c>
      <c r="C6212" s="66" t="s">
        <v>216</v>
      </c>
      <c r="D6212" s="3" t="s">
        <v>32</v>
      </c>
      <c r="E6212" s="64">
        <v>1</v>
      </c>
    </row>
    <row r="6213" spans="1:5">
      <c r="A6213" s="64" t="s">
        <v>27</v>
      </c>
      <c r="B6213" s="65">
        <v>43543</v>
      </c>
      <c r="C6213" s="66" t="s">
        <v>217</v>
      </c>
      <c r="D6213" s="3" t="s">
        <v>32</v>
      </c>
      <c r="E6213" s="64">
        <v>1</v>
      </c>
    </row>
    <row r="6214" spans="1:5">
      <c r="A6214" s="64" t="s">
        <v>27</v>
      </c>
      <c r="B6214" s="65">
        <v>43544</v>
      </c>
      <c r="C6214" s="66" t="s">
        <v>218</v>
      </c>
      <c r="D6214" s="3" t="s">
        <v>32</v>
      </c>
      <c r="E6214" s="64">
        <v>1</v>
      </c>
    </row>
    <row r="6215" spans="1:5">
      <c r="A6215" s="64" t="s">
        <v>27</v>
      </c>
      <c r="B6215" s="65">
        <v>43545</v>
      </c>
      <c r="C6215" s="66" t="s">
        <v>219</v>
      </c>
      <c r="D6215" s="3" t="s">
        <v>32</v>
      </c>
      <c r="E6215" s="64">
        <v>1</v>
      </c>
    </row>
    <row r="6216" spans="1:5">
      <c r="A6216" s="64" t="s">
        <v>27</v>
      </c>
      <c r="B6216" s="65">
        <v>43546</v>
      </c>
      <c r="C6216" s="66" t="s">
        <v>220</v>
      </c>
      <c r="D6216" s="3" t="s">
        <v>32</v>
      </c>
      <c r="E6216" s="64">
        <v>1</v>
      </c>
    </row>
    <row r="6217" spans="1:5">
      <c r="A6217" s="64" t="s">
        <v>27</v>
      </c>
      <c r="B6217" s="65">
        <v>43547</v>
      </c>
      <c r="C6217" s="66" t="s">
        <v>221</v>
      </c>
      <c r="D6217" s="3" t="s">
        <v>32</v>
      </c>
      <c r="E6217" s="64">
        <v>1</v>
      </c>
    </row>
    <row r="6218" spans="1:5">
      <c r="A6218" s="64" t="s">
        <v>27</v>
      </c>
      <c r="B6218" s="65">
        <v>43548</v>
      </c>
      <c r="C6218" s="66" t="s">
        <v>222</v>
      </c>
      <c r="D6218" s="3" t="s">
        <v>32</v>
      </c>
      <c r="E6218" s="64">
        <v>1</v>
      </c>
    </row>
    <row r="6219" spans="1:5">
      <c r="A6219" s="64" t="s">
        <v>27</v>
      </c>
      <c r="B6219" s="65">
        <v>43549</v>
      </c>
      <c r="C6219" s="66" t="s">
        <v>216</v>
      </c>
      <c r="D6219" s="3" t="s">
        <v>32</v>
      </c>
      <c r="E6219" s="64">
        <v>1</v>
      </c>
    </row>
    <row r="6220" spans="1:5">
      <c r="A6220" s="64" t="s">
        <v>27</v>
      </c>
      <c r="B6220" s="65">
        <v>43550</v>
      </c>
      <c r="C6220" s="66" t="s">
        <v>217</v>
      </c>
      <c r="D6220" s="3" t="s">
        <v>32</v>
      </c>
      <c r="E6220" s="64">
        <v>1</v>
      </c>
    </row>
    <row r="6221" spans="1:5">
      <c r="A6221" s="64" t="s">
        <v>27</v>
      </c>
      <c r="B6221" s="65">
        <v>43551</v>
      </c>
      <c r="C6221" s="66" t="s">
        <v>218</v>
      </c>
      <c r="D6221" s="3" t="s">
        <v>32</v>
      </c>
      <c r="E6221" s="64">
        <v>1</v>
      </c>
    </row>
    <row r="6222" spans="1:5">
      <c r="A6222" s="64" t="s">
        <v>27</v>
      </c>
      <c r="B6222" s="65">
        <v>43552</v>
      </c>
      <c r="C6222" s="66" t="s">
        <v>219</v>
      </c>
      <c r="D6222" s="3" t="s">
        <v>32</v>
      </c>
      <c r="E6222" s="64">
        <v>1</v>
      </c>
    </row>
    <row r="6223" spans="1:5">
      <c r="A6223" s="64" t="s">
        <v>27</v>
      </c>
      <c r="B6223" s="65">
        <v>43553</v>
      </c>
      <c r="C6223" s="66" t="s">
        <v>220</v>
      </c>
      <c r="D6223" s="3" t="s">
        <v>32</v>
      </c>
      <c r="E6223" s="64">
        <v>1</v>
      </c>
    </row>
    <row r="6224" spans="1:5">
      <c r="A6224" s="64" t="s">
        <v>27</v>
      </c>
      <c r="B6224" s="65">
        <v>43554</v>
      </c>
      <c r="C6224" s="66" t="s">
        <v>221</v>
      </c>
      <c r="D6224" s="3" t="s">
        <v>32</v>
      </c>
      <c r="E6224" s="64">
        <v>1</v>
      </c>
    </row>
    <row r="6225" spans="1:5">
      <c r="A6225" s="64" t="s">
        <v>27</v>
      </c>
      <c r="B6225" s="65">
        <v>43555</v>
      </c>
      <c r="C6225" s="66" t="s">
        <v>222</v>
      </c>
      <c r="D6225" s="3" t="s">
        <v>32</v>
      </c>
      <c r="E6225" s="64">
        <v>1</v>
      </c>
    </row>
    <row r="6226" spans="1:5">
      <c r="A6226" s="64" t="s">
        <v>27</v>
      </c>
      <c r="B6226" s="65">
        <v>43556</v>
      </c>
      <c r="C6226" s="66" t="s">
        <v>216</v>
      </c>
      <c r="D6226" s="3" t="s">
        <v>32</v>
      </c>
      <c r="E6226" s="64">
        <v>1</v>
      </c>
    </row>
    <row r="6227" spans="1:5">
      <c r="A6227" s="64" t="s">
        <v>27</v>
      </c>
      <c r="B6227" s="65">
        <v>43557</v>
      </c>
      <c r="C6227" s="66" t="s">
        <v>217</v>
      </c>
      <c r="D6227" s="3" t="s">
        <v>32</v>
      </c>
      <c r="E6227" s="64">
        <v>1</v>
      </c>
    </row>
    <row r="6228" spans="1:5">
      <c r="A6228" s="64" t="s">
        <v>27</v>
      </c>
      <c r="B6228" s="65">
        <v>43558</v>
      </c>
      <c r="C6228" s="66" t="s">
        <v>218</v>
      </c>
      <c r="D6228" s="3" t="s">
        <v>32</v>
      </c>
      <c r="E6228" s="64">
        <v>1</v>
      </c>
    </row>
    <row r="6229" spans="1:5">
      <c r="A6229" s="64" t="s">
        <v>27</v>
      </c>
      <c r="B6229" s="65">
        <v>43559</v>
      </c>
      <c r="C6229" s="66" t="s">
        <v>219</v>
      </c>
      <c r="D6229" s="3" t="s">
        <v>32</v>
      </c>
      <c r="E6229" s="64">
        <v>1</v>
      </c>
    </row>
    <row r="6230" spans="1:5">
      <c r="A6230" s="64" t="s">
        <v>27</v>
      </c>
      <c r="B6230" s="65">
        <v>43560</v>
      </c>
      <c r="C6230" s="66" t="s">
        <v>220</v>
      </c>
      <c r="D6230" s="3" t="s">
        <v>32</v>
      </c>
      <c r="E6230" s="64">
        <v>1</v>
      </c>
    </row>
    <row r="6231" spans="1:5">
      <c r="A6231" s="64" t="s">
        <v>27</v>
      </c>
      <c r="B6231" s="65">
        <v>43561</v>
      </c>
      <c r="C6231" s="66" t="s">
        <v>221</v>
      </c>
      <c r="D6231" s="3" t="s">
        <v>32</v>
      </c>
      <c r="E6231" s="64">
        <v>1</v>
      </c>
    </row>
    <row r="6232" spans="1:5">
      <c r="A6232" s="64" t="s">
        <v>27</v>
      </c>
      <c r="B6232" s="65">
        <v>43562</v>
      </c>
      <c r="C6232" s="66" t="s">
        <v>222</v>
      </c>
      <c r="D6232" s="3" t="s">
        <v>32</v>
      </c>
      <c r="E6232" s="64">
        <v>1</v>
      </c>
    </row>
    <row r="6233" spans="1:5">
      <c r="A6233" s="64" t="s">
        <v>27</v>
      </c>
      <c r="B6233" s="65">
        <v>43563</v>
      </c>
      <c r="C6233" s="66" t="s">
        <v>216</v>
      </c>
      <c r="D6233" s="3" t="s">
        <v>32</v>
      </c>
      <c r="E6233" s="64">
        <v>1</v>
      </c>
    </row>
    <row r="6234" spans="1:5">
      <c r="A6234" s="64" t="s">
        <v>27</v>
      </c>
      <c r="B6234" s="65">
        <v>43564</v>
      </c>
      <c r="C6234" s="66" t="s">
        <v>217</v>
      </c>
      <c r="D6234" s="3" t="s">
        <v>32</v>
      </c>
      <c r="E6234" s="64">
        <v>1</v>
      </c>
    </row>
    <row r="6235" spans="1:5">
      <c r="A6235" s="64" t="s">
        <v>27</v>
      </c>
      <c r="B6235" s="65">
        <v>43565</v>
      </c>
      <c r="C6235" s="66" t="s">
        <v>218</v>
      </c>
      <c r="D6235" s="3" t="s">
        <v>32</v>
      </c>
      <c r="E6235" s="64">
        <v>1</v>
      </c>
    </row>
    <row r="6236" spans="1:5">
      <c r="A6236" s="64" t="s">
        <v>27</v>
      </c>
      <c r="B6236" s="65">
        <v>43566</v>
      </c>
      <c r="C6236" s="66" t="s">
        <v>219</v>
      </c>
      <c r="D6236" s="3" t="s">
        <v>32</v>
      </c>
      <c r="E6236" s="64">
        <v>1</v>
      </c>
    </row>
    <row r="6237" spans="1:5">
      <c r="A6237" s="64" t="s">
        <v>27</v>
      </c>
      <c r="B6237" s="65">
        <v>43567</v>
      </c>
      <c r="C6237" s="66" t="s">
        <v>220</v>
      </c>
      <c r="D6237" s="3" t="s">
        <v>32</v>
      </c>
      <c r="E6237" s="64">
        <v>1</v>
      </c>
    </row>
    <row r="6238" spans="1:5">
      <c r="A6238" s="64" t="s">
        <v>27</v>
      </c>
      <c r="B6238" s="65">
        <v>43568</v>
      </c>
      <c r="C6238" s="66" t="s">
        <v>221</v>
      </c>
      <c r="D6238" s="3" t="s">
        <v>32</v>
      </c>
      <c r="E6238" s="64">
        <v>1</v>
      </c>
    </row>
    <row r="6239" spans="1:5">
      <c r="A6239" s="64" t="s">
        <v>27</v>
      </c>
      <c r="B6239" s="65">
        <v>43569</v>
      </c>
      <c r="C6239" s="66" t="s">
        <v>222</v>
      </c>
      <c r="D6239" s="3" t="s">
        <v>32</v>
      </c>
      <c r="E6239" s="64">
        <v>1</v>
      </c>
    </row>
    <row r="6240" spans="1:5">
      <c r="A6240" s="64" t="s">
        <v>27</v>
      </c>
      <c r="B6240" s="65">
        <v>43570</v>
      </c>
      <c r="C6240" s="66" t="s">
        <v>216</v>
      </c>
      <c r="D6240" s="3" t="s">
        <v>32</v>
      </c>
      <c r="E6240" s="64">
        <v>1</v>
      </c>
    </row>
    <row r="6241" spans="1:5">
      <c r="A6241" s="64" t="s">
        <v>27</v>
      </c>
      <c r="B6241" s="65">
        <v>43571</v>
      </c>
      <c r="C6241" s="66" t="s">
        <v>217</v>
      </c>
      <c r="D6241" s="3" t="s">
        <v>32</v>
      </c>
      <c r="E6241" s="64">
        <v>1</v>
      </c>
    </row>
    <row r="6242" spans="1:5">
      <c r="A6242" s="64" t="s">
        <v>27</v>
      </c>
      <c r="B6242" s="65">
        <v>43572</v>
      </c>
      <c r="C6242" s="66" t="s">
        <v>218</v>
      </c>
      <c r="D6242" s="3" t="s">
        <v>32</v>
      </c>
      <c r="E6242" s="64">
        <v>1</v>
      </c>
    </row>
    <row r="6243" spans="1:5">
      <c r="A6243" s="64" t="s">
        <v>27</v>
      </c>
      <c r="B6243" s="65">
        <v>43573</v>
      </c>
      <c r="C6243" s="66" t="s">
        <v>219</v>
      </c>
      <c r="D6243" s="3" t="s">
        <v>32</v>
      </c>
      <c r="E6243" s="64">
        <v>1</v>
      </c>
    </row>
    <row r="6244" spans="1:5">
      <c r="A6244" s="64" t="s">
        <v>27</v>
      </c>
      <c r="B6244" s="65">
        <v>43574</v>
      </c>
      <c r="C6244" s="66" t="s">
        <v>220</v>
      </c>
      <c r="D6244" s="3" t="s">
        <v>32</v>
      </c>
      <c r="E6244" s="64">
        <v>1</v>
      </c>
    </row>
    <row r="6245" spans="1:5">
      <c r="A6245" s="64" t="s">
        <v>27</v>
      </c>
      <c r="B6245" s="65">
        <v>43575</v>
      </c>
      <c r="C6245" s="66" t="s">
        <v>221</v>
      </c>
      <c r="D6245" s="3" t="s">
        <v>32</v>
      </c>
      <c r="E6245" s="64">
        <v>1</v>
      </c>
    </row>
    <row r="6246" spans="1:5">
      <c r="A6246" s="64" t="s">
        <v>27</v>
      </c>
      <c r="B6246" s="65">
        <v>43576</v>
      </c>
      <c r="C6246" s="66" t="s">
        <v>222</v>
      </c>
      <c r="D6246" s="3" t="s">
        <v>32</v>
      </c>
      <c r="E6246" s="64">
        <v>1</v>
      </c>
    </row>
    <row r="6247" spans="1:5">
      <c r="A6247" s="64" t="s">
        <v>27</v>
      </c>
      <c r="B6247" s="65">
        <v>43577</v>
      </c>
      <c r="C6247" s="66" t="s">
        <v>216</v>
      </c>
      <c r="D6247" s="3" t="s">
        <v>32</v>
      </c>
      <c r="E6247" s="64">
        <v>1</v>
      </c>
    </row>
    <row r="6248" spans="1:5">
      <c r="A6248" s="64" t="s">
        <v>27</v>
      </c>
      <c r="B6248" s="65">
        <v>43578</v>
      </c>
      <c r="C6248" s="66" t="s">
        <v>217</v>
      </c>
      <c r="D6248" s="3" t="s">
        <v>32</v>
      </c>
      <c r="E6248" s="64">
        <v>1</v>
      </c>
    </row>
    <row r="6249" spans="1:5">
      <c r="A6249" s="64" t="s">
        <v>27</v>
      </c>
      <c r="B6249" s="65">
        <v>43579</v>
      </c>
      <c r="C6249" s="66" t="s">
        <v>218</v>
      </c>
      <c r="D6249" s="3" t="s">
        <v>32</v>
      </c>
      <c r="E6249" s="64">
        <v>1</v>
      </c>
    </row>
    <row r="6250" spans="1:5">
      <c r="A6250" s="64" t="s">
        <v>27</v>
      </c>
      <c r="B6250" s="65">
        <v>43580</v>
      </c>
      <c r="C6250" s="66" t="s">
        <v>219</v>
      </c>
      <c r="D6250" s="3" t="s">
        <v>32</v>
      </c>
      <c r="E6250" s="64">
        <v>1</v>
      </c>
    </row>
    <row r="6251" spans="1:5">
      <c r="A6251" s="64" t="s">
        <v>27</v>
      </c>
      <c r="B6251" s="65">
        <v>43581</v>
      </c>
      <c r="C6251" s="66" t="s">
        <v>220</v>
      </c>
      <c r="D6251" s="3" t="s">
        <v>32</v>
      </c>
      <c r="E6251" s="64">
        <v>1</v>
      </c>
    </row>
    <row r="6252" spans="1:5">
      <c r="A6252" s="64" t="s">
        <v>27</v>
      </c>
      <c r="B6252" s="65">
        <v>43582</v>
      </c>
      <c r="C6252" s="66" t="s">
        <v>221</v>
      </c>
      <c r="D6252" s="3" t="s">
        <v>32</v>
      </c>
      <c r="E6252" s="64">
        <v>1</v>
      </c>
    </row>
    <row r="6253" spans="1:5">
      <c r="A6253" s="64" t="s">
        <v>27</v>
      </c>
      <c r="B6253" s="65">
        <v>43583</v>
      </c>
      <c r="C6253" s="66" t="s">
        <v>222</v>
      </c>
      <c r="D6253" s="3" t="s">
        <v>32</v>
      </c>
      <c r="E6253" s="64">
        <v>1</v>
      </c>
    </row>
    <row r="6254" spans="1:5">
      <c r="A6254" s="64" t="s">
        <v>27</v>
      </c>
      <c r="B6254" s="65">
        <v>43584</v>
      </c>
      <c r="C6254" s="66" t="s">
        <v>216</v>
      </c>
      <c r="D6254" s="3" t="s">
        <v>32</v>
      </c>
      <c r="E6254" s="64">
        <v>1</v>
      </c>
    </row>
    <row r="6255" spans="1:5">
      <c r="A6255" s="64" t="s">
        <v>27</v>
      </c>
      <c r="B6255" s="65">
        <v>43585</v>
      </c>
      <c r="C6255" s="66" t="s">
        <v>217</v>
      </c>
      <c r="D6255" s="3" t="s">
        <v>32</v>
      </c>
      <c r="E6255" s="64">
        <v>1</v>
      </c>
    </row>
    <row r="6256" spans="1:5">
      <c r="A6256" s="64" t="s">
        <v>27</v>
      </c>
      <c r="B6256" s="65">
        <v>43586</v>
      </c>
      <c r="C6256" s="66" t="s">
        <v>218</v>
      </c>
      <c r="D6256" s="3" t="s">
        <v>32</v>
      </c>
      <c r="E6256" s="64">
        <v>1</v>
      </c>
    </row>
    <row r="6257" spans="1:5">
      <c r="A6257" s="64" t="s">
        <v>27</v>
      </c>
      <c r="B6257" s="65">
        <v>43587</v>
      </c>
      <c r="C6257" s="66" t="s">
        <v>219</v>
      </c>
      <c r="D6257" s="3" t="s">
        <v>32</v>
      </c>
      <c r="E6257" s="64">
        <v>1</v>
      </c>
    </row>
    <row r="6258" spans="1:5">
      <c r="A6258" s="64" t="s">
        <v>27</v>
      </c>
      <c r="B6258" s="65">
        <v>43588</v>
      </c>
      <c r="C6258" s="66" t="s">
        <v>220</v>
      </c>
      <c r="D6258" s="3" t="s">
        <v>32</v>
      </c>
      <c r="E6258" s="64">
        <v>1</v>
      </c>
    </row>
    <row r="6259" spans="1:5">
      <c r="A6259" s="64" t="s">
        <v>27</v>
      </c>
      <c r="B6259" s="65">
        <v>43589</v>
      </c>
      <c r="C6259" s="66" t="s">
        <v>221</v>
      </c>
      <c r="D6259" s="3" t="s">
        <v>32</v>
      </c>
      <c r="E6259" s="64">
        <v>1</v>
      </c>
    </row>
    <row r="6260" spans="1:5">
      <c r="A6260" s="64" t="s">
        <v>27</v>
      </c>
      <c r="B6260" s="65">
        <v>43590</v>
      </c>
      <c r="C6260" s="66" t="s">
        <v>222</v>
      </c>
      <c r="D6260" s="3" t="s">
        <v>32</v>
      </c>
      <c r="E6260" s="64">
        <v>1</v>
      </c>
    </row>
    <row r="6261" spans="1:5">
      <c r="A6261" s="64" t="s">
        <v>27</v>
      </c>
      <c r="B6261" s="65">
        <v>43591</v>
      </c>
      <c r="C6261" s="66" t="s">
        <v>216</v>
      </c>
      <c r="D6261" s="3" t="s">
        <v>32</v>
      </c>
      <c r="E6261" s="64">
        <v>1</v>
      </c>
    </row>
    <row r="6262" spans="1:5">
      <c r="A6262" s="64" t="s">
        <v>27</v>
      </c>
      <c r="B6262" s="65">
        <v>43592</v>
      </c>
      <c r="C6262" s="66" t="s">
        <v>217</v>
      </c>
      <c r="D6262" s="3" t="s">
        <v>32</v>
      </c>
      <c r="E6262" s="64">
        <v>1</v>
      </c>
    </row>
    <row r="6263" spans="1:5">
      <c r="A6263" s="64" t="s">
        <v>27</v>
      </c>
      <c r="B6263" s="65">
        <v>43593</v>
      </c>
      <c r="C6263" s="66" t="s">
        <v>218</v>
      </c>
      <c r="D6263" s="3" t="s">
        <v>32</v>
      </c>
      <c r="E6263" s="64">
        <v>1</v>
      </c>
    </row>
    <row r="6264" spans="1:5">
      <c r="A6264" s="64" t="s">
        <v>27</v>
      </c>
      <c r="B6264" s="65">
        <v>43594</v>
      </c>
      <c r="C6264" s="66" t="s">
        <v>219</v>
      </c>
      <c r="D6264" s="3" t="s">
        <v>32</v>
      </c>
      <c r="E6264" s="64">
        <v>1</v>
      </c>
    </row>
    <row r="6265" spans="1:5">
      <c r="A6265" s="64" t="s">
        <v>27</v>
      </c>
      <c r="B6265" s="65">
        <v>43595</v>
      </c>
      <c r="C6265" s="66" t="s">
        <v>220</v>
      </c>
      <c r="D6265" s="3" t="s">
        <v>32</v>
      </c>
      <c r="E6265" s="64">
        <v>1</v>
      </c>
    </row>
    <row r="6266" spans="1:5">
      <c r="A6266" s="64" t="s">
        <v>27</v>
      </c>
      <c r="B6266" s="65">
        <v>43596</v>
      </c>
      <c r="C6266" s="66" t="s">
        <v>221</v>
      </c>
      <c r="D6266" s="3" t="s">
        <v>32</v>
      </c>
      <c r="E6266" s="64">
        <v>1</v>
      </c>
    </row>
    <row r="6267" spans="1:5">
      <c r="A6267" s="64" t="s">
        <v>27</v>
      </c>
      <c r="B6267" s="65">
        <v>43597</v>
      </c>
      <c r="C6267" s="66" t="s">
        <v>222</v>
      </c>
      <c r="D6267" s="3" t="s">
        <v>32</v>
      </c>
      <c r="E6267" s="64">
        <v>1</v>
      </c>
    </row>
    <row r="6268" spans="1:5">
      <c r="A6268" s="64" t="s">
        <v>27</v>
      </c>
      <c r="B6268" s="65">
        <v>43598</v>
      </c>
      <c r="C6268" s="66" t="s">
        <v>216</v>
      </c>
      <c r="D6268" s="3" t="s">
        <v>32</v>
      </c>
      <c r="E6268" s="64">
        <v>1</v>
      </c>
    </row>
    <row r="6269" spans="1:5">
      <c r="A6269" s="64" t="s">
        <v>27</v>
      </c>
      <c r="B6269" s="65">
        <v>43599</v>
      </c>
      <c r="C6269" s="66" t="s">
        <v>217</v>
      </c>
      <c r="D6269" s="3" t="s">
        <v>32</v>
      </c>
      <c r="E6269" s="64">
        <v>1</v>
      </c>
    </row>
    <row r="6270" spans="1:5">
      <c r="A6270" s="64" t="s">
        <v>27</v>
      </c>
      <c r="B6270" s="65">
        <v>43600</v>
      </c>
      <c r="C6270" s="66" t="s">
        <v>218</v>
      </c>
      <c r="D6270" s="3" t="s">
        <v>32</v>
      </c>
      <c r="E6270" s="64">
        <v>1</v>
      </c>
    </row>
    <row r="6271" spans="1:5">
      <c r="A6271" s="64" t="s">
        <v>27</v>
      </c>
      <c r="B6271" s="65">
        <v>43601</v>
      </c>
      <c r="C6271" s="66" t="s">
        <v>219</v>
      </c>
      <c r="D6271" s="3" t="s">
        <v>32</v>
      </c>
      <c r="E6271" s="64">
        <v>1</v>
      </c>
    </row>
    <row r="6272" spans="1:5">
      <c r="A6272" s="64" t="s">
        <v>27</v>
      </c>
      <c r="B6272" s="65">
        <v>43602</v>
      </c>
      <c r="C6272" s="66" t="s">
        <v>220</v>
      </c>
      <c r="D6272" s="3" t="s">
        <v>32</v>
      </c>
      <c r="E6272" s="64">
        <v>1</v>
      </c>
    </row>
    <row r="6273" spans="1:5">
      <c r="A6273" s="64" t="s">
        <v>27</v>
      </c>
      <c r="B6273" s="65">
        <v>43603</v>
      </c>
      <c r="C6273" s="66" t="s">
        <v>221</v>
      </c>
      <c r="D6273" s="3" t="s">
        <v>32</v>
      </c>
      <c r="E6273" s="64">
        <v>1</v>
      </c>
    </row>
    <row r="6274" spans="1:5">
      <c r="A6274" s="64" t="s">
        <v>27</v>
      </c>
      <c r="B6274" s="65">
        <v>43604</v>
      </c>
      <c r="C6274" s="66" t="s">
        <v>222</v>
      </c>
      <c r="D6274" s="3" t="s">
        <v>32</v>
      </c>
      <c r="E6274" s="64">
        <v>1</v>
      </c>
    </row>
    <row r="6275" spans="1:5">
      <c r="A6275" s="64" t="s">
        <v>27</v>
      </c>
      <c r="B6275" s="65">
        <v>43605</v>
      </c>
      <c r="C6275" s="66" t="s">
        <v>216</v>
      </c>
      <c r="D6275" s="3" t="s">
        <v>32</v>
      </c>
      <c r="E6275" s="64">
        <v>1</v>
      </c>
    </row>
    <row r="6276" spans="1:5">
      <c r="A6276" s="64" t="s">
        <v>27</v>
      </c>
      <c r="B6276" s="65">
        <v>43606</v>
      </c>
      <c r="C6276" s="66" t="s">
        <v>217</v>
      </c>
      <c r="D6276" s="3" t="s">
        <v>32</v>
      </c>
      <c r="E6276" s="64">
        <v>1</v>
      </c>
    </row>
    <row r="6277" spans="1:5">
      <c r="A6277" s="64" t="s">
        <v>27</v>
      </c>
      <c r="B6277" s="65">
        <v>43607</v>
      </c>
      <c r="C6277" s="66" t="s">
        <v>218</v>
      </c>
      <c r="D6277" s="3" t="s">
        <v>32</v>
      </c>
      <c r="E6277" s="64">
        <v>1</v>
      </c>
    </row>
    <row r="6278" spans="1:5">
      <c r="A6278" s="64" t="s">
        <v>27</v>
      </c>
      <c r="B6278" s="65">
        <v>43608</v>
      </c>
      <c r="C6278" s="66" t="s">
        <v>219</v>
      </c>
      <c r="D6278" s="3" t="s">
        <v>32</v>
      </c>
      <c r="E6278" s="64">
        <v>1</v>
      </c>
    </row>
    <row r="6279" spans="1:5">
      <c r="A6279" s="64" t="s">
        <v>27</v>
      </c>
      <c r="B6279" s="65">
        <v>43609</v>
      </c>
      <c r="C6279" s="66" t="s">
        <v>220</v>
      </c>
      <c r="D6279" s="3" t="s">
        <v>32</v>
      </c>
      <c r="E6279" s="64">
        <v>1</v>
      </c>
    </row>
    <row r="6280" spans="1:5">
      <c r="A6280" s="64" t="s">
        <v>27</v>
      </c>
      <c r="B6280" s="65">
        <v>43610</v>
      </c>
      <c r="C6280" s="66" t="s">
        <v>221</v>
      </c>
      <c r="D6280" s="3" t="s">
        <v>32</v>
      </c>
      <c r="E6280" s="64">
        <v>1</v>
      </c>
    </row>
    <row r="6281" spans="1:5">
      <c r="A6281" s="64" t="s">
        <v>27</v>
      </c>
      <c r="B6281" s="65">
        <v>43611</v>
      </c>
      <c r="C6281" s="66" t="s">
        <v>222</v>
      </c>
      <c r="D6281" s="3" t="s">
        <v>32</v>
      </c>
      <c r="E6281" s="64">
        <v>1</v>
      </c>
    </row>
    <row r="6282" spans="1:5">
      <c r="A6282" s="64" t="s">
        <v>27</v>
      </c>
      <c r="B6282" s="65">
        <v>43612</v>
      </c>
      <c r="C6282" s="66" t="s">
        <v>216</v>
      </c>
      <c r="D6282" s="3" t="s">
        <v>32</v>
      </c>
      <c r="E6282" s="64">
        <v>1</v>
      </c>
    </row>
    <row r="6283" spans="1:5">
      <c r="A6283" s="64" t="s">
        <v>27</v>
      </c>
      <c r="B6283" s="65">
        <v>43613</v>
      </c>
      <c r="C6283" s="66" t="s">
        <v>217</v>
      </c>
      <c r="D6283" s="3" t="s">
        <v>32</v>
      </c>
      <c r="E6283" s="64">
        <v>1</v>
      </c>
    </row>
    <row r="6284" spans="1:5">
      <c r="A6284" s="64" t="s">
        <v>27</v>
      </c>
      <c r="B6284" s="65">
        <v>43614</v>
      </c>
      <c r="C6284" s="66" t="s">
        <v>218</v>
      </c>
      <c r="D6284" s="3" t="s">
        <v>32</v>
      </c>
      <c r="E6284" s="64">
        <v>1</v>
      </c>
    </row>
    <row r="6285" spans="1:5">
      <c r="A6285" s="64" t="s">
        <v>27</v>
      </c>
      <c r="B6285" s="65">
        <v>43615</v>
      </c>
      <c r="C6285" s="66" t="s">
        <v>219</v>
      </c>
      <c r="D6285" s="3" t="s">
        <v>32</v>
      </c>
      <c r="E6285" s="64">
        <v>1</v>
      </c>
    </row>
    <row r="6286" spans="1:5">
      <c r="A6286" s="64" t="s">
        <v>27</v>
      </c>
      <c r="B6286" s="65">
        <v>43616</v>
      </c>
      <c r="C6286" s="66" t="s">
        <v>220</v>
      </c>
      <c r="D6286" s="3" t="s">
        <v>32</v>
      </c>
      <c r="E6286" s="64">
        <v>1</v>
      </c>
    </row>
    <row r="6287" spans="1:5">
      <c r="A6287" s="64" t="s">
        <v>27</v>
      </c>
      <c r="B6287" s="65">
        <v>43617</v>
      </c>
      <c r="C6287" s="66" t="s">
        <v>221</v>
      </c>
      <c r="D6287" s="3" t="s">
        <v>32</v>
      </c>
      <c r="E6287" s="64">
        <v>1</v>
      </c>
    </row>
    <row r="6288" spans="1:5">
      <c r="A6288" s="64" t="s">
        <v>27</v>
      </c>
      <c r="B6288" s="65">
        <v>43618</v>
      </c>
      <c r="C6288" s="66" t="s">
        <v>222</v>
      </c>
      <c r="D6288" s="3" t="s">
        <v>32</v>
      </c>
      <c r="E6288" s="64">
        <v>1</v>
      </c>
    </row>
    <row r="6289" spans="1:5">
      <c r="A6289" s="64" t="s">
        <v>27</v>
      </c>
      <c r="B6289" s="65">
        <v>43619</v>
      </c>
      <c r="C6289" s="66" t="s">
        <v>216</v>
      </c>
      <c r="D6289" s="3" t="s">
        <v>32</v>
      </c>
      <c r="E6289" s="64">
        <v>1</v>
      </c>
    </row>
    <row r="6290" spans="1:5">
      <c r="A6290" s="64" t="s">
        <v>27</v>
      </c>
      <c r="B6290" s="65">
        <v>43620</v>
      </c>
      <c r="C6290" s="66" t="s">
        <v>217</v>
      </c>
      <c r="D6290" s="3" t="s">
        <v>32</v>
      </c>
      <c r="E6290" s="64">
        <v>1</v>
      </c>
    </row>
    <row r="6291" spans="1:5">
      <c r="A6291" s="64" t="s">
        <v>27</v>
      </c>
      <c r="B6291" s="65">
        <v>43621</v>
      </c>
      <c r="C6291" s="66" t="s">
        <v>218</v>
      </c>
      <c r="D6291" s="3" t="s">
        <v>32</v>
      </c>
      <c r="E6291" s="64">
        <v>1</v>
      </c>
    </row>
    <row r="6292" spans="1:5">
      <c r="A6292" s="64" t="s">
        <v>27</v>
      </c>
      <c r="B6292" s="65">
        <v>43622</v>
      </c>
      <c r="C6292" s="66" t="s">
        <v>219</v>
      </c>
      <c r="D6292" s="3" t="s">
        <v>32</v>
      </c>
      <c r="E6292" s="64">
        <v>1</v>
      </c>
    </row>
    <row r="6293" spans="1:5">
      <c r="A6293" s="64" t="s">
        <v>27</v>
      </c>
      <c r="B6293" s="65">
        <v>43623</v>
      </c>
      <c r="C6293" s="66" t="s">
        <v>220</v>
      </c>
      <c r="D6293" s="3" t="s">
        <v>32</v>
      </c>
      <c r="E6293" s="64">
        <v>1</v>
      </c>
    </row>
    <row r="6294" spans="1:5">
      <c r="A6294" s="64" t="s">
        <v>27</v>
      </c>
      <c r="B6294" s="65">
        <v>43624</v>
      </c>
      <c r="C6294" s="66" t="s">
        <v>221</v>
      </c>
      <c r="D6294" s="3" t="s">
        <v>32</v>
      </c>
      <c r="E6294" s="64">
        <v>1</v>
      </c>
    </row>
    <row r="6295" spans="1:5">
      <c r="A6295" s="64" t="s">
        <v>27</v>
      </c>
      <c r="B6295" s="65">
        <v>43625</v>
      </c>
      <c r="C6295" s="66" t="s">
        <v>222</v>
      </c>
      <c r="D6295" s="3" t="s">
        <v>32</v>
      </c>
      <c r="E6295" s="64">
        <v>1</v>
      </c>
    </row>
    <row r="6296" spans="1:5">
      <c r="A6296" s="64" t="s">
        <v>27</v>
      </c>
      <c r="B6296" s="65">
        <v>43626</v>
      </c>
      <c r="C6296" s="66" t="s">
        <v>216</v>
      </c>
      <c r="D6296" s="3" t="s">
        <v>32</v>
      </c>
      <c r="E6296" s="64">
        <v>1</v>
      </c>
    </row>
    <row r="6297" spans="1:5">
      <c r="A6297" s="64" t="s">
        <v>27</v>
      </c>
      <c r="B6297" s="65">
        <v>43627</v>
      </c>
      <c r="C6297" s="66" t="s">
        <v>217</v>
      </c>
      <c r="D6297" s="3" t="s">
        <v>32</v>
      </c>
      <c r="E6297" s="64">
        <v>1</v>
      </c>
    </row>
    <row r="6298" spans="1:5">
      <c r="A6298" s="64" t="s">
        <v>27</v>
      </c>
      <c r="B6298" s="65">
        <v>43628</v>
      </c>
      <c r="C6298" s="66" t="s">
        <v>218</v>
      </c>
      <c r="D6298" s="3" t="s">
        <v>32</v>
      </c>
      <c r="E6298" s="64">
        <v>1</v>
      </c>
    </row>
    <row r="6299" spans="1:5">
      <c r="A6299" s="64" t="s">
        <v>27</v>
      </c>
      <c r="B6299" s="65">
        <v>43629</v>
      </c>
      <c r="C6299" s="66" t="s">
        <v>219</v>
      </c>
      <c r="D6299" s="3" t="s">
        <v>32</v>
      </c>
      <c r="E6299" s="64">
        <v>1</v>
      </c>
    </row>
    <row r="6300" spans="1:5">
      <c r="A6300" s="64" t="s">
        <v>27</v>
      </c>
      <c r="B6300" s="65">
        <v>43630</v>
      </c>
      <c r="C6300" s="66" t="s">
        <v>220</v>
      </c>
      <c r="D6300" s="3" t="s">
        <v>32</v>
      </c>
      <c r="E6300" s="64">
        <v>1</v>
      </c>
    </row>
    <row r="6301" spans="1:5">
      <c r="A6301" s="64" t="s">
        <v>27</v>
      </c>
      <c r="B6301" s="65">
        <v>43631</v>
      </c>
      <c r="C6301" s="66" t="s">
        <v>221</v>
      </c>
      <c r="D6301" s="3" t="s">
        <v>32</v>
      </c>
      <c r="E6301" s="64">
        <v>1</v>
      </c>
    </row>
    <row r="6302" spans="1:5">
      <c r="A6302" s="64" t="s">
        <v>27</v>
      </c>
      <c r="B6302" s="65">
        <v>43632</v>
      </c>
      <c r="C6302" s="66" t="s">
        <v>222</v>
      </c>
      <c r="D6302" s="3" t="s">
        <v>32</v>
      </c>
      <c r="E6302" s="64">
        <v>1</v>
      </c>
    </row>
    <row r="6303" spans="1:5">
      <c r="A6303" s="64" t="s">
        <v>27</v>
      </c>
      <c r="B6303" s="65">
        <v>43633</v>
      </c>
      <c r="C6303" s="66" t="s">
        <v>216</v>
      </c>
      <c r="D6303" s="3" t="s">
        <v>32</v>
      </c>
      <c r="E6303" s="64">
        <v>1</v>
      </c>
    </row>
    <row r="6304" spans="1:5">
      <c r="A6304" s="64" t="s">
        <v>27</v>
      </c>
      <c r="B6304" s="65">
        <v>43634</v>
      </c>
      <c r="C6304" s="66" t="s">
        <v>217</v>
      </c>
      <c r="D6304" s="3" t="s">
        <v>32</v>
      </c>
      <c r="E6304" s="64">
        <v>1</v>
      </c>
    </row>
    <row r="6305" spans="1:5">
      <c r="A6305" s="64" t="s">
        <v>27</v>
      </c>
      <c r="B6305" s="65">
        <v>43635</v>
      </c>
      <c r="C6305" s="66" t="s">
        <v>218</v>
      </c>
      <c r="D6305" s="3" t="s">
        <v>32</v>
      </c>
      <c r="E6305" s="64">
        <v>1</v>
      </c>
    </row>
    <row r="6306" spans="1:5">
      <c r="A6306" s="64" t="s">
        <v>27</v>
      </c>
      <c r="B6306" s="65">
        <v>43636</v>
      </c>
      <c r="C6306" s="66" t="s">
        <v>219</v>
      </c>
      <c r="D6306" s="3" t="s">
        <v>32</v>
      </c>
      <c r="E6306" s="64">
        <v>1</v>
      </c>
    </row>
    <row r="6307" spans="1:5">
      <c r="A6307" s="64" t="s">
        <v>27</v>
      </c>
      <c r="B6307" s="65">
        <v>43637</v>
      </c>
      <c r="C6307" s="66" t="s">
        <v>220</v>
      </c>
      <c r="D6307" s="3" t="s">
        <v>32</v>
      </c>
      <c r="E6307" s="64">
        <v>1</v>
      </c>
    </row>
    <row r="6308" spans="1:5">
      <c r="A6308" s="64" t="s">
        <v>27</v>
      </c>
      <c r="B6308" s="65">
        <v>43638</v>
      </c>
      <c r="C6308" s="66" t="s">
        <v>221</v>
      </c>
      <c r="D6308" s="3" t="s">
        <v>32</v>
      </c>
      <c r="E6308" s="64">
        <v>1</v>
      </c>
    </row>
    <row r="6309" spans="1:5">
      <c r="A6309" s="64" t="s">
        <v>27</v>
      </c>
      <c r="B6309" s="65">
        <v>43639</v>
      </c>
      <c r="C6309" s="66" t="s">
        <v>222</v>
      </c>
      <c r="D6309" s="3" t="s">
        <v>32</v>
      </c>
      <c r="E6309" s="64">
        <v>1</v>
      </c>
    </row>
    <row r="6310" spans="1:5">
      <c r="A6310" s="64" t="s">
        <v>27</v>
      </c>
      <c r="B6310" s="65">
        <v>43640</v>
      </c>
      <c r="C6310" s="66" t="s">
        <v>216</v>
      </c>
      <c r="D6310" s="3" t="s">
        <v>32</v>
      </c>
      <c r="E6310" s="64">
        <v>1</v>
      </c>
    </row>
    <row r="6311" spans="1:5">
      <c r="A6311" s="64" t="s">
        <v>27</v>
      </c>
      <c r="B6311" s="65">
        <v>43641</v>
      </c>
      <c r="C6311" s="66" t="s">
        <v>217</v>
      </c>
      <c r="D6311" s="3" t="s">
        <v>32</v>
      </c>
      <c r="E6311" s="64">
        <v>1</v>
      </c>
    </row>
    <row r="6312" spans="1:5">
      <c r="A6312" s="64" t="s">
        <v>27</v>
      </c>
      <c r="B6312" s="65">
        <v>43642</v>
      </c>
      <c r="C6312" s="66" t="s">
        <v>218</v>
      </c>
      <c r="D6312" s="3" t="s">
        <v>32</v>
      </c>
      <c r="E6312" s="64">
        <v>1</v>
      </c>
    </row>
    <row r="6313" spans="1:5">
      <c r="A6313" s="64" t="s">
        <v>27</v>
      </c>
      <c r="B6313" s="65">
        <v>43643</v>
      </c>
      <c r="C6313" s="66" t="s">
        <v>219</v>
      </c>
      <c r="D6313" s="3" t="s">
        <v>32</v>
      </c>
      <c r="E6313" s="64">
        <v>1</v>
      </c>
    </row>
    <row r="6314" spans="1:5">
      <c r="A6314" s="64" t="s">
        <v>27</v>
      </c>
      <c r="B6314" s="65">
        <v>43644</v>
      </c>
      <c r="C6314" s="66" t="s">
        <v>220</v>
      </c>
      <c r="D6314" s="3" t="s">
        <v>32</v>
      </c>
      <c r="E6314" s="64">
        <v>1</v>
      </c>
    </row>
    <row r="6315" spans="1:5">
      <c r="A6315" s="64" t="s">
        <v>27</v>
      </c>
      <c r="B6315" s="65">
        <v>43645</v>
      </c>
      <c r="C6315" s="66" t="s">
        <v>221</v>
      </c>
      <c r="D6315" s="3" t="s">
        <v>32</v>
      </c>
      <c r="E6315" s="64">
        <v>1</v>
      </c>
    </row>
    <row r="6316" spans="1:5">
      <c r="A6316" s="64" t="s">
        <v>27</v>
      </c>
      <c r="B6316" s="65">
        <v>43646</v>
      </c>
      <c r="C6316" s="66" t="s">
        <v>222</v>
      </c>
      <c r="D6316" s="3" t="s">
        <v>32</v>
      </c>
      <c r="E6316" s="64">
        <v>1</v>
      </c>
    </row>
    <row r="6317" spans="1:5">
      <c r="A6317" s="64" t="s">
        <v>27</v>
      </c>
      <c r="B6317" s="65">
        <v>43467</v>
      </c>
      <c r="C6317" s="66" t="s">
        <v>218</v>
      </c>
      <c r="D6317" s="3" t="s">
        <v>8</v>
      </c>
      <c r="E6317" s="64">
        <v>1</v>
      </c>
    </row>
    <row r="6318" spans="1:5">
      <c r="A6318" s="64" t="s">
        <v>27</v>
      </c>
      <c r="B6318" s="65">
        <v>43468</v>
      </c>
      <c r="C6318" s="66" t="s">
        <v>219</v>
      </c>
      <c r="D6318" s="3" t="s">
        <v>8</v>
      </c>
      <c r="E6318" s="64">
        <v>1</v>
      </c>
    </row>
    <row r="6319" spans="1:5">
      <c r="A6319" s="64" t="s">
        <v>27</v>
      </c>
      <c r="B6319" s="65">
        <v>43469</v>
      </c>
      <c r="C6319" s="66" t="s">
        <v>220</v>
      </c>
      <c r="D6319" s="3" t="s">
        <v>8</v>
      </c>
      <c r="E6319" s="64">
        <v>1</v>
      </c>
    </row>
    <row r="6320" spans="1:5">
      <c r="A6320" s="64" t="s">
        <v>27</v>
      </c>
      <c r="B6320" s="65">
        <v>43470</v>
      </c>
      <c r="C6320" s="66" t="s">
        <v>221</v>
      </c>
      <c r="D6320" s="3" t="s">
        <v>8</v>
      </c>
      <c r="E6320" s="64">
        <v>1</v>
      </c>
    </row>
    <row r="6321" spans="1:5">
      <c r="A6321" s="64" t="s">
        <v>27</v>
      </c>
      <c r="B6321" s="65">
        <v>43471</v>
      </c>
      <c r="C6321" s="66" t="s">
        <v>222</v>
      </c>
      <c r="D6321" s="3" t="s">
        <v>8</v>
      </c>
      <c r="E6321" s="64">
        <v>1</v>
      </c>
    </row>
    <row r="6322" spans="1:5">
      <c r="A6322" s="64" t="s">
        <v>27</v>
      </c>
      <c r="B6322" s="65">
        <v>43472</v>
      </c>
      <c r="C6322" s="66" t="s">
        <v>216</v>
      </c>
      <c r="D6322" s="3" t="s">
        <v>8</v>
      </c>
      <c r="E6322" s="64">
        <v>1</v>
      </c>
    </row>
    <row r="6323" spans="1:5">
      <c r="A6323" s="64" t="s">
        <v>27</v>
      </c>
      <c r="B6323" s="65">
        <v>43473</v>
      </c>
      <c r="C6323" s="66" t="s">
        <v>217</v>
      </c>
      <c r="D6323" s="3" t="s">
        <v>8</v>
      </c>
      <c r="E6323" s="64">
        <v>1</v>
      </c>
    </row>
    <row r="6324" spans="1:5">
      <c r="A6324" s="64" t="s">
        <v>27</v>
      </c>
      <c r="B6324" s="65">
        <v>43474</v>
      </c>
      <c r="C6324" s="66" t="s">
        <v>218</v>
      </c>
      <c r="D6324" s="3" t="s">
        <v>8</v>
      </c>
      <c r="E6324" s="64">
        <v>1</v>
      </c>
    </row>
    <row r="6325" spans="1:5">
      <c r="A6325" s="64" t="s">
        <v>27</v>
      </c>
      <c r="B6325" s="65">
        <v>43475</v>
      </c>
      <c r="C6325" s="66" t="s">
        <v>219</v>
      </c>
      <c r="D6325" s="3" t="s">
        <v>8</v>
      </c>
      <c r="E6325" s="64">
        <v>1</v>
      </c>
    </row>
    <row r="6326" spans="1:5">
      <c r="A6326" s="64" t="s">
        <v>27</v>
      </c>
      <c r="B6326" s="65">
        <v>43476</v>
      </c>
      <c r="C6326" s="66" t="s">
        <v>220</v>
      </c>
      <c r="D6326" s="3" t="s">
        <v>8</v>
      </c>
      <c r="E6326" s="64">
        <v>1</v>
      </c>
    </row>
    <row r="6327" spans="1:5">
      <c r="A6327" s="64" t="s">
        <v>27</v>
      </c>
      <c r="B6327" s="65">
        <v>43477</v>
      </c>
      <c r="C6327" s="66" t="s">
        <v>221</v>
      </c>
      <c r="D6327" s="3" t="s">
        <v>8</v>
      </c>
      <c r="E6327" s="64">
        <v>1</v>
      </c>
    </row>
    <row r="6328" spans="1:5">
      <c r="A6328" s="64" t="s">
        <v>27</v>
      </c>
      <c r="B6328" s="65">
        <v>43478</v>
      </c>
      <c r="C6328" s="66" t="s">
        <v>222</v>
      </c>
      <c r="D6328" s="3" t="s">
        <v>8</v>
      </c>
      <c r="E6328" s="64">
        <v>1</v>
      </c>
    </row>
    <row r="6329" spans="1:5">
      <c r="A6329" s="64" t="s">
        <v>27</v>
      </c>
      <c r="B6329" s="65">
        <v>43479</v>
      </c>
      <c r="C6329" s="66" t="s">
        <v>216</v>
      </c>
      <c r="D6329" s="3" t="s">
        <v>8</v>
      </c>
      <c r="E6329" s="64">
        <v>1</v>
      </c>
    </row>
    <row r="6330" spans="1:5">
      <c r="A6330" s="64" t="s">
        <v>27</v>
      </c>
      <c r="B6330" s="65">
        <v>43480</v>
      </c>
      <c r="C6330" s="66" t="s">
        <v>217</v>
      </c>
      <c r="D6330" s="3" t="s">
        <v>8</v>
      </c>
      <c r="E6330" s="64">
        <v>1</v>
      </c>
    </row>
    <row r="6331" spans="1:5">
      <c r="A6331" s="64" t="s">
        <v>27</v>
      </c>
      <c r="B6331" s="65">
        <v>43481</v>
      </c>
      <c r="C6331" s="66" t="s">
        <v>218</v>
      </c>
      <c r="D6331" s="3" t="s">
        <v>8</v>
      </c>
      <c r="E6331" s="64">
        <v>1</v>
      </c>
    </row>
    <row r="6332" spans="1:5">
      <c r="A6332" s="64" t="s">
        <v>27</v>
      </c>
      <c r="B6332" s="65">
        <v>43482</v>
      </c>
      <c r="C6332" s="66" t="s">
        <v>219</v>
      </c>
      <c r="D6332" s="3" t="s">
        <v>8</v>
      </c>
      <c r="E6332" s="64">
        <v>1</v>
      </c>
    </row>
    <row r="6333" spans="1:5">
      <c r="A6333" s="64" t="s">
        <v>27</v>
      </c>
      <c r="B6333" s="65">
        <v>43483</v>
      </c>
      <c r="C6333" s="66" t="s">
        <v>220</v>
      </c>
      <c r="D6333" s="3" t="s">
        <v>8</v>
      </c>
      <c r="E6333" s="64">
        <v>1</v>
      </c>
    </row>
    <row r="6334" spans="1:5">
      <c r="A6334" s="64" t="s">
        <v>27</v>
      </c>
      <c r="B6334" s="65">
        <v>43484</v>
      </c>
      <c r="C6334" s="66" t="s">
        <v>221</v>
      </c>
      <c r="D6334" s="3" t="s">
        <v>8</v>
      </c>
      <c r="E6334" s="64">
        <v>1</v>
      </c>
    </row>
    <row r="6335" spans="1:5">
      <c r="A6335" s="64" t="s">
        <v>27</v>
      </c>
      <c r="B6335" s="65">
        <v>43485</v>
      </c>
      <c r="C6335" s="66" t="s">
        <v>222</v>
      </c>
      <c r="D6335" s="3" t="s">
        <v>8</v>
      </c>
      <c r="E6335" s="64">
        <v>1</v>
      </c>
    </row>
    <row r="6336" spans="1:5">
      <c r="A6336" s="64" t="s">
        <v>27</v>
      </c>
      <c r="B6336" s="65">
        <v>43486</v>
      </c>
      <c r="C6336" s="66" t="s">
        <v>216</v>
      </c>
      <c r="D6336" s="3" t="s">
        <v>8</v>
      </c>
      <c r="E6336" s="64">
        <v>1</v>
      </c>
    </row>
    <row r="6337" spans="1:5">
      <c r="A6337" s="64" t="s">
        <v>27</v>
      </c>
      <c r="B6337" s="65">
        <v>43487</v>
      </c>
      <c r="C6337" s="66" t="s">
        <v>217</v>
      </c>
      <c r="D6337" s="3" t="s">
        <v>8</v>
      </c>
      <c r="E6337" s="64">
        <v>1</v>
      </c>
    </row>
    <row r="6338" spans="1:5">
      <c r="A6338" s="64" t="s">
        <v>27</v>
      </c>
      <c r="B6338" s="65">
        <v>43488</v>
      </c>
      <c r="C6338" s="66" t="s">
        <v>218</v>
      </c>
      <c r="D6338" s="3" t="s">
        <v>8</v>
      </c>
      <c r="E6338" s="64">
        <v>1</v>
      </c>
    </row>
    <row r="6339" spans="1:5">
      <c r="A6339" s="64" t="s">
        <v>27</v>
      </c>
      <c r="B6339" s="65">
        <v>43489</v>
      </c>
      <c r="C6339" s="66" t="s">
        <v>219</v>
      </c>
      <c r="D6339" s="3" t="s">
        <v>8</v>
      </c>
      <c r="E6339" s="64">
        <v>1</v>
      </c>
    </row>
    <row r="6340" spans="1:5">
      <c r="A6340" s="64" t="s">
        <v>27</v>
      </c>
      <c r="B6340" s="65">
        <v>43490</v>
      </c>
      <c r="C6340" s="66" t="s">
        <v>220</v>
      </c>
      <c r="D6340" s="3" t="s">
        <v>8</v>
      </c>
      <c r="E6340" s="64">
        <v>1</v>
      </c>
    </row>
    <row r="6341" spans="1:5">
      <c r="A6341" s="64" t="s">
        <v>27</v>
      </c>
      <c r="B6341" s="65">
        <v>43491</v>
      </c>
      <c r="C6341" s="66" t="s">
        <v>221</v>
      </c>
      <c r="D6341" s="3" t="s">
        <v>8</v>
      </c>
      <c r="E6341" s="64">
        <v>1</v>
      </c>
    </row>
    <row r="6342" spans="1:5">
      <c r="A6342" s="64" t="s">
        <v>27</v>
      </c>
      <c r="B6342" s="65">
        <v>43492</v>
      </c>
      <c r="C6342" s="66" t="s">
        <v>222</v>
      </c>
      <c r="D6342" s="3" t="s">
        <v>8</v>
      </c>
      <c r="E6342" s="64">
        <v>1</v>
      </c>
    </row>
    <row r="6343" spans="1:5">
      <c r="A6343" s="64" t="s">
        <v>27</v>
      </c>
      <c r="B6343" s="65">
        <v>43493</v>
      </c>
      <c r="C6343" s="66" t="s">
        <v>216</v>
      </c>
      <c r="D6343" s="3" t="s">
        <v>8</v>
      </c>
      <c r="E6343" s="64">
        <v>1</v>
      </c>
    </row>
    <row r="6344" spans="1:5">
      <c r="A6344" s="64" t="s">
        <v>27</v>
      </c>
      <c r="B6344" s="65">
        <v>43494</v>
      </c>
      <c r="C6344" s="66" t="s">
        <v>217</v>
      </c>
      <c r="D6344" s="3" t="s">
        <v>8</v>
      </c>
      <c r="E6344" s="64">
        <v>1</v>
      </c>
    </row>
    <row r="6345" spans="1:5">
      <c r="A6345" s="64" t="s">
        <v>27</v>
      </c>
      <c r="B6345" s="65">
        <v>43495</v>
      </c>
      <c r="C6345" s="66" t="s">
        <v>218</v>
      </c>
      <c r="D6345" s="3" t="s">
        <v>8</v>
      </c>
      <c r="E6345" s="64">
        <v>1</v>
      </c>
    </row>
    <row r="6346" spans="1:5">
      <c r="A6346" s="64" t="s">
        <v>27</v>
      </c>
      <c r="B6346" s="65">
        <v>43496</v>
      </c>
      <c r="C6346" s="66" t="s">
        <v>219</v>
      </c>
      <c r="D6346" s="3" t="s">
        <v>8</v>
      </c>
      <c r="E6346" s="64">
        <v>1</v>
      </c>
    </row>
    <row r="6347" spans="1:5">
      <c r="A6347" s="64" t="s">
        <v>27</v>
      </c>
      <c r="B6347" s="65">
        <v>43497</v>
      </c>
      <c r="C6347" s="66" t="s">
        <v>220</v>
      </c>
      <c r="D6347" s="3" t="s">
        <v>8</v>
      </c>
      <c r="E6347" s="64">
        <v>1</v>
      </c>
    </row>
    <row r="6348" spans="1:5">
      <c r="A6348" s="64" t="s">
        <v>27</v>
      </c>
      <c r="B6348" s="65">
        <v>43498</v>
      </c>
      <c r="C6348" s="66" t="s">
        <v>221</v>
      </c>
      <c r="D6348" s="3" t="s">
        <v>8</v>
      </c>
      <c r="E6348" s="64">
        <v>1</v>
      </c>
    </row>
    <row r="6349" spans="1:5">
      <c r="A6349" s="64" t="s">
        <v>27</v>
      </c>
      <c r="B6349" s="65">
        <v>43499</v>
      </c>
      <c r="C6349" s="66" t="s">
        <v>222</v>
      </c>
      <c r="D6349" s="3" t="s">
        <v>8</v>
      </c>
      <c r="E6349" s="64">
        <v>1</v>
      </c>
    </row>
    <row r="6350" spans="1:5">
      <c r="A6350" s="64" t="s">
        <v>27</v>
      </c>
      <c r="B6350" s="65">
        <v>43500</v>
      </c>
      <c r="C6350" s="66" t="s">
        <v>216</v>
      </c>
      <c r="D6350" s="3" t="s">
        <v>8</v>
      </c>
      <c r="E6350" s="64">
        <v>1</v>
      </c>
    </row>
    <row r="6351" spans="1:5">
      <c r="A6351" s="64" t="s">
        <v>27</v>
      </c>
      <c r="B6351" s="65">
        <v>43501</v>
      </c>
      <c r="C6351" s="66" t="s">
        <v>217</v>
      </c>
      <c r="D6351" s="3" t="s">
        <v>8</v>
      </c>
      <c r="E6351" s="64">
        <v>1</v>
      </c>
    </row>
    <row r="6352" spans="1:5">
      <c r="A6352" s="64" t="s">
        <v>27</v>
      </c>
      <c r="B6352" s="65">
        <v>43502</v>
      </c>
      <c r="C6352" s="66" t="s">
        <v>218</v>
      </c>
      <c r="D6352" s="3" t="s">
        <v>8</v>
      </c>
      <c r="E6352" s="64">
        <v>1</v>
      </c>
    </row>
    <row r="6353" spans="1:5">
      <c r="A6353" s="64" t="s">
        <v>27</v>
      </c>
      <c r="B6353" s="65">
        <v>43503</v>
      </c>
      <c r="C6353" s="66" t="s">
        <v>219</v>
      </c>
      <c r="D6353" s="3" t="s">
        <v>8</v>
      </c>
      <c r="E6353" s="64">
        <v>1</v>
      </c>
    </row>
    <row r="6354" spans="1:5">
      <c r="A6354" s="64" t="s">
        <v>27</v>
      </c>
      <c r="B6354" s="65">
        <v>43504</v>
      </c>
      <c r="C6354" s="66" t="s">
        <v>220</v>
      </c>
      <c r="D6354" s="3" t="s">
        <v>8</v>
      </c>
      <c r="E6354" s="64">
        <v>1</v>
      </c>
    </row>
    <row r="6355" spans="1:5">
      <c r="A6355" s="64" t="s">
        <v>27</v>
      </c>
      <c r="B6355" s="65">
        <v>43505</v>
      </c>
      <c r="C6355" s="66" t="s">
        <v>221</v>
      </c>
      <c r="D6355" s="3" t="s">
        <v>8</v>
      </c>
      <c r="E6355" s="64">
        <v>1</v>
      </c>
    </row>
    <row r="6356" spans="1:5">
      <c r="A6356" s="64" t="s">
        <v>27</v>
      </c>
      <c r="B6356" s="65">
        <v>43506</v>
      </c>
      <c r="C6356" s="66" t="s">
        <v>222</v>
      </c>
      <c r="D6356" s="3" t="s">
        <v>8</v>
      </c>
      <c r="E6356" s="64">
        <v>1</v>
      </c>
    </row>
    <row r="6357" spans="1:5">
      <c r="A6357" s="64" t="s">
        <v>27</v>
      </c>
      <c r="B6357" s="65">
        <v>43507</v>
      </c>
      <c r="C6357" s="66" t="s">
        <v>216</v>
      </c>
      <c r="D6357" s="3" t="s">
        <v>8</v>
      </c>
      <c r="E6357" s="64">
        <v>1</v>
      </c>
    </row>
    <row r="6358" spans="1:5">
      <c r="A6358" s="64" t="s">
        <v>27</v>
      </c>
      <c r="B6358" s="65">
        <v>43508</v>
      </c>
      <c r="C6358" s="66" t="s">
        <v>217</v>
      </c>
      <c r="D6358" s="3" t="s">
        <v>8</v>
      </c>
      <c r="E6358" s="64">
        <v>1</v>
      </c>
    </row>
    <row r="6359" spans="1:5">
      <c r="A6359" s="64" t="s">
        <v>27</v>
      </c>
      <c r="B6359" s="65">
        <v>43509</v>
      </c>
      <c r="C6359" s="66" t="s">
        <v>218</v>
      </c>
      <c r="D6359" s="3" t="s">
        <v>8</v>
      </c>
      <c r="E6359" s="64">
        <v>1</v>
      </c>
    </row>
    <row r="6360" spans="1:5">
      <c r="A6360" s="64" t="s">
        <v>27</v>
      </c>
      <c r="B6360" s="65">
        <v>43510</v>
      </c>
      <c r="C6360" s="66" t="s">
        <v>219</v>
      </c>
      <c r="D6360" s="3" t="s">
        <v>8</v>
      </c>
      <c r="E6360" s="64">
        <v>1</v>
      </c>
    </row>
    <row r="6361" spans="1:5">
      <c r="A6361" s="64" t="s">
        <v>27</v>
      </c>
      <c r="B6361" s="65">
        <v>43511</v>
      </c>
      <c r="C6361" s="66" t="s">
        <v>220</v>
      </c>
      <c r="D6361" s="3" t="s">
        <v>8</v>
      </c>
      <c r="E6361" s="64">
        <v>1</v>
      </c>
    </row>
    <row r="6362" spans="1:5">
      <c r="A6362" s="64" t="s">
        <v>27</v>
      </c>
      <c r="B6362" s="65">
        <v>43512</v>
      </c>
      <c r="C6362" s="66" t="s">
        <v>221</v>
      </c>
      <c r="D6362" s="3" t="s">
        <v>8</v>
      </c>
      <c r="E6362" s="64">
        <v>1</v>
      </c>
    </row>
    <row r="6363" spans="1:5">
      <c r="A6363" s="64" t="s">
        <v>27</v>
      </c>
      <c r="B6363" s="65">
        <v>43513</v>
      </c>
      <c r="C6363" s="66" t="s">
        <v>222</v>
      </c>
      <c r="D6363" s="3" t="s">
        <v>8</v>
      </c>
      <c r="E6363" s="64">
        <v>1</v>
      </c>
    </row>
    <row r="6364" spans="1:5">
      <c r="A6364" s="64" t="s">
        <v>27</v>
      </c>
      <c r="B6364" s="65">
        <v>43514</v>
      </c>
      <c r="C6364" s="66" t="s">
        <v>216</v>
      </c>
      <c r="D6364" s="3" t="s">
        <v>8</v>
      </c>
      <c r="E6364" s="64">
        <v>1</v>
      </c>
    </row>
    <row r="6365" spans="1:5">
      <c r="A6365" s="64" t="s">
        <v>27</v>
      </c>
      <c r="B6365" s="65">
        <v>43515</v>
      </c>
      <c r="C6365" s="66" t="s">
        <v>217</v>
      </c>
      <c r="D6365" s="3" t="s">
        <v>8</v>
      </c>
      <c r="E6365" s="64">
        <v>1</v>
      </c>
    </row>
    <row r="6366" spans="1:5">
      <c r="A6366" s="64" t="s">
        <v>27</v>
      </c>
      <c r="B6366" s="65">
        <v>43516</v>
      </c>
      <c r="C6366" s="66" t="s">
        <v>218</v>
      </c>
      <c r="D6366" s="3" t="s">
        <v>8</v>
      </c>
      <c r="E6366" s="64">
        <v>1</v>
      </c>
    </row>
    <row r="6367" spans="1:5">
      <c r="A6367" s="64" t="s">
        <v>27</v>
      </c>
      <c r="B6367" s="65">
        <v>43517</v>
      </c>
      <c r="C6367" s="66" t="s">
        <v>219</v>
      </c>
      <c r="D6367" s="3" t="s">
        <v>8</v>
      </c>
      <c r="E6367" s="64">
        <v>1</v>
      </c>
    </row>
    <row r="6368" spans="1:5">
      <c r="A6368" s="64" t="s">
        <v>27</v>
      </c>
      <c r="B6368" s="65">
        <v>43518</v>
      </c>
      <c r="C6368" s="66" t="s">
        <v>220</v>
      </c>
      <c r="D6368" s="3" t="s">
        <v>8</v>
      </c>
      <c r="E6368" s="64">
        <v>1</v>
      </c>
    </row>
    <row r="6369" spans="1:5">
      <c r="A6369" s="64" t="s">
        <v>27</v>
      </c>
      <c r="B6369" s="65">
        <v>43519</v>
      </c>
      <c r="C6369" s="66" t="s">
        <v>221</v>
      </c>
      <c r="D6369" s="3" t="s">
        <v>8</v>
      </c>
      <c r="E6369" s="64">
        <v>1</v>
      </c>
    </row>
    <row r="6370" spans="1:5">
      <c r="A6370" s="64" t="s">
        <v>27</v>
      </c>
      <c r="B6370" s="65">
        <v>43520</v>
      </c>
      <c r="C6370" s="66" t="s">
        <v>222</v>
      </c>
      <c r="D6370" s="3" t="s">
        <v>8</v>
      </c>
      <c r="E6370" s="64">
        <v>1</v>
      </c>
    </row>
    <row r="6371" spans="1:5">
      <c r="A6371" s="64" t="s">
        <v>27</v>
      </c>
      <c r="B6371" s="65">
        <v>43521</v>
      </c>
      <c r="C6371" s="66" t="s">
        <v>216</v>
      </c>
      <c r="D6371" s="3" t="s">
        <v>8</v>
      </c>
      <c r="E6371" s="64">
        <v>1</v>
      </c>
    </row>
    <row r="6372" spans="1:5">
      <c r="A6372" s="64" t="s">
        <v>27</v>
      </c>
      <c r="B6372" s="65">
        <v>43522</v>
      </c>
      <c r="C6372" s="66" t="s">
        <v>217</v>
      </c>
      <c r="D6372" s="3" t="s">
        <v>8</v>
      </c>
      <c r="E6372" s="64">
        <v>1</v>
      </c>
    </row>
    <row r="6373" spans="1:5">
      <c r="A6373" s="64" t="s">
        <v>27</v>
      </c>
      <c r="B6373" s="65">
        <v>43523</v>
      </c>
      <c r="C6373" s="66" t="s">
        <v>218</v>
      </c>
      <c r="D6373" s="3" t="s">
        <v>8</v>
      </c>
      <c r="E6373" s="64">
        <v>1</v>
      </c>
    </row>
    <row r="6374" spans="1:5">
      <c r="A6374" s="64" t="s">
        <v>27</v>
      </c>
      <c r="B6374" s="65">
        <v>43524</v>
      </c>
      <c r="C6374" s="66" t="s">
        <v>219</v>
      </c>
      <c r="D6374" s="3" t="s">
        <v>8</v>
      </c>
      <c r="E6374" s="64">
        <v>1</v>
      </c>
    </row>
    <row r="6375" spans="1:5">
      <c r="A6375" s="64" t="s">
        <v>27</v>
      </c>
      <c r="B6375" s="65">
        <v>43525</v>
      </c>
      <c r="C6375" s="66" t="s">
        <v>220</v>
      </c>
      <c r="D6375" s="3" t="s">
        <v>8</v>
      </c>
      <c r="E6375" s="64">
        <v>1</v>
      </c>
    </row>
    <row r="6376" spans="1:5">
      <c r="A6376" s="64" t="s">
        <v>27</v>
      </c>
      <c r="B6376" s="65">
        <v>43526</v>
      </c>
      <c r="C6376" s="66" t="s">
        <v>221</v>
      </c>
      <c r="D6376" s="3" t="s">
        <v>8</v>
      </c>
      <c r="E6376" s="64">
        <v>1</v>
      </c>
    </row>
    <row r="6377" spans="1:5">
      <c r="A6377" s="64" t="s">
        <v>27</v>
      </c>
      <c r="B6377" s="65">
        <v>43527</v>
      </c>
      <c r="C6377" s="66" t="s">
        <v>222</v>
      </c>
      <c r="D6377" s="3" t="s">
        <v>8</v>
      </c>
      <c r="E6377" s="64">
        <v>1</v>
      </c>
    </row>
    <row r="6378" spans="1:5">
      <c r="A6378" s="64" t="s">
        <v>27</v>
      </c>
      <c r="B6378" s="65">
        <v>43528</v>
      </c>
      <c r="C6378" s="66" t="s">
        <v>216</v>
      </c>
      <c r="D6378" s="3" t="s">
        <v>8</v>
      </c>
      <c r="E6378" s="64">
        <v>1</v>
      </c>
    </row>
    <row r="6379" spans="1:5">
      <c r="A6379" s="64" t="s">
        <v>27</v>
      </c>
      <c r="B6379" s="65">
        <v>43529</v>
      </c>
      <c r="C6379" s="66" t="s">
        <v>217</v>
      </c>
      <c r="D6379" s="3" t="s">
        <v>8</v>
      </c>
      <c r="E6379" s="64">
        <v>1</v>
      </c>
    </row>
    <row r="6380" spans="1:5">
      <c r="A6380" s="64" t="s">
        <v>27</v>
      </c>
      <c r="B6380" s="65">
        <v>43530</v>
      </c>
      <c r="C6380" s="66" t="s">
        <v>218</v>
      </c>
      <c r="D6380" s="3" t="s">
        <v>8</v>
      </c>
      <c r="E6380" s="64">
        <v>1</v>
      </c>
    </row>
    <row r="6381" spans="1:5">
      <c r="A6381" s="64" t="s">
        <v>27</v>
      </c>
      <c r="B6381" s="65">
        <v>43531</v>
      </c>
      <c r="C6381" s="66" t="s">
        <v>219</v>
      </c>
      <c r="D6381" s="3" t="s">
        <v>8</v>
      </c>
      <c r="E6381" s="64">
        <v>1</v>
      </c>
    </row>
    <row r="6382" spans="1:5">
      <c r="A6382" s="64" t="s">
        <v>27</v>
      </c>
      <c r="B6382" s="65">
        <v>43532</v>
      </c>
      <c r="C6382" s="66" t="s">
        <v>220</v>
      </c>
      <c r="D6382" s="3" t="s">
        <v>8</v>
      </c>
      <c r="E6382" s="64">
        <v>1</v>
      </c>
    </row>
    <row r="6383" spans="1:5">
      <c r="A6383" s="64" t="s">
        <v>27</v>
      </c>
      <c r="B6383" s="65">
        <v>43533</v>
      </c>
      <c r="C6383" s="66" t="s">
        <v>221</v>
      </c>
      <c r="D6383" s="3" t="s">
        <v>8</v>
      </c>
      <c r="E6383" s="64">
        <v>1</v>
      </c>
    </row>
    <row r="6384" spans="1:5">
      <c r="A6384" s="64" t="s">
        <v>27</v>
      </c>
      <c r="B6384" s="65">
        <v>43534</v>
      </c>
      <c r="C6384" s="66" t="s">
        <v>222</v>
      </c>
      <c r="D6384" s="3" t="s">
        <v>8</v>
      </c>
      <c r="E6384" s="64">
        <v>1</v>
      </c>
    </row>
    <row r="6385" spans="1:5">
      <c r="A6385" s="64" t="s">
        <v>27</v>
      </c>
      <c r="B6385" s="65">
        <v>43535</v>
      </c>
      <c r="C6385" s="66" t="s">
        <v>216</v>
      </c>
      <c r="D6385" s="3" t="s">
        <v>8</v>
      </c>
      <c r="E6385" s="64">
        <v>1</v>
      </c>
    </row>
    <row r="6386" spans="1:5">
      <c r="A6386" s="64" t="s">
        <v>27</v>
      </c>
      <c r="B6386" s="65">
        <v>43536</v>
      </c>
      <c r="C6386" s="66" t="s">
        <v>217</v>
      </c>
      <c r="D6386" s="3" t="s">
        <v>8</v>
      </c>
      <c r="E6386" s="64">
        <v>1</v>
      </c>
    </row>
    <row r="6387" spans="1:5">
      <c r="A6387" s="64" t="s">
        <v>27</v>
      </c>
      <c r="B6387" s="65">
        <v>43537</v>
      </c>
      <c r="C6387" s="66" t="s">
        <v>218</v>
      </c>
      <c r="D6387" s="3" t="s">
        <v>8</v>
      </c>
      <c r="E6387" s="64">
        <v>1</v>
      </c>
    </row>
    <row r="6388" spans="1:5">
      <c r="A6388" s="64" t="s">
        <v>27</v>
      </c>
      <c r="B6388" s="65">
        <v>43538</v>
      </c>
      <c r="C6388" s="66" t="s">
        <v>219</v>
      </c>
      <c r="D6388" s="3" t="s">
        <v>8</v>
      </c>
      <c r="E6388" s="64">
        <v>1</v>
      </c>
    </row>
    <row r="6389" spans="1:5">
      <c r="A6389" s="64" t="s">
        <v>27</v>
      </c>
      <c r="B6389" s="65">
        <v>43539</v>
      </c>
      <c r="C6389" s="66" t="s">
        <v>220</v>
      </c>
      <c r="D6389" s="3" t="s">
        <v>8</v>
      </c>
      <c r="E6389" s="64">
        <v>1</v>
      </c>
    </row>
    <row r="6390" spans="1:5">
      <c r="A6390" s="64" t="s">
        <v>27</v>
      </c>
      <c r="B6390" s="65">
        <v>43540</v>
      </c>
      <c r="C6390" s="66" t="s">
        <v>221</v>
      </c>
      <c r="D6390" s="3" t="s">
        <v>8</v>
      </c>
      <c r="E6390" s="64">
        <v>1</v>
      </c>
    </row>
    <row r="6391" spans="1:5">
      <c r="A6391" s="64" t="s">
        <v>27</v>
      </c>
      <c r="B6391" s="65">
        <v>43541</v>
      </c>
      <c r="C6391" s="66" t="s">
        <v>222</v>
      </c>
      <c r="D6391" s="3" t="s">
        <v>8</v>
      </c>
      <c r="E6391" s="64">
        <v>1</v>
      </c>
    </row>
    <row r="6392" spans="1:5">
      <c r="A6392" s="64" t="s">
        <v>27</v>
      </c>
      <c r="B6392" s="65">
        <v>43542</v>
      </c>
      <c r="C6392" s="66" t="s">
        <v>216</v>
      </c>
      <c r="D6392" s="3" t="s">
        <v>8</v>
      </c>
      <c r="E6392" s="64">
        <v>1</v>
      </c>
    </row>
    <row r="6393" spans="1:5">
      <c r="A6393" s="64" t="s">
        <v>27</v>
      </c>
      <c r="B6393" s="65">
        <v>43543</v>
      </c>
      <c r="C6393" s="66" t="s">
        <v>217</v>
      </c>
      <c r="D6393" s="3" t="s">
        <v>8</v>
      </c>
      <c r="E6393" s="64">
        <v>1</v>
      </c>
    </row>
    <row r="6394" spans="1:5">
      <c r="A6394" s="64" t="s">
        <v>27</v>
      </c>
      <c r="B6394" s="65">
        <v>43544</v>
      </c>
      <c r="C6394" s="66" t="s">
        <v>218</v>
      </c>
      <c r="D6394" s="3" t="s">
        <v>8</v>
      </c>
      <c r="E6394" s="64">
        <v>1</v>
      </c>
    </row>
    <row r="6395" spans="1:5">
      <c r="A6395" s="64" t="s">
        <v>27</v>
      </c>
      <c r="B6395" s="65">
        <v>43545</v>
      </c>
      <c r="C6395" s="66" t="s">
        <v>219</v>
      </c>
      <c r="D6395" s="3" t="s">
        <v>8</v>
      </c>
      <c r="E6395" s="64">
        <v>1</v>
      </c>
    </row>
    <row r="6396" spans="1:5">
      <c r="A6396" s="64" t="s">
        <v>27</v>
      </c>
      <c r="B6396" s="65">
        <v>43546</v>
      </c>
      <c r="C6396" s="66" t="s">
        <v>220</v>
      </c>
      <c r="D6396" s="3" t="s">
        <v>8</v>
      </c>
      <c r="E6396" s="64">
        <v>1</v>
      </c>
    </row>
    <row r="6397" spans="1:5">
      <c r="A6397" s="64" t="s">
        <v>27</v>
      </c>
      <c r="B6397" s="65">
        <v>43547</v>
      </c>
      <c r="C6397" s="66" t="s">
        <v>221</v>
      </c>
      <c r="D6397" s="3" t="s">
        <v>8</v>
      </c>
      <c r="E6397" s="64">
        <v>1</v>
      </c>
    </row>
    <row r="6398" spans="1:5">
      <c r="A6398" s="64" t="s">
        <v>27</v>
      </c>
      <c r="B6398" s="65">
        <v>43548</v>
      </c>
      <c r="C6398" s="66" t="s">
        <v>222</v>
      </c>
      <c r="D6398" s="3" t="s">
        <v>8</v>
      </c>
      <c r="E6398" s="64">
        <v>1</v>
      </c>
    </row>
    <row r="6399" spans="1:5">
      <c r="A6399" s="64" t="s">
        <v>27</v>
      </c>
      <c r="B6399" s="65">
        <v>43549</v>
      </c>
      <c r="C6399" s="66" t="s">
        <v>216</v>
      </c>
      <c r="D6399" s="3" t="s">
        <v>8</v>
      </c>
      <c r="E6399" s="64">
        <v>1</v>
      </c>
    </row>
    <row r="6400" spans="1:5">
      <c r="A6400" s="64" t="s">
        <v>27</v>
      </c>
      <c r="B6400" s="65">
        <v>43550</v>
      </c>
      <c r="C6400" s="66" t="s">
        <v>217</v>
      </c>
      <c r="D6400" s="3" t="s">
        <v>8</v>
      </c>
      <c r="E6400" s="64">
        <v>1</v>
      </c>
    </row>
    <row r="6401" spans="1:5">
      <c r="A6401" s="64" t="s">
        <v>27</v>
      </c>
      <c r="B6401" s="65">
        <v>43551</v>
      </c>
      <c r="C6401" s="66" t="s">
        <v>218</v>
      </c>
      <c r="D6401" s="3" t="s">
        <v>8</v>
      </c>
      <c r="E6401" s="64">
        <v>1</v>
      </c>
    </row>
    <row r="6402" spans="1:5">
      <c r="A6402" s="64" t="s">
        <v>27</v>
      </c>
      <c r="B6402" s="65">
        <v>43370</v>
      </c>
      <c r="C6402" s="66" t="s">
        <v>219</v>
      </c>
      <c r="D6402" s="3" t="s">
        <v>33</v>
      </c>
      <c r="E6402" s="64">
        <v>1</v>
      </c>
    </row>
    <row r="6403" spans="1:5">
      <c r="A6403" s="64" t="s">
        <v>27</v>
      </c>
      <c r="B6403" s="65">
        <v>43371</v>
      </c>
      <c r="C6403" s="66" t="s">
        <v>220</v>
      </c>
      <c r="D6403" s="3" t="s">
        <v>33</v>
      </c>
      <c r="E6403" s="64">
        <v>1</v>
      </c>
    </row>
    <row r="6404" spans="1:5">
      <c r="A6404" s="64" t="s">
        <v>27</v>
      </c>
      <c r="B6404" s="65">
        <v>43372</v>
      </c>
      <c r="C6404" s="66" t="s">
        <v>221</v>
      </c>
      <c r="D6404" s="3" t="s">
        <v>33</v>
      </c>
      <c r="E6404" s="64">
        <v>1</v>
      </c>
    </row>
    <row r="6405" spans="1:5">
      <c r="A6405" s="64" t="s">
        <v>27</v>
      </c>
      <c r="B6405" s="65">
        <v>43373</v>
      </c>
      <c r="C6405" s="66" t="s">
        <v>222</v>
      </c>
      <c r="D6405" s="3" t="s">
        <v>33</v>
      </c>
      <c r="E6405" s="64">
        <v>1</v>
      </c>
    </row>
    <row r="6406" spans="1:5">
      <c r="A6406" s="64" t="s">
        <v>27</v>
      </c>
      <c r="B6406" s="65">
        <v>43374</v>
      </c>
      <c r="C6406" s="66" t="s">
        <v>216</v>
      </c>
      <c r="D6406" s="3" t="s">
        <v>33</v>
      </c>
      <c r="E6406" s="64">
        <v>1</v>
      </c>
    </row>
    <row r="6407" spans="1:5">
      <c r="A6407" s="64" t="s">
        <v>27</v>
      </c>
      <c r="B6407" s="65">
        <v>43375</v>
      </c>
      <c r="C6407" s="66" t="s">
        <v>217</v>
      </c>
      <c r="D6407" s="3" t="s">
        <v>33</v>
      </c>
      <c r="E6407" s="64">
        <v>1</v>
      </c>
    </row>
    <row r="6408" spans="1:5">
      <c r="A6408" s="64" t="s">
        <v>27</v>
      </c>
      <c r="B6408" s="65">
        <v>43376</v>
      </c>
      <c r="C6408" s="66" t="s">
        <v>218</v>
      </c>
      <c r="D6408" s="3" t="s">
        <v>33</v>
      </c>
      <c r="E6408" s="64">
        <v>1</v>
      </c>
    </row>
    <row r="6409" spans="1:5">
      <c r="A6409" s="64" t="s">
        <v>27</v>
      </c>
      <c r="B6409" s="65">
        <v>43377</v>
      </c>
      <c r="C6409" s="66" t="s">
        <v>219</v>
      </c>
      <c r="D6409" s="3" t="s">
        <v>33</v>
      </c>
      <c r="E6409" s="64">
        <v>1</v>
      </c>
    </row>
    <row r="6410" spans="1:5">
      <c r="A6410" s="64" t="s">
        <v>27</v>
      </c>
      <c r="B6410" s="65">
        <v>43378</v>
      </c>
      <c r="C6410" s="66" t="s">
        <v>220</v>
      </c>
      <c r="D6410" s="3" t="s">
        <v>33</v>
      </c>
      <c r="E6410" s="64">
        <v>1</v>
      </c>
    </row>
    <row r="6411" spans="1:5">
      <c r="A6411" s="64" t="s">
        <v>27</v>
      </c>
      <c r="B6411" s="65">
        <v>43379</v>
      </c>
      <c r="C6411" s="66" t="s">
        <v>221</v>
      </c>
      <c r="D6411" s="3" t="s">
        <v>33</v>
      </c>
      <c r="E6411" s="64">
        <v>1</v>
      </c>
    </row>
    <row r="6412" spans="1:5">
      <c r="A6412" s="64" t="s">
        <v>27</v>
      </c>
      <c r="B6412" s="65">
        <v>43380</v>
      </c>
      <c r="C6412" s="66" t="s">
        <v>222</v>
      </c>
      <c r="D6412" s="3" t="s">
        <v>33</v>
      </c>
      <c r="E6412" s="64">
        <v>1</v>
      </c>
    </row>
    <row r="6413" spans="1:5">
      <c r="A6413" s="64" t="s">
        <v>27</v>
      </c>
      <c r="B6413" s="65">
        <v>43381</v>
      </c>
      <c r="C6413" s="66" t="s">
        <v>216</v>
      </c>
      <c r="D6413" s="3" t="s">
        <v>33</v>
      </c>
      <c r="E6413" s="64">
        <v>1</v>
      </c>
    </row>
    <row r="6414" spans="1:5">
      <c r="A6414" s="64" t="s">
        <v>27</v>
      </c>
      <c r="B6414" s="65">
        <v>43382</v>
      </c>
      <c r="C6414" s="66" t="s">
        <v>217</v>
      </c>
      <c r="D6414" s="3" t="s">
        <v>33</v>
      </c>
      <c r="E6414" s="64">
        <v>1</v>
      </c>
    </row>
    <row r="6415" spans="1:5">
      <c r="A6415" s="64" t="s">
        <v>27</v>
      </c>
      <c r="B6415" s="65">
        <v>43383</v>
      </c>
      <c r="C6415" s="66" t="s">
        <v>218</v>
      </c>
      <c r="D6415" s="3" t="s">
        <v>33</v>
      </c>
      <c r="E6415" s="64">
        <v>1</v>
      </c>
    </row>
    <row r="6416" spans="1:5">
      <c r="A6416" s="64" t="s">
        <v>27</v>
      </c>
      <c r="B6416" s="65">
        <v>43384</v>
      </c>
      <c r="C6416" s="66" t="s">
        <v>219</v>
      </c>
      <c r="D6416" s="3" t="s">
        <v>33</v>
      </c>
      <c r="E6416" s="64">
        <v>1</v>
      </c>
    </row>
    <row r="6417" spans="1:5">
      <c r="A6417" s="64" t="s">
        <v>27</v>
      </c>
      <c r="B6417" s="65">
        <v>43385</v>
      </c>
      <c r="C6417" s="66" t="s">
        <v>220</v>
      </c>
      <c r="D6417" s="3" t="s">
        <v>33</v>
      </c>
      <c r="E6417" s="64">
        <v>1</v>
      </c>
    </row>
    <row r="6418" spans="1:5">
      <c r="A6418" s="64" t="s">
        <v>27</v>
      </c>
      <c r="B6418" s="65">
        <v>43386</v>
      </c>
      <c r="C6418" s="66" t="s">
        <v>221</v>
      </c>
      <c r="D6418" s="3" t="s">
        <v>33</v>
      </c>
      <c r="E6418" s="64">
        <v>1</v>
      </c>
    </row>
    <row r="6419" spans="1:5">
      <c r="A6419" s="64" t="s">
        <v>27</v>
      </c>
      <c r="B6419" s="65">
        <v>43387</v>
      </c>
      <c r="C6419" s="66" t="s">
        <v>222</v>
      </c>
      <c r="D6419" s="3" t="s">
        <v>33</v>
      </c>
      <c r="E6419" s="64">
        <v>1</v>
      </c>
    </row>
    <row r="6420" spans="1:5">
      <c r="A6420" s="64" t="s">
        <v>27</v>
      </c>
      <c r="B6420" s="65">
        <v>43388</v>
      </c>
      <c r="C6420" s="66" t="s">
        <v>216</v>
      </c>
      <c r="D6420" s="3" t="s">
        <v>33</v>
      </c>
      <c r="E6420" s="64">
        <v>1</v>
      </c>
    </row>
    <row r="6421" spans="1:5">
      <c r="A6421" s="64" t="s">
        <v>27</v>
      </c>
      <c r="B6421" s="65">
        <v>43389</v>
      </c>
      <c r="C6421" s="66" t="s">
        <v>217</v>
      </c>
      <c r="D6421" s="3" t="s">
        <v>33</v>
      </c>
      <c r="E6421" s="64">
        <v>1</v>
      </c>
    </row>
    <row r="6422" spans="1:5">
      <c r="A6422" s="64" t="s">
        <v>27</v>
      </c>
      <c r="B6422" s="65">
        <v>43390</v>
      </c>
      <c r="C6422" s="66" t="s">
        <v>218</v>
      </c>
      <c r="D6422" s="3" t="s">
        <v>33</v>
      </c>
      <c r="E6422" s="64">
        <v>1</v>
      </c>
    </row>
    <row r="6423" spans="1:5">
      <c r="A6423" s="64" t="s">
        <v>27</v>
      </c>
      <c r="B6423" s="65">
        <v>43391</v>
      </c>
      <c r="C6423" s="66" t="s">
        <v>219</v>
      </c>
      <c r="D6423" s="3" t="s">
        <v>33</v>
      </c>
      <c r="E6423" s="64">
        <v>1</v>
      </c>
    </row>
    <row r="6424" spans="1:5">
      <c r="A6424" s="64" t="s">
        <v>27</v>
      </c>
      <c r="B6424" s="65">
        <v>43392</v>
      </c>
      <c r="C6424" s="66" t="s">
        <v>220</v>
      </c>
      <c r="D6424" s="3" t="s">
        <v>33</v>
      </c>
      <c r="E6424" s="64">
        <v>1</v>
      </c>
    </row>
    <row r="6425" spans="1:5">
      <c r="A6425" s="64" t="s">
        <v>27</v>
      </c>
      <c r="B6425" s="65">
        <v>43393</v>
      </c>
      <c r="C6425" s="66" t="s">
        <v>221</v>
      </c>
      <c r="D6425" s="3" t="s">
        <v>33</v>
      </c>
      <c r="E6425" s="64">
        <v>1</v>
      </c>
    </row>
    <row r="6426" spans="1:5">
      <c r="A6426" s="64" t="s">
        <v>27</v>
      </c>
      <c r="B6426" s="65">
        <v>43394</v>
      </c>
      <c r="C6426" s="66" t="s">
        <v>222</v>
      </c>
      <c r="D6426" s="3" t="s">
        <v>33</v>
      </c>
      <c r="E6426" s="64">
        <v>1</v>
      </c>
    </row>
    <row r="6427" spans="1:5">
      <c r="A6427" s="64" t="s">
        <v>27</v>
      </c>
      <c r="B6427" s="65">
        <v>43395</v>
      </c>
      <c r="C6427" s="66" t="s">
        <v>216</v>
      </c>
      <c r="D6427" s="3" t="s">
        <v>33</v>
      </c>
      <c r="E6427" s="64">
        <v>1</v>
      </c>
    </row>
    <row r="6428" spans="1:5">
      <c r="A6428" s="64" t="s">
        <v>27</v>
      </c>
      <c r="B6428" s="65">
        <v>43396</v>
      </c>
      <c r="C6428" s="66" t="s">
        <v>217</v>
      </c>
      <c r="D6428" s="3" t="s">
        <v>33</v>
      </c>
      <c r="E6428" s="64">
        <v>1</v>
      </c>
    </row>
    <row r="6429" spans="1:5">
      <c r="A6429" s="64" t="s">
        <v>27</v>
      </c>
      <c r="B6429" s="65">
        <v>43397</v>
      </c>
      <c r="C6429" s="66" t="s">
        <v>218</v>
      </c>
      <c r="D6429" s="3" t="s">
        <v>33</v>
      </c>
      <c r="E6429" s="64">
        <v>1</v>
      </c>
    </row>
    <row r="6430" spans="1:5">
      <c r="A6430" s="64" t="s">
        <v>27</v>
      </c>
      <c r="B6430" s="65">
        <v>43398</v>
      </c>
      <c r="C6430" s="66" t="s">
        <v>219</v>
      </c>
      <c r="D6430" s="3" t="s">
        <v>33</v>
      </c>
      <c r="E6430" s="64">
        <v>1</v>
      </c>
    </row>
    <row r="6431" spans="1:5">
      <c r="A6431" s="64" t="s">
        <v>27</v>
      </c>
      <c r="B6431" s="65">
        <v>43399</v>
      </c>
      <c r="C6431" s="66" t="s">
        <v>220</v>
      </c>
      <c r="D6431" s="3" t="s">
        <v>33</v>
      </c>
      <c r="E6431" s="64">
        <v>1</v>
      </c>
    </row>
    <row r="6432" spans="1:5">
      <c r="A6432" s="64" t="s">
        <v>27</v>
      </c>
      <c r="B6432" s="65">
        <v>43400</v>
      </c>
      <c r="C6432" s="66" t="s">
        <v>221</v>
      </c>
      <c r="D6432" s="3" t="s">
        <v>33</v>
      </c>
      <c r="E6432" s="64">
        <v>1</v>
      </c>
    </row>
    <row r="6433" spans="1:5">
      <c r="A6433" s="64" t="s">
        <v>27</v>
      </c>
      <c r="B6433" s="65">
        <v>43401</v>
      </c>
      <c r="C6433" s="66" t="s">
        <v>222</v>
      </c>
      <c r="D6433" s="3" t="s">
        <v>33</v>
      </c>
      <c r="E6433" s="64">
        <v>1</v>
      </c>
    </row>
    <row r="6434" spans="1:5">
      <c r="A6434" s="64" t="s">
        <v>27</v>
      </c>
      <c r="B6434" s="65">
        <v>43402</v>
      </c>
      <c r="C6434" s="66" t="s">
        <v>216</v>
      </c>
      <c r="D6434" s="3" t="s">
        <v>33</v>
      </c>
      <c r="E6434" s="64">
        <v>1</v>
      </c>
    </row>
    <row r="6435" spans="1:5">
      <c r="A6435" s="64" t="s">
        <v>27</v>
      </c>
      <c r="B6435" s="65">
        <v>43403</v>
      </c>
      <c r="C6435" s="66" t="s">
        <v>217</v>
      </c>
      <c r="D6435" s="3" t="s">
        <v>33</v>
      </c>
      <c r="E6435" s="64">
        <v>1</v>
      </c>
    </row>
    <row r="6436" spans="1:5">
      <c r="A6436" s="64" t="s">
        <v>27</v>
      </c>
      <c r="B6436" s="65">
        <v>43404</v>
      </c>
      <c r="C6436" s="66" t="s">
        <v>218</v>
      </c>
      <c r="D6436" s="3" t="s">
        <v>33</v>
      </c>
      <c r="E6436" s="64">
        <v>1</v>
      </c>
    </row>
    <row r="6437" spans="1:5">
      <c r="A6437" s="64" t="s">
        <v>27</v>
      </c>
      <c r="B6437" s="65">
        <v>43405</v>
      </c>
      <c r="C6437" s="66" t="s">
        <v>219</v>
      </c>
      <c r="D6437" s="3" t="s">
        <v>33</v>
      </c>
      <c r="E6437" s="64">
        <v>1</v>
      </c>
    </row>
    <row r="6438" spans="1:5">
      <c r="A6438" s="64" t="s">
        <v>27</v>
      </c>
      <c r="B6438" s="65">
        <v>43406</v>
      </c>
      <c r="C6438" s="66" t="s">
        <v>220</v>
      </c>
      <c r="D6438" s="3" t="s">
        <v>33</v>
      </c>
      <c r="E6438" s="64">
        <v>1</v>
      </c>
    </row>
    <row r="6439" spans="1:5">
      <c r="A6439" s="64" t="s">
        <v>27</v>
      </c>
      <c r="B6439" s="65">
        <v>43407</v>
      </c>
      <c r="C6439" s="66" t="s">
        <v>221</v>
      </c>
      <c r="D6439" s="3" t="s">
        <v>33</v>
      </c>
      <c r="E6439" s="64">
        <v>1</v>
      </c>
    </row>
    <row r="6440" spans="1:5">
      <c r="A6440" s="64" t="s">
        <v>27</v>
      </c>
      <c r="B6440" s="65">
        <v>43408</v>
      </c>
      <c r="C6440" s="66" t="s">
        <v>222</v>
      </c>
      <c r="D6440" s="3" t="s">
        <v>33</v>
      </c>
      <c r="E6440" s="64">
        <v>1</v>
      </c>
    </row>
    <row r="6441" spans="1:5">
      <c r="A6441" s="64" t="s">
        <v>27</v>
      </c>
      <c r="B6441" s="65">
        <v>43409</v>
      </c>
      <c r="C6441" s="66" t="s">
        <v>216</v>
      </c>
      <c r="D6441" s="3" t="s">
        <v>33</v>
      </c>
      <c r="E6441" s="64">
        <v>1</v>
      </c>
    </row>
    <row r="6442" spans="1:5">
      <c r="A6442" s="64" t="s">
        <v>27</v>
      </c>
      <c r="B6442" s="65">
        <v>43410</v>
      </c>
      <c r="C6442" s="66" t="s">
        <v>217</v>
      </c>
      <c r="D6442" s="3" t="s">
        <v>33</v>
      </c>
      <c r="E6442" s="64">
        <v>1</v>
      </c>
    </row>
    <row r="6443" spans="1:5">
      <c r="A6443" s="64" t="s">
        <v>27</v>
      </c>
      <c r="B6443" s="65">
        <v>43411</v>
      </c>
      <c r="C6443" s="66" t="s">
        <v>218</v>
      </c>
      <c r="D6443" s="3" t="s">
        <v>33</v>
      </c>
      <c r="E6443" s="64">
        <v>1</v>
      </c>
    </row>
    <row r="6444" spans="1:5">
      <c r="A6444" s="64" t="s">
        <v>27</v>
      </c>
      <c r="B6444" s="65">
        <v>43412</v>
      </c>
      <c r="C6444" s="66" t="s">
        <v>219</v>
      </c>
      <c r="D6444" s="3" t="s">
        <v>33</v>
      </c>
      <c r="E6444" s="64">
        <v>1</v>
      </c>
    </row>
    <row r="6445" spans="1:5">
      <c r="A6445" s="64" t="s">
        <v>27</v>
      </c>
      <c r="B6445" s="65">
        <v>43413</v>
      </c>
      <c r="C6445" s="66" t="s">
        <v>220</v>
      </c>
      <c r="D6445" s="3" t="s">
        <v>33</v>
      </c>
      <c r="E6445" s="64">
        <v>1</v>
      </c>
    </row>
    <row r="6446" spans="1:5">
      <c r="A6446" s="64" t="s">
        <v>27</v>
      </c>
      <c r="B6446" s="65">
        <v>43414</v>
      </c>
      <c r="C6446" s="66" t="s">
        <v>221</v>
      </c>
      <c r="D6446" s="3" t="s">
        <v>33</v>
      </c>
      <c r="E6446" s="64">
        <v>1</v>
      </c>
    </row>
    <row r="6447" spans="1:5">
      <c r="A6447" s="64" t="s">
        <v>27</v>
      </c>
      <c r="B6447" s="65">
        <v>43415</v>
      </c>
      <c r="C6447" s="66" t="s">
        <v>222</v>
      </c>
      <c r="D6447" s="3" t="s">
        <v>33</v>
      </c>
      <c r="E6447" s="64">
        <v>1</v>
      </c>
    </row>
    <row r="6448" spans="1:5">
      <c r="A6448" s="64" t="s">
        <v>27</v>
      </c>
      <c r="B6448" s="65">
        <v>43416</v>
      </c>
      <c r="C6448" s="66" t="s">
        <v>216</v>
      </c>
      <c r="D6448" s="3" t="s">
        <v>33</v>
      </c>
      <c r="E6448" s="64">
        <v>1</v>
      </c>
    </row>
    <row r="6449" spans="1:5">
      <c r="A6449" s="64" t="s">
        <v>27</v>
      </c>
      <c r="B6449" s="65">
        <v>43417</v>
      </c>
      <c r="C6449" s="66" t="s">
        <v>217</v>
      </c>
      <c r="D6449" s="3" t="s">
        <v>33</v>
      </c>
      <c r="E6449" s="64">
        <v>1</v>
      </c>
    </row>
    <row r="6450" spans="1:5">
      <c r="A6450" s="64" t="s">
        <v>27</v>
      </c>
      <c r="B6450" s="65">
        <v>43418</v>
      </c>
      <c r="C6450" s="66" t="s">
        <v>218</v>
      </c>
      <c r="D6450" s="3" t="s">
        <v>33</v>
      </c>
      <c r="E6450" s="64">
        <v>1</v>
      </c>
    </row>
    <row r="6451" spans="1:5">
      <c r="A6451" s="64" t="s">
        <v>27</v>
      </c>
      <c r="B6451" s="65">
        <v>43419</v>
      </c>
      <c r="C6451" s="66" t="s">
        <v>219</v>
      </c>
      <c r="D6451" s="3" t="s">
        <v>33</v>
      </c>
      <c r="E6451" s="64">
        <v>1</v>
      </c>
    </row>
    <row r="6452" spans="1:5">
      <c r="A6452" s="64" t="s">
        <v>27</v>
      </c>
      <c r="B6452" s="65">
        <v>43420</v>
      </c>
      <c r="C6452" s="66" t="s">
        <v>220</v>
      </c>
      <c r="D6452" s="3" t="s">
        <v>33</v>
      </c>
      <c r="E6452" s="64">
        <v>1</v>
      </c>
    </row>
    <row r="6453" spans="1:5">
      <c r="A6453" s="64" t="s">
        <v>27</v>
      </c>
      <c r="B6453" s="65">
        <v>43421</v>
      </c>
      <c r="C6453" s="66" t="s">
        <v>221</v>
      </c>
      <c r="D6453" s="3" t="s">
        <v>33</v>
      </c>
      <c r="E6453" s="64">
        <v>1</v>
      </c>
    </row>
    <row r="6454" spans="1:5">
      <c r="A6454" s="64" t="s">
        <v>27</v>
      </c>
      <c r="B6454" s="65">
        <v>43422</v>
      </c>
      <c r="C6454" s="66" t="s">
        <v>222</v>
      </c>
      <c r="D6454" s="3" t="s">
        <v>33</v>
      </c>
      <c r="E6454" s="64">
        <v>1</v>
      </c>
    </row>
    <row r="6455" spans="1:5">
      <c r="A6455" s="64" t="s">
        <v>27</v>
      </c>
      <c r="B6455" s="65">
        <v>43423</v>
      </c>
      <c r="C6455" s="66" t="s">
        <v>216</v>
      </c>
      <c r="D6455" s="3" t="s">
        <v>33</v>
      </c>
      <c r="E6455" s="64">
        <v>1</v>
      </c>
    </row>
    <row r="6456" spans="1:5">
      <c r="A6456" s="64" t="s">
        <v>27</v>
      </c>
      <c r="B6456" s="65">
        <v>43424</v>
      </c>
      <c r="C6456" s="66" t="s">
        <v>217</v>
      </c>
      <c r="D6456" s="3" t="s">
        <v>33</v>
      </c>
      <c r="E6456" s="64">
        <v>1</v>
      </c>
    </row>
    <row r="6457" spans="1:5">
      <c r="A6457" s="64" t="s">
        <v>27</v>
      </c>
      <c r="B6457" s="65">
        <v>43425</v>
      </c>
      <c r="C6457" s="66" t="s">
        <v>218</v>
      </c>
      <c r="D6457" s="3" t="s">
        <v>33</v>
      </c>
      <c r="E6457" s="64">
        <v>1</v>
      </c>
    </row>
    <row r="6458" spans="1:5">
      <c r="A6458" s="64" t="s">
        <v>27</v>
      </c>
      <c r="B6458" s="65">
        <v>43426</v>
      </c>
      <c r="C6458" s="66" t="s">
        <v>219</v>
      </c>
      <c r="D6458" s="3" t="s">
        <v>33</v>
      </c>
      <c r="E6458" s="64">
        <v>1</v>
      </c>
    </row>
    <row r="6459" spans="1:5">
      <c r="A6459" s="64" t="s">
        <v>27</v>
      </c>
      <c r="B6459" s="65">
        <v>43427</v>
      </c>
      <c r="C6459" s="66" t="s">
        <v>220</v>
      </c>
      <c r="D6459" s="3" t="s">
        <v>33</v>
      </c>
      <c r="E6459" s="64">
        <v>1</v>
      </c>
    </row>
    <row r="6460" spans="1:5">
      <c r="A6460" s="64" t="s">
        <v>27</v>
      </c>
      <c r="B6460" s="65">
        <v>43428</v>
      </c>
      <c r="C6460" s="66" t="s">
        <v>221</v>
      </c>
      <c r="D6460" s="3" t="s">
        <v>33</v>
      </c>
      <c r="E6460" s="64">
        <v>1</v>
      </c>
    </row>
    <row r="6461" spans="1:5">
      <c r="A6461" s="64" t="s">
        <v>27</v>
      </c>
      <c r="B6461" s="65">
        <v>43429</v>
      </c>
      <c r="C6461" s="66" t="s">
        <v>222</v>
      </c>
      <c r="D6461" s="3" t="s">
        <v>33</v>
      </c>
      <c r="E6461" s="64">
        <v>1</v>
      </c>
    </row>
    <row r="6462" spans="1:5">
      <c r="A6462" s="64" t="s">
        <v>27</v>
      </c>
      <c r="B6462" s="65">
        <v>43430</v>
      </c>
      <c r="C6462" s="66" t="s">
        <v>216</v>
      </c>
      <c r="D6462" s="3" t="s">
        <v>33</v>
      </c>
      <c r="E6462" s="64">
        <v>1</v>
      </c>
    </row>
    <row r="6463" spans="1:5">
      <c r="A6463" s="64" t="s">
        <v>27</v>
      </c>
      <c r="B6463" s="65">
        <v>43431</v>
      </c>
      <c r="C6463" s="66" t="s">
        <v>217</v>
      </c>
      <c r="D6463" s="3" t="s">
        <v>33</v>
      </c>
      <c r="E6463" s="64">
        <v>1</v>
      </c>
    </row>
    <row r="6464" spans="1:5">
      <c r="A6464" s="64" t="s">
        <v>27</v>
      </c>
      <c r="B6464" s="65">
        <v>43432</v>
      </c>
      <c r="C6464" s="66" t="s">
        <v>218</v>
      </c>
      <c r="D6464" s="3" t="s">
        <v>33</v>
      </c>
      <c r="E6464" s="64">
        <v>1</v>
      </c>
    </row>
    <row r="6465" spans="1:5">
      <c r="A6465" s="64" t="s">
        <v>27</v>
      </c>
      <c r="B6465" s="65">
        <v>43433</v>
      </c>
      <c r="C6465" s="66" t="s">
        <v>219</v>
      </c>
      <c r="D6465" s="3" t="s">
        <v>33</v>
      </c>
      <c r="E6465" s="64">
        <v>1</v>
      </c>
    </row>
    <row r="6466" spans="1:5">
      <c r="A6466" s="64" t="s">
        <v>27</v>
      </c>
      <c r="B6466" s="65">
        <v>43434</v>
      </c>
      <c r="C6466" s="66" t="s">
        <v>220</v>
      </c>
      <c r="D6466" s="3" t="s">
        <v>33</v>
      </c>
      <c r="E6466" s="64">
        <v>1</v>
      </c>
    </row>
    <row r="6467" spans="1:5">
      <c r="A6467" s="64" t="s">
        <v>27</v>
      </c>
      <c r="B6467" s="65">
        <v>43435</v>
      </c>
      <c r="C6467" s="66" t="s">
        <v>221</v>
      </c>
      <c r="D6467" s="3" t="s">
        <v>33</v>
      </c>
      <c r="E6467" s="64">
        <v>1</v>
      </c>
    </row>
    <row r="6468" spans="1:5">
      <c r="A6468" s="64" t="s">
        <v>27</v>
      </c>
      <c r="B6468" s="65">
        <v>43436</v>
      </c>
      <c r="C6468" s="66" t="s">
        <v>222</v>
      </c>
      <c r="D6468" s="3" t="s">
        <v>33</v>
      </c>
      <c r="E6468" s="64">
        <v>1</v>
      </c>
    </row>
    <row r="6469" spans="1:5">
      <c r="A6469" s="64" t="s">
        <v>27</v>
      </c>
      <c r="B6469" s="65">
        <v>43437</v>
      </c>
      <c r="C6469" s="66" t="s">
        <v>216</v>
      </c>
      <c r="D6469" s="3" t="s">
        <v>33</v>
      </c>
      <c r="E6469" s="64">
        <v>1</v>
      </c>
    </row>
    <row r="6470" spans="1:5">
      <c r="A6470" s="64" t="s">
        <v>27</v>
      </c>
      <c r="B6470" s="65">
        <v>43438</v>
      </c>
      <c r="C6470" s="66" t="s">
        <v>217</v>
      </c>
      <c r="D6470" s="3" t="s">
        <v>33</v>
      </c>
      <c r="E6470" s="64">
        <v>1</v>
      </c>
    </row>
    <row r="6471" spans="1:5">
      <c r="A6471" s="64" t="s">
        <v>27</v>
      </c>
      <c r="B6471" s="65">
        <v>43439</v>
      </c>
      <c r="C6471" s="66" t="s">
        <v>218</v>
      </c>
      <c r="D6471" s="3" t="s">
        <v>33</v>
      </c>
      <c r="E6471" s="64">
        <v>1</v>
      </c>
    </row>
    <row r="6472" spans="1:5">
      <c r="A6472" s="64" t="s">
        <v>27</v>
      </c>
      <c r="B6472" s="65">
        <v>43440</v>
      </c>
      <c r="C6472" s="66" t="s">
        <v>219</v>
      </c>
      <c r="D6472" s="3" t="s">
        <v>33</v>
      </c>
      <c r="E6472" s="64">
        <v>1</v>
      </c>
    </row>
    <row r="6473" spans="1:5">
      <c r="A6473" s="64" t="s">
        <v>27</v>
      </c>
      <c r="B6473" s="65">
        <v>43441</v>
      </c>
      <c r="C6473" s="66" t="s">
        <v>220</v>
      </c>
      <c r="D6473" s="3" t="s">
        <v>33</v>
      </c>
      <c r="E6473" s="64">
        <v>1</v>
      </c>
    </row>
    <row r="6474" spans="1:5">
      <c r="A6474" s="64" t="s">
        <v>27</v>
      </c>
      <c r="B6474" s="65">
        <v>43442</v>
      </c>
      <c r="C6474" s="66" t="s">
        <v>221</v>
      </c>
      <c r="D6474" s="3" t="s">
        <v>33</v>
      </c>
      <c r="E6474" s="64">
        <v>1</v>
      </c>
    </row>
    <row r="6475" spans="1:5">
      <c r="A6475" s="64" t="s">
        <v>27</v>
      </c>
      <c r="B6475" s="65">
        <v>43443</v>
      </c>
      <c r="C6475" s="66" t="s">
        <v>222</v>
      </c>
      <c r="D6475" s="3" t="s">
        <v>33</v>
      </c>
      <c r="E6475" s="64">
        <v>1</v>
      </c>
    </row>
    <row r="6476" spans="1:5">
      <c r="A6476" s="64" t="s">
        <v>27</v>
      </c>
      <c r="B6476" s="65">
        <v>43444</v>
      </c>
      <c r="C6476" s="66" t="s">
        <v>216</v>
      </c>
      <c r="D6476" s="3" t="s">
        <v>33</v>
      </c>
      <c r="E6476" s="64">
        <v>1</v>
      </c>
    </row>
    <row r="6477" spans="1:5">
      <c r="A6477" s="64" t="s">
        <v>27</v>
      </c>
      <c r="B6477" s="65">
        <v>43445</v>
      </c>
      <c r="C6477" s="66" t="s">
        <v>217</v>
      </c>
      <c r="D6477" s="3" t="s">
        <v>33</v>
      </c>
      <c r="E6477" s="64">
        <v>1</v>
      </c>
    </row>
    <row r="6478" spans="1:5">
      <c r="A6478" s="64" t="s">
        <v>27</v>
      </c>
      <c r="B6478" s="65">
        <v>43446</v>
      </c>
      <c r="C6478" s="66" t="s">
        <v>218</v>
      </c>
      <c r="D6478" s="3" t="s">
        <v>33</v>
      </c>
      <c r="E6478" s="64">
        <v>1</v>
      </c>
    </row>
    <row r="6479" spans="1:5">
      <c r="A6479" s="64" t="s">
        <v>27</v>
      </c>
      <c r="B6479" s="65">
        <v>43447</v>
      </c>
      <c r="C6479" s="66" t="s">
        <v>219</v>
      </c>
      <c r="D6479" s="3" t="s">
        <v>33</v>
      </c>
      <c r="E6479" s="64">
        <v>1</v>
      </c>
    </row>
    <row r="6480" spans="1:5">
      <c r="A6480" s="64" t="s">
        <v>27</v>
      </c>
      <c r="B6480" s="65">
        <v>43448</v>
      </c>
      <c r="C6480" s="66" t="s">
        <v>220</v>
      </c>
      <c r="D6480" s="3" t="s">
        <v>33</v>
      </c>
      <c r="E6480" s="64">
        <v>1</v>
      </c>
    </row>
    <row r="6481" spans="1:5">
      <c r="A6481" s="64" t="s">
        <v>27</v>
      </c>
      <c r="B6481" s="65">
        <v>43449</v>
      </c>
      <c r="C6481" s="66" t="s">
        <v>221</v>
      </c>
      <c r="D6481" s="3" t="s">
        <v>33</v>
      </c>
      <c r="E6481" s="64">
        <v>1</v>
      </c>
    </row>
    <row r="6482" spans="1:5">
      <c r="A6482" s="64" t="s">
        <v>27</v>
      </c>
      <c r="B6482" s="65">
        <v>43450</v>
      </c>
      <c r="C6482" s="66" t="s">
        <v>222</v>
      </c>
      <c r="D6482" s="3" t="s">
        <v>33</v>
      </c>
      <c r="E6482" s="64">
        <v>1</v>
      </c>
    </row>
    <row r="6483" spans="1:5">
      <c r="A6483" s="64" t="s">
        <v>27</v>
      </c>
      <c r="B6483" s="65">
        <v>43451</v>
      </c>
      <c r="C6483" s="66" t="s">
        <v>216</v>
      </c>
      <c r="D6483" s="3" t="s">
        <v>33</v>
      </c>
      <c r="E6483" s="64">
        <v>1</v>
      </c>
    </row>
    <row r="6484" spans="1:5">
      <c r="A6484" s="64" t="s">
        <v>27</v>
      </c>
      <c r="B6484" s="65">
        <v>43452</v>
      </c>
      <c r="C6484" s="66" t="s">
        <v>217</v>
      </c>
      <c r="D6484" s="3" t="s">
        <v>33</v>
      </c>
      <c r="E6484" s="64">
        <v>1</v>
      </c>
    </row>
    <row r="6485" spans="1:5">
      <c r="A6485" s="64" t="s">
        <v>27</v>
      </c>
      <c r="B6485" s="65">
        <v>43453</v>
      </c>
      <c r="C6485" s="66" t="s">
        <v>218</v>
      </c>
      <c r="D6485" s="3" t="s">
        <v>33</v>
      </c>
      <c r="E6485" s="64">
        <v>1</v>
      </c>
    </row>
    <row r="6486" spans="1:5">
      <c r="A6486" s="64" t="s">
        <v>27</v>
      </c>
      <c r="B6486" s="65">
        <v>43454</v>
      </c>
      <c r="C6486" s="66" t="s">
        <v>219</v>
      </c>
      <c r="D6486" s="3" t="s">
        <v>33</v>
      </c>
      <c r="E6486" s="64">
        <v>1</v>
      </c>
    </row>
    <row r="6487" spans="1:5">
      <c r="A6487" s="64" t="s">
        <v>27</v>
      </c>
      <c r="B6487" s="65">
        <v>43455</v>
      </c>
      <c r="C6487" s="66" t="s">
        <v>220</v>
      </c>
      <c r="D6487" s="3" t="s">
        <v>33</v>
      </c>
      <c r="E6487" s="64">
        <v>1</v>
      </c>
    </row>
    <row r="6488" spans="1:5">
      <c r="A6488" s="64" t="s">
        <v>27</v>
      </c>
      <c r="B6488" s="65">
        <v>43456</v>
      </c>
      <c r="C6488" s="66" t="s">
        <v>221</v>
      </c>
      <c r="D6488" s="3" t="s">
        <v>33</v>
      </c>
      <c r="E6488" s="64">
        <v>1</v>
      </c>
    </row>
    <row r="6489" spans="1:5">
      <c r="A6489" s="64" t="s">
        <v>27</v>
      </c>
      <c r="B6489" s="65">
        <v>43457</v>
      </c>
      <c r="C6489" s="66" t="s">
        <v>222</v>
      </c>
      <c r="D6489" s="3" t="s">
        <v>33</v>
      </c>
      <c r="E6489" s="64">
        <v>1</v>
      </c>
    </row>
    <row r="6490" spans="1:5">
      <c r="A6490" s="64" t="s">
        <v>27</v>
      </c>
      <c r="B6490" s="65">
        <v>43458</v>
      </c>
      <c r="C6490" s="66" t="s">
        <v>216</v>
      </c>
      <c r="D6490" s="3" t="s">
        <v>33</v>
      </c>
      <c r="E6490" s="64">
        <v>1</v>
      </c>
    </row>
    <row r="6491" spans="1:5">
      <c r="A6491" s="64" t="s">
        <v>27</v>
      </c>
      <c r="B6491" s="65">
        <v>43459</v>
      </c>
      <c r="C6491" s="66" t="s">
        <v>217</v>
      </c>
      <c r="D6491" s="3" t="s">
        <v>33</v>
      </c>
      <c r="E6491" s="64">
        <v>1</v>
      </c>
    </row>
    <row r="6492" spans="1:5">
      <c r="A6492" s="64" t="s">
        <v>27</v>
      </c>
      <c r="B6492" s="65">
        <v>43460</v>
      </c>
      <c r="C6492" s="66" t="s">
        <v>218</v>
      </c>
      <c r="D6492" s="3" t="s">
        <v>33</v>
      </c>
      <c r="E6492" s="64">
        <v>1</v>
      </c>
    </row>
    <row r="6493" spans="1:5">
      <c r="A6493" s="64" t="s">
        <v>27</v>
      </c>
      <c r="B6493" s="65">
        <v>43461</v>
      </c>
      <c r="C6493" s="66" t="s">
        <v>219</v>
      </c>
      <c r="D6493" s="3" t="s">
        <v>33</v>
      </c>
      <c r="E6493" s="64">
        <v>1</v>
      </c>
    </row>
    <row r="6494" spans="1:5">
      <c r="A6494" s="64" t="s">
        <v>27</v>
      </c>
      <c r="B6494" s="65">
        <v>43462</v>
      </c>
      <c r="C6494" s="66" t="s">
        <v>220</v>
      </c>
      <c r="D6494" s="3" t="s">
        <v>33</v>
      </c>
      <c r="E6494" s="64">
        <v>1</v>
      </c>
    </row>
    <row r="6495" spans="1:5">
      <c r="A6495" s="64" t="s">
        <v>27</v>
      </c>
      <c r="B6495" s="65">
        <v>43463</v>
      </c>
      <c r="C6495" s="66" t="s">
        <v>221</v>
      </c>
      <c r="D6495" s="3" t="s">
        <v>33</v>
      </c>
      <c r="E6495" s="64">
        <v>1</v>
      </c>
    </row>
    <row r="6496" spans="1:5">
      <c r="A6496" s="64" t="s">
        <v>27</v>
      </c>
      <c r="B6496" s="65">
        <v>43464</v>
      </c>
      <c r="C6496" s="66" t="s">
        <v>222</v>
      </c>
      <c r="D6496" s="3" t="s">
        <v>33</v>
      </c>
      <c r="E6496" s="64">
        <v>1</v>
      </c>
    </row>
    <row r="6497" spans="1:5">
      <c r="A6497" s="64" t="s">
        <v>27</v>
      </c>
      <c r="B6497" s="65">
        <v>43465</v>
      </c>
      <c r="C6497" s="66" t="s">
        <v>216</v>
      </c>
      <c r="D6497" s="3" t="s">
        <v>33</v>
      </c>
      <c r="E6497" s="64">
        <v>1</v>
      </c>
    </row>
    <row r="6498" spans="1:5">
      <c r="A6498" s="64" t="s">
        <v>27</v>
      </c>
      <c r="B6498" s="65">
        <v>43466</v>
      </c>
      <c r="C6498" s="66" t="s">
        <v>217</v>
      </c>
      <c r="D6498" s="3" t="s">
        <v>33</v>
      </c>
      <c r="E6498" s="64">
        <v>1</v>
      </c>
    </row>
    <row r="6499" spans="1:5">
      <c r="A6499" s="64" t="s">
        <v>27</v>
      </c>
      <c r="B6499" s="65">
        <v>43467</v>
      </c>
      <c r="C6499" s="66" t="s">
        <v>218</v>
      </c>
      <c r="D6499" s="3" t="s">
        <v>33</v>
      </c>
      <c r="E6499" s="64">
        <v>1</v>
      </c>
    </row>
    <row r="6500" spans="1:5">
      <c r="A6500" s="64" t="s">
        <v>27</v>
      </c>
      <c r="B6500" s="65">
        <v>43468</v>
      </c>
      <c r="C6500" s="66" t="s">
        <v>219</v>
      </c>
      <c r="D6500" s="3" t="s">
        <v>33</v>
      </c>
      <c r="E6500" s="64">
        <v>1</v>
      </c>
    </row>
    <row r="6501" spans="1:5">
      <c r="A6501" s="64" t="s">
        <v>27</v>
      </c>
      <c r="B6501" s="65">
        <v>43469</v>
      </c>
      <c r="C6501" s="66" t="s">
        <v>220</v>
      </c>
      <c r="D6501" s="3" t="s">
        <v>33</v>
      </c>
      <c r="E6501" s="64">
        <v>1</v>
      </c>
    </row>
    <row r="6502" spans="1:5">
      <c r="A6502" s="64" t="s">
        <v>27</v>
      </c>
      <c r="B6502" s="65">
        <v>43470</v>
      </c>
      <c r="C6502" s="66" t="s">
        <v>221</v>
      </c>
      <c r="D6502" s="3" t="s">
        <v>33</v>
      </c>
      <c r="E6502" s="64">
        <v>1</v>
      </c>
    </row>
    <row r="6503" spans="1:5">
      <c r="A6503" s="64" t="s">
        <v>27</v>
      </c>
      <c r="B6503" s="65">
        <v>43471</v>
      </c>
      <c r="C6503" s="66" t="s">
        <v>222</v>
      </c>
      <c r="D6503" s="3" t="s">
        <v>33</v>
      </c>
      <c r="E6503" s="64">
        <v>1</v>
      </c>
    </row>
    <row r="6504" spans="1:5">
      <c r="A6504" s="64" t="s">
        <v>27</v>
      </c>
      <c r="B6504" s="65">
        <v>43472</v>
      </c>
      <c r="C6504" s="66" t="s">
        <v>216</v>
      </c>
      <c r="D6504" s="3" t="s">
        <v>33</v>
      </c>
      <c r="E6504" s="64">
        <v>1</v>
      </c>
    </row>
    <row r="6505" spans="1:5">
      <c r="A6505" s="64" t="s">
        <v>27</v>
      </c>
      <c r="B6505" s="65">
        <v>43473</v>
      </c>
      <c r="C6505" s="66" t="s">
        <v>217</v>
      </c>
      <c r="D6505" s="3" t="s">
        <v>33</v>
      </c>
      <c r="E6505" s="64">
        <v>1</v>
      </c>
    </row>
    <row r="6506" spans="1:5">
      <c r="A6506" s="64" t="s">
        <v>27</v>
      </c>
      <c r="B6506" s="65">
        <v>43474</v>
      </c>
      <c r="C6506" s="66" t="s">
        <v>218</v>
      </c>
      <c r="D6506" s="3" t="s">
        <v>33</v>
      </c>
      <c r="E6506" s="64">
        <v>1</v>
      </c>
    </row>
    <row r="6507" spans="1:5">
      <c r="A6507" s="64" t="s">
        <v>27</v>
      </c>
      <c r="B6507" s="65">
        <v>43475</v>
      </c>
      <c r="C6507" s="66" t="s">
        <v>219</v>
      </c>
      <c r="D6507" s="3" t="s">
        <v>33</v>
      </c>
      <c r="E6507" s="64">
        <v>1</v>
      </c>
    </row>
    <row r="6508" spans="1:5">
      <c r="A6508" s="64" t="s">
        <v>27</v>
      </c>
      <c r="B6508" s="65">
        <v>43476</v>
      </c>
      <c r="C6508" s="66" t="s">
        <v>220</v>
      </c>
      <c r="D6508" s="3" t="s">
        <v>33</v>
      </c>
      <c r="E6508" s="64">
        <v>1</v>
      </c>
    </row>
    <row r="6509" spans="1:5">
      <c r="A6509" s="64" t="s">
        <v>27</v>
      </c>
      <c r="B6509" s="65">
        <v>43477</v>
      </c>
      <c r="C6509" s="66" t="s">
        <v>221</v>
      </c>
      <c r="D6509" s="3" t="s">
        <v>33</v>
      </c>
      <c r="E6509" s="64">
        <v>1</v>
      </c>
    </row>
    <row r="6510" spans="1:5">
      <c r="A6510" s="64" t="s">
        <v>27</v>
      </c>
      <c r="B6510" s="65">
        <v>43478</v>
      </c>
      <c r="C6510" s="66" t="s">
        <v>222</v>
      </c>
      <c r="D6510" s="3" t="s">
        <v>33</v>
      </c>
      <c r="E6510" s="64">
        <v>1</v>
      </c>
    </row>
    <row r="6511" spans="1:5">
      <c r="A6511" s="64" t="s">
        <v>27</v>
      </c>
      <c r="B6511" s="65">
        <v>43479</v>
      </c>
      <c r="C6511" s="66" t="s">
        <v>216</v>
      </c>
      <c r="D6511" s="3" t="s">
        <v>33</v>
      </c>
      <c r="E6511" s="64">
        <v>1</v>
      </c>
    </row>
    <row r="6512" spans="1:5">
      <c r="A6512" s="64" t="s">
        <v>27</v>
      </c>
      <c r="B6512" s="65">
        <v>43480</v>
      </c>
      <c r="C6512" s="66" t="s">
        <v>217</v>
      </c>
      <c r="D6512" s="3" t="s">
        <v>33</v>
      </c>
      <c r="E6512" s="64">
        <v>1</v>
      </c>
    </row>
    <row r="6513" spans="1:5">
      <c r="A6513" s="64" t="s">
        <v>27</v>
      </c>
      <c r="B6513" s="65">
        <v>43481</v>
      </c>
      <c r="C6513" s="66" t="s">
        <v>218</v>
      </c>
      <c r="D6513" s="3" t="s">
        <v>33</v>
      </c>
      <c r="E6513" s="64">
        <v>1</v>
      </c>
    </row>
    <row r="6514" spans="1:5">
      <c r="A6514" s="64" t="s">
        <v>27</v>
      </c>
      <c r="B6514" s="65">
        <v>43482</v>
      </c>
      <c r="C6514" s="66" t="s">
        <v>219</v>
      </c>
      <c r="D6514" s="3" t="s">
        <v>33</v>
      </c>
      <c r="E6514" s="64">
        <v>1</v>
      </c>
    </row>
    <row r="6515" spans="1:5">
      <c r="A6515" s="64" t="s">
        <v>27</v>
      </c>
      <c r="B6515" s="65">
        <v>43483</v>
      </c>
      <c r="C6515" s="66" t="s">
        <v>220</v>
      </c>
      <c r="D6515" s="3" t="s">
        <v>33</v>
      </c>
      <c r="E6515" s="64">
        <v>1</v>
      </c>
    </row>
    <row r="6516" spans="1:5">
      <c r="A6516" s="64" t="s">
        <v>27</v>
      </c>
      <c r="B6516" s="65">
        <v>43484</v>
      </c>
      <c r="C6516" s="66" t="s">
        <v>221</v>
      </c>
      <c r="D6516" s="3" t="s">
        <v>33</v>
      </c>
      <c r="E6516" s="64">
        <v>1</v>
      </c>
    </row>
    <row r="6517" spans="1:5">
      <c r="A6517" s="64" t="s">
        <v>27</v>
      </c>
      <c r="B6517" s="65">
        <v>43485</v>
      </c>
      <c r="C6517" s="66" t="s">
        <v>222</v>
      </c>
      <c r="D6517" s="3" t="s">
        <v>33</v>
      </c>
      <c r="E6517" s="64">
        <v>1</v>
      </c>
    </row>
    <row r="6518" spans="1:5">
      <c r="A6518" s="64" t="s">
        <v>27</v>
      </c>
      <c r="B6518" s="65">
        <v>43486</v>
      </c>
      <c r="C6518" s="66" t="s">
        <v>216</v>
      </c>
      <c r="D6518" s="3" t="s">
        <v>33</v>
      </c>
      <c r="E6518" s="64">
        <v>1</v>
      </c>
    </row>
    <row r="6519" spans="1:5">
      <c r="A6519" s="64" t="s">
        <v>27</v>
      </c>
      <c r="B6519" s="65">
        <v>43487</v>
      </c>
      <c r="C6519" s="66" t="s">
        <v>217</v>
      </c>
      <c r="D6519" s="3" t="s">
        <v>33</v>
      </c>
      <c r="E6519" s="64">
        <v>1</v>
      </c>
    </row>
    <row r="6520" spans="1:5">
      <c r="A6520" s="64" t="s">
        <v>27</v>
      </c>
      <c r="B6520" s="65">
        <v>43488</v>
      </c>
      <c r="C6520" s="66" t="s">
        <v>218</v>
      </c>
      <c r="D6520" s="3" t="s">
        <v>33</v>
      </c>
      <c r="E6520" s="64">
        <v>1</v>
      </c>
    </row>
    <row r="6521" spans="1:5">
      <c r="A6521" s="64" t="s">
        <v>27</v>
      </c>
      <c r="B6521" s="65">
        <v>43489</v>
      </c>
      <c r="C6521" s="66" t="s">
        <v>219</v>
      </c>
      <c r="D6521" s="3" t="s">
        <v>33</v>
      </c>
      <c r="E6521" s="64">
        <v>1</v>
      </c>
    </row>
    <row r="6522" spans="1:5">
      <c r="A6522" s="64" t="s">
        <v>27</v>
      </c>
      <c r="B6522" s="65">
        <v>43490</v>
      </c>
      <c r="C6522" s="66" t="s">
        <v>220</v>
      </c>
      <c r="D6522" s="3" t="s">
        <v>33</v>
      </c>
      <c r="E6522" s="64">
        <v>1</v>
      </c>
    </row>
    <row r="6523" spans="1:5">
      <c r="A6523" s="64" t="s">
        <v>27</v>
      </c>
      <c r="B6523" s="65">
        <v>43491</v>
      </c>
      <c r="C6523" s="66" t="s">
        <v>221</v>
      </c>
      <c r="D6523" s="3" t="s">
        <v>33</v>
      </c>
      <c r="E6523" s="64">
        <v>1</v>
      </c>
    </row>
    <row r="6524" spans="1:5">
      <c r="A6524" s="64" t="s">
        <v>27</v>
      </c>
      <c r="B6524" s="65">
        <v>43492</v>
      </c>
      <c r="C6524" s="66" t="s">
        <v>222</v>
      </c>
      <c r="D6524" s="3" t="s">
        <v>33</v>
      </c>
      <c r="E6524" s="64">
        <v>1</v>
      </c>
    </row>
    <row r="6525" spans="1:5">
      <c r="A6525" s="64" t="s">
        <v>27</v>
      </c>
      <c r="B6525" s="65">
        <v>43493</v>
      </c>
      <c r="C6525" s="66" t="s">
        <v>216</v>
      </c>
      <c r="D6525" s="3" t="s">
        <v>33</v>
      </c>
      <c r="E6525" s="64">
        <v>1</v>
      </c>
    </row>
    <row r="6526" spans="1:5">
      <c r="A6526" s="64" t="s">
        <v>27</v>
      </c>
      <c r="B6526" s="65">
        <v>43494</v>
      </c>
      <c r="C6526" s="66" t="s">
        <v>217</v>
      </c>
      <c r="D6526" s="3" t="s">
        <v>33</v>
      </c>
      <c r="E6526" s="64">
        <v>1</v>
      </c>
    </row>
    <row r="6527" spans="1:5">
      <c r="A6527" s="64" t="s">
        <v>27</v>
      </c>
      <c r="B6527" s="65">
        <v>43495</v>
      </c>
      <c r="C6527" s="66" t="s">
        <v>218</v>
      </c>
      <c r="D6527" s="3" t="s">
        <v>33</v>
      </c>
      <c r="E6527" s="64">
        <v>1</v>
      </c>
    </row>
    <row r="6528" spans="1:5">
      <c r="A6528" s="64" t="s">
        <v>27</v>
      </c>
      <c r="B6528" s="65">
        <v>43496</v>
      </c>
      <c r="C6528" s="66" t="s">
        <v>219</v>
      </c>
      <c r="D6528" s="3" t="s">
        <v>33</v>
      </c>
      <c r="E6528" s="64">
        <v>1</v>
      </c>
    </row>
    <row r="6529" spans="1:5">
      <c r="A6529" s="64" t="s">
        <v>27</v>
      </c>
      <c r="B6529" s="65">
        <v>43497</v>
      </c>
      <c r="C6529" s="66" t="s">
        <v>220</v>
      </c>
      <c r="D6529" s="3" t="s">
        <v>33</v>
      </c>
      <c r="E6529" s="64">
        <v>1</v>
      </c>
    </row>
    <row r="6530" spans="1:5">
      <c r="A6530" s="64" t="s">
        <v>27</v>
      </c>
      <c r="B6530" s="65">
        <v>43498</v>
      </c>
      <c r="C6530" s="66" t="s">
        <v>221</v>
      </c>
      <c r="D6530" s="3" t="s">
        <v>33</v>
      </c>
      <c r="E6530" s="64">
        <v>1</v>
      </c>
    </row>
    <row r="6531" spans="1:5">
      <c r="A6531" s="64" t="s">
        <v>27</v>
      </c>
      <c r="B6531" s="65">
        <v>43499</v>
      </c>
      <c r="C6531" s="66" t="s">
        <v>222</v>
      </c>
      <c r="D6531" s="3" t="s">
        <v>33</v>
      </c>
      <c r="E6531" s="64">
        <v>1</v>
      </c>
    </row>
    <row r="6532" spans="1:5">
      <c r="A6532" s="64" t="s">
        <v>27</v>
      </c>
      <c r="B6532" s="65">
        <v>43500</v>
      </c>
      <c r="C6532" s="66" t="s">
        <v>216</v>
      </c>
      <c r="D6532" s="3" t="s">
        <v>33</v>
      </c>
      <c r="E6532" s="64">
        <v>1</v>
      </c>
    </row>
    <row r="6533" spans="1:5">
      <c r="A6533" s="64" t="s">
        <v>27</v>
      </c>
      <c r="B6533" s="65">
        <v>43501</v>
      </c>
      <c r="C6533" s="66" t="s">
        <v>217</v>
      </c>
      <c r="D6533" s="3" t="s">
        <v>33</v>
      </c>
      <c r="E6533" s="64">
        <v>1</v>
      </c>
    </row>
    <row r="6534" spans="1:5">
      <c r="A6534" s="64" t="s">
        <v>27</v>
      </c>
      <c r="B6534" s="65">
        <v>43502</v>
      </c>
      <c r="C6534" s="66" t="s">
        <v>218</v>
      </c>
      <c r="D6534" s="3" t="s">
        <v>33</v>
      </c>
      <c r="E6534" s="64">
        <v>1</v>
      </c>
    </row>
    <row r="6535" spans="1:5">
      <c r="A6535" s="64" t="s">
        <v>27</v>
      </c>
      <c r="B6535" s="65">
        <v>43503</v>
      </c>
      <c r="C6535" s="66" t="s">
        <v>219</v>
      </c>
      <c r="D6535" s="3" t="s">
        <v>33</v>
      </c>
      <c r="E6535" s="64">
        <v>1</v>
      </c>
    </row>
    <row r="6536" spans="1:5">
      <c r="A6536" s="64" t="s">
        <v>27</v>
      </c>
      <c r="B6536" s="65">
        <v>43504</v>
      </c>
      <c r="C6536" s="66" t="s">
        <v>220</v>
      </c>
      <c r="D6536" s="3" t="s">
        <v>33</v>
      </c>
      <c r="E6536" s="64">
        <v>1</v>
      </c>
    </row>
    <row r="6537" spans="1:5">
      <c r="A6537" s="64" t="s">
        <v>27</v>
      </c>
      <c r="B6537" s="65">
        <v>43505</v>
      </c>
      <c r="C6537" s="66" t="s">
        <v>221</v>
      </c>
      <c r="D6537" s="3" t="s">
        <v>33</v>
      </c>
      <c r="E6537" s="64">
        <v>1</v>
      </c>
    </row>
    <row r="6538" spans="1:5">
      <c r="A6538" s="64" t="s">
        <v>27</v>
      </c>
      <c r="B6538" s="65">
        <v>43506</v>
      </c>
      <c r="C6538" s="66" t="s">
        <v>222</v>
      </c>
      <c r="D6538" s="3" t="s">
        <v>33</v>
      </c>
      <c r="E6538" s="64">
        <v>1</v>
      </c>
    </row>
    <row r="6539" spans="1:5">
      <c r="A6539" s="64" t="s">
        <v>27</v>
      </c>
      <c r="B6539" s="65">
        <v>43507</v>
      </c>
      <c r="C6539" s="66" t="s">
        <v>216</v>
      </c>
      <c r="D6539" s="3" t="s">
        <v>33</v>
      </c>
      <c r="E6539" s="64">
        <v>1</v>
      </c>
    </row>
    <row r="6540" spans="1:5">
      <c r="A6540" s="64" t="s">
        <v>27</v>
      </c>
      <c r="B6540" s="65">
        <v>43508</v>
      </c>
      <c r="C6540" s="66" t="s">
        <v>217</v>
      </c>
      <c r="D6540" s="3" t="s">
        <v>33</v>
      </c>
      <c r="E6540" s="64">
        <v>1</v>
      </c>
    </row>
    <row r="6541" spans="1:5">
      <c r="A6541" s="64" t="s">
        <v>27</v>
      </c>
      <c r="B6541" s="65">
        <v>43509</v>
      </c>
      <c r="C6541" s="66" t="s">
        <v>218</v>
      </c>
      <c r="D6541" s="3" t="s">
        <v>33</v>
      </c>
      <c r="E6541" s="64">
        <v>1</v>
      </c>
    </row>
    <row r="6542" spans="1:5">
      <c r="A6542" s="64" t="s">
        <v>27</v>
      </c>
      <c r="B6542" s="65">
        <v>43510</v>
      </c>
      <c r="C6542" s="66" t="s">
        <v>219</v>
      </c>
      <c r="D6542" s="3" t="s">
        <v>33</v>
      </c>
      <c r="E6542" s="64">
        <v>1</v>
      </c>
    </row>
    <row r="6543" spans="1:5">
      <c r="A6543" s="64" t="s">
        <v>27</v>
      </c>
      <c r="B6543" s="65">
        <v>43511</v>
      </c>
      <c r="C6543" s="66" t="s">
        <v>220</v>
      </c>
      <c r="D6543" s="3" t="s">
        <v>33</v>
      </c>
      <c r="E6543" s="64">
        <v>1</v>
      </c>
    </row>
    <row r="6544" spans="1:5">
      <c r="A6544" s="64" t="s">
        <v>27</v>
      </c>
      <c r="B6544" s="65">
        <v>43512</v>
      </c>
      <c r="C6544" s="66" t="s">
        <v>221</v>
      </c>
      <c r="D6544" s="3" t="s">
        <v>33</v>
      </c>
      <c r="E6544" s="64">
        <v>1</v>
      </c>
    </row>
    <row r="6545" spans="1:5">
      <c r="A6545" s="64" t="s">
        <v>27</v>
      </c>
      <c r="B6545" s="65">
        <v>43513</v>
      </c>
      <c r="C6545" s="66" t="s">
        <v>222</v>
      </c>
      <c r="D6545" s="3" t="s">
        <v>33</v>
      </c>
      <c r="E6545" s="64">
        <v>1</v>
      </c>
    </row>
    <row r="6546" spans="1:5">
      <c r="A6546" s="64" t="s">
        <v>27</v>
      </c>
      <c r="B6546" s="65">
        <v>43514</v>
      </c>
      <c r="C6546" s="66" t="s">
        <v>216</v>
      </c>
      <c r="D6546" s="3" t="s">
        <v>33</v>
      </c>
      <c r="E6546" s="64">
        <v>1</v>
      </c>
    </row>
    <row r="6547" spans="1:5">
      <c r="A6547" s="64" t="s">
        <v>27</v>
      </c>
      <c r="B6547" s="65">
        <v>43515</v>
      </c>
      <c r="C6547" s="66" t="s">
        <v>217</v>
      </c>
      <c r="D6547" s="3" t="s">
        <v>33</v>
      </c>
      <c r="E6547" s="64">
        <v>1</v>
      </c>
    </row>
    <row r="6548" spans="1:5">
      <c r="A6548" s="64" t="s">
        <v>27</v>
      </c>
      <c r="B6548" s="65">
        <v>43516</v>
      </c>
      <c r="C6548" s="66" t="s">
        <v>218</v>
      </c>
      <c r="D6548" s="3" t="s">
        <v>33</v>
      </c>
      <c r="E6548" s="64">
        <v>1</v>
      </c>
    </row>
    <row r="6549" spans="1:5">
      <c r="A6549" s="64" t="s">
        <v>27</v>
      </c>
      <c r="B6549" s="65">
        <v>43517</v>
      </c>
      <c r="C6549" s="66" t="s">
        <v>219</v>
      </c>
      <c r="D6549" s="3" t="s">
        <v>33</v>
      </c>
      <c r="E6549" s="64">
        <v>1</v>
      </c>
    </row>
    <row r="6550" spans="1:5">
      <c r="A6550" s="64" t="s">
        <v>27</v>
      </c>
      <c r="B6550" s="65">
        <v>43518</v>
      </c>
      <c r="C6550" s="66" t="s">
        <v>220</v>
      </c>
      <c r="D6550" s="3" t="s">
        <v>33</v>
      </c>
      <c r="E6550" s="64">
        <v>1</v>
      </c>
    </row>
    <row r="6551" spans="1:5">
      <c r="A6551" s="64" t="s">
        <v>27</v>
      </c>
      <c r="B6551" s="65">
        <v>43519</v>
      </c>
      <c r="C6551" s="66" t="s">
        <v>221</v>
      </c>
      <c r="D6551" s="3" t="s">
        <v>33</v>
      </c>
      <c r="E6551" s="64">
        <v>1</v>
      </c>
    </row>
    <row r="6552" spans="1:5">
      <c r="A6552" s="64" t="s">
        <v>27</v>
      </c>
      <c r="B6552" s="65">
        <v>43520</v>
      </c>
      <c r="C6552" s="66" t="s">
        <v>222</v>
      </c>
      <c r="D6552" s="3" t="s">
        <v>33</v>
      </c>
      <c r="E6552" s="64">
        <v>1</v>
      </c>
    </row>
    <row r="6553" spans="1:5">
      <c r="A6553" s="64" t="s">
        <v>27</v>
      </c>
      <c r="B6553" s="65">
        <v>43521</v>
      </c>
      <c r="C6553" s="66" t="s">
        <v>216</v>
      </c>
      <c r="D6553" s="3" t="s">
        <v>33</v>
      </c>
      <c r="E6553" s="64">
        <v>1</v>
      </c>
    </row>
    <row r="6554" spans="1:5">
      <c r="A6554" s="64" t="s">
        <v>27</v>
      </c>
      <c r="B6554" s="65">
        <v>43522</v>
      </c>
      <c r="C6554" s="66" t="s">
        <v>217</v>
      </c>
      <c r="D6554" s="3" t="s">
        <v>33</v>
      </c>
      <c r="E6554" s="64">
        <v>1</v>
      </c>
    </row>
    <row r="6555" spans="1:5">
      <c r="A6555" s="64" t="s">
        <v>27</v>
      </c>
      <c r="B6555" s="65">
        <v>43523</v>
      </c>
      <c r="C6555" s="66" t="s">
        <v>218</v>
      </c>
      <c r="D6555" s="3" t="s">
        <v>33</v>
      </c>
      <c r="E6555" s="64">
        <v>1</v>
      </c>
    </row>
    <row r="6556" spans="1:5">
      <c r="A6556" s="64" t="s">
        <v>27</v>
      </c>
      <c r="B6556" s="65">
        <v>43524</v>
      </c>
      <c r="C6556" s="66" t="s">
        <v>219</v>
      </c>
      <c r="D6556" s="3" t="s">
        <v>33</v>
      </c>
      <c r="E6556" s="64">
        <v>1</v>
      </c>
    </row>
    <row r="6557" spans="1:5">
      <c r="A6557" s="64" t="s">
        <v>27</v>
      </c>
      <c r="B6557" s="65">
        <v>43525</v>
      </c>
      <c r="C6557" s="66" t="s">
        <v>220</v>
      </c>
      <c r="D6557" s="3" t="s">
        <v>33</v>
      </c>
      <c r="E6557" s="64">
        <v>1</v>
      </c>
    </row>
    <row r="6558" spans="1:5">
      <c r="A6558" s="64" t="s">
        <v>27</v>
      </c>
      <c r="B6558" s="65">
        <v>43526</v>
      </c>
      <c r="C6558" s="66" t="s">
        <v>221</v>
      </c>
      <c r="D6558" s="3" t="s">
        <v>33</v>
      </c>
      <c r="E6558" s="64">
        <v>1</v>
      </c>
    </row>
    <row r="6559" spans="1:5">
      <c r="A6559" s="64" t="s">
        <v>27</v>
      </c>
      <c r="B6559" s="65">
        <v>43527</v>
      </c>
      <c r="C6559" s="66" t="s">
        <v>222</v>
      </c>
      <c r="D6559" s="3" t="s">
        <v>33</v>
      </c>
      <c r="E6559" s="64">
        <v>1</v>
      </c>
    </row>
    <row r="6560" spans="1:5">
      <c r="A6560" s="64" t="s">
        <v>27</v>
      </c>
      <c r="B6560" s="65">
        <v>43528</v>
      </c>
      <c r="C6560" s="66" t="s">
        <v>216</v>
      </c>
      <c r="D6560" s="3" t="s">
        <v>33</v>
      </c>
      <c r="E6560" s="64">
        <v>1</v>
      </c>
    </row>
    <row r="6561" spans="1:5">
      <c r="A6561" s="64" t="s">
        <v>27</v>
      </c>
      <c r="B6561" s="65">
        <v>43529</v>
      </c>
      <c r="C6561" s="66" t="s">
        <v>217</v>
      </c>
      <c r="D6561" s="3" t="s">
        <v>33</v>
      </c>
      <c r="E6561" s="64">
        <v>1</v>
      </c>
    </row>
    <row r="6562" spans="1:5">
      <c r="A6562" s="64" t="s">
        <v>27</v>
      </c>
      <c r="B6562" s="65">
        <v>43530</v>
      </c>
      <c r="C6562" s="66" t="s">
        <v>218</v>
      </c>
      <c r="D6562" s="3" t="s">
        <v>33</v>
      </c>
      <c r="E6562" s="64">
        <v>1</v>
      </c>
    </row>
    <row r="6563" spans="1:5">
      <c r="A6563" s="64" t="s">
        <v>27</v>
      </c>
      <c r="B6563" s="65">
        <v>43531</v>
      </c>
      <c r="C6563" s="66" t="s">
        <v>219</v>
      </c>
      <c r="D6563" s="3" t="s">
        <v>33</v>
      </c>
      <c r="E6563" s="64">
        <v>1</v>
      </c>
    </row>
    <row r="6564" spans="1:5">
      <c r="A6564" s="64" t="s">
        <v>27</v>
      </c>
      <c r="B6564" s="65">
        <v>43532</v>
      </c>
      <c r="C6564" s="66" t="s">
        <v>220</v>
      </c>
      <c r="D6564" s="3" t="s">
        <v>33</v>
      </c>
      <c r="E6564" s="64">
        <v>1</v>
      </c>
    </row>
    <row r="6565" spans="1:5">
      <c r="A6565" s="64" t="s">
        <v>27</v>
      </c>
      <c r="B6565" s="65">
        <v>43533</v>
      </c>
      <c r="C6565" s="66" t="s">
        <v>221</v>
      </c>
      <c r="D6565" s="3" t="s">
        <v>33</v>
      </c>
      <c r="E6565" s="64">
        <v>1</v>
      </c>
    </row>
    <row r="6566" spans="1:5">
      <c r="A6566" s="64" t="s">
        <v>27</v>
      </c>
      <c r="B6566" s="65">
        <v>43534</v>
      </c>
      <c r="C6566" s="66" t="s">
        <v>222</v>
      </c>
      <c r="D6566" s="3" t="s">
        <v>33</v>
      </c>
      <c r="E6566" s="64">
        <v>1</v>
      </c>
    </row>
    <row r="6567" spans="1:5">
      <c r="A6567" s="64" t="s">
        <v>27</v>
      </c>
      <c r="B6567" s="65">
        <v>43535</v>
      </c>
      <c r="C6567" s="66" t="s">
        <v>216</v>
      </c>
      <c r="D6567" s="3" t="s">
        <v>33</v>
      </c>
      <c r="E6567" s="64">
        <v>1</v>
      </c>
    </row>
    <row r="6568" spans="1:5">
      <c r="A6568" s="64" t="s">
        <v>27</v>
      </c>
      <c r="B6568" s="65">
        <v>43536</v>
      </c>
      <c r="C6568" s="66" t="s">
        <v>217</v>
      </c>
      <c r="D6568" s="3" t="s">
        <v>33</v>
      </c>
      <c r="E6568" s="64">
        <v>1</v>
      </c>
    </row>
    <row r="6569" spans="1:5">
      <c r="A6569" s="64" t="s">
        <v>27</v>
      </c>
      <c r="B6569" s="65">
        <v>43537</v>
      </c>
      <c r="C6569" s="66" t="s">
        <v>218</v>
      </c>
      <c r="D6569" s="3" t="s">
        <v>33</v>
      </c>
      <c r="E6569" s="64">
        <v>1</v>
      </c>
    </row>
    <row r="6570" spans="1:5">
      <c r="A6570" s="64" t="s">
        <v>27</v>
      </c>
      <c r="B6570" s="65">
        <v>43538</v>
      </c>
      <c r="C6570" s="66" t="s">
        <v>219</v>
      </c>
      <c r="D6570" s="3" t="s">
        <v>33</v>
      </c>
      <c r="E6570" s="64">
        <v>1</v>
      </c>
    </row>
    <row r="6571" spans="1:5">
      <c r="A6571" s="64" t="s">
        <v>27</v>
      </c>
      <c r="B6571" s="65">
        <v>43539</v>
      </c>
      <c r="C6571" s="66" t="s">
        <v>220</v>
      </c>
      <c r="D6571" s="3" t="s">
        <v>33</v>
      </c>
      <c r="E6571" s="64">
        <v>1</v>
      </c>
    </row>
    <row r="6572" spans="1:5">
      <c r="A6572" s="64" t="s">
        <v>27</v>
      </c>
      <c r="B6572" s="65">
        <v>43540</v>
      </c>
      <c r="C6572" s="66" t="s">
        <v>221</v>
      </c>
      <c r="D6572" s="3" t="s">
        <v>33</v>
      </c>
      <c r="E6572" s="64">
        <v>1</v>
      </c>
    </row>
    <row r="6573" spans="1:5">
      <c r="A6573" s="64" t="s">
        <v>27</v>
      </c>
      <c r="B6573" s="65">
        <v>43541</v>
      </c>
      <c r="C6573" s="66" t="s">
        <v>222</v>
      </c>
      <c r="D6573" s="3" t="s">
        <v>33</v>
      </c>
      <c r="E6573" s="64">
        <v>1</v>
      </c>
    </row>
    <row r="6574" spans="1:5">
      <c r="A6574" s="64" t="s">
        <v>27</v>
      </c>
      <c r="B6574" s="65">
        <v>43542</v>
      </c>
      <c r="C6574" s="66" t="s">
        <v>216</v>
      </c>
      <c r="D6574" s="3" t="s">
        <v>33</v>
      </c>
      <c r="E6574" s="64">
        <v>1</v>
      </c>
    </row>
    <row r="6575" spans="1:5">
      <c r="A6575" s="64" t="s">
        <v>27</v>
      </c>
      <c r="B6575" s="65">
        <v>43543</v>
      </c>
      <c r="C6575" s="66" t="s">
        <v>217</v>
      </c>
      <c r="D6575" s="3" t="s">
        <v>33</v>
      </c>
      <c r="E6575" s="64">
        <v>1</v>
      </c>
    </row>
    <row r="6576" spans="1:5">
      <c r="A6576" s="64" t="s">
        <v>27</v>
      </c>
      <c r="B6576" s="65">
        <v>43544</v>
      </c>
      <c r="C6576" s="66" t="s">
        <v>218</v>
      </c>
      <c r="D6576" s="3" t="s">
        <v>33</v>
      </c>
      <c r="E6576" s="64">
        <v>1</v>
      </c>
    </row>
    <row r="6577" spans="1:5">
      <c r="A6577" s="64" t="s">
        <v>27</v>
      </c>
      <c r="B6577" s="65">
        <v>43545</v>
      </c>
      <c r="C6577" s="66" t="s">
        <v>219</v>
      </c>
      <c r="D6577" s="3" t="s">
        <v>33</v>
      </c>
      <c r="E6577" s="64">
        <v>1</v>
      </c>
    </row>
    <row r="6578" spans="1:5">
      <c r="A6578" s="64" t="s">
        <v>27</v>
      </c>
      <c r="B6578" s="65">
        <v>43546</v>
      </c>
      <c r="C6578" s="66" t="s">
        <v>220</v>
      </c>
      <c r="D6578" s="3" t="s">
        <v>33</v>
      </c>
      <c r="E6578" s="64">
        <v>1</v>
      </c>
    </row>
    <row r="6579" spans="1:5">
      <c r="A6579" s="64" t="s">
        <v>27</v>
      </c>
      <c r="B6579" s="65">
        <v>43547</v>
      </c>
      <c r="C6579" s="66" t="s">
        <v>221</v>
      </c>
      <c r="D6579" s="3" t="s">
        <v>33</v>
      </c>
      <c r="E6579" s="64">
        <v>1</v>
      </c>
    </row>
    <row r="6580" spans="1:5">
      <c r="A6580" s="64" t="s">
        <v>27</v>
      </c>
      <c r="B6580" s="65">
        <v>43548</v>
      </c>
      <c r="C6580" s="66" t="s">
        <v>222</v>
      </c>
      <c r="D6580" s="3" t="s">
        <v>33</v>
      </c>
      <c r="E6580" s="64">
        <v>1</v>
      </c>
    </row>
    <row r="6581" spans="1:5">
      <c r="A6581" s="64" t="s">
        <v>27</v>
      </c>
      <c r="B6581" s="65">
        <v>43549</v>
      </c>
      <c r="C6581" s="66" t="s">
        <v>216</v>
      </c>
      <c r="D6581" s="3" t="s">
        <v>33</v>
      </c>
      <c r="E6581" s="64">
        <v>1</v>
      </c>
    </row>
    <row r="6582" spans="1:5">
      <c r="A6582" s="64" t="s">
        <v>27</v>
      </c>
      <c r="B6582" s="65">
        <v>43550</v>
      </c>
      <c r="C6582" s="66" t="s">
        <v>217</v>
      </c>
      <c r="D6582" s="3" t="s">
        <v>33</v>
      </c>
      <c r="E6582" s="64">
        <v>1</v>
      </c>
    </row>
    <row r="6583" spans="1:5">
      <c r="A6583" s="64" t="s">
        <v>27</v>
      </c>
      <c r="B6583" s="65">
        <v>43551</v>
      </c>
      <c r="C6583" s="66" t="s">
        <v>218</v>
      </c>
      <c r="D6583" s="3" t="s">
        <v>33</v>
      </c>
      <c r="E6583" s="64">
        <v>1</v>
      </c>
    </row>
    <row r="6584" spans="1:5">
      <c r="A6584" s="64" t="s">
        <v>27</v>
      </c>
      <c r="B6584" s="65">
        <v>43552</v>
      </c>
      <c r="C6584" s="66" t="s">
        <v>219</v>
      </c>
      <c r="D6584" s="3" t="s">
        <v>33</v>
      </c>
      <c r="E6584" s="64">
        <v>1</v>
      </c>
    </row>
    <row r="6585" spans="1:5">
      <c r="A6585" s="64" t="s">
        <v>27</v>
      </c>
      <c r="B6585" s="65">
        <v>43553</v>
      </c>
      <c r="C6585" s="66" t="s">
        <v>220</v>
      </c>
      <c r="D6585" s="3" t="s">
        <v>33</v>
      </c>
      <c r="E6585" s="64">
        <v>1</v>
      </c>
    </row>
    <row r="6586" spans="1:5">
      <c r="A6586" s="64" t="s">
        <v>27</v>
      </c>
      <c r="B6586" s="65">
        <v>43554</v>
      </c>
      <c r="C6586" s="66" t="s">
        <v>221</v>
      </c>
      <c r="D6586" s="3" t="s">
        <v>33</v>
      </c>
      <c r="E6586" s="64">
        <v>1</v>
      </c>
    </row>
    <row r="6587" spans="1:5">
      <c r="A6587" s="64" t="s">
        <v>27</v>
      </c>
      <c r="B6587" s="65">
        <v>43555</v>
      </c>
      <c r="C6587" s="66" t="s">
        <v>222</v>
      </c>
      <c r="D6587" s="3" t="s">
        <v>33</v>
      </c>
      <c r="E6587" s="64">
        <v>1</v>
      </c>
    </row>
    <row r="6588" spans="1:5">
      <c r="A6588" s="64" t="s">
        <v>27</v>
      </c>
      <c r="B6588" s="65">
        <v>43556</v>
      </c>
      <c r="C6588" s="66" t="s">
        <v>216</v>
      </c>
      <c r="D6588" s="3" t="s">
        <v>33</v>
      </c>
      <c r="E6588" s="64">
        <v>1</v>
      </c>
    </row>
    <row r="6589" spans="1:5">
      <c r="A6589" s="64" t="s">
        <v>27</v>
      </c>
      <c r="B6589" s="65">
        <v>43557</v>
      </c>
      <c r="C6589" s="66" t="s">
        <v>217</v>
      </c>
      <c r="D6589" s="3" t="s">
        <v>33</v>
      </c>
      <c r="E6589" s="64">
        <v>1</v>
      </c>
    </row>
    <row r="6590" spans="1:5">
      <c r="A6590" s="64" t="s">
        <v>27</v>
      </c>
      <c r="B6590" s="65">
        <v>43558</v>
      </c>
      <c r="C6590" s="66" t="s">
        <v>218</v>
      </c>
      <c r="D6590" s="3" t="s">
        <v>33</v>
      </c>
      <c r="E6590" s="64">
        <v>1</v>
      </c>
    </row>
    <row r="6591" spans="1:5">
      <c r="A6591" s="64" t="s">
        <v>27</v>
      </c>
      <c r="B6591" s="65">
        <v>43559</v>
      </c>
      <c r="C6591" s="66" t="s">
        <v>219</v>
      </c>
      <c r="D6591" s="3" t="s">
        <v>33</v>
      </c>
      <c r="E6591" s="64">
        <v>1</v>
      </c>
    </row>
    <row r="6592" spans="1:5">
      <c r="A6592" s="64" t="s">
        <v>27</v>
      </c>
      <c r="B6592" s="65">
        <v>43560</v>
      </c>
      <c r="C6592" s="66" t="s">
        <v>220</v>
      </c>
      <c r="D6592" s="3" t="s">
        <v>33</v>
      </c>
      <c r="E6592" s="64">
        <v>1</v>
      </c>
    </row>
    <row r="6593" spans="1:5">
      <c r="A6593" s="64" t="s">
        <v>27</v>
      </c>
      <c r="B6593" s="65">
        <v>43561</v>
      </c>
      <c r="C6593" s="66" t="s">
        <v>221</v>
      </c>
      <c r="D6593" s="3" t="s">
        <v>33</v>
      </c>
      <c r="E6593" s="64">
        <v>1</v>
      </c>
    </row>
    <row r="6594" spans="1:5">
      <c r="A6594" s="64" t="s">
        <v>27</v>
      </c>
      <c r="B6594" s="65">
        <v>43562</v>
      </c>
      <c r="C6594" s="66" t="s">
        <v>222</v>
      </c>
      <c r="D6594" s="3" t="s">
        <v>33</v>
      </c>
      <c r="E6594" s="64">
        <v>1</v>
      </c>
    </row>
    <row r="6595" spans="1:5">
      <c r="A6595" s="64" t="s">
        <v>27</v>
      </c>
      <c r="B6595" s="65">
        <v>43563</v>
      </c>
      <c r="C6595" s="66" t="s">
        <v>216</v>
      </c>
      <c r="D6595" s="3" t="s">
        <v>33</v>
      </c>
      <c r="E6595" s="64">
        <v>1</v>
      </c>
    </row>
    <row r="6596" spans="1:5">
      <c r="A6596" s="64" t="s">
        <v>27</v>
      </c>
      <c r="B6596" s="65">
        <v>43564</v>
      </c>
      <c r="C6596" s="66" t="s">
        <v>217</v>
      </c>
      <c r="D6596" s="3" t="s">
        <v>33</v>
      </c>
      <c r="E6596" s="64">
        <v>1</v>
      </c>
    </row>
    <row r="6597" spans="1:5">
      <c r="A6597" s="64" t="s">
        <v>27</v>
      </c>
      <c r="B6597" s="65">
        <v>43565</v>
      </c>
      <c r="C6597" s="66" t="s">
        <v>218</v>
      </c>
      <c r="D6597" s="3" t="s">
        <v>33</v>
      </c>
      <c r="E6597" s="64">
        <v>1</v>
      </c>
    </row>
    <row r="6598" spans="1:5">
      <c r="A6598" s="64" t="s">
        <v>27</v>
      </c>
      <c r="B6598" s="65">
        <v>43566</v>
      </c>
      <c r="C6598" s="66" t="s">
        <v>219</v>
      </c>
      <c r="D6598" s="3" t="s">
        <v>33</v>
      </c>
      <c r="E6598" s="64">
        <v>1</v>
      </c>
    </row>
    <row r="6599" spans="1:5">
      <c r="A6599" s="64" t="s">
        <v>27</v>
      </c>
      <c r="B6599" s="65">
        <v>43567</v>
      </c>
      <c r="C6599" s="66" t="s">
        <v>220</v>
      </c>
      <c r="D6599" s="3" t="s">
        <v>33</v>
      </c>
      <c r="E6599" s="64">
        <v>1</v>
      </c>
    </row>
    <row r="6600" spans="1:5">
      <c r="A6600" s="64" t="s">
        <v>27</v>
      </c>
      <c r="B6600" s="65">
        <v>43568</v>
      </c>
      <c r="C6600" s="66" t="s">
        <v>221</v>
      </c>
      <c r="D6600" s="3" t="s">
        <v>33</v>
      </c>
      <c r="E6600" s="64">
        <v>1</v>
      </c>
    </row>
    <row r="6601" spans="1:5">
      <c r="A6601" s="64" t="s">
        <v>27</v>
      </c>
      <c r="B6601" s="65">
        <v>43569</v>
      </c>
      <c r="C6601" s="66" t="s">
        <v>222</v>
      </c>
      <c r="D6601" s="3" t="s">
        <v>33</v>
      </c>
      <c r="E6601" s="64">
        <v>1</v>
      </c>
    </row>
    <row r="6602" spans="1:5">
      <c r="A6602" s="64" t="s">
        <v>27</v>
      </c>
      <c r="B6602" s="65">
        <v>43570</v>
      </c>
      <c r="C6602" s="66" t="s">
        <v>216</v>
      </c>
      <c r="D6602" s="3" t="s">
        <v>33</v>
      </c>
      <c r="E6602" s="64">
        <v>1</v>
      </c>
    </row>
    <row r="6603" spans="1:5">
      <c r="A6603" s="64" t="s">
        <v>27</v>
      </c>
      <c r="B6603" s="65">
        <v>43571</v>
      </c>
      <c r="C6603" s="66" t="s">
        <v>217</v>
      </c>
      <c r="D6603" s="3" t="s">
        <v>33</v>
      </c>
      <c r="E6603" s="64">
        <v>1</v>
      </c>
    </row>
    <row r="6604" spans="1:5">
      <c r="A6604" s="64" t="s">
        <v>27</v>
      </c>
      <c r="B6604" s="65">
        <v>43572</v>
      </c>
      <c r="C6604" s="66" t="s">
        <v>218</v>
      </c>
      <c r="D6604" s="3" t="s">
        <v>33</v>
      </c>
      <c r="E6604" s="64">
        <v>1</v>
      </c>
    </row>
    <row r="6605" spans="1:5">
      <c r="A6605" s="64" t="s">
        <v>27</v>
      </c>
      <c r="B6605" s="65">
        <v>43573</v>
      </c>
      <c r="C6605" s="66" t="s">
        <v>219</v>
      </c>
      <c r="D6605" s="3" t="s">
        <v>33</v>
      </c>
      <c r="E6605" s="64">
        <v>1</v>
      </c>
    </row>
    <row r="6606" spans="1:5">
      <c r="A6606" s="64" t="s">
        <v>27</v>
      </c>
      <c r="B6606" s="65">
        <v>43574</v>
      </c>
      <c r="C6606" s="66" t="s">
        <v>220</v>
      </c>
      <c r="D6606" s="3" t="s">
        <v>33</v>
      </c>
      <c r="E6606" s="64">
        <v>1</v>
      </c>
    </row>
    <row r="6607" spans="1:5">
      <c r="A6607" s="64" t="s">
        <v>27</v>
      </c>
      <c r="B6607" s="65">
        <v>43575</v>
      </c>
      <c r="C6607" s="66" t="s">
        <v>221</v>
      </c>
      <c r="D6607" s="3" t="s">
        <v>33</v>
      </c>
      <c r="E6607" s="64">
        <v>1</v>
      </c>
    </row>
    <row r="6608" spans="1:5">
      <c r="A6608" s="64" t="s">
        <v>27</v>
      </c>
      <c r="B6608" s="65">
        <v>43576</v>
      </c>
      <c r="C6608" s="66" t="s">
        <v>222</v>
      </c>
      <c r="D6608" s="3" t="s">
        <v>33</v>
      </c>
      <c r="E6608" s="64">
        <v>1</v>
      </c>
    </row>
    <row r="6609" spans="1:5">
      <c r="A6609" s="64" t="s">
        <v>27</v>
      </c>
      <c r="B6609" s="65">
        <v>43577</v>
      </c>
      <c r="C6609" s="66" t="s">
        <v>216</v>
      </c>
      <c r="D6609" s="3" t="s">
        <v>33</v>
      </c>
      <c r="E6609" s="64">
        <v>1</v>
      </c>
    </row>
    <row r="6610" spans="1:5">
      <c r="A6610" s="64" t="s">
        <v>27</v>
      </c>
      <c r="B6610" s="65">
        <v>43578</v>
      </c>
      <c r="C6610" s="66" t="s">
        <v>217</v>
      </c>
      <c r="D6610" s="3" t="s">
        <v>33</v>
      </c>
      <c r="E6610" s="64">
        <v>1</v>
      </c>
    </row>
    <row r="6611" spans="1:5">
      <c r="A6611" s="64" t="s">
        <v>27</v>
      </c>
      <c r="B6611" s="65">
        <v>43579</v>
      </c>
      <c r="C6611" s="66" t="s">
        <v>218</v>
      </c>
      <c r="D6611" s="3" t="s">
        <v>33</v>
      </c>
      <c r="E6611" s="64">
        <v>1</v>
      </c>
    </row>
    <row r="6612" spans="1:5">
      <c r="A6612" s="64" t="s">
        <v>27</v>
      </c>
      <c r="B6612" s="65">
        <v>43580</v>
      </c>
      <c r="C6612" s="66" t="s">
        <v>219</v>
      </c>
      <c r="D6612" s="3" t="s">
        <v>33</v>
      </c>
      <c r="E6612" s="64">
        <v>1</v>
      </c>
    </row>
    <row r="6613" spans="1:5">
      <c r="A6613" s="64" t="s">
        <v>27</v>
      </c>
      <c r="B6613" s="65">
        <v>43581</v>
      </c>
      <c r="C6613" s="66" t="s">
        <v>220</v>
      </c>
      <c r="D6613" s="3" t="s">
        <v>33</v>
      </c>
      <c r="E6613" s="64">
        <v>1</v>
      </c>
    </row>
    <row r="6614" spans="1:5">
      <c r="A6614" s="64" t="s">
        <v>27</v>
      </c>
      <c r="B6614" s="65">
        <v>43582</v>
      </c>
      <c r="C6614" s="66" t="s">
        <v>221</v>
      </c>
      <c r="D6614" s="3" t="s">
        <v>33</v>
      </c>
      <c r="E6614" s="64">
        <v>1</v>
      </c>
    </row>
    <row r="6615" spans="1:5">
      <c r="A6615" s="64" t="s">
        <v>27</v>
      </c>
      <c r="B6615" s="65">
        <v>43583</v>
      </c>
      <c r="C6615" s="66" t="s">
        <v>222</v>
      </c>
      <c r="D6615" s="3" t="s">
        <v>33</v>
      </c>
      <c r="E6615" s="64">
        <v>1</v>
      </c>
    </row>
    <row r="6616" spans="1:5">
      <c r="A6616" s="64" t="s">
        <v>27</v>
      </c>
      <c r="B6616" s="65">
        <v>43584</v>
      </c>
      <c r="C6616" s="66" t="s">
        <v>216</v>
      </c>
      <c r="D6616" s="3" t="s">
        <v>33</v>
      </c>
      <c r="E6616" s="64">
        <v>1</v>
      </c>
    </row>
    <row r="6617" spans="1:5">
      <c r="A6617" s="64" t="s">
        <v>27</v>
      </c>
      <c r="B6617" s="65">
        <v>43585</v>
      </c>
      <c r="C6617" s="66" t="s">
        <v>217</v>
      </c>
      <c r="D6617" s="3" t="s">
        <v>33</v>
      </c>
      <c r="E6617" s="64">
        <v>1</v>
      </c>
    </row>
    <row r="6618" spans="1:5">
      <c r="A6618" s="64" t="s">
        <v>27</v>
      </c>
      <c r="B6618" s="65">
        <v>43586</v>
      </c>
      <c r="C6618" s="66" t="s">
        <v>218</v>
      </c>
      <c r="D6618" s="3" t="s">
        <v>33</v>
      </c>
      <c r="E6618" s="64">
        <v>1</v>
      </c>
    </row>
    <row r="6619" spans="1:5">
      <c r="A6619" s="64" t="s">
        <v>27</v>
      </c>
      <c r="B6619" s="65">
        <v>43587</v>
      </c>
      <c r="C6619" s="66" t="s">
        <v>219</v>
      </c>
      <c r="D6619" s="3" t="s">
        <v>33</v>
      </c>
      <c r="E6619" s="64">
        <v>1</v>
      </c>
    </row>
    <row r="6620" spans="1:5">
      <c r="A6620" s="64" t="s">
        <v>27</v>
      </c>
      <c r="B6620" s="65">
        <v>43588</v>
      </c>
      <c r="C6620" s="66" t="s">
        <v>220</v>
      </c>
      <c r="D6620" s="3" t="s">
        <v>33</v>
      </c>
      <c r="E6620" s="64">
        <v>1</v>
      </c>
    </row>
    <row r="6621" spans="1:5">
      <c r="A6621" s="64" t="s">
        <v>27</v>
      </c>
      <c r="B6621" s="65">
        <v>43589</v>
      </c>
      <c r="C6621" s="66" t="s">
        <v>221</v>
      </c>
      <c r="D6621" s="3" t="s">
        <v>33</v>
      </c>
      <c r="E6621" s="64">
        <v>1</v>
      </c>
    </row>
    <row r="6622" spans="1:5">
      <c r="A6622" s="64" t="s">
        <v>27</v>
      </c>
      <c r="B6622" s="65">
        <v>43590</v>
      </c>
      <c r="C6622" s="66" t="s">
        <v>222</v>
      </c>
      <c r="D6622" s="3" t="s">
        <v>33</v>
      </c>
      <c r="E6622" s="64">
        <v>1</v>
      </c>
    </row>
    <row r="6623" spans="1:5">
      <c r="A6623" s="64" t="s">
        <v>27</v>
      </c>
      <c r="B6623" s="65">
        <v>43591</v>
      </c>
      <c r="C6623" s="66" t="s">
        <v>216</v>
      </c>
      <c r="D6623" s="3" t="s">
        <v>33</v>
      </c>
      <c r="E6623" s="64">
        <v>1</v>
      </c>
    </row>
    <row r="6624" spans="1:5">
      <c r="A6624" s="64" t="s">
        <v>27</v>
      </c>
      <c r="B6624" s="65">
        <v>43592</v>
      </c>
      <c r="C6624" s="66" t="s">
        <v>217</v>
      </c>
      <c r="D6624" s="3" t="s">
        <v>33</v>
      </c>
      <c r="E6624" s="64">
        <v>1</v>
      </c>
    </row>
    <row r="6625" spans="1:5">
      <c r="A6625" s="64" t="s">
        <v>27</v>
      </c>
      <c r="B6625" s="65">
        <v>43593</v>
      </c>
      <c r="C6625" s="66" t="s">
        <v>218</v>
      </c>
      <c r="D6625" s="3" t="s">
        <v>33</v>
      </c>
      <c r="E6625" s="64">
        <v>1</v>
      </c>
    </row>
    <row r="6626" spans="1:5">
      <c r="A6626" s="64" t="s">
        <v>27</v>
      </c>
      <c r="B6626" s="65">
        <v>43594</v>
      </c>
      <c r="C6626" s="66" t="s">
        <v>219</v>
      </c>
      <c r="D6626" s="3" t="s">
        <v>33</v>
      </c>
      <c r="E6626" s="64">
        <v>1</v>
      </c>
    </row>
    <row r="6627" spans="1:5">
      <c r="A6627" s="64" t="s">
        <v>27</v>
      </c>
      <c r="B6627" s="65">
        <v>43595</v>
      </c>
      <c r="C6627" s="66" t="s">
        <v>220</v>
      </c>
      <c r="D6627" s="3" t="s">
        <v>33</v>
      </c>
      <c r="E6627" s="64">
        <v>1</v>
      </c>
    </row>
    <row r="6628" spans="1:5">
      <c r="A6628" s="64" t="s">
        <v>27</v>
      </c>
      <c r="B6628" s="65">
        <v>43596</v>
      </c>
      <c r="C6628" s="66" t="s">
        <v>221</v>
      </c>
      <c r="D6628" s="3" t="s">
        <v>33</v>
      </c>
      <c r="E6628" s="64">
        <v>1</v>
      </c>
    </row>
    <row r="6629" spans="1:5">
      <c r="A6629" s="64" t="s">
        <v>27</v>
      </c>
      <c r="B6629" s="65">
        <v>43597</v>
      </c>
      <c r="C6629" s="66" t="s">
        <v>222</v>
      </c>
      <c r="D6629" s="3" t="s">
        <v>33</v>
      </c>
      <c r="E6629" s="64">
        <v>1</v>
      </c>
    </row>
    <row r="6630" spans="1:5">
      <c r="A6630" s="64" t="s">
        <v>27</v>
      </c>
      <c r="B6630" s="65">
        <v>43598</v>
      </c>
      <c r="C6630" s="66" t="s">
        <v>216</v>
      </c>
      <c r="D6630" s="3" t="s">
        <v>33</v>
      </c>
      <c r="E6630" s="64">
        <v>1</v>
      </c>
    </row>
    <row r="6631" spans="1:5">
      <c r="A6631" s="64" t="s">
        <v>27</v>
      </c>
      <c r="B6631" s="65">
        <v>43599</v>
      </c>
      <c r="C6631" s="66" t="s">
        <v>217</v>
      </c>
      <c r="D6631" s="3" t="s">
        <v>33</v>
      </c>
      <c r="E6631" s="64">
        <v>1</v>
      </c>
    </row>
    <row r="6632" spans="1:5">
      <c r="A6632" s="64" t="s">
        <v>27</v>
      </c>
      <c r="B6632" s="65">
        <v>43600</v>
      </c>
      <c r="C6632" s="66" t="s">
        <v>218</v>
      </c>
      <c r="D6632" s="3" t="s">
        <v>33</v>
      </c>
      <c r="E6632" s="64">
        <v>1</v>
      </c>
    </row>
    <row r="6633" spans="1:5">
      <c r="A6633" s="64" t="s">
        <v>27</v>
      </c>
      <c r="B6633" s="65">
        <v>43601</v>
      </c>
      <c r="C6633" s="66" t="s">
        <v>219</v>
      </c>
      <c r="D6633" s="3" t="s">
        <v>33</v>
      </c>
      <c r="E6633" s="64">
        <v>1</v>
      </c>
    </row>
    <row r="6634" spans="1:5">
      <c r="A6634" s="64" t="s">
        <v>27</v>
      </c>
      <c r="B6634" s="65">
        <v>43602</v>
      </c>
      <c r="C6634" s="66" t="s">
        <v>220</v>
      </c>
      <c r="D6634" s="3" t="s">
        <v>33</v>
      </c>
      <c r="E6634" s="64">
        <v>1</v>
      </c>
    </row>
    <row r="6635" spans="1:5">
      <c r="A6635" s="64" t="s">
        <v>27</v>
      </c>
      <c r="B6635" s="65">
        <v>43603</v>
      </c>
      <c r="C6635" s="66" t="s">
        <v>221</v>
      </c>
      <c r="D6635" s="3" t="s">
        <v>33</v>
      </c>
      <c r="E6635" s="64">
        <v>1</v>
      </c>
    </row>
    <row r="6636" spans="1:5">
      <c r="A6636" s="64" t="s">
        <v>27</v>
      </c>
      <c r="B6636" s="65">
        <v>43604</v>
      </c>
      <c r="C6636" s="66" t="s">
        <v>222</v>
      </c>
      <c r="D6636" s="3" t="s">
        <v>33</v>
      </c>
      <c r="E6636" s="64">
        <v>1</v>
      </c>
    </row>
    <row r="6637" spans="1:5">
      <c r="A6637" s="64" t="s">
        <v>27</v>
      </c>
      <c r="B6637" s="65">
        <v>43605</v>
      </c>
      <c r="C6637" s="66" t="s">
        <v>216</v>
      </c>
      <c r="D6637" s="3" t="s">
        <v>33</v>
      </c>
      <c r="E6637" s="64">
        <v>1</v>
      </c>
    </row>
    <row r="6638" spans="1:5">
      <c r="A6638" s="64" t="s">
        <v>27</v>
      </c>
      <c r="B6638" s="65">
        <v>43606</v>
      </c>
      <c r="C6638" s="66" t="s">
        <v>217</v>
      </c>
      <c r="D6638" s="3" t="s">
        <v>33</v>
      </c>
      <c r="E6638" s="64">
        <v>1</v>
      </c>
    </row>
    <row r="6639" spans="1:5">
      <c r="A6639" s="64" t="s">
        <v>27</v>
      </c>
      <c r="B6639" s="65">
        <v>43607</v>
      </c>
      <c r="C6639" s="66" t="s">
        <v>218</v>
      </c>
      <c r="D6639" s="3" t="s">
        <v>33</v>
      </c>
      <c r="E6639" s="64">
        <v>1</v>
      </c>
    </row>
    <row r="6640" spans="1:5">
      <c r="A6640" s="64" t="s">
        <v>27</v>
      </c>
      <c r="B6640" s="65">
        <v>43608</v>
      </c>
      <c r="C6640" s="66" t="s">
        <v>219</v>
      </c>
      <c r="D6640" s="3" t="s">
        <v>33</v>
      </c>
      <c r="E6640" s="64">
        <v>1</v>
      </c>
    </row>
    <row r="6641" spans="1:5">
      <c r="A6641" s="64" t="s">
        <v>27</v>
      </c>
      <c r="B6641" s="65">
        <v>43609</v>
      </c>
      <c r="C6641" s="66" t="s">
        <v>220</v>
      </c>
      <c r="D6641" s="3" t="s">
        <v>33</v>
      </c>
      <c r="E6641" s="64">
        <v>1</v>
      </c>
    </row>
    <row r="6642" spans="1:5">
      <c r="A6642" s="64" t="s">
        <v>27</v>
      </c>
      <c r="B6642" s="65">
        <v>43610</v>
      </c>
      <c r="C6642" s="66" t="s">
        <v>221</v>
      </c>
      <c r="D6642" s="3" t="s">
        <v>33</v>
      </c>
      <c r="E6642" s="64">
        <v>1</v>
      </c>
    </row>
    <row r="6643" spans="1:5">
      <c r="A6643" s="64" t="s">
        <v>27</v>
      </c>
      <c r="B6643" s="65">
        <v>43611</v>
      </c>
      <c r="C6643" s="66" t="s">
        <v>222</v>
      </c>
      <c r="D6643" s="3" t="s">
        <v>33</v>
      </c>
      <c r="E6643" s="64">
        <v>1</v>
      </c>
    </row>
    <row r="6644" spans="1:5">
      <c r="A6644" s="64" t="s">
        <v>27</v>
      </c>
      <c r="B6644" s="65">
        <v>43612</v>
      </c>
      <c r="C6644" s="66" t="s">
        <v>216</v>
      </c>
      <c r="D6644" s="3" t="s">
        <v>33</v>
      </c>
      <c r="E6644" s="64">
        <v>1</v>
      </c>
    </row>
    <row r="6645" spans="1:5">
      <c r="A6645" s="64" t="s">
        <v>27</v>
      </c>
      <c r="B6645" s="65">
        <v>43613</v>
      </c>
      <c r="C6645" s="66" t="s">
        <v>217</v>
      </c>
      <c r="D6645" s="3" t="s">
        <v>33</v>
      </c>
      <c r="E6645" s="64">
        <v>1</v>
      </c>
    </row>
    <row r="6646" spans="1:5">
      <c r="A6646" s="64" t="s">
        <v>27</v>
      </c>
      <c r="B6646" s="65">
        <v>43614</v>
      </c>
      <c r="C6646" s="66" t="s">
        <v>218</v>
      </c>
      <c r="D6646" s="3" t="s">
        <v>33</v>
      </c>
      <c r="E6646" s="64">
        <v>1</v>
      </c>
    </row>
    <row r="6647" spans="1:5">
      <c r="A6647" s="64" t="s">
        <v>27</v>
      </c>
      <c r="B6647" s="65">
        <v>43615</v>
      </c>
      <c r="C6647" s="66" t="s">
        <v>219</v>
      </c>
      <c r="D6647" s="3" t="s">
        <v>33</v>
      </c>
      <c r="E6647" s="64">
        <v>1</v>
      </c>
    </row>
    <row r="6648" spans="1:5">
      <c r="A6648" s="64" t="s">
        <v>27</v>
      </c>
      <c r="B6648" s="65">
        <v>43616</v>
      </c>
      <c r="C6648" s="66" t="s">
        <v>220</v>
      </c>
      <c r="D6648" s="3" t="s">
        <v>33</v>
      </c>
      <c r="E6648" s="64">
        <v>1</v>
      </c>
    </row>
    <row r="6649" spans="1:5">
      <c r="A6649" s="64" t="s">
        <v>27</v>
      </c>
      <c r="B6649" s="65">
        <v>43617</v>
      </c>
      <c r="C6649" s="66" t="s">
        <v>221</v>
      </c>
      <c r="D6649" s="3" t="s">
        <v>33</v>
      </c>
      <c r="E6649" s="64">
        <v>1</v>
      </c>
    </row>
    <row r="6650" spans="1:5">
      <c r="A6650" s="64" t="s">
        <v>27</v>
      </c>
      <c r="B6650" s="65">
        <v>43618</v>
      </c>
      <c r="C6650" s="66" t="s">
        <v>222</v>
      </c>
      <c r="D6650" s="3" t="s">
        <v>33</v>
      </c>
      <c r="E6650" s="64">
        <v>1</v>
      </c>
    </row>
    <row r="6651" spans="1:5">
      <c r="A6651" s="64" t="s">
        <v>27</v>
      </c>
      <c r="B6651" s="65">
        <v>43619</v>
      </c>
      <c r="C6651" s="66" t="s">
        <v>216</v>
      </c>
      <c r="D6651" s="3" t="s">
        <v>33</v>
      </c>
      <c r="E6651" s="64">
        <v>1</v>
      </c>
    </row>
    <row r="6652" spans="1:5">
      <c r="A6652" s="64" t="s">
        <v>27</v>
      </c>
      <c r="B6652" s="65">
        <v>43620</v>
      </c>
      <c r="C6652" s="66" t="s">
        <v>217</v>
      </c>
      <c r="D6652" s="3" t="s">
        <v>33</v>
      </c>
      <c r="E6652" s="64">
        <v>1</v>
      </c>
    </row>
    <row r="6653" spans="1:5">
      <c r="A6653" s="64" t="s">
        <v>27</v>
      </c>
      <c r="B6653" s="65">
        <v>43621</v>
      </c>
      <c r="C6653" s="66" t="s">
        <v>218</v>
      </c>
      <c r="D6653" s="3" t="s">
        <v>33</v>
      </c>
      <c r="E6653" s="64">
        <v>1</v>
      </c>
    </row>
    <row r="6654" spans="1:5">
      <c r="A6654" s="64" t="s">
        <v>27</v>
      </c>
      <c r="B6654" s="65">
        <v>43622</v>
      </c>
      <c r="C6654" s="66" t="s">
        <v>219</v>
      </c>
      <c r="D6654" s="3" t="s">
        <v>33</v>
      </c>
      <c r="E6654" s="64">
        <v>1</v>
      </c>
    </row>
    <row r="6655" spans="1:5">
      <c r="A6655" s="64" t="s">
        <v>27</v>
      </c>
      <c r="B6655" s="65">
        <v>43623</v>
      </c>
      <c r="C6655" s="66" t="s">
        <v>220</v>
      </c>
      <c r="D6655" s="3" t="s">
        <v>33</v>
      </c>
      <c r="E6655" s="64">
        <v>1</v>
      </c>
    </row>
    <row r="6656" spans="1:5">
      <c r="A6656" s="64" t="s">
        <v>27</v>
      </c>
      <c r="B6656" s="65">
        <v>43624</v>
      </c>
      <c r="C6656" s="66" t="s">
        <v>221</v>
      </c>
      <c r="D6656" s="3" t="s">
        <v>33</v>
      </c>
      <c r="E6656" s="64">
        <v>1</v>
      </c>
    </row>
    <row r="6657" spans="1:5">
      <c r="A6657" s="64" t="s">
        <v>27</v>
      </c>
      <c r="B6657" s="65">
        <v>43625</v>
      </c>
      <c r="C6657" s="66" t="s">
        <v>222</v>
      </c>
      <c r="D6657" s="3" t="s">
        <v>33</v>
      </c>
      <c r="E6657" s="64">
        <v>1</v>
      </c>
    </row>
    <row r="6658" spans="1:5">
      <c r="A6658" s="64" t="s">
        <v>27</v>
      </c>
      <c r="B6658" s="65">
        <v>43626</v>
      </c>
      <c r="C6658" s="66" t="s">
        <v>216</v>
      </c>
      <c r="D6658" s="3" t="s">
        <v>33</v>
      </c>
      <c r="E6658" s="64">
        <v>1</v>
      </c>
    </row>
    <row r="6659" spans="1:5">
      <c r="A6659" s="64" t="s">
        <v>27</v>
      </c>
      <c r="B6659" s="65">
        <v>43627</v>
      </c>
      <c r="C6659" s="66" t="s">
        <v>217</v>
      </c>
      <c r="D6659" s="3" t="s">
        <v>33</v>
      </c>
      <c r="E6659" s="64">
        <v>1</v>
      </c>
    </row>
    <row r="6660" spans="1:5">
      <c r="A6660" s="64" t="s">
        <v>27</v>
      </c>
      <c r="B6660" s="65">
        <v>43628</v>
      </c>
      <c r="C6660" s="66" t="s">
        <v>218</v>
      </c>
      <c r="D6660" s="3" t="s">
        <v>33</v>
      </c>
      <c r="E6660" s="64">
        <v>1</v>
      </c>
    </row>
    <row r="6661" spans="1:5">
      <c r="A6661" s="64" t="s">
        <v>27</v>
      </c>
      <c r="B6661" s="65">
        <v>43629</v>
      </c>
      <c r="C6661" s="66" t="s">
        <v>219</v>
      </c>
      <c r="D6661" s="3" t="s">
        <v>33</v>
      </c>
      <c r="E6661" s="64">
        <v>1</v>
      </c>
    </row>
    <row r="6662" spans="1:5">
      <c r="A6662" s="64" t="s">
        <v>27</v>
      </c>
      <c r="B6662" s="65">
        <v>43630</v>
      </c>
      <c r="C6662" s="66" t="s">
        <v>220</v>
      </c>
      <c r="D6662" s="3" t="s">
        <v>33</v>
      </c>
      <c r="E6662" s="64">
        <v>1</v>
      </c>
    </row>
    <row r="6663" spans="1:5">
      <c r="A6663" s="64" t="s">
        <v>27</v>
      </c>
      <c r="B6663" s="65">
        <v>43631</v>
      </c>
      <c r="C6663" s="66" t="s">
        <v>221</v>
      </c>
      <c r="D6663" s="3" t="s">
        <v>33</v>
      </c>
      <c r="E6663" s="64">
        <v>1</v>
      </c>
    </row>
    <row r="6664" spans="1:5">
      <c r="A6664" s="64" t="s">
        <v>27</v>
      </c>
      <c r="B6664" s="65">
        <v>43632</v>
      </c>
      <c r="C6664" s="66" t="s">
        <v>222</v>
      </c>
      <c r="D6664" s="3" t="s">
        <v>33</v>
      </c>
      <c r="E6664" s="64">
        <v>1</v>
      </c>
    </row>
    <row r="6665" spans="1:5">
      <c r="A6665" s="64" t="s">
        <v>27</v>
      </c>
      <c r="B6665" s="65">
        <v>43633</v>
      </c>
      <c r="C6665" s="66" t="s">
        <v>216</v>
      </c>
      <c r="D6665" s="3" t="s">
        <v>33</v>
      </c>
      <c r="E6665" s="64">
        <v>1</v>
      </c>
    </row>
    <row r="6666" spans="1:5">
      <c r="A6666" s="64" t="s">
        <v>27</v>
      </c>
      <c r="B6666" s="65">
        <v>43634</v>
      </c>
      <c r="C6666" s="66" t="s">
        <v>217</v>
      </c>
      <c r="D6666" s="3" t="s">
        <v>33</v>
      </c>
      <c r="E6666" s="64">
        <v>1</v>
      </c>
    </row>
    <row r="6667" spans="1:5">
      <c r="A6667" s="64" t="s">
        <v>27</v>
      </c>
      <c r="B6667" s="65">
        <v>43635</v>
      </c>
      <c r="C6667" s="66" t="s">
        <v>218</v>
      </c>
      <c r="D6667" s="3" t="s">
        <v>33</v>
      </c>
      <c r="E6667" s="64">
        <v>1</v>
      </c>
    </row>
    <row r="6668" spans="1:5">
      <c r="A6668" s="64" t="s">
        <v>27</v>
      </c>
      <c r="B6668" s="65">
        <v>43636</v>
      </c>
      <c r="C6668" s="66" t="s">
        <v>219</v>
      </c>
      <c r="D6668" s="3" t="s">
        <v>33</v>
      </c>
      <c r="E6668" s="64">
        <v>1</v>
      </c>
    </row>
    <row r="6669" spans="1:5">
      <c r="A6669" s="64" t="s">
        <v>27</v>
      </c>
      <c r="B6669" s="65">
        <v>43637</v>
      </c>
      <c r="C6669" s="66" t="s">
        <v>220</v>
      </c>
      <c r="D6669" s="3" t="s">
        <v>33</v>
      </c>
      <c r="E6669" s="64">
        <v>1</v>
      </c>
    </row>
    <row r="6670" spans="1:5">
      <c r="A6670" s="64" t="s">
        <v>27</v>
      </c>
      <c r="B6670" s="65">
        <v>43638</v>
      </c>
      <c r="C6670" s="66" t="s">
        <v>221</v>
      </c>
      <c r="D6670" s="3" t="s">
        <v>33</v>
      </c>
      <c r="E6670" s="64">
        <v>1</v>
      </c>
    </row>
    <row r="6671" spans="1:5">
      <c r="A6671" s="64" t="s">
        <v>27</v>
      </c>
      <c r="B6671" s="65">
        <v>43639</v>
      </c>
      <c r="C6671" s="66" t="s">
        <v>222</v>
      </c>
      <c r="D6671" s="3" t="s">
        <v>33</v>
      </c>
      <c r="E6671" s="64">
        <v>1</v>
      </c>
    </row>
    <row r="6672" spans="1:5">
      <c r="A6672" s="64" t="s">
        <v>27</v>
      </c>
      <c r="B6672" s="65">
        <v>43640</v>
      </c>
      <c r="C6672" s="66" t="s">
        <v>216</v>
      </c>
      <c r="D6672" s="3" t="s">
        <v>33</v>
      </c>
      <c r="E6672" s="64">
        <v>1</v>
      </c>
    </row>
    <row r="6673" spans="1:5">
      <c r="A6673" s="64" t="s">
        <v>27</v>
      </c>
      <c r="B6673" s="65">
        <v>43641</v>
      </c>
      <c r="C6673" s="66" t="s">
        <v>217</v>
      </c>
      <c r="D6673" s="3" t="s">
        <v>33</v>
      </c>
      <c r="E6673" s="64">
        <v>1</v>
      </c>
    </row>
    <row r="6674" spans="1:5">
      <c r="A6674" s="64" t="s">
        <v>27</v>
      </c>
      <c r="B6674" s="65">
        <v>43642</v>
      </c>
      <c r="C6674" s="66" t="s">
        <v>218</v>
      </c>
      <c r="D6674" s="3" t="s">
        <v>33</v>
      </c>
      <c r="E6674" s="64">
        <v>1</v>
      </c>
    </row>
    <row r="6675" spans="1:5">
      <c r="A6675" s="64" t="s">
        <v>27</v>
      </c>
      <c r="B6675" s="65">
        <v>43643</v>
      </c>
      <c r="C6675" s="66" t="s">
        <v>219</v>
      </c>
      <c r="D6675" s="3" t="s">
        <v>33</v>
      </c>
      <c r="E6675" s="64">
        <v>1</v>
      </c>
    </row>
    <row r="6676" spans="1:5">
      <c r="A6676" s="64" t="s">
        <v>27</v>
      </c>
      <c r="B6676" s="65">
        <v>43644</v>
      </c>
      <c r="C6676" s="66" t="s">
        <v>220</v>
      </c>
      <c r="D6676" s="3" t="s">
        <v>33</v>
      </c>
      <c r="E6676" s="64">
        <v>1</v>
      </c>
    </row>
    <row r="6677" spans="1:5">
      <c r="A6677" s="64" t="s">
        <v>27</v>
      </c>
      <c r="B6677" s="65">
        <v>43645</v>
      </c>
      <c r="C6677" s="66" t="s">
        <v>221</v>
      </c>
      <c r="D6677" s="3" t="s">
        <v>33</v>
      </c>
      <c r="E6677" s="64">
        <v>1</v>
      </c>
    </row>
    <row r="6678" spans="1:5">
      <c r="A6678" s="64" t="s">
        <v>27</v>
      </c>
      <c r="B6678" s="65">
        <v>43646</v>
      </c>
      <c r="C6678" s="66" t="s">
        <v>222</v>
      </c>
      <c r="D6678" s="3" t="s">
        <v>33</v>
      </c>
      <c r="E6678" s="64">
        <v>1</v>
      </c>
    </row>
    <row r="6679" spans="1:5">
      <c r="A6679" s="64" t="s">
        <v>27</v>
      </c>
      <c r="B6679" s="65">
        <v>43360</v>
      </c>
      <c r="C6679" s="66" t="s">
        <v>216</v>
      </c>
      <c r="D6679" s="3" t="s">
        <v>34</v>
      </c>
      <c r="E6679" s="64">
        <v>1</v>
      </c>
    </row>
    <row r="6680" spans="1:5">
      <c r="A6680" s="64" t="s">
        <v>27</v>
      </c>
      <c r="B6680" s="65">
        <v>43361</v>
      </c>
      <c r="C6680" s="66" t="s">
        <v>217</v>
      </c>
      <c r="D6680" s="3" t="s">
        <v>34</v>
      </c>
      <c r="E6680" s="64">
        <v>1</v>
      </c>
    </row>
    <row r="6681" spans="1:5">
      <c r="A6681" s="64" t="s">
        <v>27</v>
      </c>
      <c r="B6681" s="65">
        <v>43362</v>
      </c>
      <c r="C6681" s="66" t="s">
        <v>218</v>
      </c>
      <c r="D6681" s="3" t="s">
        <v>34</v>
      </c>
      <c r="E6681" s="64">
        <v>1</v>
      </c>
    </row>
    <row r="6682" spans="1:5">
      <c r="A6682" s="64" t="s">
        <v>27</v>
      </c>
      <c r="B6682" s="65">
        <v>43363</v>
      </c>
      <c r="C6682" s="66" t="s">
        <v>219</v>
      </c>
      <c r="D6682" s="3" t="s">
        <v>34</v>
      </c>
      <c r="E6682" s="64">
        <v>1</v>
      </c>
    </row>
    <row r="6683" spans="1:5">
      <c r="A6683" s="64" t="s">
        <v>27</v>
      </c>
      <c r="B6683" s="65">
        <v>43364</v>
      </c>
      <c r="C6683" s="66" t="s">
        <v>220</v>
      </c>
      <c r="D6683" s="3" t="s">
        <v>34</v>
      </c>
      <c r="E6683" s="64">
        <v>1</v>
      </c>
    </row>
    <row r="6684" spans="1:5">
      <c r="A6684" s="64" t="s">
        <v>27</v>
      </c>
      <c r="B6684" s="65">
        <v>43365</v>
      </c>
      <c r="C6684" s="66" t="s">
        <v>221</v>
      </c>
      <c r="D6684" s="3" t="s">
        <v>34</v>
      </c>
      <c r="E6684" s="64">
        <v>1</v>
      </c>
    </row>
    <row r="6685" spans="1:5">
      <c r="A6685" s="64" t="s">
        <v>27</v>
      </c>
      <c r="B6685" s="65">
        <v>43366</v>
      </c>
      <c r="C6685" s="66" t="s">
        <v>222</v>
      </c>
      <c r="D6685" s="3" t="s">
        <v>34</v>
      </c>
      <c r="E6685" s="64">
        <v>1</v>
      </c>
    </row>
    <row r="6686" spans="1:5">
      <c r="A6686" s="64" t="s">
        <v>27</v>
      </c>
      <c r="B6686" s="65">
        <v>43367</v>
      </c>
      <c r="C6686" s="66" t="s">
        <v>216</v>
      </c>
      <c r="D6686" s="3" t="s">
        <v>34</v>
      </c>
      <c r="E6686" s="64">
        <v>1</v>
      </c>
    </row>
    <row r="6687" spans="1:5">
      <c r="A6687" s="64" t="s">
        <v>27</v>
      </c>
      <c r="B6687" s="65">
        <v>43368</v>
      </c>
      <c r="C6687" s="66" t="s">
        <v>217</v>
      </c>
      <c r="D6687" s="3" t="s">
        <v>34</v>
      </c>
      <c r="E6687" s="64">
        <v>1</v>
      </c>
    </row>
    <row r="6688" spans="1:5">
      <c r="A6688" s="64" t="s">
        <v>27</v>
      </c>
      <c r="B6688" s="65">
        <v>43369</v>
      </c>
      <c r="C6688" s="66" t="s">
        <v>218</v>
      </c>
      <c r="D6688" s="3" t="s">
        <v>34</v>
      </c>
      <c r="E6688" s="64">
        <v>1</v>
      </c>
    </row>
    <row r="6689" spans="1:5">
      <c r="A6689" s="64" t="s">
        <v>27</v>
      </c>
      <c r="B6689" s="65">
        <v>43370</v>
      </c>
      <c r="C6689" s="66" t="s">
        <v>219</v>
      </c>
      <c r="D6689" s="3" t="s">
        <v>34</v>
      </c>
      <c r="E6689" s="64">
        <v>1</v>
      </c>
    </row>
    <row r="6690" spans="1:5">
      <c r="A6690" s="64" t="s">
        <v>27</v>
      </c>
      <c r="B6690" s="65">
        <v>43371</v>
      </c>
      <c r="C6690" s="66" t="s">
        <v>220</v>
      </c>
      <c r="D6690" s="3" t="s">
        <v>34</v>
      </c>
      <c r="E6690" s="64">
        <v>1</v>
      </c>
    </row>
    <row r="6691" spans="1:5">
      <c r="A6691" s="64" t="s">
        <v>27</v>
      </c>
      <c r="B6691" s="65">
        <v>43372</v>
      </c>
      <c r="C6691" s="66" t="s">
        <v>221</v>
      </c>
      <c r="D6691" s="3" t="s">
        <v>34</v>
      </c>
      <c r="E6691" s="64">
        <v>1</v>
      </c>
    </row>
    <row r="6692" spans="1:5">
      <c r="A6692" s="64" t="s">
        <v>27</v>
      </c>
      <c r="B6692" s="65">
        <v>43373</v>
      </c>
      <c r="C6692" s="66" t="s">
        <v>222</v>
      </c>
      <c r="D6692" s="3" t="s">
        <v>34</v>
      </c>
      <c r="E6692" s="64">
        <v>1</v>
      </c>
    </row>
    <row r="6693" spans="1:5">
      <c r="A6693" s="64" t="s">
        <v>27</v>
      </c>
      <c r="B6693" s="65">
        <v>43374</v>
      </c>
      <c r="C6693" s="66" t="s">
        <v>216</v>
      </c>
      <c r="D6693" s="3" t="s">
        <v>34</v>
      </c>
      <c r="E6693" s="64">
        <v>1</v>
      </c>
    </row>
    <row r="6694" spans="1:5">
      <c r="A6694" s="64" t="s">
        <v>27</v>
      </c>
      <c r="B6694" s="65">
        <v>43375</v>
      </c>
      <c r="C6694" s="66" t="s">
        <v>217</v>
      </c>
      <c r="D6694" s="3" t="s">
        <v>34</v>
      </c>
      <c r="E6694" s="64">
        <v>1</v>
      </c>
    </row>
    <row r="6695" spans="1:5">
      <c r="A6695" s="64" t="s">
        <v>27</v>
      </c>
      <c r="B6695" s="65">
        <v>43376</v>
      </c>
      <c r="C6695" s="66" t="s">
        <v>218</v>
      </c>
      <c r="D6695" s="3" t="s">
        <v>34</v>
      </c>
      <c r="E6695" s="64">
        <v>1</v>
      </c>
    </row>
    <row r="6696" spans="1:5">
      <c r="A6696" s="64" t="s">
        <v>27</v>
      </c>
      <c r="B6696" s="65">
        <v>43377</v>
      </c>
      <c r="C6696" s="66" t="s">
        <v>219</v>
      </c>
      <c r="D6696" s="3" t="s">
        <v>34</v>
      </c>
      <c r="E6696" s="64">
        <v>1</v>
      </c>
    </row>
    <row r="6697" spans="1:5">
      <c r="A6697" s="64" t="s">
        <v>27</v>
      </c>
      <c r="B6697" s="65">
        <v>43378</v>
      </c>
      <c r="C6697" s="66" t="s">
        <v>220</v>
      </c>
      <c r="D6697" s="3" t="s">
        <v>34</v>
      </c>
      <c r="E6697" s="64">
        <v>1</v>
      </c>
    </row>
    <row r="6698" spans="1:5">
      <c r="A6698" s="64" t="s">
        <v>27</v>
      </c>
      <c r="B6698" s="65">
        <v>43379</v>
      </c>
      <c r="C6698" s="66" t="s">
        <v>221</v>
      </c>
      <c r="D6698" s="3" t="s">
        <v>34</v>
      </c>
      <c r="E6698" s="64">
        <v>1</v>
      </c>
    </row>
    <row r="6699" spans="1:5">
      <c r="A6699" s="64" t="s">
        <v>27</v>
      </c>
      <c r="B6699" s="65">
        <v>43380</v>
      </c>
      <c r="C6699" s="66" t="s">
        <v>222</v>
      </c>
      <c r="D6699" s="3" t="s">
        <v>34</v>
      </c>
      <c r="E6699" s="64">
        <v>1</v>
      </c>
    </row>
    <row r="6700" spans="1:5">
      <c r="A6700" s="64" t="s">
        <v>27</v>
      </c>
      <c r="B6700" s="65">
        <v>43381</v>
      </c>
      <c r="C6700" s="66" t="s">
        <v>216</v>
      </c>
      <c r="D6700" s="3" t="s">
        <v>34</v>
      </c>
      <c r="E6700" s="64">
        <v>1</v>
      </c>
    </row>
    <row r="6701" spans="1:5">
      <c r="A6701" s="64" t="s">
        <v>27</v>
      </c>
      <c r="B6701" s="65">
        <v>43382</v>
      </c>
      <c r="C6701" s="66" t="s">
        <v>217</v>
      </c>
      <c r="D6701" s="3" t="s">
        <v>34</v>
      </c>
      <c r="E6701" s="64">
        <v>1</v>
      </c>
    </row>
    <row r="6702" spans="1:5">
      <c r="A6702" s="64" t="s">
        <v>27</v>
      </c>
      <c r="B6702" s="65">
        <v>43383</v>
      </c>
      <c r="C6702" s="66" t="s">
        <v>218</v>
      </c>
      <c r="D6702" s="3" t="s">
        <v>34</v>
      </c>
      <c r="E6702" s="64">
        <v>1</v>
      </c>
    </row>
    <row r="6703" spans="1:5">
      <c r="A6703" s="64" t="s">
        <v>27</v>
      </c>
      <c r="B6703" s="65">
        <v>43384</v>
      </c>
      <c r="C6703" s="66" t="s">
        <v>219</v>
      </c>
      <c r="D6703" s="3" t="s">
        <v>34</v>
      </c>
      <c r="E6703" s="64">
        <v>1</v>
      </c>
    </row>
    <row r="6704" spans="1:5">
      <c r="A6704" s="64" t="s">
        <v>27</v>
      </c>
      <c r="B6704" s="65">
        <v>43385</v>
      </c>
      <c r="C6704" s="66" t="s">
        <v>220</v>
      </c>
      <c r="D6704" s="3" t="s">
        <v>34</v>
      </c>
      <c r="E6704" s="64">
        <v>1</v>
      </c>
    </row>
    <row r="6705" spans="1:5">
      <c r="A6705" s="64" t="s">
        <v>27</v>
      </c>
      <c r="B6705" s="65">
        <v>43386</v>
      </c>
      <c r="C6705" s="66" t="s">
        <v>221</v>
      </c>
      <c r="D6705" s="3" t="s">
        <v>34</v>
      </c>
      <c r="E6705" s="64">
        <v>1</v>
      </c>
    </row>
    <row r="6706" spans="1:5">
      <c r="A6706" s="64" t="s">
        <v>27</v>
      </c>
      <c r="B6706" s="65">
        <v>43387</v>
      </c>
      <c r="C6706" s="66" t="s">
        <v>222</v>
      </c>
      <c r="D6706" s="3" t="s">
        <v>34</v>
      </c>
      <c r="E6706" s="64">
        <v>1</v>
      </c>
    </row>
    <row r="6707" spans="1:5">
      <c r="A6707" s="64" t="s">
        <v>27</v>
      </c>
      <c r="B6707" s="65">
        <v>43388</v>
      </c>
      <c r="C6707" s="66" t="s">
        <v>216</v>
      </c>
      <c r="D6707" s="3" t="s">
        <v>34</v>
      </c>
      <c r="E6707" s="64">
        <v>1</v>
      </c>
    </row>
    <row r="6708" spans="1:5">
      <c r="A6708" s="64" t="s">
        <v>27</v>
      </c>
      <c r="B6708" s="65">
        <v>43389</v>
      </c>
      <c r="C6708" s="66" t="s">
        <v>217</v>
      </c>
      <c r="D6708" s="3" t="s">
        <v>34</v>
      </c>
      <c r="E6708" s="64">
        <v>1</v>
      </c>
    </row>
    <row r="6709" spans="1:5">
      <c r="A6709" s="64" t="s">
        <v>27</v>
      </c>
      <c r="B6709" s="65">
        <v>43390</v>
      </c>
      <c r="C6709" s="66" t="s">
        <v>218</v>
      </c>
      <c r="D6709" s="3" t="s">
        <v>34</v>
      </c>
      <c r="E6709" s="64">
        <v>1</v>
      </c>
    </row>
    <row r="6710" spans="1:5">
      <c r="A6710" s="64" t="s">
        <v>27</v>
      </c>
      <c r="B6710" s="65">
        <v>43391</v>
      </c>
      <c r="C6710" s="66" t="s">
        <v>219</v>
      </c>
      <c r="D6710" s="3" t="s">
        <v>34</v>
      </c>
      <c r="E6710" s="64">
        <v>1</v>
      </c>
    </row>
    <row r="6711" spans="1:5">
      <c r="A6711" s="64" t="s">
        <v>27</v>
      </c>
      <c r="B6711" s="65">
        <v>43392</v>
      </c>
      <c r="C6711" s="66" t="s">
        <v>220</v>
      </c>
      <c r="D6711" s="3" t="s">
        <v>34</v>
      </c>
      <c r="E6711" s="64">
        <v>1</v>
      </c>
    </row>
    <row r="6712" spans="1:5">
      <c r="A6712" s="64" t="s">
        <v>27</v>
      </c>
      <c r="B6712" s="65">
        <v>43393</v>
      </c>
      <c r="C6712" s="66" t="s">
        <v>221</v>
      </c>
      <c r="D6712" s="3" t="s">
        <v>34</v>
      </c>
      <c r="E6712" s="64">
        <v>1</v>
      </c>
    </row>
    <row r="6713" spans="1:5">
      <c r="A6713" s="64" t="s">
        <v>27</v>
      </c>
      <c r="B6713" s="65">
        <v>43394</v>
      </c>
      <c r="C6713" s="66" t="s">
        <v>222</v>
      </c>
      <c r="D6713" s="3" t="s">
        <v>34</v>
      </c>
      <c r="E6713" s="64">
        <v>1</v>
      </c>
    </row>
    <row r="6714" spans="1:5">
      <c r="A6714" s="64" t="s">
        <v>27</v>
      </c>
      <c r="B6714" s="65">
        <v>43395</v>
      </c>
      <c r="C6714" s="66" t="s">
        <v>216</v>
      </c>
      <c r="D6714" s="3" t="s">
        <v>34</v>
      </c>
      <c r="E6714" s="64">
        <v>1</v>
      </c>
    </row>
    <row r="6715" spans="1:5">
      <c r="A6715" s="64" t="s">
        <v>27</v>
      </c>
      <c r="B6715" s="65">
        <v>43396</v>
      </c>
      <c r="C6715" s="66" t="s">
        <v>217</v>
      </c>
      <c r="D6715" s="3" t="s">
        <v>34</v>
      </c>
      <c r="E6715" s="64">
        <v>1</v>
      </c>
    </row>
    <row r="6716" spans="1:5">
      <c r="A6716" s="64" t="s">
        <v>27</v>
      </c>
      <c r="B6716" s="65">
        <v>43397</v>
      </c>
      <c r="C6716" s="66" t="s">
        <v>218</v>
      </c>
      <c r="D6716" s="3" t="s">
        <v>34</v>
      </c>
      <c r="E6716" s="64">
        <v>1</v>
      </c>
    </row>
    <row r="6717" spans="1:5">
      <c r="A6717" s="64" t="s">
        <v>27</v>
      </c>
      <c r="B6717" s="65">
        <v>43398</v>
      </c>
      <c r="C6717" s="66" t="s">
        <v>219</v>
      </c>
      <c r="D6717" s="3" t="s">
        <v>34</v>
      </c>
      <c r="E6717" s="64">
        <v>1</v>
      </c>
    </row>
    <row r="6718" spans="1:5">
      <c r="A6718" s="64" t="s">
        <v>27</v>
      </c>
      <c r="B6718" s="65">
        <v>43399</v>
      </c>
      <c r="C6718" s="66" t="s">
        <v>220</v>
      </c>
      <c r="D6718" s="3" t="s">
        <v>34</v>
      </c>
      <c r="E6718" s="64">
        <v>1</v>
      </c>
    </row>
    <row r="6719" spans="1:5">
      <c r="A6719" s="64" t="s">
        <v>27</v>
      </c>
      <c r="B6719" s="65">
        <v>43400</v>
      </c>
      <c r="C6719" s="66" t="s">
        <v>221</v>
      </c>
      <c r="D6719" s="3" t="s">
        <v>34</v>
      </c>
      <c r="E6719" s="64">
        <v>1</v>
      </c>
    </row>
    <row r="6720" spans="1:5">
      <c r="A6720" s="64" t="s">
        <v>27</v>
      </c>
      <c r="B6720" s="65">
        <v>43401</v>
      </c>
      <c r="C6720" s="66" t="s">
        <v>222</v>
      </c>
      <c r="D6720" s="3" t="s">
        <v>34</v>
      </c>
      <c r="E6720" s="64">
        <v>1</v>
      </c>
    </row>
    <row r="6721" spans="1:5">
      <c r="A6721" s="64" t="s">
        <v>27</v>
      </c>
      <c r="B6721" s="65">
        <v>43402</v>
      </c>
      <c r="C6721" s="66" t="s">
        <v>216</v>
      </c>
      <c r="D6721" s="3" t="s">
        <v>34</v>
      </c>
      <c r="E6721" s="64">
        <v>1</v>
      </c>
    </row>
    <row r="6722" spans="1:5">
      <c r="A6722" s="64" t="s">
        <v>27</v>
      </c>
      <c r="B6722" s="65">
        <v>43403</v>
      </c>
      <c r="C6722" s="66" t="s">
        <v>217</v>
      </c>
      <c r="D6722" s="3" t="s">
        <v>34</v>
      </c>
      <c r="E6722" s="64">
        <v>1</v>
      </c>
    </row>
    <row r="6723" spans="1:5">
      <c r="A6723" s="64" t="s">
        <v>27</v>
      </c>
      <c r="B6723" s="65">
        <v>43404</v>
      </c>
      <c r="C6723" s="66" t="s">
        <v>218</v>
      </c>
      <c r="D6723" s="3" t="s">
        <v>34</v>
      </c>
      <c r="E6723" s="64">
        <v>1</v>
      </c>
    </row>
    <row r="6724" spans="1:5">
      <c r="A6724" s="64" t="s">
        <v>27</v>
      </c>
      <c r="B6724" s="65">
        <v>43405</v>
      </c>
      <c r="C6724" s="66" t="s">
        <v>219</v>
      </c>
      <c r="D6724" s="3" t="s">
        <v>34</v>
      </c>
      <c r="E6724" s="64">
        <v>1</v>
      </c>
    </row>
    <row r="6725" spans="1:5">
      <c r="A6725" s="64" t="s">
        <v>27</v>
      </c>
      <c r="B6725" s="65">
        <v>43406</v>
      </c>
      <c r="C6725" s="66" t="s">
        <v>220</v>
      </c>
      <c r="D6725" s="3" t="s">
        <v>34</v>
      </c>
      <c r="E6725" s="64">
        <v>1</v>
      </c>
    </row>
    <row r="6726" spans="1:5">
      <c r="A6726" s="64" t="s">
        <v>27</v>
      </c>
      <c r="B6726" s="65">
        <v>43407</v>
      </c>
      <c r="C6726" s="66" t="s">
        <v>221</v>
      </c>
      <c r="D6726" s="3" t="s">
        <v>34</v>
      </c>
      <c r="E6726" s="64">
        <v>1</v>
      </c>
    </row>
    <row r="6727" spans="1:5">
      <c r="A6727" s="64" t="s">
        <v>27</v>
      </c>
      <c r="B6727" s="65">
        <v>43408</v>
      </c>
      <c r="C6727" s="66" t="s">
        <v>222</v>
      </c>
      <c r="D6727" s="3" t="s">
        <v>34</v>
      </c>
      <c r="E6727" s="64">
        <v>1</v>
      </c>
    </row>
    <row r="6728" spans="1:5">
      <c r="A6728" s="64" t="s">
        <v>27</v>
      </c>
      <c r="B6728" s="65">
        <v>43409</v>
      </c>
      <c r="C6728" s="66" t="s">
        <v>216</v>
      </c>
      <c r="D6728" s="3" t="s">
        <v>34</v>
      </c>
      <c r="E6728" s="64">
        <v>1</v>
      </c>
    </row>
    <row r="6729" spans="1:5">
      <c r="A6729" s="64" t="s">
        <v>27</v>
      </c>
      <c r="B6729" s="65">
        <v>43410</v>
      </c>
      <c r="C6729" s="66" t="s">
        <v>217</v>
      </c>
      <c r="D6729" s="3" t="s">
        <v>34</v>
      </c>
      <c r="E6729" s="64">
        <v>1</v>
      </c>
    </row>
    <row r="6730" spans="1:5">
      <c r="A6730" s="64" t="s">
        <v>27</v>
      </c>
      <c r="B6730" s="65">
        <v>43411</v>
      </c>
      <c r="C6730" s="66" t="s">
        <v>218</v>
      </c>
      <c r="D6730" s="3" t="s">
        <v>34</v>
      </c>
      <c r="E6730" s="64">
        <v>1</v>
      </c>
    </row>
    <row r="6731" spans="1:5">
      <c r="A6731" s="64" t="s">
        <v>27</v>
      </c>
      <c r="B6731" s="65">
        <v>43412</v>
      </c>
      <c r="C6731" s="66" t="s">
        <v>219</v>
      </c>
      <c r="D6731" s="3" t="s">
        <v>34</v>
      </c>
      <c r="E6731" s="64">
        <v>1</v>
      </c>
    </row>
    <row r="6732" spans="1:5">
      <c r="A6732" s="64" t="s">
        <v>27</v>
      </c>
      <c r="B6732" s="65">
        <v>43413</v>
      </c>
      <c r="C6732" s="66" t="s">
        <v>220</v>
      </c>
      <c r="D6732" s="3" t="s">
        <v>34</v>
      </c>
      <c r="E6732" s="64">
        <v>1</v>
      </c>
    </row>
    <row r="6733" spans="1:5">
      <c r="A6733" s="64" t="s">
        <v>27</v>
      </c>
      <c r="B6733" s="65">
        <v>43414</v>
      </c>
      <c r="C6733" s="66" t="s">
        <v>221</v>
      </c>
      <c r="D6733" s="3" t="s">
        <v>34</v>
      </c>
      <c r="E6733" s="64">
        <v>1</v>
      </c>
    </row>
    <row r="6734" spans="1:5">
      <c r="A6734" s="64" t="s">
        <v>27</v>
      </c>
      <c r="B6734" s="65">
        <v>43415</v>
      </c>
      <c r="C6734" s="66" t="s">
        <v>222</v>
      </c>
      <c r="D6734" s="3" t="s">
        <v>34</v>
      </c>
      <c r="E6734" s="64">
        <v>1</v>
      </c>
    </row>
    <row r="6735" spans="1:5">
      <c r="A6735" s="64" t="s">
        <v>27</v>
      </c>
      <c r="B6735" s="65">
        <v>43416</v>
      </c>
      <c r="C6735" s="66" t="s">
        <v>216</v>
      </c>
      <c r="D6735" s="3" t="s">
        <v>34</v>
      </c>
      <c r="E6735" s="64">
        <v>1</v>
      </c>
    </row>
    <row r="6736" spans="1:5">
      <c r="A6736" s="64" t="s">
        <v>27</v>
      </c>
      <c r="B6736" s="65">
        <v>43417</v>
      </c>
      <c r="C6736" s="66" t="s">
        <v>217</v>
      </c>
      <c r="D6736" s="3" t="s">
        <v>34</v>
      </c>
      <c r="E6736" s="64">
        <v>1</v>
      </c>
    </row>
    <row r="6737" spans="1:5">
      <c r="A6737" s="64" t="s">
        <v>27</v>
      </c>
      <c r="B6737" s="65">
        <v>43418</v>
      </c>
      <c r="C6737" s="66" t="s">
        <v>218</v>
      </c>
      <c r="D6737" s="3" t="s">
        <v>34</v>
      </c>
      <c r="E6737" s="64">
        <v>1</v>
      </c>
    </row>
    <row r="6738" spans="1:5">
      <c r="A6738" s="64" t="s">
        <v>27</v>
      </c>
      <c r="B6738" s="65">
        <v>43419</v>
      </c>
      <c r="C6738" s="66" t="s">
        <v>219</v>
      </c>
      <c r="D6738" s="3" t="s">
        <v>34</v>
      </c>
      <c r="E6738" s="64">
        <v>1</v>
      </c>
    </row>
    <row r="6739" spans="1:5">
      <c r="A6739" s="64" t="s">
        <v>27</v>
      </c>
      <c r="B6739" s="65">
        <v>43420</v>
      </c>
      <c r="C6739" s="66" t="s">
        <v>220</v>
      </c>
      <c r="D6739" s="3" t="s">
        <v>34</v>
      </c>
      <c r="E6739" s="64">
        <v>1</v>
      </c>
    </row>
    <row r="6740" spans="1:5">
      <c r="A6740" s="64" t="s">
        <v>27</v>
      </c>
      <c r="B6740" s="65">
        <v>43421</v>
      </c>
      <c r="C6740" s="66" t="s">
        <v>221</v>
      </c>
      <c r="D6740" s="3" t="s">
        <v>34</v>
      </c>
      <c r="E6740" s="64">
        <v>1</v>
      </c>
    </row>
    <row r="6741" spans="1:5">
      <c r="A6741" s="64" t="s">
        <v>27</v>
      </c>
      <c r="B6741" s="65">
        <v>43422</v>
      </c>
      <c r="C6741" s="66" t="s">
        <v>222</v>
      </c>
      <c r="D6741" s="3" t="s">
        <v>34</v>
      </c>
      <c r="E6741" s="64">
        <v>1</v>
      </c>
    </row>
    <row r="6742" spans="1:5">
      <c r="A6742" s="64" t="s">
        <v>27</v>
      </c>
      <c r="B6742" s="65">
        <v>43423</v>
      </c>
      <c r="C6742" s="66" t="s">
        <v>216</v>
      </c>
      <c r="D6742" s="3" t="s">
        <v>34</v>
      </c>
      <c r="E6742" s="64">
        <v>1</v>
      </c>
    </row>
    <row r="6743" spans="1:5">
      <c r="A6743" s="64" t="s">
        <v>27</v>
      </c>
      <c r="B6743" s="65">
        <v>43424</v>
      </c>
      <c r="C6743" s="66" t="s">
        <v>217</v>
      </c>
      <c r="D6743" s="3" t="s">
        <v>34</v>
      </c>
      <c r="E6743" s="64">
        <v>1</v>
      </c>
    </row>
    <row r="6744" spans="1:5">
      <c r="A6744" s="64" t="s">
        <v>27</v>
      </c>
      <c r="B6744" s="65">
        <v>43425</v>
      </c>
      <c r="C6744" s="66" t="s">
        <v>218</v>
      </c>
      <c r="D6744" s="3" t="s">
        <v>34</v>
      </c>
      <c r="E6744" s="64">
        <v>1</v>
      </c>
    </row>
    <row r="6745" spans="1:5">
      <c r="A6745" s="64" t="s">
        <v>27</v>
      </c>
      <c r="B6745" s="65">
        <v>43426</v>
      </c>
      <c r="C6745" s="66" t="s">
        <v>219</v>
      </c>
      <c r="D6745" s="3" t="s">
        <v>34</v>
      </c>
      <c r="E6745" s="64">
        <v>1</v>
      </c>
    </row>
    <row r="6746" spans="1:5">
      <c r="A6746" s="64" t="s">
        <v>27</v>
      </c>
      <c r="B6746" s="65">
        <v>43427</v>
      </c>
      <c r="C6746" s="66" t="s">
        <v>220</v>
      </c>
      <c r="D6746" s="3" t="s">
        <v>34</v>
      </c>
      <c r="E6746" s="64">
        <v>1</v>
      </c>
    </row>
    <row r="6747" spans="1:5">
      <c r="A6747" s="64" t="s">
        <v>27</v>
      </c>
      <c r="B6747" s="65">
        <v>43428</v>
      </c>
      <c r="C6747" s="66" t="s">
        <v>221</v>
      </c>
      <c r="D6747" s="3" t="s">
        <v>34</v>
      </c>
      <c r="E6747" s="64">
        <v>1</v>
      </c>
    </row>
    <row r="6748" spans="1:5">
      <c r="A6748" s="64" t="s">
        <v>27</v>
      </c>
      <c r="B6748" s="65">
        <v>43429</v>
      </c>
      <c r="C6748" s="66" t="s">
        <v>222</v>
      </c>
      <c r="D6748" s="3" t="s">
        <v>34</v>
      </c>
      <c r="E6748" s="64">
        <v>1</v>
      </c>
    </row>
    <row r="6749" spans="1:5">
      <c r="A6749" s="64" t="s">
        <v>27</v>
      </c>
      <c r="B6749" s="65">
        <v>43430</v>
      </c>
      <c r="C6749" s="66" t="s">
        <v>216</v>
      </c>
      <c r="D6749" s="3" t="s">
        <v>34</v>
      </c>
      <c r="E6749" s="64">
        <v>1</v>
      </c>
    </row>
    <row r="6750" spans="1:5">
      <c r="A6750" s="64" t="s">
        <v>27</v>
      </c>
      <c r="B6750" s="65">
        <v>43431</v>
      </c>
      <c r="C6750" s="66" t="s">
        <v>217</v>
      </c>
      <c r="D6750" s="3" t="s">
        <v>34</v>
      </c>
      <c r="E6750" s="64">
        <v>1</v>
      </c>
    </row>
    <row r="6751" spans="1:5">
      <c r="A6751" s="64" t="s">
        <v>27</v>
      </c>
      <c r="B6751" s="65">
        <v>43432</v>
      </c>
      <c r="C6751" s="66" t="s">
        <v>218</v>
      </c>
      <c r="D6751" s="3" t="s">
        <v>34</v>
      </c>
      <c r="E6751" s="64">
        <v>1</v>
      </c>
    </row>
    <row r="6752" spans="1:5">
      <c r="A6752" s="64" t="s">
        <v>27</v>
      </c>
      <c r="B6752" s="65">
        <v>43433</v>
      </c>
      <c r="C6752" s="66" t="s">
        <v>219</v>
      </c>
      <c r="D6752" s="3" t="s">
        <v>34</v>
      </c>
      <c r="E6752" s="64">
        <v>1</v>
      </c>
    </row>
    <row r="6753" spans="1:5">
      <c r="A6753" s="64" t="s">
        <v>27</v>
      </c>
      <c r="B6753" s="65">
        <v>43434</v>
      </c>
      <c r="C6753" s="66" t="s">
        <v>220</v>
      </c>
      <c r="D6753" s="3" t="s">
        <v>34</v>
      </c>
      <c r="E6753" s="64">
        <v>1</v>
      </c>
    </row>
    <row r="6754" spans="1:5">
      <c r="A6754" s="64" t="s">
        <v>27</v>
      </c>
      <c r="B6754" s="65">
        <v>43435</v>
      </c>
      <c r="C6754" s="66" t="s">
        <v>221</v>
      </c>
      <c r="D6754" s="3" t="s">
        <v>34</v>
      </c>
      <c r="E6754" s="64">
        <v>1</v>
      </c>
    </row>
    <row r="6755" spans="1:5">
      <c r="A6755" s="64" t="s">
        <v>27</v>
      </c>
      <c r="B6755" s="65">
        <v>43436</v>
      </c>
      <c r="C6755" s="66" t="s">
        <v>222</v>
      </c>
      <c r="D6755" s="3" t="s">
        <v>34</v>
      </c>
      <c r="E6755" s="64">
        <v>1</v>
      </c>
    </row>
    <row r="6756" spans="1:5">
      <c r="A6756" s="64" t="s">
        <v>27</v>
      </c>
      <c r="B6756" s="65">
        <v>43437</v>
      </c>
      <c r="C6756" s="66" t="s">
        <v>216</v>
      </c>
      <c r="D6756" s="3" t="s">
        <v>34</v>
      </c>
      <c r="E6756" s="64">
        <v>1</v>
      </c>
    </row>
    <row r="6757" spans="1:5">
      <c r="A6757" s="64" t="s">
        <v>27</v>
      </c>
      <c r="B6757" s="65">
        <v>43438</v>
      </c>
      <c r="C6757" s="66" t="s">
        <v>217</v>
      </c>
      <c r="D6757" s="3" t="s">
        <v>34</v>
      </c>
      <c r="E6757" s="64">
        <v>1</v>
      </c>
    </row>
    <row r="6758" spans="1:5">
      <c r="A6758" s="64" t="s">
        <v>27</v>
      </c>
      <c r="B6758" s="65">
        <v>43439</v>
      </c>
      <c r="C6758" s="66" t="s">
        <v>218</v>
      </c>
      <c r="D6758" s="3" t="s">
        <v>34</v>
      </c>
      <c r="E6758" s="64">
        <v>1</v>
      </c>
    </row>
    <row r="6759" spans="1:5">
      <c r="A6759" s="64" t="s">
        <v>27</v>
      </c>
      <c r="B6759" s="65">
        <v>43440</v>
      </c>
      <c r="C6759" s="66" t="s">
        <v>219</v>
      </c>
      <c r="D6759" s="3" t="s">
        <v>34</v>
      </c>
      <c r="E6759" s="64">
        <v>1</v>
      </c>
    </row>
    <row r="6760" spans="1:5">
      <c r="A6760" s="64" t="s">
        <v>27</v>
      </c>
      <c r="B6760" s="65">
        <v>43441</v>
      </c>
      <c r="C6760" s="66" t="s">
        <v>220</v>
      </c>
      <c r="D6760" s="3" t="s">
        <v>34</v>
      </c>
      <c r="E6760" s="64">
        <v>1</v>
      </c>
    </row>
    <row r="6761" spans="1:5">
      <c r="A6761" s="64" t="s">
        <v>27</v>
      </c>
      <c r="B6761" s="65">
        <v>43442</v>
      </c>
      <c r="C6761" s="66" t="s">
        <v>221</v>
      </c>
      <c r="D6761" s="3" t="s">
        <v>34</v>
      </c>
      <c r="E6761" s="64">
        <v>1</v>
      </c>
    </row>
    <row r="6762" spans="1:5">
      <c r="A6762" s="64" t="s">
        <v>27</v>
      </c>
      <c r="B6762" s="65">
        <v>43443</v>
      </c>
      <c r="C6762" s="66" t="s">
        <v>222</v>
      </c>
      <c r="D6762" s="3" t="s">
        <v>34</v>
      </c>
      <c r="E6762" s="64">
        <v>1</v>
      </c>
    </row>
    <row r="6763" spans="1:5">
      <c r="A6763" s="64" t="s">
        <v>27</v>
      </c>
      <c r="B6763" s="65">
        <v>43444</v>
      </c>
      <c r="C6763" s="66" t="s">
        <v>216</v>
      </c>
      <c r="D6763" s="3" t="s">
        <v>34</v>
      </c>
      <c r="E6763" s="64">
        <v>1</v>
      </c>
    </row>
    <row r="6764" spans="1:5">
      <c r="A6764" s="64" t="s">
        <v>27</v>
      </c>
      <c r="B6764" s="65">
        <v>43445</v>
      </c>
      <c r="C6764" s="66" t="s">
        <v>217</v>
      </c>
      <c r="D6764" s="3" t="s">
        <v>34</v>
      </c>
      <c r="E6764" s="64">
        <v>1</v>
      </c>
    </row>
    <row r="6765" spans="1:5">
      <c r="A6765" s="64" t="s">
        <v>27</v>
      </c>
      <c r="B6765" s="65">
        <v>43446</v>
      </c>
      <c r="C6765" s="66" t="s">
        <v>218</v>
      </c>
      <c r="D6765" s="3" t="s">
        <v>34</v>
      </c>
      <c r="E6765" s="64">
        <v>1</v>
      </c>
    </row>
    <row r="6766" spans="1:5">
      <c r="A6766" s="64" t="s">
        <v>27</v>
      </c>
      <c r="B6766" s="65">
        <v>43447</v>
      </c>
      <c r="C6766" s="66" t="s">
        <v>219</v>
      </c>
      <c r="D6766" s="3" t="s">
        <v>34</v>
      </c>
      <c r="E6766" s="64">
        <v>1</v>
      </c>
    </row>
    <row r="6767" spans="1:5">
      <c r="A6767" s="64" t="s">
        <v>27</v>
      </c>
      <c r="B6767" s="65">
        <v>43448</v>
      </c>
      <c r="C6767" s="66" t="s">
        <v>220</v>
      </c>
      <c r="D6767" s="3" t="s">
        <v>34</v>
      </c>
      <c r="E6767" s="64">
        <v>1</v>
      </c>
    </row>
    <row r="6768" spans="1:5">
      <c r="A6768" s="64" t="s">
        <v>27</v>
      </c>
      <c r="B6768" s="65">
        <v>43449</v>
      </c>
      <c r="C6768" s="66" t="s">
        <v>221</v>
      </c>
      <c r="D6768" s="3" t="s">
        <v>34</v>
      </c>
      <c r="E6768" s="64">
        <v>1</v>
      </c>
    </row>
    <row r="6769" spans="1:5">
      <c r="A6769" s="64" t="s">
        <v>27</v>
      </c>
      <c r="B6769" s="65">
        <v>43450</v>
      </c>
      <c r="C6769" s="66" t="s">
        <v>222</v>
      </c>
      <c r="D6769" s="3" t="s">
        <v>34</v>
      </c>
      <c r="E6769" s="64">
        <v>1</v>
      </c>
    </row>
    <row r="6770" spans="1:5">
      <c r="A6770" s="64" t="s">
        <v>27</v>
      </c>
      <c r="B6770" s="65">
        <v>43451</v>
      </c>
      <c r="C6770" s="66" t="s">
        <v>216</v>
      </c>
      <c r="D6770" s="3" t="s">
        <v>34</v>
      </c>
      <c r="E6770" s="64">
        <v>1</v>
      </c>
    </row>
    <row r="6771" spans="1:5">
      <c r="A6771" s="64" t="s">
        <v>27</v>
      </c>
      <c r="B6771" s="65">
        <v>43452</v>
      </c>
      <c r="C6771" s="66" t="s">
        <v>217</v>
      </c>
      <c r="D6771" s="3" t="s">
        <v>34</v>
      </c>
      <c r="E6771" s="64">
        <v>1</v>
      </c>
    </row>
    <row r="6772" spans="1:5">
      <c r="A6772" s="64" t="s">
        <v>27</v>
      </c>
      <c r="B6772" s="65">
        <v>43453</v>
      </c>
      <c r="C6772" s="66" t="s">
        <v>218</v>
      </c>
      <c r="D6772" s="3" t="s">
        <v>34</v>
      </c>
      <c r="E6772" s="64">
        <v>1</v>
      </c>
    </row>
    <row r="6773" spans="1:5">
      <c r="A6773" s="64" t="s">
        <v>27</v>
      </c>
      <c r="B6773" s="65">
        <v>43454</v>
      </c>
      <c r="C6773" s="66" t="s">
        <v>219</v>
      </c>
      <c r="D6773" s="3" t="s">
        <v>34</v>
      </c>
      <c r="E6773" s="64">
        <v>1</v>
      </c>
    </row>
    <row r="6774" spans="1:5">
      <c r="A6774" s="64" t="s">
        <v>27</v>
      </c>
      <c r="B6774" s="65">
        <v>43455</v>
      </c>
      <c r="C6774" s="66" t="s">
        <v>220</v>
      </c>
      <c r="D6774" s="3" t="s">
        <v>34</v>
      </c>
      <c r="E6774" s="64">
        <v>1</v>
      </c>
    </row>
    <row r="6775" spans="1:5">
      <c r="A6775" s="64" t="s">
        <v>27</v>
      </c>
      <c r="B6775" s="65">
        <v>43456</v>
      </c>
      <c r="C6775" s="66" t="s">
        <v>221</v>
      </c>
      <c r="D6775" s="3" t="s">
        <v>34</v>
      </c>
      <c r="E6775" s="64">
        <v>1</v>
      </c>
    </row>
    <row r="6776" spans="1:5">
      <c r="A6776" s="64" t="s">
        <v>27</v>
      </c>
      <c r="B6776" s="65">
        <v>43457</v>
      </c>
      <c r="C6776" s="66" t="s">
        <v>222</v>
      </c>
      <c r="D6776" s="3" t="s">
        <v>34</v>
      </c>
      <c r="E6776" s="64">
        <v>1</v>
      </c>
    </row>
    <row r="6777" spans="1:5">
      <c r="A6777" s="64" t="s">
        <v>27</v>
      </c>
      <c r="B6777" s="65">
        <v>43458</v>
      </c>
      <c r="C6777" s="66" t="s">
        <v>216</v>
      </c>
      <c r="D6777" s="3" t="s">
        <v>34</v>
      </c>
      <c r="E6777" s="64">
        <v>1</v>
      </c>
    </row>
    <row r="6778" spans="1:5">
      <c r="A6778" s="64" t="s">
        <v>27</v>
      </c>
      <c r="B6778" s="65">
        <v>43459</v>
      </c>
      <c r="C6778" s="66" t="s">
        <v>217</v>
      </c>
      <c r="D6778" s="3" t="s">
        <v>34</v>
      </c>
      <c r="E6778" s="64">
        <v>1</v>
      </c>
    </row>
    <row r="6779" spans="1:5">
      <c r="A6779" s="64" t="s">
        <v>27</v>
      </c>
      <c r="B6779" s="65">
        <v>43460</v>
      </c>
      <c r="C6779" s="66" t="s">
        <v>218</v>
      </c>
      <c r="D6779" s="3" t="s">
        <v>34</v>
      </c>
      <c r="E6779" s="64">
        <v>1</v>
      </c>
    </row>
    <row r="6780" spans="1:5">
      <c r="A6780" s="64" t="s">
        <v>27</v>
      </c>
      <c r="B6780" s="65">
        <v>43461</v>
      </c>
      <c r="C6780" s="66" t="s">
        <v>219</v>
      </c>
      <c r="D6780" s="3" t="s">
        <v>34</v>
      </c>
      <c r="E6780" s="64">
        <v>1</v>
      </c>
    </row>
    <row r="6781" spans="1:5">
      <c r="A6781" s="64" t="s">
        <v>27</v>
      </c>
      <c r="B6781" s="65">
        <v>43462</v>
      </c>
      <c r="C6781" s="66" t="s">
        <v>220</v>
      </c>
      <c r="D6781" s="3" t="s">
        <v>34</v>
      </c>
      <c r="E6781" s="64">
        <v>1</v>
      </c>
    </row>
    <row r="6782" spans="1:5">
      <c r="A6782" s="64" t="s">
        <v>27</v>
      </c>
      <c r="B6782" s="65">
        <v>43463</v>
      </c>
      <c r="C6782" s="66" t="s">
        <v>221</v>
      </c>
      <c r="D6782" s="3" t="s">
        <v>34</v>
      </c>
      <c r="E6782" s="64">
        <v>1</v>
      </c>
    </row>
    <row r="6783" spans="1:5">
      <c r="A6783" s="64" t="s">
        <v>27</v>
      </c>
      <c r="B6783" s="65">
        <v>43464</v>
      </c>
      <c r="C6783" s="66" t="s">
        <v>222</v>
      </c>
      <c r="D6783" s="3" t="s">
        <v>34</v>
      </c>
      <c r="E6783" s="64">
        <v>1</v>
      </c>
    </row>
    <row r="6784" spans="1:5">
      <c r="A6784" s="64" t="s">
        <v>27</v>
      </c>
      <c r="B6784" s="65">
        <v>43465</v>
      </c>
      <c r="C6784" s="66" t="s">
        <v>216</v>
      </c>
      <c r="D6784" s="3" t="s">
        <v>34</v>
      </c>
      <c r="E6784" s="64">
        <v>1</v>
      </c>
    </row>
    <row r="6785" spans="1:5">
      <c r="A6785" s="64" t="s">
        <v>27</v>
      </c>
      <c r="B6785" s="65">
        <v>43466</v>
      </c>
      <c r="C6785" s="66" t="s">
        <v>217</v>
      </c>
      <c r="D6785" s="3" t="s">
        <v>34</v>
      </c>
      <c r="E6785" s="64">
        <v>1</v>
      </c>
    </row>
    <row r="6786" spans="1:5">
      <c r="A6786" s="64" t="s">
        <v>27</v>
      </c>
      <c r="B6786" s="65">
        <v>43467</v>
      </c>
      <c r="C6786" s="66" t="s">
        <v>218</v>
      </c>
      <c r="D6786" s="3" t="s">
        <v>34</v>
      </c>
      <c r="E6786" s="64">
        <v>1</v>
      </c>
    </row>
    <row r="6787" spans="1:5">
      <c r="A6787" s="64" t="s">
        <v>27</v>
      </c>
      <c r="B6787" s="65">
        <v>43468</v>
      </c>
      <c r="C6787" s="66" t="s">
        <v>219</v>
      </c>
      <c r="D6787" s="3" t="s">
        <v>34</v>
      </c>
      <c r="E6787" s="64">
        <v>1</v>
      </c>
    </row>
    <row r="6788" spans="1:5">
      <c r="A6788" s="64" t="s">
        <v>27</v>
      </c>
      <c r="B6788" s="65">
        <v>43469</v>
      </c>
      <c r="C6788" s="66" t="s">
        <v>220</v>
      </c>
      <c r="D6788" s="3" t="s">
        <v>34</v>
      </c>
      <c r="E6788" s="64">
        <v>1</v>
      </c>
    </row>
    <row r="6789" spans="1:5">
      <c r="A6789" s="64" t="s">
        <v>27</v>
      </c>
      <c r="B6789" s="65">
        <v>43470</v>
      </c>
      <c r="C6789" s="66" t="s">
        <v>221</v>
      </c>
      <c r="D6789" s="3" t="s">
        <v>34</v>
      </c>
      <c r="E6789" s="64">
        <v>1</v>
      </c>
    </row>
    <row r="6790" spans="1:5">
      <c r="A6790" s="64" t="s">
        <v>27</v>
      </c>
      <c r="B6790" s="65">
        <v>43471</v>
      </c>
      <c r="C6790" s="66" t="s">
        <v>222</v>
      </c>
      <c r="D6790" s="3" t="s">
        <v>34</v>
      </c>
      <c r="E6790" s="64">
        <v>1</v>
      </c>
    </row>
    <row r="6791" spans="1:5">
      <c r="A6791" s="64" t="s">
        <v>27</v>
      </c>
      <c r="B6791" s="65">
        <v>43472</v>
      </c>
      <c r="C6791" s="66" t="s">
        <v>216</v>
      </c>
      <c r="D6791" s="3" t="s">
        <v>34</v>
      </c>
      <c r="E6791" s="64">
        <v>1</v>
      </c>
    </row>
    <row r="6792" spans="1:5">
      <c r="A6792" s="64" t="s">
        <v>27</v>
      </c>
      <c r="B6792" s="65">
        <v>43473</v>
      </c>
      <c r="C6792" s="66" t="s">
        <v>217</v>
      </c>
      <c r="D6792" s="3" t="s">
        <v>34</v>
      </c>
      <c r="E6792" s="64">
        <v>1</v>
      </c>
    </row>
    <row r="6793" spans="1:5">
      <c r="A6793" s="64" t="s">
        <v>27</v>
      </c>
      <c r="B6793" s="65">
        <v>43474</v>
      </c>
      <c r="C6793" s="66" t="s">
        <v>218</v>
      </c>
      <c r="D6793" s="3" t="s">
        <v>34</v>
      </c>
      <c r="E6793" s="64">
        <v>1</v>
      </c>
    </row>
    <row r="6794" spans="1:5">
      <c r="A6794" s="64" t="s">
        <v>27</v>
      </c>
      <c r="B6794" s="65">
        <v>43475</v>
      </c>
      <c r="C6794" s="66" t="s">
        <v>219</v>
      </c>
      <c r="D6794" s="3" t="s">
        <v>34</v>
      </c>
      <c r="E6794" s="64">
        <v>1</v>
      </c>
    </row>
    <row r="6795" spans="1:5">
      <c r="A6795" s="64" t="s">
        <v>27</v>
      </c>
      <c r="B6795" s="65">
        <v>43476</v>
      </c>
      <c r="C6795" s="66" t="s">
        <v>220</v>
      </c>
      <c r="D6795" s="3" t="s">
        <v>34</v>
      </c>
      <c r="E6795" s="64">
        <v>1</v>
      </c>
    </row>
    <row r="6796" spans="1:5">
      <c r="A6796" s="64" t="s">
        <v>27</v>
      </c>
      <c r="B6796" s="65">
        <v>43477</v>
      </c>
      <c r="C6796" s="66" t="s">
        <v>221</v>
      </c>
      <c r="D6796" s="3" t="s">
        <v>34</v>
      </c>
      <c r="E6796" s="64">
        <v>1</v>
      </c>
    </row>
    <row r="6797" spans="1:5">
      <c r="A6797" s="64" t="s">
        <v>27</v>
      </c>
      <c r="B6797" s="65">
        <v>43478</v>
      </c>
      <c r="C6797" s="66" t="s">
        <v>222</v>
      </c>
      <c r="D6797" s="3" t="s">
        <v>34</v>
      </c>
      <c r="E6797" s="64">
        <v>1</v>
      </c>
    </row>
    <row r="6798" spans="1:5">
      <c r="A6798" s="64" t="s">
        <v>27</v>
      </c>
      <c r="B6798" s="65">
        <v>43479</v>
      </c>
      <c r="C6798" s="66" t="s">
        <v>216</v>
      </c>
      <c r="D6798" s="3" t="s">
        <v>34</v>
      </c>
      <c r="E6798" s="64">
        <v>1</v>
      </c>
    </row>
    <row r="6799" spans="1:5">
      <c r="A6799" s="64" t="s">
        <v>27</v>
      </c>
      <c r="B6799" s="65">
        <v>43480</v>
      </c>
      <c r="C6799" s="66" t="s">
        <v>217</v>
      </c>
      <c r="D6799" s="3" t="s">
        <v>34</v>
      </c>
      <c r="E6799" s="64">
        <v>1</v>
      </c>
    </row>
    <row r="6800" spans="1:5">
      <c r="A6800" s="64" t="s">
        <v>27</v>
      </c>
      <c r="B6800" s="65">
        <v>43481</v>
      </c>
      <c r="C6800" s="66" t="s">
        <v>218</v>
      </c>
      <c r="D6800" s="3" t="s">
        <v>34</v>
      </c>
      <c r="E6800" s="64">
        <v>1</v>
      </c>
    </row>
    <row r="6801" spans="1:5">
      <c r="A6801" s="64" t="s">
        <v>27</v>
      </c>
      <c r="B6801" s="65">
        <v>43482</v>
      </c>
      <c r="C6801" s="66" t="s">
        <v>219</v>
      </c>
      <c r="D6801" s="3" t="s">
        <v>34</v>
      </c>
      <c r="E6801" s="64">
        <v>1</v>
      </c>
    </row>
    <row r="6802" spans="1:5">
      <c r="A6802" s="64" t="s">
        <v>27</v>
      </c>
      <c r="B6802" s="65">
        <v>43483</v>
      </c>
      <c r="C6802" s="66" t="s">
        <v>220</v>
      </c>
      <c r="D6802" s="3" t="s">
        <v>34</v>
      </c>
      <c r="E6802" s="64">
        <v>1</v>
      </c>
    </row>
    <row r="6803" spans="1:5">
      <c r="A6803" s="64" t="s">
        <v>27</v>
      </c>
      <c r="B6803" s="65">
        <v>43484</v>
      </c>
      <c r="C6803" s="66" t="s">
        <v>221</v>
      </c>
      <c r="D6803" s="3" t="s">
        <v>34</v>
      </c>
      <c r="E6803" s="64">
        <v>1</v>
      </c>
    </row>
    <row r="6804" spans="1:5">
      <c r="A6804" s="64" t="s">
        <v>27</v>
      </c>
      <c r="B6804" s="65">
        <v>43485</v>
      </c>
      <c r="C6804" s="66" t="s">
        <v>222</v>
      </c>
      <c r="D6804" s="3" t="s">
        <v>34</v>
      </c>
      <c r="E6804" s="64">
        <v>1</v>
      </c>
    </row>
    <row r="6805" spans="1:5">
      <c r="A6805" s="64" t="s">
        <v>27</v>
      </c>
      <c r="B6805" s="65">
        <v>43486</v>
      </c>
      <c r="C6805" s="66" t="s">
        <v>216</v>
      </c>
      <c r="D6805" s="3" t="s">
        <v>34</v>
      </c>
      <c r="E6805" s="64">
        <v>1</v>
      </c>
    </row>
    <row r="6806" spans="1:5">
      <c r="A6806" s="64" t="s">
        <v>27</v>
      </c>
      <c r="B6806" s="65">
        <v>43487</v>
      </c>
      <c r="C6806" s="66" t="s">
        <v>217</v>
      </c>
      <c r="D6806" s="3" t="s">
        <v>34</v>
      </c>
      <c r="E6806" s="64">
        <v>1</v>
      </c>
    </row>
    <row r="6807" spans="1:5">
      <c r="A6807" s="64" t="s">
        <v>27</v>
      </c>
      <c r="B6807" s="65">
        <v>43488</v>
      </c>
      <c r="C6807" s="66" t="s">
        <v>218</v>
      </c>
      <c r="D6807" s="3" t="s">
        <v>34</v>
      </c>
      <c r="E6807" s="64">
        <v>1</v>
      </c>
    </row>
    <row r="6808" spans="1:5">
      <c r="A6808" s="64" t="s">
        <v>27</v>
      </c>
      <c r="B6808" s="65">
        <v>43489</v>
      </c>
      <c r="C6808" s="66" t="s">
        <v>219</v>
      </c>
      <c r="D6808" s="3" t="s">
        <v>34</v>
      </c>
      <c r="E6808" s="64">
        <v>1</v>
      </c>
    </row>
    <row r="6809" spans="1:5">
      <c r="A6809" s="64" t="s">
        <v>27</v>
      </c>
      <c r="B6809" s="65">
        <v>43490</v>
      </c>
      <c r="C6809" s="66" t="s">
        <v>220</v>
      </c>
      <c r="D6809" s="3" t="s">
        <v>34</v>
      </c>
      <c r="E6809" s="64">
        <v>1</v>
      </c>
    </row>
    <row r="6810" spans="1:5">
      <c r="A6810" s="64" t="s">
        <v>27</v>
      </c>
      <c r="B6810" s="65">
        <v>43491</v>
      </c>
      <c r="C6810" s="66" t="s">
        <v>221</v>
      </c>
      <c r="D6810" s="3" t="s">
        <v>34</v>
      </c>
      <c r="E6810" s="64">
        <v>1</v>
      </c>
    </row>
    <row r="6811" spans="1:5">
      <c r="A6811" s="64" t="s">
        <v>27</v>
      </c>
      <c r="B6811" s="65">
        <v>43492</v>
      </c>
      <c r="C6811" s="66" t="s">
        <v>222</v>
      </c>
      <c r="D6811" s="3" t="s">
        <v>34</v>
      </c>
      <c r="E6811" s="64">
        <v>1</v>
      </c>
    </row>
    <row r="6812" spans="1:5">
      <c r="A6812" s="64" t="s">
        <v>27</v>
      </c>
      <c r="B6812" s="65">
        <v>43493</v>
      </c>
      <c r="C6812" s="66" t="s">
        <v>216</v>
      </c>
      <c r="D6812" s="3" t="s">
        <v>34</v>
      </c>
      <c r="E6812" s="64">
        <v>1</v>
      </c>
    </row>
    <row r="6813" spans="1:5">
      <c r="A6813" s="64" t="s">
        <v>27</v>
      </c>
      <c r="B6813" s="65">
        <v>43494</v>
      </c>
      <c r="C6813" s="66" t="s">
        <v>217</v>
      </c>
      <c r="D6813" s="3" t="s">
        <v>34</v>
      </c>
      <c r="E6813" s="64">
        <v>1</v>
      </c>
    </row>
    <row r="6814" spans="1:5">
      <c r="A6814" s="64" t="s">
        <v>27</v>
      </c>
      <c r="B6814" s="65">
        <v>43495</v>
      </c>
      <c r="C6814" s="66" t="s">
        <v>218</v>
      </c>
      <c r="D6814" s="3" t="s">
        <v>34</v>
      </c>
      <c r="E6814" s="64">
        <v>1</v>
      </c>
    </row>
    <row r="6815" spans="1:5">
      <c r="A6815" s="64" t="s">
        <v>27</v>
      </c>
      <c r="B6815" s="65">
        <v>43496</v>
      </c>
      <c r="C6815" s="66" t="s">
        <v>219</v>
      </c>
      <c r="D6815" s="3" t="s">
        <v>34</v>
      </c>
      <c r="E6815" s="64">
        <v>1</v>
      </c>
    </row>
    <row r="6816" spans="1:5">
      <c r="A6816" s="64" t="s">
        <v>27</v>
      </c>
      <c r="B6816" s="65">
        <v>43497</v>
      </c>
      <c r="C6816" s="66" t="s">
        <v>220</v>
      </c>
      <c r="D6816" s="3" t="s">
        <v>34</v>
      </c>
      <c r="E6816" s="64">
        <v>1</v>
      </c>
    </row>
    <row r="6817" spans="1:5">
      <c r="A6817" s="64" t="s">
        <v>27</v>
      </c>
      <c r="B6817" s="65">
        <v>43498</v>
      </c>
      <c r="C6817" s="66" t="s">
        <v>221</v>
      </c>
      <c r="D6817" s="3" t="s">
        <v>34</v>
      </c>
      <c r="E6817" s="64">
        <v>1</v>
      </c>
    </row>
    <row r="6818" spans="1:5">
      <c r="A6818" s="64" t="s">
        <v>27</v>
      </c>
      <c r="B6818" s="65">
        <v>43499</v>
      </c>
      <c r="C6818" s="66" t="s">
        <v>222</v>
      </c>
      <c r="D6818" s="3" t="s">
        <v>34</v>
      </c>
      <c r="E6818" s="64">
        <v>1</v>
      </c>
    </row>
    <row r="6819" spans="1:5">
      <c r="A6819" s="64" t="s">
        <v>27</v>
      </c>
      <c r="B6819" s="65">
        <v>43500</v>
      </c>
      <c r="C6819" s="66" t="s">
        <v>216</v>
      </c>
      <c r="D6819" s="3" t="s">
        <v>34</v>
      </c>
      <c r="E6819" s="64">
        <v>1</v>
      </c>
    </row>
    <row r="6820" spans="1:5">
      <c r="A6820" s="64" t="s">
        <v>27</v>
      </c>
      <c r="B6820" s="65">
        <v>43501</v>
      </c>
      <c r="C6820" s="66" t="s">
        <v>217</v>
      </c>
      <c r="D6820" s="3" t="s">
        <v>34</v>
      </c>
      <c r="E6820" s="64">
        <v>1</v>
      </c>
    </row>
    <row r="6821" spans="1:5">
      <c r="A6821" s="64" t="s">
        <v>27</v>
      </c>
      <c r="B6821" s="65">
        <v>43502</v>
      </c>
      <c r="C6821" s="66" t="s">
        <v>218</v>
      </c>
      <c r="D6821" s="3" t="s">
        <v>34</v>
      </c>
      <c r="E6821" s="64">
        <v>1</v>
      </c>
    </row>
    <row r="6822" spans="1:5">
      <c r="A6822" s="64" t="s">
        <v>27</v>
      </c>
      <c r="B6822" s="65">
        <v>43503</v>
      </c>
      <c r="C6822" s="66" t="s">
        <v>219</v>
      </c>
      <c r="D6822" s="3" t="s">
        <v>34</v>
      </c>
      <c r="E6822" s="64">
        <v>1</v>
      </c>
    </row>
    <row r="6823" spans="1:5">
      <c r="A6823" s="64" t="s">
        <v>27</v>
      </c>
      <c r="B6823" s="65">
        <v>43504</v>
      </c>
      <c r="C6823" s="66" t="s">
        <v>220</v>
      </c>
      <c r="D6823" s="3" t="s">
        <v>34</v>
      </c>
      <c r="E6823" s="64">
        <v>1</v>
      </c>
    </row>
    <row r="6824" spans="1:5">
      <c r="A6824" s="64" t="s">
        <v>27</v>
      </c>
      <c r="B6824" s="65">
        <v>43505</v>
      </c>
      <c r="C6824" s="66" t="s">
        <v>221</v>
      </c>
      <c r="D6824" s="3" t="s">
        <v>34</v>
      </c>
      <c r="E6824" s="64">
        <v>1</v>
      </c>
    </row>
    <row r="6825" spans="1:5">
      <c r="A6825" s="64" t="s">
        <v>27</v>
      </c>
      <c r="B6825" s="65">
        <v>43506</v>
      </c>
      <c r="C6825" s="66" t="s">
        <v>222</v>
      </c>
      <c r="D6825" s="3" t="s">
        <v>34</v>
      </c>
      <c r="E6825" s="64">
        <v>1</v>
      </c>
    </row>
    <row r="6826" spans="1:5">
      <c r="A6826" s="64" t="s">
        <v>27</v>
      </c>
      <c r="B6826" s="65">
        <v>43507</v>
      </c>
      <c r="C6826" s="66" t="s">
        <v>216</v>
      </c>
      <c r="D6826" s="3" t="s">
        <v>34</v>
      </c>
      <c r="E6826" s="64">
        <v>1</v>
      </c>
    </row>
    <row r="6827" spans="1:5">
      <c r="A6827" s="64" t="s">
        <v>27</v>
      </c>
      <c r="B6827" s="65">
        <v>43508</v>
      </c>
      <c r="C6827" s="66" t="s">
        <v>217</v>
      </c>
      <c r="D6827" s="3" t="s">
        <v>34</v>
      </c>
      <c r="E6827" s="64">
        <v>1</v>
      </c>
    </row>
    <row r="6828" spans="1:5">
      <c r="A6828" s="64" t="s">
        <v>27</v>
      </c>
      <c r="B6828" s="65">
        <v>43509</v>
      </c>
      <c r="C6828" s="66" t="s">
        <v>218</v>
      </c>
      <c r="D6828" s="3" t="s">
        <v>34</v>
      </c>
      <c r="E6828" s="64">
        <v>1</v>
      </c>
    </row>
    <row r="6829" spans="1:5">
      <c r="A6829" s="64" t="s">
        <v>27</v>
      </c>
      <c r="B6829" s="65">
        <v>43510</v>
      </c>
      <c r="C6829" s="66" t="s">
        <v>219</v>
      </c>
      <c r="D6829" s="3" t="s">
        <v>34</v>
      </c>
      <c r="E6829" s="64">
        <v>1</v>
      </c>
    </row>
    <row r="6830" spans="1:5">
      <c r="A6830" s="64" t="s">
        <v>27</v>
      </c>
      <c r="B6830" s="65">
        <v>43511</v>
      </c>
      <c r="C6830" s="66" t="s">
        <v>220</v>
      </c>
      <c r="D6830" s="3" t="s">
        <v>34</v>
      </c>
      <c r="E6830" s="64">
        <v>1</v>
      </c>
    </row>
    <row r="6831" spans="1:5">
      <c r="A6831" s="64" t="s">
        <v>27</v>
      </c>
      <c r="B6831" s="65">
        <v>43512</v>
      </c>
      <c r="C6831" s="66" t="s">
        <v>221</v>
      </c>
      <c r="D6831" s="3" t="s">
        <v>34</v>
      </c>
      <c r="E6831" s="64">
        <v>1</v>
      </c>
    </row>
    <row r="6832" spans="1:5">
      <c r="A6832" s="64" t="s">
        <v>27</v>
      </c>
      <c r="B6832" s="65">
        <v>43513</v>
      </c>
      <c r="C6832" s="66" t="s">
        <v>222</v>
      </c>
      <c r="D6832" s="3" t="s">
        <v>34</v>
      </c>
      <c r="E6832" s="64">
        <v>1</v>
      </c>
    </row>
    <row r="6833" spans="1:5">
      <c r="A6833" s="64" t="s">
        <v>27</v>
      </c>
      <c r="B6833" s="65">
        <v>43514</v>
      </c>
      <c r="C6833" s="66" t="s">
        <v>216</v>
      </c>
      <c r="D6833" s="3" t="s">
        <v>34</v>
      </c>
      <c r="E6833" s="64">
        <v>1</v>
      </c>
    </row>
    <row r="6834" spans="1:5">
      <c r="A6834" s="64" t="s">
        <v>27</v>
      </c>
      <c r="B6834" s="65">
        <v>43515</v>
      </c>
      <c r="C6834" s="66" t="s">
        <v>217</v>
      </c>
      <c r="D6834" s="3" t="s">
        <v>34</v>
      </c>
      <c r="E6834" s="64">
        <v>1</v>
      </c>
    </row>
    <row r="6835" spans="1:5">
      <c r="A6835" s="64" t="s">
        <v>27</v>
      </c>
      <c r="B6835" s="65">
        <v>43516</v>
      </c>
      <c r="C6835" s="66" t="s">
        <v>218</v>
      </c>
      <c r="D6835" s="3" t="s">
        <v>34</v>
      </c>
      <c r="E6835" s="64">
        <v>1</v>
      </c>
    </row>
    <row r="6836" spans="1:5">
      <c r="A6836" s="64" t="s">
        <v>27</v>
      </c>
      <c r="B6836" s="65">
        <v>43517</v>
      </c>
      <c r="C6836" s="66" t="s">
        <v>219</v>
      </c>
      <c r="D6836" s="3" t="s">
        <v>34</v>
      </c>
      <c r="E6836" s="64">
        <v>1</v>
      </c>
    </row>
    <row r="6837" spans="1:5">
      <c r="A6837" s="64" t="s">
        <v>27</v>
      </c>
      <c r="B6837" s="65">
        <v>43518</v>
      </c>
      <c r="C6837" s="66" t="s">
        <v>220</v>
      </c>
      <c r="D6837" s="3" t="s">
        <v>34</v>
      </c>
      <c r="E6837" s="64">
        <v>1</v>
      </c>
    </row>
    <row r="6838" spans="1:5">
      <c r="A6838" s="64" t="s">
        <v>27</v>
      </c>
      <c r="B6838" s="65">
        <v>43519</v>
      </c>
      <c r="C6838" s="66" t="s">
        <v>221</v>
      </c>
      <c r="D6838" s="3" t="s">
        <v>34</v>
      </c>
      <c r="E6838" s="64">
        <v>1</v>
      </c>
    </row>
    <row r="6839" spans="1:5">
      <c r="A6839" s="64" t="s">
        <v>27</v>
      </c>
      <c r="B6839" s="65">
        <v>43520</v>
      </c>
      <c r="C6839" s="66" t="s">
        <v>222</v>
      </c>
      <c r="D6839" s="3" t="s">
        <v>34</v>
      </c>
      <c r="E6839" s="64">
        <v>1</v>
      </c>
    </row>
    <row r="6840" spans="1:5">
      <c r="A6840" s="64" t="s">
        <v>27</v>
      </c>
      <c r="B6840" s="65">
        <v>43521</v>
      </c>
      <c r="C6840" s="66" t="s">
        <v>216</v>
      </c>
      <c r="D6840" s="3" t="s">
        <v>34</v>
      </c>
      <c r="E6840" s="64">
        <v>1</v>
      </c>
    </row>
    <row r="6841" spans="1:5">
      <c r="A6841" s="64" t="s">
        <v>27</v>
      </c>
      <c r="B6841" s="65">
        <v>43522</v>
      </c>
      <c r="C6841" s="66" t="s">
        <v>217</v>
      </c>
      <c r="D6841" s="3" t="s">
        <v>34</v>
      </c>
      <c r="E6841" s="64">
        <v>1</v>
      </c>
    </row>
    <row r="6842" spans="1:5">
      <c r="A6842" s="64" t="s">
        <v>27</v>
      </c>
      <c r="B6842" s="65">
        <v>43523</v>
      </c>
      <c r="C6842" s="66" t="s">
        <v>218</v>
      </c>
      <c r="D6842" s="3" t="s">
        <v>34</v>
      </c>
      <c r="E6842" s="64">
        <v>1</v>
      </c>
    </row>
    <row r="6843" spans="1:5">
      <c r="A6843" s="64" t="s">
        <v>27</v>
      </c>
      <c r="B6843" s="65">
        <v>43524</v>
      </c>
      <c r="C6843" s="66" t="s">
        <v>219</v>
      </c>
      <c r="D6843" s="3" t="s">
        <v>34</v>
      </c>
      <c r="E6843" s="64">
        <v>1</v>
      </c>
    </row>
    <row r="6844" spans="1:5">
      <c r="A6844" s="64" t="s">
        <v>27</v>
      </c>
      <c r="B6844" s="65">
        <v>43525</v>
      </c>
      <c r="C6844" s="66" t="s">
        <v>220</v>
      </c>
      <c r="D6844" s="3" t="s">
        <v>34</v>
      </c>
      <c r="E6844" s="64">
        <v>1</v>
      </c>
    </row>
    <row r="6845" spans="1:5">
      <c r="A6845" s="64" t="s">
        <v>27</v>
      </c>
      <c r="B6845" s="65">
        <v>43526</v>
      </c>
      <c r="C6845" s="66" t="s">
        <v>221</v>
      </c>
      <c r="D6845" s="3" t="s">
        <v>34</v>
      </c>
      <c r="E6845" s="64">
        <v>1</v>
      </c>
    </row>
    <row r="6846" spans="1:5">
      <c r="A6846" s="64" t="s">
        <v>27</v>
      </c>
      <c r="B6846" s="65">
        <v>43527</v>
      </c>
      <c r="C6846" s="66" t="s">
        <v>222</v>
      </c>
      <c r="D6846" s="3" t="s">
        <v>34</v>
      </c>
      <c r="E6846" s="64">
        <v>1</v>
      </c>
    </row>
    <row r="6847" spans="1:5">
      <c r="A6847" s="64" t="s">
        <v>27</v>
      </c>
      <c r="B6847" s="65">
        <v>43528</v>
      </c>
      <c r="C6847" s="66" t="s">
        <v>216</v>
      </c>
      <c r="D6847" s="3" t="s">
        <v>34</v>
      </c>
      <c r="E6847" s="64">
        <v>1</v>
      </c>
    </row>
    <row r="6848" spans="1:5">
      <c r="A6848" s="64" t="s">
        <v>27</v>
      </c>
      <c r="B6848" s="65">
        <v>43529</v>
      </c>
      <c r="C6848" s="66" t="s">
        <v>217</v>
      </c>
      <c r="D6848" s="3" t="s">
        <v>34</v>
      </c>
      <c r="E6848" s="64">
        <v>1</v>
      </c>
    </row>
    <row r="6849" spans="1:5">
      <c r="A6849" s="64" t="s">
        <v>27</v>
      </c>
      <c r="B6849" s="65">
        <v>43530</v>
      </c>
      <c r="C6849" s="66" t="s">
        <v>218</v>
      </c>
      <c r="D6849" s="3" t="s">
        <v>34</v>
      </c>
      <c r="E6849" s="64">
        <v>1</v>
      </c>
    </row>
    <row r="6850" spans="1:5">
      <c r="A6850" s="64" t="s">
        <v>27</v>
      </c>
      <c r="B6850" s="65">
        <v>43531</v>
      </c>
      <c r="C6850" s="66" t="s">
        <v>219</v>
      </c>
      <c r="D6850" s="3" t="s">
        <v>34</v>
      </c>
      <c r="E6850" s="64">
        <v>1</v>
      </c>
    </row>
    <row r="6851" spans="1:5">
      <c r="A6851" s="64" t="s">
        <v>27</v>
      </c>
      <c r="B6851" s="65">
        <v>43532</v>
      </c>
      <c r="C6851" s="66" t="s">
        <v>220</v>
      </c>
      <c r="D6851" s="3" t="s">
        <v>34</v>
      </c>
      <c r="E6851" s="64">
        <v>1</v>
      </c>
    </row>
    <row r="6852" spans="1:5">
      <c r="A6852" s="64" t="s">
        <v>27</v>
      </c>
      <c r="B6852" s="65">
        <v>43533</v>
      </c>
      <c r="C6852" s="66" t="s">
        <v>221</v>
      </c>
      <c r="D6852" s="3" t="s">
        <v>34</v>
      </c>
      <c r="E6852" s="64">
        <v>1</v>
      </c>
    </row>
    <row r="6853" spans="1:5">
      <c r="A6853" s="64" t="s">
        <v>27</v>
      </c>
      <c r="B6853" s="65">
        <v>43534</v>
      </c>
      <c r="C6853" s="66" t="s">
        <v>222</v>
      </c>
      <c r="D6853" s="3" t="s">
        <v>34</v>
      </c>
      <c r="E6853" s="64">
        <v>1</v>
      </c>
    </row>
    <row r="6854" spans="1:5">
      <c r="A6854" s="64" t="s">
        <v>27</v>
      </c>
      <c r="B6854" s="65">
        <v>43535</v>
      </c>
      <c r="C6854" s="66" t="s">
        <v>216</v>
      </c>
      <c r="D6854" s="3" t="s">
        <v>34</v>
      </c>
      <c r="E6854" s="64">
        <v>1</v>
      </c>
    </row>
    <row r="6855" spans="1:5">
      <c r="A6855" s="64" t="s">
        <v>27</v>
      </c>
      <c r="B6855" s="65">
        <v>43536</v>
      </c>
      <c r="C6855" s="66" t="s">
        <v>217</v>
      </c>
      <c r="D6855" s="3" t="s">
        <v>34</v>
      </c>
      <c r="E6855" s="64">
        <v>1</v>
      </c>
    </row>
    <row r="6856" spans="1:5">
      <c r="A6856" s="64" t="s">
        <v>27</v>
      </c>
      <c r="B6856" s="65">
        <v>43537</v>
      </c>
      <c r="C6856" s="66" t="s">
        <v>218</v>
      </c>
      <c r="D6856" s="3" t="s">
        <v>34</v>
      </c>
      <c r="E6856" s="64">
        <v>1</v>
      </c>
    </row>
    <row r="6857" spans="1:5">
      <c r="A6857" s="64" t="s">
        <v>27</v>
      </c>
      <c r="B6857" s="65">
        <v>43538</v>
      </c>
      <c r="C6857" s="66" t="s">
        <v>219</v>
      </c>
      <c r="D6857" s="3" t="s">
        <v>34</v>
      </c>
      <c r="E6857" s="64">
        <v>1</v>
      </c>
    </row>
    <row r="6858" spans="1:5">
      <c r="A6858" s="64" t="s">
        <v>27</v>
      </c>
      <c r="B6858" s="65">
        <v>43539</v>
      </c>
      <c r="C6858" s="66" t="s">
        <v>220</v>
      </c>
      <c r="D6858" s="3" t="s">
        <v>34</v>
      </c>
      <c r="E6858" s="64">
        <v>1</v>
      </c>
    </row>
    <row r="6859" spans="1:5">
      <c r="A6859" s="64" t="s">
        <v>27</v>
      </c>
      <c r="B6859" s="65">
        <v>43540</v>
      </c>
      <c r="C6859" s="66" t="s">
        <v>221</v>
      </c>
      <c r="D6859" s="3" t="s">
        <v>34</v>
      </c>
      <c r="E6859" s="64">
        <v>1</v>
      </c>
    </row>
    <row r="6860" spans="1:5">
      <c r="A6860" s="64" t="s">
        <v>27</v>
      </c>
      <c r="B6860" s="65">
        <v>43541</v>
      </c>
      <c r="C6860" s="66" t="s">
        <v>222</v>
      </c>
      <c r="D6860" s="3" t="s">
        <v>34</v>
      </c>
      <c r="E6860" s="64">
        <v>1</v>
      </c>
    </row>
    <row r="6861" spans="1:5">
      <c r="A6861" s="64" t="s">
        <v>27</v>
      </c>
      <c r="B6861" s="65">
        <v>43542</v>
      </c>
      <c r="C6861" s="66" t="s">
        <v>216</v>
      </c>
      <c r="D6861" s="3" t="s">
        <v>34</v>
      </c>
      <c r="E6861" s="64">
        <v>1</v>
      </c>
    </row>
    <row r="6862" spans="1:5">
      <c r="A6862" s="64" t="s">
        <v>27</v>
      </c>
      <c r="B6862" s="65">
        <v>43543</v>
      </c>
      <c r="C6862" s="66" t="s">
        <v>217</v>
      </c>
      <c r="D6862" s="3" t="s">
        <v>34</v>
      </c>
      <c r="E6862" s="64">
        <v>1</v>
      </c>
    </row>
    <row r="6863" spans="1:5">
      <c r="A6863" s="64" t="s">
        <v>27</v>
      </c>
      <c r="B6863" s="65">
        <v>43544</v>
      </c>
      <c r="C6863" s="66" t="s">
        <v>218</v>
      </c>
      <c r="D6863" s="3" t="s">
        <v>34</v>
      </c>
      <c r="E6863" s="64">
        <v>1</v>
      </c>
    </row>
    <row r="6864" spans="1:5">
      <c r="A6864" s="64" t="s">
        <v>27</v>
      </c>
      <c r="B6864" s="65">
        <v>43545</v>
      </c>
      <c r="C6864" s="66" t="s">
        <v>219</v>
      </c>
      <c r="D6864" s="3" t="s">
        <v>34</v>
      </c>
      <c r="E6864" s="64">
        <v>1</v>
      </c>
    </row>
    <row r="6865" spans="1:5">
      <c r="A6865" s="64" t="s">
        <v>27</v>
      </c>
      <c r="B6865" s="65">
        <v>43546</v>
      </c>
      <c r="C6865" s="66" t="s">
        <v>220</v>
      </c>
      <c r="D6865" s="3" t="s">
        <v>34</v>
      </c>
      <c r="E6865" s="64">
        <v>1</v>
      </c>
    </row>
    <row r="6866" spans="1:5">
      <c r="A6866" s="64" t="s">
        <v>27</v>
      </c>
      <c r="B6866" s="65">
        <v>43547</v>
      </c>
      <c r="C6866" s="66" t="s">
        <v>221</v>
      </c>
      <c r="D6866" s="3" t="s">
        <v>34</v>
      </c>
      <c r="E6866" s="64">
        <v>1</v>
      </c>
    </row>
    <row r="6867" spans="1:5">
      <c r="A6867" s="64" t="s">
        <v>27</v>
      </c>
      <c r="B6867" s="65">
        <v>43548</v>
      </c>
      <c r="C6867" s="66" t="s">
        <v>222</v>
      </c>
      <c r="D6867" s="3" t="s">
        <v>34</v>
      </c>
      <c r="E6867" s="64">
        <v>1</v>
      </c>
    </row>
    <row r="6868" spans="1:5">
      <c r="A6868" s="64" t="s">
        <v>27</v>
      </c>
      <c r="B6868" s="65">
        <v>43549</v>
      </c>
      <c r="C6868" s="66" t="s">
        <v>216</v>
      </c>
      <c r="D6868" s="3" t="s">
        <v>34</v>
      </c>
      <c r="E6868" s="64">
        <v>1</v>
      </c>
    </row>
    <row r="6869" spans="1:5">
      <c r="A6869" s="64" t="s">
        <v>27</v>
      </c>
      <c r="B6869" s="65">
        <v>43550</v>
      </c>
      <c r="C6869" s="66" t="s">
        <v>217</v>
      </c>
      <c r="D6869" s="3" t="s">
        <v>34</v>
      </c>
      <c r="E6869" s="64">
        <v>1</v>
      </c>
    </row>
    <row r="6870" spans="1:5">
      <c r="A6870" s="64" t="s">
        <v>27</v>
      </c>
      <c r="B6870" s="65">
        <v>43551</v>
      </c>
      <c r="C6870" s="66" t="s">
        <v>218</v>
      </c>
      <c r="D6870" s="3" t="s">
        <v>34</v>
      </c>
      <c r="E6870" s="64">
        <v>1</v>
      </c>
    </row>
    <row r="6871" spans="1:5">
      <c r="A6871" s="64" t="s">
        <v>27</v>
      </c>
      <c r="B6871" s="65">
        <v>43552</v>
      </c>
      <c r="C6871" s="66" t="s">
        <v>219</v>
      </c>
      <c r="D6871" s="3" t="s">
        <v>34</v>
      </c>
      <c r="E6871" s="64">
        <v>1</v>
      </c>
    </row>
    <row r="6872" spans="1:5">
      <c r="A6872" s="64" t="s">
        <v>27</v>
      </c>
      <c r="B6872" s="65">
        <v>43553</v>
      </c>
      <c r="C6872" s="66" t="s">
        <v>220</v>
      </c>
      <c r="D6872" s="3" t="s">
        <v>34</v>
      </c>
      <c r="E6872" s="64">
        <v>1</v>
      </c>
    </row>
    <row r="6873" spans="1:5">
      <c r="A6873" s="64" t="s">
        <v>27</v>
      </c>
      <c r="B6873" s="65">
        <v>43554</v>
      </c>
      <c r="C6873" s="66" t="s">
        <v>221</v>
      </c>
      <c r="D6873" s="3" t="s">
        <v>34</v>
      </c>
      <c r="E6873" s="64">
        <v>1</v>
      </c>
    </row>
    <row r="6874" spans="1:5">
      <c r="A6874" s="64" t="s">
        <v>27</v>
      </c>
      <c r="B6874" s="65">
        <v>43555</v>
      </c>
      <c r="C6874" s="66" t="s">
        <v>222</v>
      </c>
      <c r="D6874" s="3" t="s">
        <v>34</v>
      </c>
      <c r="E6874" s="64">
        <v>1</v>
      </c>
    </row>
    <row r="6875" spans="1:5">
      <c r="A6875" s="64" t="s">
        <v>27</v>
      </c>
      <c r="B6875" s="65">
        <v>43556</v>
      </c>
      <c r="C6875" s="66" t="s">
        <v>216</v>
      </c>
      <c r="D6875" s="3" t="s">
        <v>34</v>
      </c>
      <c r="E6875" s="64">
        <v>1</v>
      </c>
    </row>
    <row r="6876" spans="1:5">
      <c r="A6876" s="64" t="s">
        <v>27</v>
      </c>
      <c r="B6876" s="65">
        <v>43557</v>
      </c>
      <c r="C6876" s="66" t="s">
        <v>217</v>
      </c>
      <c r="D6876" s="3" t="s">
        <v>34</v>
      </c>
      <c r="E6876" s="64">
        <v>1</v>
      </c>
    </row>
    <row r="6877" spans="1:5">
      <c r="A6877" s="64" t="s">
        <v>27</v>
      </c>
      <c r="B6877" s="65">
        <v>43558</v>
      </c>
      <c r="C6877" s="66" t="s">
        <v>218</v>
      </c>
      <c r="D6877" s="3" t="s">
        <v>34</v>
      </c>
      <c r="E6877" s="64">
        <v>1</v>
      </c>
    </row>
    <row r="6878" spans="1:5">
      <c r="A6878" s="64" t="s">
        <v>27</v>
      </c>
      <c r="B6878" s="65">
        <v>43559</v>
      </c>
      <c r="C6878" s="66" t="s">
        <v>219</v>
      </c>
      <c r="D6878" s="3" t="s">
        <v>34</v>
      </c>
      <c r="E6878" s="64">
        <v>1</v>
      </c>
    </row>
    <row r="6879" spans="1:5">
      <c r="A6879" s="64" t="s">
        <v>27</v>
      </c>
      <c r="B6879" s="65">
        <v>43560</v>
      </c>
      <c r="C6879" s="66" t="s">
        <v>220</v>
      </c>
      <c r="D6879" s="3" t="s">
        <v>34</v>
      </c>
      <c r="E6879" s="64">
        <v>1</v>
      </c>
    </row>
    <row r="6880" spans="1:5">
      <c r="A6880" s="64" t="s">
        <v>27</v>
      </c>
      <c r="B6880" s="65">
        <v>43561</v>
      </c>
      <c r="C6880" s="66" t="s">
        <v>221</v>
      </c>
      <c r="D6880" s="3" t="s">
        <v>34</v>
      </c>
      <c r="E6880" s="64">
        <v>1</v>
      </c>
    </row>
    <row r="6881" spans="1:5">
      <c r="A6881" s="64" t="s">
        <v>27</v>
      </c>
      <c r="B6881" s="65">
        <v>43562</v>
      </c>
      <c r="C6881" s="66" t="s">
        <v>222</v>
      </c>
      <c r="D6881" s="3" t="s">
        <v>34</v>
      </c>
      <c r="E6881" s="64">
        <v>1</v>
      </c>
    </row>
    <row r="6882" spans="1:5">
      <c r="A6882" s="64" t="s">
        <v>27</v>
      </c>
      <c r="B6882" s="65">
        <v>43563</v>
      </c>
      <c r="C6882" s="66" t="s">
        <v>216</v>
      </c>
      <c r="D6882" s="3" t="s">
        <v>34</v>
      </c>
      <c r="E6882" s="64">
        <v>1</v>
      </c>
    </row>
    <row r="6883" spans="1:5">
      <c r="A6883" s="64" t="s">
        <v>27</v>
      </c>
      <c r="B6883" s="65">
        <v>43564</v>
      </c>
      <c r="C6883" s="66" t="s">
        <v>217</v>
      </c>
      <c r="D6883" s="3" t="s">
        <v>34</v>
      </c>
      <c r="E6883" s="64">
        <v>1</v>
      </c>
    </row>
    <row r="6884" spans="1:5">
      <c r="A6884" s="64" t="s">
        <v>27</v>
      </c>
      <c r="B6884" s="65">
        <v>43565</v>
      </c>
      <c r="C6884" s="66" t="s">
        <v>218</v>
      </c>
      <c r="D6884" s="3" t="s">
        <v>34</v>
      </c>
      <c r="E6884" s="64">
        <v>1</v>
      </c>
    </row>
    <row r="6885" spans="1:5">
      <c r="A6885" s="64" t="s">
        <v>27</v>
      </c>
      <c r="B6885" s="65">
        <v>43566</v>
      </c>
      <c r="C6885" s="66" t="s">
        <v>219</v>
      </c>
      <c r="D6885" s="3" t="s">
        <v>34</v>
      </c>
      <c r="E6885" s="64">
        <v>1</v>
      </c>
    </row>
    <row r="6886" spans="1:5">
      <c r="A6886" s="64" t="s">
        <v>27</v>
      </c>
      <c r="B6886" s="65">
        <v>43567</v>
      </c>
      <c r="C6886" s="66" t="s">
        <v>220</v>
      </c>
      <c r="D6886" s="3" t="s">
        <v>34</v>
      </c>
      <c r="E6886" s="64">
        <v>1</v>
      </c>
    </row>
    <row r="6887" spans="1:5">
      <c r="A6887" s="64" t="s">
        <v>27</v>
      </c>
      <c r="B6887" s="65">
        <v>43568</v>
      </c>
      <c r="C6887" s="66" t="s">
        <v>221</v>
      </c>
      <c r="D6887" s="3" t="s">
        <v>34</v>
      </c>
      <c r="E6887" s="64">
        <v>1</v>
      </c>
    </row>
    <row r="6888" spans="1:5">
      <c r="A6888" s="64" t="s">
        <v>27</v>
      </c>
      <c r="B6888" s="65">
        <v>43569</v>
      </c>
      <c r="C6888" s="66" t="s">
        <v>222</v>
      </c>
      <c r="D6888" s="3" t="s">
        <v>34</v>
      </c>
      <c r="E6888" s="64">
        <v>1</v>
      </c>
    </row>
    <row r="6889" spans="1:5">
      <c r="A6889" s="64" t="s">
        <v>27</v>
      </c>
      <c r="B6889" s="65">
        <v>43570</v>
      </c>
      <c r="C6889" s="66" t="s">
        <v>216</v>
      </c>
      <c r="D6889" s="3" t="s">
        <v>34</v>
      </c>
      <c r="E6889" s="64">
        <v>1</v>
      </c>
    </row>
    <row r="6890" spans="1:5">
      <c r="A6890" s="64" t="s">
        <v>27</v>
      </c>
      <c r="B6890" s="65">
        <v>43571</v>
      </c>
      <c r="C6890" s="66" t="s">
        <v>217</v>
      </c>
      <c r="D6890" s="3" t="s">
        <v>34</v>
      </c>
      <c r="E6890" s="64">
        <v>1</v>
      </c>
    </row>
    <row r="6891" spans="1:5">
      <c r="A6891" s="64" t="s">
        <v>27</v>
      </c>
      <c r="B6891" s="65">
        <v>43572</v>
      </c>
      <c r="C6891" s="66" t="s">
        <v>218</v>
      </c>
      <c r="D6891" s="3" t="s">
        <v>34</v>
      </c>
      <c r="E6891" s="64">
        <v>1</v>
      </c>
    </row>
    <row r="6892" spans="1:5">
      <c r="A6892" s="64" t="s">
        <v>27</v>
      </c>
      <c r="B6892" s="65">
        <v>43573</v>
      </c>
      <c r="C6892" s="66" t="s">
        <v>219</v>
      </c>
      <c r="D6892" s="3" t="s">
        <v>34</v>
      </c>
      <c r="E6892" s="64">
        <v>1</v>
      </c>
    </row>
    <row r="6893" spans="1:5">
      <c r="A6893" s="64" t="s">
        <v>27</v>
      </c>
      <c r="B6893" s="65">
        <v>43574</v>
      </c>
      <c r="C6893" s="66" t="s">
        <v>220</v>
      </c>
      <c r="D6893" s="3" t="s">
        <v>34</v>
      </c>
      <c r="E6893" s="64">
        <v>1</v>
      </c>
    </row>
    <row r="6894" spans="1:5">
      <c r="A6894" s="64" t="s">
        <v>27</v>
      </c>
      <c r="B6894" s="65">
        <v>43575</v>
      </c>
      <c r="C6894" s="66" t="s">
        <v>221</v>
      </c>
      <c r="D6894" s="3" t="s">
        <v>34</v>
      </c>
      <c r="E6894" s="64">
        <v>1</v>
      </c>
    </row>
    <row r="6895" spans="1:5">
      <c r="A6895" s="64" t="s">
        <v>27</v>
      </c>
      <c r="B6895" s="65">
        <v>43576</v>
      </c>
      <c r="C6895" s="66" t="s">
        <v>222</v>
      </c>
      <c r="D6895" s="3" t="s">
        <v>34</v>
      </c>
      <c r="E6895" s="64">
        <v>1</v>
      </c>
    </row>
    <row r="6896" spans="1:5">
      <c r="A6896" s="64" t="s">
        <v>27</v>
      </c>
      <c r="B6896" s="65">
        <v>43577</v>
      </c>
      <c r="C6896" s="66" t="s">
        <v>216</v>
      </c>
      <c r="D6896" s="3" t="s">
        <v>34</v>
      </c>
      <c r="E6896" s="64">
        <v>1</v>
      </c>
    </row>
    <row r="6897" spans="1:5">
      <c r="A6897" s="64" t="s">
        <v>27</v>
      </c>
      <c r="B6897" s="65">
        <v>43578</v>
      </c>
      <c r="C6897" s="66" t="s">
        <v>217</v>
      </c>
      <c r="D6897" s="3" t="s">
        <v>34</v>
      </c>
      <c r="E6897" s="64">
        <v>1</v>
      </c>
    </row>
    <row r="6898" spans="1:5">
      <c r="A6898" s="64" t="s">
        <v>27</v>
      </c>
      <c r="B6898" s="65">
        <v>43579</v>
      </c>
      <c r="C6898" s="66" t="s">
        <v>218</v>
      </c>
      <c r="D6898" s="3" t="s">
        <v>34</v>
      </c>
      <c r="E6898" s="64">
        <v>1</v>
      </c>
    </row>
    <row r="6899" spans="1:5">
      <c r="A6899" s="64" t="s">
        <v>27</v>
      </c>
      <c r="B6899" s="65">
        <v>43580</v>
      </c>
      <c r="C6899" s="66" t="s">
        <v>219</v>
      </c>
      <c r="D6899" s="3" t="s">
        <v>34</v>
      </c>
      <c r="E6899" s="64">
        <v>1</v>
      </c>
    </row>
    <row r="6900" spans="1:5">
      <c r="A6900" s="64" t="s">
        <v>27</v>
      </c>
      <c r="B6900" s="65">
        <v>43581</v>
      </c>
      <c r="C6900" s="66" t="s">
        <v>220</v>
      </c>
      <c r="D6900" s="3" t="s">
        <v>34</v>
      </c>
      <c r="E6900" s="64">
        <v>1</v>
      </c>
    </row>
    <row r="6901" spans="1:5">
      <c r="A6901" s="64" t="s">
        <v>27</v>
      </c>
      <c r="B6901" s="65">
        <v>43582</v>
      </c>
      <c r="C6901" s="66" t="s">
        <v>221</v>
      </c>
      <c r="D6901" s="3" t="s">
        <v>34</v>
      </c>
      <c r="E6901" s="64">
        <v>1</v>
      </c>
    </row>
    <row r="6902" spans="1:5">
      <c r="A6902" s="64" t="s">
        <v>27</v>
      </c>
      <c r="B6902" s="65">
        <v>43583</v>
      </c>
      <c r="C6902" s="66" t="s">
        <v>222</v>
      </c>
      <c r="D6902" s="3" t="s">
        <v>34</v>
      </c>
      <c r="E6902" s="64">
        <v>1</v>
      </c>
    </row>
    <row r="6903" spans="1:5">
      <c r="A6903" s="64" t="s">
        <v>27</v>
      </c>
      <c r="B6903" s="65">
        <v>43584</v>
      </c>
      <c r="C6903" s="66" t="s">
        <v>216</v>
      </c>
      <c r="D6903" s="3" t="s">
        <v>34</v>
      </c>
      <c r="E6903" s="64">
        <v>1</v>
      </c>
    </row>
    <row r="6904" spans="1:5">
      <c r="A6904" s="64" t="s">
        <v>27</v>
      </c>
      <c r="B6904" s="65">
        <v>43585</v>
      </c>
      <c r="C6904" s="66" t="s">
        <v>217</v>
      </c>
      <c r="D6904" s="3" t="s">
        <v>34</v>
      </c>
      <c r="E6904" s="64">
        <v>1</v>
      </c>
    </row>
    <row r="6905" spans="1:5">
      <c r="A6905" s="64" t="s">
        <v>27</v>
      </c>
      <c r="B6905" s="65">
        <v>43586</v>
      </c>
      <c r="C6905" s="66" t="s">
        <v>218</v>
      </c>
      <c r="D6905" s="3" t="s">
        <v>34</v>
      </c>
      <c r="E6905" s="64">
        <v>1</v>
      </c>
    </row>
    <row r="6906" spans="1:5">
      <c r="A6906" s="64" t="s">
        <v>27</v>
      </c>
      <c r="B6906" s="65">
        <v>43587</v>
      </c>
      <c r="C6906" s="66" t="s">
        <v>219</v>
      </c>
      <c r="D6906" s="3" t="s">
        <v>34</v>
      </c>
      <c r="E6906" s="64">
        <v>1</v>
      </c>
    </row>
    <row r="6907" spans="1:5">
      <c r="A6907" s="64" t="s">
        <v>27</v>
      </c>
      <c r="B6907" s="65">
        <v>43588</v>
      </c>
      <c r="C6907" s="66" t="s">
        <v>220</v>
      </c>
      <c r="D6907" s="3" t="s">
        <v>34</v>
      </c>
      <c r="E6907" s="64">
        <v>1</v>
      </c>
    </row>
    <row r="6908" spans="1:5">
      <c r="A6908" s="64" t="s">
        <v>27</v>
      </c>
      <c r="B6908" s="65">
        <v>43589</v>
      </c>
      <c r="C6908" s="66" t="s">
        <v>221</v>
      </c>
      <c r="D6908" s="3" t="s">
        <v>34</v>
      </c>
      <c r="E6908" s="64">
        <v>1</v>
      </c>
    </row>
    <row r="6909" spans="1:5">
      <c r="A6909" s="64" t="s">
        <v>27</v>
      </c>
      <c r="B6909" s="65">
        <v>43590</v>
      </c>
      <c r="C6909" s="66" t="s">
        <v>222</v>
      </c>
      <c r="D6909" s="3" t="s">
        <v>34</v>
      </c>
      <c r="E6909" s="64">
        <v>1</v>
      </c>
    </row>
    <row r="6910" spans="1:5">
      <c r="A6910" s="64" t="s">
        <v>27</v>
      </c>
      <c r="B6910" s="65">
        <v>43591</v>
      </c>
      <c r="C6910" s="66" t="s">
        <v>216</v>
      </c>
      <c r="D6910" s="3" t="s">
        <v>34</v>
      </c>
      <c r="E6910" s="64">
        <v>1</v>
      </c>
    </row>
    <row r="6911" spans="1:5">
      <c r="A6911" s="64" t="s">
        <v>27</v>
      </c>
      <c r="B6911" s="65">
        <v>43592</v>
      </c>
      <c r="C6911" s="66" t="s">
        <v>217</v>
      </c>
      <c r="D6911" s="3" t="s">
        <v>34</v>
      </c>
      <c r="E6911" s="64">
        <v>1</v>
      </c>
    </row>
    <row r="6912" spans="1:5">
      <c r="A6912" s="64" t="s">
        <v>27</v>
      </c>
      <c r="B6912" s="65">
        <v>43593</v>
      </c>
      <c r="C6912" s="66" t="s">
        <v>218</v>
      </c>
      <c r="D6912" s="3" t="s">
        <v>34</v>
      </c>
      <c r="E6912" s="64">
        <v>1</v>
      </c>
    </row>
    <row r="6913" spans="1:5">
      <c r="A6913" s="64" t="s">
        <v>27</v>
      </c>
      <c r="B6913" s="65">
        <v>43594</v>
      </c>
      <c r="C6913" s="66" t="s">
        <v>219</v>
      </c>
      <c r="D6913" s="3" t="s">
        <v>34</v>
      </c>
      <c r="E6913" s="64">
        <v>1</v>
      </c>
    </row>
    <row r="6914" spans="1:5">
      <c r="A6914" s="64" t="s">
        <v>27</v>
      </c>
      <c r="B6914" s="65">
        <v>43595</v>
      </c>
      <c r="C6914" s="66" t="s">
        <v>220</v>
      </c>
      <c r="D6914" s="3" t="s">
        <v>34</v>
      </c>
      <c r="E6914" s="64">
        <v>1</v>
      </c>
    </row>
    <row r="6915" spans="1:5">
      <c r="A6915" s="64" t="s">
        <v>27</v>
      </c>
      <c r="B6915" s="65">
        <v>43596</v>
      </c>
      <c r="C6915" s="66" t="s">
        <v>221</v>
      </c>
      <c r="D6915" s="3" t="s">
        <v>34</v>
      </c>
      <c r="E6915" s="64">
        <v>1</v>
      </c>
    </row>
    <row r="6916" spans="1:5">
      <c r="A6916" s="64" t="s">
        <v>27</v>
      </c>
      <c r="B6916" s="65">
        <v>43597</v>
      </c>
      <c r="C6916" s="66" t="s">
        <v>222</v>
      </c>
      <c r="D6916" s="3" t="s">
        <v>34</v>
      </c>
      <c r="E6916" s="64">
        <v>1</v>
      </c>
    </row>
    <row r="6917" spans="1:5">
      <c r="A6917" s="64" t="s">
        <v>27</v>
      </c>
      <c r="B6917" s="65">
        <v>43598</v>
      </c>
      <c r="C6917" s="66" t="s">
        <v>216</v>
      </c>
      <c r="D6917" s="3" t="s">
        <v>34</v>
      </c>
      <c r="E6917" s="64">
        <v>1</v>
      </c>
    </row>
    <row r="6918" spans="1:5">
      <c r="A6918" s="64" t="s">
        <v>27</v>
      </c>
      <c r="B6918" s="65">
        <v>43599</v>
      </c>
      <c r="C6918" s="66" t="s">
        <v>217</v>
      </c>
      <c r="D6918" s="3" t="s">
        <v>34</v>
      </c>
      <c r="E6918" s="64">
        <v>1</v>
      </c>
    </row>
    <row r="6919" spans="1:5">
      <c r="A6919" s="64" t="s">
        <v>27</v>
      </c>
      <c r="B6919" s="65">
        <v>43600</v>
      </c>
      <c r="C6919" s="66" t="s">
        <v>218</v>
      </c>
      <c r="D6919" s="3" t="s">
        <v>34</v>
      </c>
      <c r="E6919" s="64">
        <v>1</v>
      </c>
    </row>
    <row r="6920" spans="1:5">
      <c r="A6920" s="64" t="s">
        <v>27</v>
      </c>
      <c r="B6920" s="65">
        <v>43370</v>
      </c>
      <c r="C6920" s="66" t="s">
        <v>219</v>
      </c>
      <c r="D6920" s="3" t="s">
        <v>35</v>
      </c>
      <c r="E6920" s="64">
        <v>1</v>
      </c>
    </row>
    <row r="6921" spans="1:5">
      <c r="A6921" s="64" t="s">
        <v>27</v>
      </c>
      <c r="B6921" s="65">
        <v>43371</v>
      </c>
      <c r="C6921" s="66" t="s">
        <v>220</v>
      </c>
      <c r="D6921" s="3" t="s">
        <v>35</v>
      </c>
      <c r="E6921" s="64">
        <v>1</v>
      </c>
    </row>
    <row r="6922" spans="1:5">
      <c r="A6922" s="64" t="s">
        <v>27</v>
      </c>
      <c r="B6922" s="65">
        <v>43372</v>
      </c>
      <c r="C6922" s="66" t="s">
        <v>221</v>
      </c>
      <c r="D6922" s="3" t="s">
        <v>35</v>
      </c>
      <c r="E6922" s="64">
        <v>1</v>
      </c>
    </row>
    <row r="6923" spans="1:5">
      <c r="A6923" s="64" t="s">
        <v>27</v>
      </c>
      <c r="B6923" s="65">
        <v>43373</v>
      </c>
      <c r="C6923" s="66" t="s">
        <v>222</v>
      </c>
      <c r="D6923" s="3" t="s">
        <v>35</v>
      </c>
      <c r="E6923" s="64">
        <v>1</v>
      </c>
    </row>
    <row r="6924" spans="1:5">
      <c r="A6924" s="64" t="s">
        <v>27</v>
      </c>
      <c r="B6924" s="65">
        <v>43374</v>
      </c>
      <c r="C6924" s="66" t="s">
        <v>216</v>
      </c>
      <c r="D6924" s="3" t="s">
        <v>35</v>
      </c>
      <c r="E6924" s="64">
        <v>1</v>
      </c>
    </row>
    <row r="6925" spans="1:5">
      <c r="A6925" s="64" t="s">
        <v>27</v>
      </c>
      <c r="B6925" s="65">
        <v>43375</v>
      </c>
      <c r="C6925" s="66" t="s">
        <v>217</v>
      </c>
      <c r="D6925" s="3" t="s">
        <v>35</v>
      </c>
      <c r="E6925" s="64">
        <v>1</v>
      </c>
    </row>
    <row r="6926" spans="1:5">
      <c r="A6926" s="64" t="s">
        <v>27</v>
      </c>
      <c r="B6926" s="65">
        <v>43376</v>
      </c>
      <c r="C6926" s="66" t="s">
        <v>218</v>
      </c>
      <c r="D6926" s="3" t="s">
        <v>35</v>
      </c>
      <c r="E6926" s="64">
        <v>1</v>
      </c>
    </row>
    <row r="6927" spans="1:5">
      <c r="A6927" s="64" t="s">
        <v>27</v>
      </c>
      <c r="B6927" s="65">
        <v>43377</v>
      </c>
      <c r="C6927" s="66" t="s">
        <v>219</v>
      </c>
      <c r="D6927" s="3" t="s">
        <v>35</v>
      </c>
      <c r="E6927" s="64">
        <v>1</v>
      </c>
    </row>
    <row r="6928" spans="1:5">
      <c r="A6928" s="64" t="s">
        <v>27</v>
      </c>
      <c r="B6928" s="65">
        <v>43378</v>
      </c>
      <c r="C6928" s="66" t="s">
        <v>220</v>
      </c>
      <c r="D6928" s="3" t="s">
        <v>35</v>
      </c>
      <c r="E6928" s="64">
        <v>1</v>
      </c>
    </row>
    <row r="6929" spans="1:5">
      <c r="A6929" s="64" t="s">
        <v>27</v>
      </c>
      <c r="B6929" s="65">
        <v>43379</v>
      </c>
      <c r="C6929" s="66" t="s">
        <v>221</v>
      </c>
      <c r="D6929" s="3" t="s">
        <v>35</v>
      </c>
      <c r="E6929" s="64">
        <v>1</v>
      </c>
    </row>
    <row r="6930" spans="1:5">
      <c r="A6930" s="64" t="s">
        <v>27</v>
      </c>
      <c r="B6930" s="65">
        <v>43380</v>
      </c>
      <c r="C6930" s="66" t="s">
        <v>222</v>
      </c>
      <c r="D6930" s="3" t="s">
        <v>35</v>
      </c>
      <c r="E6930" s="64">
        <v>1</v>
      </c>
    </row>
    <row r="6931" spans="1:5">
      <c r="A6931" s="64" t="s">
        <v>27</v>
      </c>
      <c r="B6931" s="65">
        <v>43381</v>
      </c>
      <c r="C6931" s="66" t="s">
        <v>216</v>
      </c>
      <c r="D6931" s="3" t="s">
        <v>35</v>
      </c>
      <c r="E6931" s="64">
        <v>1</v>
      </c>
    </row>
    <row r="6932" spans="1:5">
      <c r="A6932" s="64" t="s">
        <v>27</v>
      </c>
      <c r="B6932" s="65">
        <v>43382</v>
      </c>
      <c r="C6932" s="66" t="s">
        <v>217</v>
      </c>
      <c r="D6932" s="3" t="s">
        <v>35</v>
      </c>
      <c r="E6932" s="64">
        <v>1</v>
      </c>
    </row>
    <row r="6933" spans="1:5">
      <c r="A6933" s="64" t="s">
        <v>27</v>
      </c>
      <c r="B6933" s="65">
        <v>43383</v>
      </c>
      <c r="C6933" s="66" t="s">
        <v>218</v>
      </c>
      <c r="D6933" s="3" t="s">
        <v>35</v>
      </c>
      <c r="E6933" s="64">
        <v>1</v>
      </c>
    </row>
    <row r="6934" spans="1:5">
      <c r="A6934" s="64" t="s">
        <v>27</v>
      </c>
      <c r="B6934" s="65">
        <v>43384</v>
      </c>
      <c r="C6934" s="66" t="s">
        <v>219</v>
      </c>
      <c r="D6934" s="3" t="s">
        <v>35</v>
      </c>
      <c r="E6934" s="64">
        <v>1</v>
      </c>
    </row>
    <row r="6935" spans="1:5">
      <c r="A6935" s="64" t="s">
        <v>27</v>
      </c>
      <c r="B6935" s="65">
        <v>43385</v>
      </c>
      <c r="C6935" s="66" t="s">
        <v>220</v>
      </c>
      <c r="D6935" s="3" t="s">
        <v>35</v>
      </c>
      <c r="E6935" s="64">
        <v>1</v>
      </c>
    </row>
    <row r="6936" spans="1:5">
      <c r="A6936" s="64" t="s">
        <v>27</v>
      </c>
      <c r="B6936" s="65">
        <v>43386</v>
      </c>
      <c r="C6936" s="66" t="s">
        <v>221</v>
      </c>
      <c r="D6936" s="3" t="s">
        <v>35</v>
      </c>
      <c r="E6936" s="64">
        <v>1</v>
      </c>
    </row>
    <row r="6937" spans="1:5">
      <c r="A6937" s="64" t="s">
        <v>27</v>
      </c>
      <c r="B6937" s="65">
        <v>43387</v>
      </c>
      <c r="C6937" s="66" t="s">
        <v>222</v>
      </c>
      <c r="D6937" s="3" t="s">
        <v>35</v>
      </c>
      <c r="E6937" s="64">
        <v>1</v>
      </c>
    </row>
    <row r="6938" spans="1:5">
      <c r="A6938" s="64" t="s">
        <v>27</v>
      </c>
      <c r="B6938" s="65">
        <v>43388</v>
      </c>
      <c r="C6938" s="66" t="s">
        <v>216</v>
      </c>
      <c r="D6938" s="3" t="s">
        <v>35</v>
      </c>
      <c r="E6938" s="64">
        <v>1</v>
      </c>
    </row>
    <row r="6939" spans="1:5">
      <c r="A6939" s="64" t="s">
        <v>27</v>
      </c>
      <c r="B6939" s="65">
        <v>43389</v>
      </c>
      <c r="C6939" s="66" t="s">
        <v>217</v>
      </c>
      <c r="D6939" s="3" t="s">
        <v>35</v>
      </c>
      <c r="E6939" s="64">
        <v>1</v>
      </c>
    </row>
    <row r="6940" spans="1:5">
      <c r="A6940" s="64" t="s">
        <v>27</v>
      </c>
      <c r="B6940" s="65">
        <v>43390</v>
      </c>
      <c r="C6940" s="66" t="s">
        <v>218</v>
      </c>
      <c r="D6940" s="3" t="s">
        <v>35</v>
      </c>
      <c r="E6940" s="64">
        <v>1</v>
      </c>
    </row>
    <row r="6941" spans="1:5">
      <c r="A6941" s="64" t="s">
        <v>27</v>
      </c>
      <c r="B6941" s="65">
        <v>43391</v>
      </c>
      <c r="C6941" s="66" t="s">
        <v>219</v>
      </c>
      <c r="D6941" s="3" t="s">
        <v>35</v>
      </c>
      <c r="E6941" s="64">
        <v>1</v>
      </c>
    </row>
    <row r="6942" spans="1:5">
      <c r="A6942" s="64" t="s">
        <v>27</v>
      </c>
      <c r="B6942" s="65">
        <v>43392</v>
      </c>
      <c r="C6942" s="66" t="s">
        <v>220</v>
      </c>
      <c r="D6942" s="3" t="s">
        <v>35</v>
      </c>
      <c r="E6942" s="64">
        <v>1</v>
      </c>
    </row>
    <row r="6943" spans="1:5">
      <c r="A6943" s="64" t="s">
        <v>27</v>
      </c>
      <c r="B6943" s="65">
        <v>43393</v>
      </c>
      <c r="C6943" s="66" t="s">
        <v>221</v>
      </c>
      <c r="D6943" s="3" t="s">
        <v>35</v>
      </c>
      <c r="E6943" s="64">
        <v>1</v>
      </c>
    </row>
    <row r="6944" spans="1:5">
      <c r="A6944" s="64" t="s">
        <v>27</v>
      </c>
      <c r="B6944" s="65">
        <v>43394</v>
      </c>
      <c r="C6944" s="66" t="s">
        <v>222</v>
      </c>
      <c r="D6944" s="3" t="s">
        <v>35</v>
      </c>
      <c r="E6944" s="64">
        <v>1</v>
      </c>
    </row>
    <row r="6945" spans="1:5">
      <c r="A6945" s="64" t="s">
        <v>27</v>
      </c>
      <c r="B6945" s="65">
        <v>43395</v>
      </c>
      <c r="C6945" s="66" t="s">
        <v>216</v>
      </c>
      <c r="D6945" s="3" t="s">
        <v>35</v>
      </c>
      <c r="E6945" s="64">
        <v>1</v>
      </c>
    </row>
    <row r="6946" spans="1:5">
      <c r="A6946" s="64" t="s">
        <v>27</v>
      </c>
      <c r="B6946" s="65">
        <v>43396</v>
      </c>
      <c r="C6946" s="66" t="s">
        <v>217</v>
      </c>
      <c r="D6946" s="3" t="s">
        <v>35</v>
      </c>
      <c r="E6946" s="64">
        <v>1</v>
      </c>
    </row>
    <row r="6947" spans="1:5">
      <c r="A6947" s="64" t="s">
        <v>27</v>
      </c>
      <c r="B6947" s="65">
        <v>43397</v>
      </c>
      <c r="C6947" s="66" t="s">
        <v>218</v>
      </c>
      <c r="D6947" s="3" t="s">
        <v>35</v>
      </c>
      <c r="E6947" s="64">
        <v>1</v>
      </c>
    </row>
    <row r="6948" spans="1:5">
      <c r="A6948" s="64" t="s">
        <v>27</v>
      </c>
      <c r="B6948" s="65">
        <v>43398</v>
      </c>
      <c r="C6948" s="66" t="s">
        <v>219</v>
      </c>
      <c r="D6948" s="3" t="s">
        <v>35</v>
      </c>
      <c r="E6948" s="64">
        <v>1</v>
      </c>
    </row>
    <row r="6949" spans="1:5">
      <c r="A6949" s="64" t="s">
        <v>27</v>
      </c>
      <c r="B6949" s="65">
        <v>43399</v>
      </c>
      <c r="C6949" s="66" t="s">
        <v>220</v>
      </c>
      <c r="D6949" s="3" t="s">
        <v>35</v>
      </c>
      <c r="E6949" s="64">
        <v>1</v>
      </c>
    </row>
    <row r="6950" spans="1:5">
      <c r="A6950" s="64" t="s">
        <v>27</v>
      </c>
      <c r="B6950" s="65">
        <v>43400</v>
      </c>
      <c r="C6950" s="66" t="s">
        <v>221</v>
      </c>
      <c r="D6950" s="3" t="s">
        <v>35</v>
      </c>
      <c r="E6950" s="64">
        <v>1</v>
      </c>
    </row>
    <row r="6951" spans="1:5">
      <c r="A6951" s="64" t="s">
        <v>27</v>
      </c>
      <c r="B6951" s="65">
        <v>43401</v>
      </c>
      <c r="C6951" s="66" t="s">
        <v>222</v>
      </c>
      <c r="D6951" s="3" t="s">
        <v>35</v>
      </c>
      <c r="E6951" s="64">
        <v>1</v>
      </c>
    </row>
    <row r="6952" spans="1:5">
      <c r="A6952" s="64" t="s">
        <v>27</v>
      </c>
      <c r="B6952" s="65">
        <v>43402</v>
      </c>
      <c r="C6952" s="66" t="s">
        <v>216</v>
      </c>
      <c r="D6952" s="3" t="s">
        <v>35</v>
      </c>
      <c r="E6952" s="64">
        <v>1</v>
      </c>
    </row>
    <row r="6953" spans="1:5">
      <c r="A6953" s="64" t="s">
        <v>27</v>
      </c>
      <c r="B6953" s="65">
        <v>43403</v>
      </c>
      <c r="C6953" s="66" t="s">
        <v>217</v>
      </c>
      <c r="D6953" s="3" t="s">
        <v>35</v>
      </c>
      <c r="E6953" s="64">
        <v>1</v>
      </c>
    </row>
    <row r="6954" spans="1:5">
      <c r="A6954" s="64" t="s">
        <v>27</v>
      </c>
      <c r="B6954" s="65">
        <v>43404</v>
      </c>
      <c r="C6954" s="66" t="s">
        <v>218</v>
      </c>
      <c r="D6954" s="3" t="s">
        <v>35</v>
      </c>
      <c r="E6954" s="64">
        <v>1</v>
      </c>
    </row>
    <row r="6955" spans="1:5">
      <c r="A6955" s="64" t="s">
        <v>27</v>
      </c>
      <c r="B6955" s="65">
        <v>43405</v>
      </c>
      <c r="C6955" s="66" t="s">
        <v>219</v>
      </c>
      <c r="D6955" s="3" t="s">
        <v>35</v>
      </c>
      <c r="E6955" s="64">
        <v>1</v>
      </c>
    </row>
    <row r="6956" spans="1:5">
      <c r="A6956" s="64" t="s">
        <v>27</v>
      </c>
      <c r="B6956" s="65">
        <v>43406</v>
      </c>
      <c r="C6956" s="66" t="s">
        <v>220</v>
      </c>
      <c r="D6956" s="3" t="s">
        <v>35</v>
      </c>
      <c r="E6956" s="64">
        <v>1</v>
      </c>
    </row>
    <row r="6957" spans="1:5">
      <c r="A6957" s="64" t="s">
        <v>27</v>
      </c>
      <c r="B6957" s="65">
        <v>43407</v>
      </c>
      <c r="C6957" s="66" t="s">
        <v>221</v>
      </c>
      <c r="D6957" s="3" t="s">
        <v>35</v>
      </c>
      <c r="E6957" s="64">
        <v>1</v>
      </c>
    </row>
    <row r="6958" spans="1:5">
      <c r="A6958" s="64" t="s">
        <v>27</v>
      </c>
      <c r="B6958" s="65">
        <v>43408</v>
      </c>
      <c r="C6958" s="66" t="s">
        <v>222</v>
      </c>
      <c r="D6958" s="3" t="s">
        <v>35</v>
      </c>
      <c r="E6958" s="64">
        <v>1</v>
      </c>
    </row>
    <row r="6959" spans="1:5">
      <c r="A6959" s="64" t="s">
        <v>27</v>
      </c>
      <c r="B6959" s="65">
        <v>43409</v>
      </c>
      <c r="C6959" s="66" t="s">
        <v>216</v>
      </c>
      <c r="D6959" s="3" t="s">
        <v>35</v>
      </c>
      <c r="E6959" s="64">
        <v>1</v>
      </c>
    </row>
    <row r="6960" spans="1:5">
      <c r="A6960" s="64" t="s">
        <v>27</v>
      </c>
      <c r="B6960" s="65">
        <v>43410</v>
      </c>
      <c r="C6960" s="66" t="s">
        <v>217</v>
      </c>
      <c r="D6960" s="3" t="s">
        <v>35</v>
      </c>
      <c r="E6960" s="64">
        <v>1</v>
      </c>
    </row>
    <row r="6961" spans="1:5">
      <c r="A6961" s="64" t="s">
        <v>27</v>
      </c>
      <c r="B6961" s="65">
        <v>43411</v>
      </c>
      <c r="C6961" s="66" t="s">
        <v>218</v>
      </c>
      <c r="D6961" s="3" t="s">
        <v>35</v>
      </c>
      <c r="E6961" s="64">
        <v>1</v>
      </c>
    </row>
    <row r="6962" spans="1:5">
      <c r="A6962" s="64" t="s">
        <v>27</v>
      </c>
      <c r="B6962" s="65">
        <v>43412</v>
      </c>
      <c r="C6962" s="66" t="s">
        <v>219</v>
      </c>
      <c r="D6962" s="3" t="s">
        <v>35</v>
      </c>
      <c r="E6962" s="64">
        <v>1</v>
      </c>
    </row>
    <row r="6963" spans="1:5">
      <c r="A6963" s="64" t="s">
        <v>27</v>
      </c>
      <c r="B6963" s="65">
        <v>43413</v>
      </c>
      <c r="C6963" s="66" t="s">
        <v>220</v>
      </c>
      <c r="D6963" s="3" t="s">
        <v>35</v>
      </c>
      <c r="E6963" s="64">
        <v>1</v>
      </c>
    </row>
    <row r="6964" spans="1:5">
      <c r="A6964" s="64" t="s">
        <v>27</v>
      </c>
      <c r="B6964" s="65">
        <v>43414</v>
      </c>
      <c r="C6964" s="66" t="s">
        <v>221</v>
      </c>
      <c r="D6964" s="3" t="s">
        <v>35</v>
      </c>
      <c r="E6964" s="64">
        <v>1</v>
      </c>
    </row>
    <row r="6965" spans="1:5">
      <c r="A6965" s="64" t="s">
        <v>27</v>
      </c>
      <c r="B6965" s="65">
        <v>43415</v>
      </c>
      <c r="C6965" s="66" t="s">
        <v>222</v>
      </c>
      <c r="D6965" s="3" t="s">
        <v>35</v>
      </c>
      <c r="E6965" s="64">
        <v>1</v>
      </c>
    </row>
    <row r="6966" spans="1:5">
      <c r="A6966" s="64" t="s">
        <v>27</v>
      </c>
      <c r="B6966" s="65">
        <v>43416</v>
      </c>
      <c r="C6966" s="66" t="s">
        <v>216</v>
      </c>
      <c r="D6966" s="3" t="s">
        <v>35</v>
      </c>
      <c r="E6966" s="64">
        <v>1</v>
      </c>
    </row>
    <row r="6967" spans="1:5">
      <c r="A6967" s="64" t="s">
        <v>27</v>
      </c>
      <c r="B6967" s="65">
        <v>43417</v>
      </c>
      <c r="C6967" s="66" t="s">
        <v>217</v>
      </c>
      <c r="D6967" s="3" t="s">
        <v>35</v>
      </c>
      <c r="E6967" s="64">
        <v>1</v>
      </c>
    </row>
    <row r="6968" spans="1:5">
      <c r="A6968" s="64" t="s">
        <v>27</v>
      </c>
      <c r="B6968" s="65">
        <v>43418</v>
      </c>
      <c r="C6968" s="66" t="s">
        <v>218</v>
      </c>
      <c r="D6968" s="3" t="s">
        <v>35</v>
      </c>
      <c r="E6968" s="64">
        <v>1</v>
      </c>
    </row>
    <row r="6969" spans="1:5">
      <c r="A6969" s="64" t="s">
        <v>27</v>
      </c>
      <c r="B6969" s="65">
        <v>43419</v>
      </c>
      <c r="C6969" s="66" t="s">
        <v>219</v>
      </c>
      <c r="D6969" s="3" t="s">
        <v>35</v>
      </c>
      <c r="E6969" s="64">
        <v>1</v>
      </c>
    </row>
    <row r="6970" spans="1:5">
      <c r="A6970" s="64" t="s">
        <v>27</v>
      </c>
      <c r="B6970" s="65">
        <v>43420</v>
      </c>
      <c r="C6970" s="66" t="s">
        <v>220</v>
      </c>
      <c r="D6970" s="3" t="s">
        <v>35</v>
      </c>
      <c r="E6970" s="64">
        <v>1</v>
      </c>
    </row>
    <row r="6971" spans="1:5">
      <c r="A6971" s="64" t="s">
        <v>27</v>
      </c>
      <c r="B6971" s="65">
        <v>43421</v>
      </c>
      <c r="C6971" s="66" t="s">
        <v>221</v>
      </c>
      <c r="D6971" s="3" t="s">
        <v>35</v>
      </c>
      <c r="E6971" s="64">
        <v>1</v>
      </c>
    </row>
    <row r="6972" spans="1:5">
      <c r="A6972" s="64" t="s">
        <v>27</v>
      </c>
      <c r="B6972" s="65">
        <v>43422</v>
      </c>
      <c r="C6972" s="66" t="s">
        <v>222</v>
      </c>
      <c r="D6972" s="3" t="s">
        <v>35</v>
      </c>
      <c r="E6972" s="64">
        <v>1</v>
      </c>
    </row>
    <row r="6973" spans="1:5">
      <c r="A6973" s="64" t="s">
        <v>27</v>
      </c>
      <c r="B6973" s="65">
        <v>43423</v>
      </c>
      <c r="C6973" s="66" t="s">
        <v>216</v>
      </c>
      <c r="D6973" s="3" t="s">
        <v>35</v>
      </c>
      <c r="E6973" s="64">
        <v>1</v>
      </c>
    </row>
    <row r="6974" spans="1:5">
      <c r="A6974" s="64" t="s">
        <v>27</v>
      </c>
      <c r="B6974" s="65">
        <v>43424</v>
      </c>
      <c r="C6974" s="66" t="s">
        <v>217</v>
      </c>
      <c r="D6974" s="3" t="s">
        <v>35</v>
      </c>
      <c r="E6974" s="64">
        <v>1</v>
      </c>
    </row>
    <row r="6975" spans="1:5">
      <c r="A6975" s="64" t="s">
        <v>27</v>
      </c>
      <c r="B6975" s="65">
        <v>43425</v>
      </c>
      <c r="C6975" s="66" t="s">
        <v>218</v>
      </c>
      <c r="D6975" s="3" t="s">
        <v>35</v>
      </c>
      <c r="E6975" s="64">
        <v>1</v>
      </c>
    </row>
    <row r="6976" spans="1:5">
      <c r="A6976" s="64" t="s">
        <v>27</v>
      </c>
      <c r="B6976" s="65">
        <v>43426</v>
      </c>
      <c r="C6976" s="66" t="s">
        <v>219</v>
      </c>
      <c r="D6976" s="3" t="s">
        <v>35</v>
      </c>
      <c r="E6976" s="64">
        <v>1</v>
      </c>
    </row>
    <row r="6977" spans="1:5">
      <c r="A6977" s="64" t="s">
        <v>27</v>
      </c>
      <c r="B6977" s="65">
        <v>43427</v>
      </c>
      <c r="C6977" s="66" t="s">
        <v>220</v>
      </c>
      <c r="D6977" s="3" t="s">
        <v>35</v>
      </c>
      <c r="E6977" s="64">
        <v>1</v>
      </c>
    </row>
    <row r="6978" spans="1:5">
      <c r="A6978" s="64" t="s">
        <v>27</v>
      </c>
      <c r="B6978" s="65">
        <v>43428</v>
      </c>
      <c r="C6978" s="66" t="s">
        <v>221</v>
      </c>
      <c r="D6978" s="3" t="s">
        <v>35</v>
      </c>
      <c r="E6978" s="64">
        <v>1</v>
      </c>
    </row>
    <row r="6979" spans="1:5">
      <c r="A6979" s="64" t="s">
        <v>27</v>
      </c>
      <c r="B6979" s="65">
        <v>43429</v>
      </c>
      <c r="C6979" s="66" t="s">
        <v>222</v>
      </c>
      <c r="D6979" s="3" t="s">
        <v>35</v>
      </c>
      <c r="E6979" s="64">
        <v>1</v>
      </c>
    </row>
    <row r="6980" spans="1:5">
      <c r="A6980" s="64" t="s">
        <v>27</v>
      </c>
      <c r="B6980" s="65">
        <v>43430</v>
      </c>
      <c r="C6980" s="66" t="s">
        <v>216</v>
      </c>
      <c r="D6980" s="3" t="s">
        <v>35</v>
      </c>
      <c r="E6980" s="64">
        <v>1</v>
      </c>
    </row>
    <row r="6981" spans="1:5">
      <c r="A6981" s="64" t="s">
        <v>27</v>
      </c>
      <c r="B6981" s="65">
        <v>43431</v>
      </c>
      <c r="C6981" s="66" t="s">
        <v>217</v>
      </c>
      <c r="D6981" s="3" t="s">
        <v>35</v>
      </c>
      <c r="E6981" s="64">
        <v>1</v>
      </c>
    </row>
    <row r="6982" spans="1:5">
      <c r="A6982" s="64" t="s">
        <v>27</v>
      </c>
      <c r="B6982" s="65">
        <v>43432</v>
      </c>
      <c r="C6982" s="66" t="s">
        <v>218</v>
      </c>
      <c r="D6982" s="3" t="s">
        <v>35</v>
      </c>
      <c r="E6982" s="64">
        <v>1</v>
      </c>
    </row>
    <row r="6983" spans="1:5">
      <c r="A6983" s="64" t="s">
        <v>27</v>
      </c>
      <c r="B6983" s="65">
        <v>43433</v>
      </c>
      <c r="C6983" s="66" t="s">
        <v>219</v>
      </c>
      <c r="D6983" s="3" t="s">
        <v>35</v>
      </c>
      <c r="E6983" s="64">
        <v>1</v>
      </c>
    </row>
    <row r="6984" spans="1:5">
      <c r="A6984" s="64" t="s">
        <v>27</v>
      </c>
      <c r="B6984" s="65">
        <v>43434</v>
      </c>
      <c r="C6984" s="66" t="s">
        <v>220</v>
      </c>
      <c r="D6984" s="3" t="s">
        <v>35</v>
      </c>
      <c r="E6984" s="64">
        <v>1</v>
      </c>
    </row>
    <row r="6985" spans="1:5">
      <c r="A6985" s="64" t="s">
        <v>27</v>
      </c>
      <c r="B6985" s="65">
        <v>43435</v>
      </c>
      <c r="C6985" s="66" t="s">
        <v>221</v>
      </c>
      <c r="D6985" s="3" t="s">
        <v>35</v>
      </c>
      <c r="E6985" s="64">
        <v>1</v>
      </c>
    </row>
    <row r="6986" spans="1:5">
      <c r="A6986" s="64" t="s">
        <v>27</v>
      </c>
      <c r="B6986" s="65">
        <v>43436</v>
      </c>
      <c r="C6986" s="66" t="s">
        <v>222</v>
      </c>
      <c r="D6986" s="3" t="s">
        <v>35</v>
      </c>
      <c r="E6986" s="64">
        <v>1</v>
      </c>
    </row>
    <row r="6987" spans="1:5">
      <c r="A6987" s="64" t="s">
        <v>27</v>
      </c>
      <c r="B6987" s="65">
        <v>43437</v>
      </c>
      <c r="C6987" s="66" t="s">
        <v>216</v>
      </c>
      <c r="D6987" s="3" t="s">
        <v>35</v>
      </c>
      <c r="E6987" s="64">
        <v>1</v>
      </c>
    </row>
    <row r="6988" spans="1:5">
      <c r="A6988" s="64" t="s">
        <v>27</v>
      </c>
      <c r="B6988" s="65">
        <v>43438</v>
      </c>
      <c r="C6988" s="66" t="s">
        <v>217</v>
      </c>
      <c r="D6988" s="3" t="s">
        <v>35</v>
      </c>
      <c r="E6988" s="64">
        <v>1</v>
      </c>
    </row>
    <row r="6989" spans="1:5">
      <c r="A6989" s="64" t="s">
        <v>27</v>
      </c>
      <c r="B6989" s="65">
        <v>43439</v>
      </c>
      <c r="C6989" s="66" t="s">
        <v>218</v>
      </c>
      <c r="D6989" s="3" t="s">
        <v>35</v>
      </c>
      <c r="E6989" s="64">
        <v>1</v>
      </c>
    </row>
    <row r="6990" spans="1:5">
      <c r="A6990" s="64" t="s">
        <v>27</v>
      </c>
      <c r="B6990" s="65">
        <v>43440</v>
      </c>
      <c r="C6990" s="66" t="s">
        <v>219</v>
      </c>
      <c r="D6990" s="3" t="s">
        <v>35</v>
      </c>
      <c r="E6990" s="64">
        <v>1</v>
      </c>
    </row>
    <row r="6991" spans="1:5">
      <c r="A6991" s="64" t="s">
        <v>27</v>
      </c>
      <c r="B6991" s="65">
        <v>43441</v>
      </c>
      <c r="C6991" s="66" t="s">
        <v>220</v>
      </c>
      <c r="D6991" s="3" t="s">
        <v>35</v>
      </c>
      <c r="E6991" s="64">
        <v>1</v>
      </c>
    </row>
    <row r="6992" spans="1:5">
      <c r="A6992" s="64" t="s">
        <v>27</v>
      </c>
      <c r="B6992" s="65">
        <v>43442</v>
      </c>
      <c r="C6992" s="66" t="s">
        <v>221</v>
      </c>
      <c r="D6992" s="3" t="s">
        <v>35</v>
      </c>
      <c r="E6992" s="64">
        <v>1</v>
      </c>
    </row>
    <row r="6993" spans="1:5">
      <c r="A6993" s="64" t="s">
        <v>27</v>
      </c>
      <c r="B6993" s="65">
        <v>43443</v>
      </c>
      <c r="C6993" s="66" t="s">
        <v>222</v>
      </c>
      <c r="D6993" s="3" t="s">
        <v>35</v>
      </c>
      <c r="E6993" s="64">
        <v>1</v>
      </c>
    </row>
    <row r="6994" spans="1:5">
      <c r="A6994" s="64" t="s">
        <v>27</v>
      </c>
      <c r="B6994" s="65">
        <v>43444</v>
      </c>
      <c r="C6994" s="66" t="s">
        <v>216</v>
      </c>
      <c r="D6994" s="3" t="s">
        <v>35</v>
      </c>
      <c r="E6994" s="64">
        <v>1</v>
      </c>
    </row>
    <row r="6995" spans="1:5">
      <c r="A6995" s="64" t="s">
        <v>27</v>
      </c>
      <c r="B6995" s="65">
        <v>43445</v>
      </c>
      <c r="C6995" s="66" t="s">
        <v>217</v>
      </c>
      <c r="D6995" s="3" t="s">
        <v>35</v>
      </c>
      <c r="E6995" s="64">
        <v>1</v>
      </c>
    </row>
    <row r="6996" spans="1:5">
      <c r="A6996" s="64" t="s">
        <v>27</v>
      </c>
      <c r="B6996" s="65">
        <v>43446</v>
      </c>
      <c r="C6996" s="66" t="s">
        <v>218</v>
      </c>
      <c r="D6996" s="3" t="s">
        <v>35</v>
      </c>
      <c r="E6996" s="64">
        <v>1</v>
      </c>
    </row>
    <row r="6997" spans="1:5">
      <c r="A6997" s="64" t="s">
        <v>27</v>
      </c>
      <c r="B6997" s="65">
        <v>43447</v>
      </c>
      <c r="C6997" s="66" t="s">
        <v>219</v>
      </c>
      <c r="D6997" s="3" t="s">
        <v>35</v>
      </c>
      <c r="E6997" s="64">
        <v>1</v>
      </c>
    </row>
    <row r="6998" spans="1:5">
      <c r="A6998" s="64" t="s">
        <v>27</v>
      </c>
      <c r="B6998" s="65">
        <v>43448</v>
      </c>
      <c r="C6998" s="66" t="s">
        <v>220</v>
      </c>
      <c r="D6998" s="3" t="s">
        <v>35</v>
      </c>
      <c r="E6998" s="64">
        <v>1</v>
      </c>
    </row>
    <row r="6999" spans="1:5">
      <c r="A6999" s="64" t="s">
        <v>27</v>
      </c>
      <c r="B6999" s="65">
        <v>43449</v>
      </c>
      <c r="C6999" s="66" t="s">
        <v>221</v>
      </c>
      <c r="D6999" s="3" t="s">
        <v>35</v>
      </c>
      <c r="E6999" s="64">
        <v>1</v>
      </c>
    </row>
    <row r="7000" spans="1:5">
      <c r="A7000" s="64" t="s">
        <v>27</v>
      </c>
      <c r="B7000" s="65">
        <v>43450</v>
      </c>
      <c r="C7000" s="66" t="s">
        <v>222</v>
      </c>
      <c r="D7000" s="3" t="s">
        <v>35</v>
      </c>
      <c r="E7000" s="64">
        <v>1</v>
      </c>
    </row>
    <row r="7001" spans="1:5">
      <c r="A7001" s="64" t="s">
        <v>27</v>
      </c>
      <c r="B7001" s="65">
        <v>43451</v>
      </c>
      <c r="C7001" s="66" t="s">
        <v>216</v>
      </c>
      <c r="D7001" s="3" t="s">
        <v>35</v>
      </c>
      <c r="E7001" s="64">
        <v>1</v>
      </c>
    </row>
    <row r="7002" spans="1:5">
      <c r="A7002" s="64" t="s">
        <v>27</v>
      </c>
      <c r="B7002" s="65">
        <v>43452</v>
      </c>
      <c r="C7002" s="66" t="s">
        <v>217</v>
      </c>
      <c r="D7002" s="3" t="s">
        <v>35</v>
      </c>
      <c r="E7002" s="64">
        <v>1</v>
      </c>
    </row>
    <row r="7003" spans="1:5">
      <c r="A7003" s="64" t="s">
        <v>27</v>
      </c>
      <c r="B7003" s="65">
        <v>43453</v>
      </c>
      <c r="C7003" s="66" t="s">
        <v>218</v>
      </c>
      <c r="D7003" s="3" t="s">
        <v>35</v>
      </c>
      <c r="E7003" s="64">
        <v>1</v>
      </c>
    </row>
    <row r="7004" spans="1:5">
      <c r="A7004" s="64" t="s">
        <v>27</v>
      </c>
      <c r="B7004" s="65">
        <v>43454</v>
      </c>
      <c r="C7004" s="66" t="s">
        <v>219</v>
      </c>
      <c r="D7004" s="3" t="s">
        <v>35</v>
      </c>
      <c r="E7004" s="64">
        <v>1</v>
      </c>
    </row>
    <row r="7005" spans="1:5">
      <c r="A7005" s="64" t="s">
        <v>27</v>
      </c>
      <c r="B7005" s="65">
        <v>43455</v>
      </c>
      <c r="C7005" s="66" t="s">
        <v>220</v>
      </c>
      <c r="D7005" s="3" t="s">
        <v>35</v>
      </c>
      <c r="E7005" s="64">
        <v>1</v>
      </c>
    </row>
    <row r="7006" spans="1:5">
      <c r="A7006" s="64" t="s">
        <v>27</v>
      </c>
      <c r="B7006" s="65">
        <v>43456</v>
      </c>
      <c r="C7006" s="66" t="s">
        <v>221</v>
      </c>
      <c r="D7006" s="3" t="s">
        <v>35</v>
      </c>
      <c r="E7006" s="64">
        <v>1</v>
      </c>
    </row>
    <row r="7007" spans="1:5">
      <c r="A7007" s="64" t="s">
        <v>27</v>
      </c>
      <c r="B7007" s="65">
        <v>43457</v>
      </c>
      <c r="C7007" s="66" t="s">
        <v>222</v>
      </c>
      <c r="D7007" s="3" t="s">
        <v>35</v>
      </c>
      <c r="E7007" s="64">
        <v>1</v>
      </c>
    </row>
    <row r="7008" spans="1:5">
      <c r="A7008" s="64" t="s">
        <v>27</v>
      </c>
      <c r="B7008" s="65">
        <v>43458</v>
      </c>
      <c r="C7008" s="66" t="s">
        <v>216</v>
      </c>
      <c r="D7008" s="3" t="s">
        <v>35</v>
      </c>
      <c r="E7008" s="64">
        <v>1</v>
      </c>
    </row>
    <row r="7009" spans="1:5">
      <c r="A7009" s="64" t="s">
        <v>27</v>
      </c>
      <c r="B7009" s="65">
        <v>43459</v>
      </c>
      <c r="C7009" s="66" t="s">
        <v>217</v>
      </c>
      <c r="D7009" s="3" t="s">
        <v>35</v>
      </c>
      <c r="E7009" s="64">
        <v>1</v>
      </c>
    </row>
    <row r="7010" spans="1:5">
      <c r="A7010" s="64" t="s">
        <v>27</v>
      </c>
      <c r="B7010" s="65">
        <v>43460</v>
      </c>
      <c r="C7010" s="66" t="s">
        <v>218</v>
      </c>
      <c r="D7010" s="3" t="s">
        <v>35</v>
      </c>
      <c r="E7010" s="64">
        <v>1</v>
      </c>
    </row>
    <row r="7011" spans="1:5">
      <c r="A7011" s="64" t="s">
        <v>27</v>
      </c>
      <c r="B7011" s="65">
        <v>43461</v>
      </c>
      <c r="C7011" s="66" t="s">
        <v>219</v>
      </c>
      <c r="D7011" s="3" t="s">
        <v>35</v>
      </c>
      <c r="E7011" s="64">
        <v>1</v>
      </c>
    </row>
    <row r="7012" spans="1:5">
      <c r="A7012" s="64" t="s">
        <v>27</v>
      </c>
      <c r="B7012" s="65">
        <v>43462</v>
      </c>
      <c r="C7012" s="66" t="s">
        <v>220</v>
      </c>
      <c r="D7012" s="3" t="s">
        <v>35</v>
      </c>
      <c r="E7012" s="64">
        <v>1</v>
      </c>
    </row>
    <row r="7013" spans="1:5">
      <c r="A7013" s="64" t="s">
        <v>27</v>
      </c>
      <c r="B7013" s="65">
        <v>43463</v>
      </c>
      <c r="C7013" s="66" t="s">
        <v>221</v>
      </c>
      <c r="D7013" s="3" t="s">
        <v>35</v>
      </c>
      <c r="E7013" s="64">
        <v>1</v>
      </c>
    </row>
    <row r="7014" spans="1:5">
      <c r="A7014" s="64" t="s">
        <v>27</v>
      </c>
      <c r="B7014" s="65">
        <v>43464</v>
      </c>
      <c r="C7014" s="66" t="s">
        <v>222</v>
      </c>
      <c r="D7014" s="3" t="s">
        <v>35</v>
      </c>
      <c r="E7014" s="64">
        <v>1</v>
      </c>
    </row>
    <row r="7015" spans="1:5">
      <c r="A7015" s="64" t="s">
        <v>27</v>
      </c>
      <c r="B7015" s="65">
        <v>43465</v>
      </c>
      <c r="C7015" s="66" t="s">
        <v>216</v>
      </c>
      <c r="D7015" s="3" t="s">
        <v>35</v>
      </c>
      <c r="E7015" s="64">
        <v>1</v>
      </c>
    </row>
    <row r="7016" spans="1:5">
      <c r="A7016" s="64" t="s">
        <v>27</v>
      </c>
      <c r="B7016" s="65">
        <v>43466</v>
      </c>
      <c r="C7016" s="66" t="s">
        <v>217</v>
      </c>
      <c r="D7016" s="3" t="s">
        <v>35</v>
      </c>
      <c r="E7016" s="64">
        <v>1</v>
      </c>
    </row>
    <row r="7017" spans="1:5">
      <c r="A7017" s="64" t="s">
        <v>27</v>
      </c>
      <c r="B7017" s="65">
        <v>43467</v>
      </c>
      <c r="C7017" s="66" t="s">
        <v>218</v>
      </c>
      <c r="D7017" s="3" t="s">
        <v>35</v>
      </c>
      <c r="E7017" s="64">
        <v>1</v>
      </c>
    </row>
    <row r="7018" spans="1:5">
      <c r="A7018" s="64" t="s">
        <v>27</v>
      </c>
      <c r="B7018" s="65">
        <v>43468</v>
      </c>
      <c r="C7018" s="66" t="s">
        <v>219</v>
      </c>
      <c r="D7018" s="3" t="s">
        <v>35</v>
      </c>
      <c r="E7018" s="64">
        <v>1</v>
      </c>
    </row>
    <row r="7019" spans="1:5">
      <c r="A7019" s="64" t="s">
        <v>27</v>
      </c>
      <c r="B7019" s="65">
        <v>43469</v>
      </c>
      <c r="C7019" s="66" t="s">
        <v>220</v>
      </c>
      <c r="D7019" s="3" t="s">
        <v>35</v>
      </c>
      <c r="E7019" s="64">
        <v>1</v>
      </c>
    </row>
    <row r="7020" spans="1:5">
      <c r="A7020" s="64" t="s">
        <v>27</v>
      </c>
      <c r="B7020" s="65">
        <v>43470</v>
      </c>
      <c r="C7020" s="66" t="s">
        <v>221</v>
      </c>
      <c r="D7020" s="3" t="s">
        <v>35</v>
      </c>
      <c r="E7020" s="64">
        <v>1</v>
      </c>
    </row>
    <row r="7021" spans="1:5">
      <c r="A7021" s="64" t="s">
        <v>27</v>
      </c>
      <c r="B7021" s="65">
        <v>43471</v>
      </c>
      <c r="C7021" s="66" t="s">
        <v>222</v>
      </c>
      <c r="D7021" s="3" t="s">
        <v>35</v>
      </c>
      <c r="E7021" s="64">
        <v>1</v>
      </c>
    </row>
    <row r="7022" spans="1:5">
      <c r="A7022" s="64" t="s">
        <v>27</v>
      </c>
      <c r="B7022" s="65">
        <v>43472</v>
      </c>
      <c r="C7022" s="66" t="s">
        <v>216</v>
      </c>
      <c r="D7022" s="3" t="s">
        <v>35</v>
      </c>
      <c r="E7022" s="64">
        <v>1</v>
      </c>
    </row>
    <row r="7023" spans="1:5">
      <c r="A7023" s="64" t="s">
        <v>27</v>
      </c>
      <c r="B7023" s="65">
        <v>43473</v>
      </c>
      <c r="C7023" s="66" t="s">
        <v>217</v>
      </c>
      <c r="D7023" s="3" t="s">
        <v>35</v>
      </c>
      <c r="E7023" s="64">
        <v>1</v>
      </c>
    </row>
    <row r="7024" spans="1:5">
      <c r="A7024" s="64" t="s">
        <v>27</v>
      </c>
      <c r="B7024" s="65">
        <v>43474</v>
      </c>
      <c r="C7024" s="66" t="s">
        <v>218</v>
      </c>
      <c r="D7024" s="3" t="s">
        <v>35</v>
      </c>
      <c r="E7024" s="64">
        <v>1</v>
      </c>
    </row>
    <row r="7025" spans="1:5">
      <c r="A7025" s="64" t="s">
        <v>27</v>
      </c>
      <c r="B7025" s="65">
        <v>43475</v>
      </c>
      <c r="C7025" s="66" t="s">
        <v>219</v>
      </c>
      <c r="D7025" s="3" t="s">
        <v>35</v>
      </c>
      <c r="E7025" s="64">
        <v>1</v>
      </c>
    </row>
    <row r="7026" spans="1:5">
      <c r="A7026" s="64" t="s">
        <v>27</v>
      </c>
      <c r="B7026" s="65">
        <v>43476</v>
      </c>
      <c r="C7026" s="66" t="s">
        <v>220</v>
      </c>
      <c r="D7026" s="3" t="s">
        <v>35</v>
      </c>
      <c r="E7026" s="64">
        <v>1</v>
      </c>
    </row>
    <row r="7027" spans="1:5">
      <c r="A7027" s="64" t="s">
        <v>27</v>
      </c>
      <c r="B7027" s="65">
        <v>43477</v>
      </c>
      <c r="C7027" s="66" t="s">
        <v>221</v>
      </c>
      <c r="D7027" s="3" t="s">
        <v>35</v>
      </c>
      <c r="E7027" s="64">
        <v>1</v>
      </c>
    </row>
    <row r="7028" spans="1:5">
      <c r="A7028" s="64" t="s">
        <v>27</v>
      </c>
      <c r="B7028" s="65">
        <v>43478</v>
      </c>
      <c r="C7028" s="66" t="s">
        <v>222</v>
      </c>
      <c r="D7028" s="3" t="s">
        <v>35</v>
      </c>
      <c r="E7028" s="64">
        <v>1</v>
      </c>
    </row>
    <row r="7029" spans="1:5">
      <c r="A7029" s="64" t="s">
        <v>27</v>
      </c>
      <c r="B7029" s="65">
        <v>43479</v>
      </c>
      <c r="C7029" s="66" t="s">
        <v>216</v>
      </c>
      <c r="D7029" s="3" t="s">
        <v>35</v>
      </c>
      <c r="E7029" s="64">
        <v>1</v>
      </c>
    </row>
    <row r="7030" spans="1:5">
      <c r="A7030" s="64" t="s">
        <v>27</v>
      </c>
      <c r="B7030" s="65">
        <v>43480</v>
      </c>
      <c r="C7030" s="66" t="s">
        <v>217</v>
      </c>
      <c r="D7030" s="3" t="s">
        <v>35</v>
      </c>
      <c r="E7030" s="64">
        <v>1</v>
      </c>
    </row>
    <row r="7031" spans="1:5">
      <c r="A7031" s="64" t="s">
        <v>27</v>
      </c>
      <c r="B7031" s="65">
        <v>43481</v>
      </c>
      <c r="C7031" s="66" t="s">
        <v>218</v>
      </c>
      <c r="D7031" s="3" t="s">
        <v>35</v>
      </c>
      <c r="E7031" s="64">
        <v>1</v>
      </c>
    </row>
    <row r="7032" spans="1:5">
      <c r="A7032" s="64" t="s">
        <v>27</v>
      </c>
      <c r="B7032" s="65">
        <v>43482</v>
      </c>
      <c r="C7032" s="66" t="s">
        <v>219</v>
      </c>
      <c r="D7032" s="3" t="s">
        <v>35</v>
      </c>
      <c r="E7032" s="64">
        <v>1</v>
      </c>
    </row>
    <row r="7033" spans="1:5">
      <c r="A7033" s="64" t="s">
        <v>27</v>
      </c>
      <c r="B7033" s="65">
        <v>43483</v>
      </c>
      <c r="C7033" s="66" t="s">
        <v>220</v>
      </c>
      <c r="D7033" s="3" t="s">
        <v>35</v>
      </c>
      <c r="E7033" s="64">
        <v>1</v>
      </c>
    </row>
    <row r="7034" spans="1:5">
      <c r="A7034" s="64" t="s">
        <v>27</v>
      </c>
      <c r="B7034" s="65">
        <v>43484</v>
      </c>
      <c r="C7034" s="66" t="s">
        <v>221</v>
      </c>
      <c r="D7034" s="3" t="s">
        <v>35</v>
      </c>
      <c r="E7034" s="64">
        <v>1</v>
      </c>
    </row>
    <row r="7035" spans="1:5">
      <c r="A7035" s="64" t="s">
        <v>27</v>
      </c>
      <c r="B7035" s="65">
        <v>43485</v>
      </c>
      <c r="C7035" s="66" t="s">
        <v>222</v>
      </c>
      <c r="D7035" s="3" t="s">
        <v>35</v>
      </c>
      <c r="E7035" s="64">
        <v>1</v>
      </c>
    </row>
    <row r="7036" spans="1:5">
      <c r="A7036" s="64" t="s">
        <v>27</v>
      </c>
      <c r="B7036" s="65">
        <v>43486</v>
      </c>
      <c r="C7036" s="66" t="s">
        <v>216</v>
      </c>
      <c r="D7036" s="3" t="s">
        <v>35</v>
      </c>
      <c r="E7036" s="64">
        <v>1</v>
      </c>
    </row>
    <row r="7037" spans="1:5">
      <c r="A7037" s="64" t="s">
        <v>27</v>
      </c>
      <c r="B7037" s="65">
        <v>43487</v>
      </c>
      <c r="C7037" s="66" t="s">
        <v>217</v>
      </c>
      <c r="D7037" s="3" t="s">
        <v>35</v>
      </c>
      <c r="E7037" s="64">
        <v>1</v>
      </c>
    </row>
    <row r="7038" spans="1:5">
      <c r="A7038" s="64" t="s">
        <v>27</v>
      </c>
      <c r="B7038" s="65">
        <v>43488</v>
      </c>
      <c r="C7038" s="66" t="s">
        <v>218</v>
      </c>
      <c r="D7038" s="3" t="s">
        <v>35</v>
      </c>
      <c r="E7038" s="64">
        <v>1</v>
      </c>
    </row>
    <row r="7039" spans="1:5">
      <c r="A7039" s="64" t="s">
        <v>27</v>
      </c>
      <c r="B7039" s="65">
        <v>43489</v>
      </c>
      <c r="C7039" s="66" t="s">
        <v>219</v>
      </c>
      <c r="D7039" s="3" t="s">
        <v>35</v>
      </c>
      <c r="E7039" s="64">
        <v>1</v>
      </c>
    </row>
    <row r="7040" spans="1:5">
      <c r="A7040" s="64" t="s">
        <v>27</v>
      </c>
      <c r="B7040" s="65">
        <v>43490</v>
      </c>
      <c r="C7040" s="66" t="s">
        <v>220</v>
      </c>
      <c r="D7040" s="3" t="s">
        <v>35</v>
      </c>
      <c r="E7040" s="64">
        <v>1</v>
      </c>
    </row>
    <row r="7041" spans="1:5">
      <c r="A7041" s="64" t="s">
        <v>27</v>
      </c>
      <c r="B7041" s="65">
        <v>43491</v>
      </c>
      <c r="C7041" s="66" t="s">
        <v>221</v>
      </c>
      <c r="D7041" s="3" t="s">
        <v>35</v>
      </c>
      <c r="E7041" s="64">
        <v>1</v>
      </c>
    </row>
    <row r="7042" spans="1:5">
      <c r="A7042" s="64" t="s">
        <v>27</v>
      </c>
      <c r="B7042" s="65">
        <v>43492</v>
      </c>
      <c r="C7042" s="66" t="s">
        <v>222</v>
      </c>
      <c r="D7042" s="3" t="s">
        <v>35</v>
      </c>
      <c r="E7042" s="64">
        <v>1</v>
      </c>
    </row>
    <row r="7043" spans="1:5">
      <c r="A7043" s="64" t="s">
        <v>27</v>
      </c>
      <c r="B7043" s="65">
        <v>43493</v>
      </c>
      <c r="C7043" s="66" t="s">
        <v>216</v>
      </c>
      <c r="D7043" s="3" t="s">
        <v>35</v>
      </c>
      <c r="E7043" s="64">
        <v>1</v>
      </c>
    </row>
    <row r="7044" spans="1:5">
      <c r="A7044" s="64" t="s">
        <v>27</v>
      </c>
      <c r="B7044" s="65">
        <v>43494</v>
      </c>
      <c r="C7044" s="66" t="s">
        <v>217</v>
      </c>
      <c r="D7044" s="3" t="s">
        <v>35</v>
      </c>
      <c r="E7044" s="64">
        <v>1</v>
      </c>
    </row>
    <row r="7045" spans="1:5">
      <c r="A7045" s="64" t="s">
        <v>27</v>
      </c>
      <c r="B7045" s="65">
        <v>43495</v>
      </c>
      <c r="C7045" s="66" t="s">
        <v>218</v>
      </c>
      <c r="D7045" s="3" t="s">
        <v>35</v>
      </c>
      <c r="E7045" s="64">
        <v>1</v>
      </c>
    </row>
    <row r="7046" spans="1:5">
      <c r="A7046" s="64" t="s">
        <v>27</v>
      </c>
      <c r="B7046" s="65">
        <v>43496</v>
      </c>
      <c r="C7046" s="66" t="s">
        <v>219</v>
      </c>
      <c r="D7046" s="3" t="s">
        <v>35</v>
      </c>
      <c r="E7046" s="64">
        <v>1</v>
      </c>
    </row>
    <row r="7047" spans="1:5">
      <c r="A7047" s="64" t="s">
        <v>27</v>
      </c>
      <c r="B7047" s="65">
        <v>43497</v>
      </c>
      <c r="C7047" s="66" t="s">
        <v>220</v>
      </c>
      <c r="D7047" s="3" t="s">
        <v>35</v>
      </c>
      <c r="E7047" s="64">
        <v>1</v>
      </c>
    </row>
    <row r="7048" spans="1:5">
      <c r="A7048" s="64" t="s">
        <v>27</v>
      </c>
      <c r="B7048" s="65">
        <v>43498</v>
      </c>
      <c r="C7048" s="66" t="s">
        <v>221</v>
      </c>
      <c r="D7048" s="3" t="s">
        <v>35</v>
      </c>
      <c r="E7048" s="64">
        <v>1</v>
      </c>
    </row>
    <row r="7049" spans="1:5">
      <c r="A7049" s="64" t="s">
        <v>27</v>
      </c>
      <c r="B7049" s="65">
        <v>43499</v>
      </c>
      <c r="C7049" s="66" t="s">
        <v>222</v>
      </c>
      <c r="D7049" s="3" t="s">
        <v>35</v>
      </c>
      <c r="E7049" s="64">
        <v>1</v>
      </c>
    </row>
    <row r="7050" spans="1:5">
      <c r="A7050" s="64" t="s">
        <v>27</v>
      </c>
      <c r="B7050" s="65">
        <v>43500</v>
      </c>
      <c r="C7050" s="66" t="s">
        <v>216</v>
      </c>
      <c r="D7050" s="3" t="s">
        <v>35</v>
      </c>
      <c r="E7050" s="64">
        <v>1</v>
      </c>
    </row>
    <row r="7051" spans="1:5">
      <c r="A7051" s="64" t="s">
        <v>27</v>
      </c>
      <c r="B7051" s="65">
        <v>43501</v>
      </c>
      <c r="C7051" s="66" t="s">
        <v>217</v>
      </c>
      <c r="D7051" s="3" t="s">
        <v>35</v>
      </c>
      <c r="E7051" s="64">
        <v>1</v>
      </c>
    </row>
    <row r="7052" spans="1:5">
      <c r="A7052" s="64" t="s">
        <v>27</v>
      </c>
      <c r="B7052" s="65">
        <v>43502</v>
      </c>
      <c r="C7052" s="66" t="s">
        <v>218</v>
      </c>
      <c r="D7052" s="3" t="s">
        <v>35</v>
      </c>
      <c r="E7052" s="64">
        <v>1</v>
      </c>
    </row>
    <row r="7053" spans="1:5">
      <c r="A7053" s="64" t="s">
        <v>27</v>
      </c>
      <c r="B7053" s="65">
        <v>43503</v>
      </c>
      <c r="C7053" s="66" t="s">
        <v>219</v>
      </c>
      <c r="D7053" s="3" t="s">
        <v>35</v>
      </c>
      <c r="E7053" s="64">
        <v>1</v>
      </c>
    </row>
    <row r="7054" spans="1:5">
      <c r="A7054" s="64" t="s">
        <v>27</v>
      </c>
      <c r="B7054" s="65">
        <v>43504</v>
      </c>
      <c r="C7054" s="66" t="s">
        <v>220</v>
      </c>
      <c r="D7054" s="3" t="s">
        <v>35</v>
      </c>
      <c r="E7054" s="64">
        <v>1</v>
      </c>
    </row>
    <row r="7055" spans="1:5">
      <c r="A7055" s="64" t="s">
        <v>27</v>
      </c>
      <c r="B7055" s="65">
        <v>43505</v>
      </c>
      <c r="C7055" s="66" t="s">
        <v>221</v>
      </c>
      <c r="D7055" s="3" t="s">
        <v>35</v>
      </c>
      <c r="E7055" s="64">
        <v>1</v>
      </c>
    </row>
    <row r="7056" spans="1:5">
      <c r="A7056" s="64" t="s">
        <v>27</v>
      </c>
      <c r="B7056" s="65">
        <v>43506</v>
      </c>
      <c r="C7056" s="66" t="s">
        <v>222</v>
      </c>
      <c r="D7056" s="3" t="s">
        <v>35</v>
      </c>
      <c r="E7056" s="64">
        <v>1</v>
      </c>
    </row>
    <row r="7057" spans="1:5">
      <c r="A7057" s="64" t="s">
        <v>27</v>
      </c>
      <c r="B7057" s="65">
        <v>43507</v>
      </c>
      <c r="C7057" s="66" t="s">
        <v>216</v>
      </c>
      <c r="D7057" s="3" t="s">
        <v>35</v>
      </c>
      <c r="E7057" s="64">
        <v>1</v>
      </c>
    </row>
    <row r="7058" spans="1:5">
      <c r="A7058" s="64" t="s">
        <v>27</v>
      </c>
      <c r="B7058" s="65">
        <v>43508</v>
      </c>
      <c r="C7058" s="66" t="s">
        <v>217</v>
      </c>
      <c r="D7058" s="3" t="s">
        <v>35</v>
      </c>
      <c r="E7058" s="64">
        <v>1</v>
      </c>
    </row>
    <row r="7059" spans="1:5">
      <c r="A7059" s="64" t="s">
        <v>27</v>
      </c>
      <c r="B7059" s="65">
        <v>43509</v>
      </c>
      <c r="C7059" s="66" t="s">
        <v>218</v>
      </c>
      <c r="D7059" s="3" t="s">
        <v>35</v>
      </c>
      <c r="E7059" s="64">
        <v>1</v>
      </c>
    </row>
    <row r="7060" spans="1:5">
      <c r="A7060" s="64" t="s">
        <v>27</v>
      </c>
      <c r="B7060" s="65">
        <v>43510</v>
      </c>
      <c r="C7060" s="66" t="s">
        <v>219</v>
      </c>
      <c r="D7060" s="3" t="s">
        <v>35</v>
      </c>
      <c r="E7060" s="64">
        <v>1</v>
      </c>
    </row>
    <row r="7061" spans="1:5">
      <c r="A7061" s="64" t="s">
        <v>27</v>
      </c>
      <c r="B7061" s="65">
        <v>43511</v>
      </c>
      <c r="C7061" s="66" t="s">
        <v>220</v>
      </c>
      <c r="D7061" s="3" t="s">
        <v>35</v>
      </c>
      <c r="E7061" s="64">
        <v>1</v>
      </c>
    </row>
    <row r="7062" spans="1:5">
      <c r="A7062" s="64" t="s">
        <v>27</v>
      </c>
      <c r="B7062" s="65">
        <v>43512</v>
      </c>
      <c r="C7062" s="66" t="s">
        <v>221</v>
      </c>
      <c r="D7062" s="3" t="s">
        <v>35</v>
      </c>
      <c r="E7062" s="64">
        <v>1</v>
      </c>
    </row>
    <row r="7063" spans="1:5">
      <c r="A7063" s="64" t="s">
        <v>27</v>
      </c>
      <c r="B7063" s="65">
        <v>43513</v>
      </c>
      <c r="C7063" s="66" t="s">
        <v>222</v>
      </c>
      <c r="D7063" s="3" t="s">
        <v>35</v>
      </c>
      <c r="E7063" s="64">
        <v>1</v>
      </c>
    </row>
    <row r="7064" spans="1:5">
      <c r="A7064" s="64" t="s">
        <v>27</v>
      </c>
      <c r="B7064" s="65">
        <v>43514</v>
      </c>
      <c r="C7064" s="66" t="s">
        <v>216</v>
      </c>
      <c r="D7064" s="3" t="s">
        <v>35</v>
      </c>
      <c r="E7064" s="64">
        <v>1</v>
      </c>
    </row>
    <row r="7065" spans="1:5">
      <c r="A7065" s="64" t="s">
        <v>27</v>
      </c>
      <c r="B7065" s="65">
        <v>43515</v>
      </c>
      <c r="C7065" s="66" t="s">
        <v>217</v>
      </c>
      <c r="D7065" s="3" t="s">
        <v>35</v>
      </c>
      <c r="E7065" s="64">
        <v>1</v>
      </c>
    </row>
    <row r="7066" spans="1:5">
      <c r="A7066" s="64" t="s">
        <v>27</v>
      </c>
      <c r="B7066" s="65">
        <v>43516</v>
      </c>
      <c r="C7066" s="66" t="s">
        <v>218</v>
      </c>
      <c r="D7066" s="3" t="s">
        <v>35</v>
      </c>
      <c r="E7066" s="64">
        <v>1</v>
      </c>
    </row>
    <row r="7067" spans="1:5">
      <c r="A7067" s="64" t="s">
        <v>27</v>
      </c>
      <c r="B7067" s="65">
        <v>43517</v>
      </c>
      <c r="C7067" s="66" t="s">
        <v>219</v>
      </c>
      <c r="D7067" s="3" t="s">
        <v>35</v>
      </c>
      <c r="E7067" s="64">
        <v>1</v>
      </c>
    </row>
    <row r="7068" spans="1:5">
      <c r="A7068" s="64" t="s">
        <v>27</v>
      </c>
      <c r="B7068" s="65">
        <v>43518</v>
      </c>
      <c r="C7068" s="66" t="s">
        <v>220</v>
      </c>
      <c r="D7068" s="3" t="s">
        <v>35</v>
      </c>
      <c r="E7068" s="64">
        <v>1</v>
      </c>
    </row>
    <row r="7069" spans="1:5">
      <c r="A7069" s="64" t="s">
        <v>27</v>
      </c>
      <c r="B7069" s="65">
        <v>43519</v>
      </c>
      <c r="C7069" s="66" t="s">
        <v>221</v>
      </c>
      <c r="D7069" s="3" t="s">
        <v>35</v>
      </c>
      <c r="E7069" s="64">
        <v>1</v>
      </c>
    </row>
    <row r="7070" spans="1:5">
      <c r="A7070" s="64" t="s">
        <v>27</v>
      </c>
      <c r="B7070" s="65">
        <v>43520</v>
      </c>
      <c r="C7070" s="66" t="s">
        <v>222</v>
      </c>
      <c r="D7070" s="3" t="s">
        <v>35</v>
      </c>
      <c r="E7070" s="64">
        <v>1</v>
      </c>
    </row>
    <row r="7071" spans="1:5">
      <c r="A7071" s="64" t="s">
        <v>27</v>
      </c>
      <c r="B7071" s="65">
        <v>43521</v>
      </c>
      <c r="C7071" s="66" t="s">
        <v>216</v>
      </c>
      <c r="D7071" s="3" t="s">
        <v>35</v>
      </c>
      <c r="E7071" s="64">
        <v>1</v>
      </c>
    </row>
    <row r="7072" spans="1:5">
      <c r="A7072" s="64" t="s">
        <v>27</v>
      </c>
      <c r="B7072" s="65">
        <v>43522</v>
      </c>
      <c r="C7072" s="66" t="s">
        <v>217</v>
      </c>
      <c r="D7072" s="3" t="s">
        <v>35</v>
      </c>
      <c r="E7072" s="64">
        <v>1</v>
      </c>
    </row>
    <row r="7073" spans="1:5">
      <c r="A7073" s="64" t="s">
        <v>27</v>
      </c>
      <c r="B7073" s="65">
        <v>43523</v>
      </c>
      <c r="C7073" s="66" t="s">
        <v>218</v>
      </c>
      <c r="D7073" s="3" t="s">
        <v>35</v>
      </c>
      <c r="E7073" s="64">
        <v>1</v>
      </c>
    </row>
    <row r="7074" spans="1:5">
      <c r="A7074" s="64" t="s">
        <v>27</v>
      </c>
      <c r="B7074" s="65">
        <v>43524</v>
      </c>
      <c r="C7074" s="66" t="s">
        <v>219</v>
      </c>
      <c r="D7074" s="3" t="s">
        <v>35</v>
      </c>
      <c r="E7074" s="64">
        <v>1</v>
      </c>
    </row>
    <row r="7075" spans="1:5">
      <c r="A7075" s="64" t="s">
        <v>27</v>
      </c>
      <c r="B7075" s="65">
        <v>43525</v>
      </c>
      <c r="C7075" s="66" t="s">
        <v>220</v>
      </c>
      <c r="D7075" s="3" t="s">
        <v>35</v>
      </c>
      <c r="E7075" s="64">
        <v>1</v>
      </c>
    </row>
    <row r="7076" spans="1:5">
      <c r="A7076" s="64" t="s">
        <v>27</v>
      </c>
      <c r="B7076" s="65">
        <v>43526</v>
      </c>
      <c r="C7076" s="66" t="s">
        <v>221</v>
      </c>
      <c r="D7076" s="3" t="s">
        <v>35</v>
      </c>
      <c r="E7076" s="64">
        <v>1</v>
      </c>
    </row>
    <row r="7077" spans="1:5">
      <c r="A7077" s="64" t="s">
        <v>27</v>
      </c>
      <c r="B7077" s="65">
        <v>43527</v>
      </c>
      <c r="C7077" s="66" t="s">
        <v>222</v>
      </c>
      <c r="D7077" s="3" t="s">
        <v>35</v>
      </c>
      <c r="E7077" s="64">
        <v>1</v>
      </c>
    </row>
    <row r="7078" spans="1:5">
      <c r="A7078" s="64" t="s">
        <v>27</v>
      </c>
      <c r="B7078" s="65">
        <v>43528</v>
      </c>
      <c r="C7078" s="66" t="s">
        <v>216</v>
      </c>
      <c r="D7078" s="3" t="s">
        <v>35</v>
      </c>
      <c r="E7078" s="64">
        <v>1</v>
      </c>
    </row>
    <row r="7079" spans="1:5">
      <c r="A7079" s="64" t="s">
        <v>27</v>
      </c>
      <c r="B7079" s="65">
        <v>43529</v>
      </c>
      <c r="C7079" s="66" t="s">
        <v>217</v>
      </c>
      <c r="D7079" s="3" t="s">
        <v>35</v>
      </c>
      <c r="E7079" s="64">
        <v>1</v>
      </c>
    </row>
    <row r="7080" spans="1:5">
      <c r="A7080" s="64" t="s">
        <v>27</v>
      </c>
      <c r="B7080" s="65">
        <v>43530</v>
      </c>
      <c r="C7080" s="66" t="s">
        <v>218</v>
      </c>
      <c r="D7080" s="3" t="s">
        <v>35</v>
      </c>
      <c r="E7080" s="64">
        <v>1</v>
      </c>
    </row>
    <row r="7081" spans="1:5">
      <c r="A7081" s="64" t="s">
        <v>27</v>
      </c>
      <c r="B7081" s="65">
        <v>43531</v>
      </c>
      <c r="C7081" s="66" t="s">
        <v>219</v>
      </c>
      <c r="D7081" s="3" t="s">
        <v>35</v>
      </c>
      <c r="E7081" s="64">
        <v>1</v>
      </c>
    </row>
    <row r="7082" spans="1:5">
      <c r="A7082" s="64" t="s">
        <v>27</v>
      </c>
      <c r="B7082" s="65">
        <v>43532</v>
      </c>
      <c r="C7082" s="66" t="s">
        <v>220</v>
      </c>
      <c r="D7082" s="3" t="s">
        <v>35</v>
      </c>
      <c r="E7082" s="64">
        <v>1</v>
      </c>
    </row>
    <row r="7083" spans="1:5">
      <c r="A7083" s="64" t="s">
        <v>27</v>
      </c>
      <c r="B7083" s="65">
        <v>43533</v>
      </c>
      <c r="C7083" s="66" t="s">
        <v>221</v>
      </c>
      <c r="D7083" s="3" t="s">
        <v>35</v>
      </c>
      <c r="E7083" s="64">
        <v>1</v>
      </c>
    </row>
    <row r="7084" spans="1:5">
      <c r="A7084" s="64" t="s">
        <v>27</v>
      </c>
      <c r="B7084" s="65">
        <v>43534</v>
      </c>
      <c r="C7084" s="66" t="s">
        <v>222</v>
      </c>
      <c r="D7084" s="3" t="s">
        <v>35</v>
      </c>
      <c r="E7084" s="64">
        <v>1</v>
      </c>
    </row>
    <row r="7085" spans="1:5">
      <c r="A7085" s="64" t="s">
        <v>27</v>
      </c>
      <c r="B7085" s="65">
        <v>43535</v>
      </c>
      <c r="C7085" s="66" t="s">
        <v>216</v>
      </c>
      <c r="D7085" s="3" t="s">
        <v>35</v>
      </c>
      <c r="E7085" s="64">
        <v>1</v>
      </c>
    </row>
    <row r="7086" spans="1:5">
      <c r="A7086" s="64" t="s">
        <v>27</v>
      </c>
      <c r="B7086" s="65">
        <v>43536</v>
      </c>
      <c r="C7086" s="66" t="s">
        <v>217</v>
      </c>
      <c r="D7086" s="3" t="s">
        <v>35</v>
      </c>
      <c r="E7086" s="64">
        <v>1</v>
      </c>
    </row>
    <row r="7087" spans="1:5">
      <c r="A7087" s="64" t="s">
        <v>27</v>
      </c>
      <c r="B7087" s="65">
        <v>43537</v>
      </c>
      <c r="C7087" s="66" t="s">
        <v>218</v>
      </c>
      <c r="D7087" s="3" t="s">
        <v>35</v>
      </c>
      <c r="E7087" s="64">
        <v>1</v>
      </c>
    </row>
    <row r="7088" spans="1:5">
      <c r="A7088" s="64" t="s">
        <v>27</v>
      </c>
      <c r="B7088" s="65">
        <v>43538</v>
      </c>
      <c r="C7088" s="66" t="s">
        <v>219</v>
      </c>
      <c r="D7088" s="3" t="s">
        <v>35</v>
      </c>
      <c r="E7088" s="64">
        <v>1</v>
      </c>
    </row>
    <row r="7089" spans="1:5">
      <c r="A7089" s="64" t="s">
        <v>27</v>
      </c>
      <c r="B7089" s="65">
        <v>43539</v>
      </c>
      <c r="C7089" s="66" t="s">
        <v>220</v>
      </c>
      <c r="D7089" s="3" t="s">
        <v>35</v>
      </c>
      <c r="E7089" s="64">
        <v>1</v>
      </c>
    </row>
    <row r="7090" spans="1:5">
      <c r="A7090" s="64" t="s">
        <v>27</v>
      </c>
      <c r="B7090" s="65">
        <v>43540</v>
      </c>
      <c r="C7090" s="66" t="s">
        <v>221</v>
      </c>
      <c r="D7090" s="3" t="s">
        <v>35</v>
      </c>
      <c r="E7090" s="64">
        <v>1</v>
      </c>
    </row>
    <row r="7091" spans="1:5">
      <c r="A7091" s="64" t="s">
        <v>27</v>
      </c>
      <c r="B7091" s="65">
        <v>43541</v>
      </c>
      <c r="C7091" s="66" t="s">
        <v>222</v>
      </c>
      <c r="D7091" s="3" t="s">
        <v>35</v>
      </c>
      <c r="E7091" s="64">
        <v>1</v>
      </c>
    </row>
    <row r="7092" spans="1:5">
      <c r="A7092" s="64" t="s">
        <v>27</v>
      </c>
      <c r="B7092" s="65">
        <v>43542</v>
      </c>
      <c r="C7092" s="66" t="s">
        <v>216</v>
      </c>
      <c r="D7092" s="3" t="s">
        <v>35</v>
      </c>
      <c r="E7092" s="64">
        <v>1</v>
      </c>
    </row>
    <row r="7093" spans="1:5">
      <c r="A7093" s="64" t="s">
        <v>27</v>
      </c>
      <c r="B7093" s="65">
        <v>43543</v>
      </c>
      <c r="C7093" s="66" t="s">
        <v>217</v>
      </c>
      <c r="D7093" s="3" t="s">
        <v>35</v>
      </c>
      <c r="E7093" s="64">
        <v>1</v>
      </c>
    </row>
    <row r="7094" spans="1:5">
      <c r="A7094" s="64" t="s">
        <v>27</v>
      </c>
      <c r="B7094" s="65">
        <v>43544</v>
      </c>
      <c r="C7094" s="66" t="s">
        <v>218</v>
      </c>
      <c r="D7094" s="3" t="s">
        <v>35</v>
      </c>
      <c r="E7094" s="64">
        <v>1</v>
      </c>
    </row>
    <row r="7095" spans="1:5">
      <c r="A7095" s="64" t="s">
        <v>27</v>
      </c>
      <c r="B7095" s="65">
        <v>43545</v>
      </c>
      <c r="C7095" s="66" t="s">
        <v>219</v>
      </c>
      <c r="D7095" s="3" t="s">
        <v>35</v>
      </c>
      <c r="E7095" s="64">
        <v>1</v>
      </c>
    </row>
    <row r="7096" spans="1:5">
      <c r="A7096" s="64" t="s">
        <v>27</v>
      </c>
      <c r="B7096" s="65">
        <v>43546</v>
      </c>
      <c r="C7096" s="66" t="s">
        <v>220</v>
      </c>
      <c r="D7096" s="3" t="s">
        <v>35</v>
      </c>
      <c r="E7096" s="64">
        <v>1</v>
      </c>
    </row>
    <row r="7097" spans="1:5">
      <c r="A7097" s="64" t="s">
        <v>27</v>
      </c>
      <c r="B7097" s="65">
        <v>43547</v>
      </c>
      <c r="C7097" s="66" t="s">
        <v>221</v>
      </c>
      <c r="D7097" s="3" t="s">
        <v>35</v>
      </c>
      <c r="E7097" s="64">
        <v>1</v>
      </c>
    </row>
    <row r="7098" spans="1:5">
      <c r="A7098" s="64" t="s">
        <v>27</v>
      </c>
      <c r="B7098" s="65">
        <v>43548</v>
      </c>
      <c r="C7098" s="66" t="s">
        <v>222</v>
      </c>
      <c r="D7098" s="3" t="s">
        <v>35</v>
      </c>
      <c r="E7098" s="64">
        <v>1</v>
      </c>
    </row>
    <row r="7099" spans="1:5">
      <c r="A7099" s="64" t="s">
        <v>27</v>
      </c>
      <c r="B7099" s="65">
        <v>43549</v>
      </c>
      <c r="C7099" s="66" t="s">
        <v>216</v>
      </c>
      <c r="D7099" s="3" t="s">
        <v>35</v>
      </c>
      <c r="E7099" s="64">
        <v>1</v>
      </c>
    </row>
    <row r="7100" spans="1:5">
      <c r="A7100" s="64" t="s">
        <v>27</v>
      </c>
      <c r="B7100" s="65">
        <v>43550</v>
      </c>
      <c r="C7100" s="66" t="s">
        <v>217</v>
      </c>
      <c r="D7100" s="3" t="s">
        <v>35</v>
      </c>
      <c r="E7100" s="64">
        <v>1</v>
      </c>
    </row>
    <row r="7101" spans="1:5">
      <c r="A7101" s="64" t="s">
        <v>27</v>
      </c>
      <c r="B7101" s="65">
        <v>43551</v>
      </c>
      <c r="C7101" s="66" t="s">
        <v>218</v>
      </c>
      <c r="D7101" s="3" t="s">
        <v>35</v>
      </c>
      <c r="E7101" s="64">
        <v>1</v>
      </c>
    </row>
    <row r="7102" spans="1:5">
      <c r="A7102" s="64" t="s">
        <v>27</v>
      </c>
      <c r="B7102" s="65">
        <v>43552</v>
      </c>
      <c r="C7102" s="66" t="s">
        <v>219</v>
      </c>
      <c r="D7102" s="3" t="s">
        <v>35</v>
      </c>
      <c r="E7102" s="64">
        <v>1</v>
      </c>
    </row>
    <row r="7103" spans="1:5">
      <c r="A7103" s="64" t="s">
        <v>27</v>
      </c>
      <c r="B7103" s="65">
        <v>43553</v>
      </c>
      <c r="C7103" s="66" t="s">
        <v>220</v>
      </c>
      <c r="D7103" s="3" t="s">
        <v>35</v>
      </c>
      <c r="E7103" s="64">
        <v>1</v>
      </c>
    </row>
    <row r="7104" spans="1:5">
      <c r="A7104" s="64" t="s">
        <v>27</v>
      </c>
      <c r="B7104" s="65">
        <v>43554</v>
      </c>
      <c r="C7104" s="66" t="s">
        <v>221</v>
      </c>
      <c r="D7104" s="3" t="s">
        <v>35</v>
      </c>
      <c r="E7104" s="64">
        <v>1</v>
      </c>
    </row>
    <row r="7105" spans="1:5">
      <c r="A7105" s="64" t="s">
        <v>27</v>
      </c>
      <c r="B7105" s="65">
        <v>43555</v>
      </c>
      <c r="C7105" s="66" t="s">
        <v>222</v>
      </c>
      <c r="D7105" s="3" t="s">
        <v>35</v>
      </c>
      <c r="E7105" s="64">
        <v>1</v>
      </c>
    </row>
    <row r="7106" spans="1:5">
      <c r="A7106" s="64" t="s">
        <v>27</v>
      </c>
      <c r="B7106" s="65">
        <v>43556</v>
      </c>
      <c r="C7106" s="66" t="s">
        <v>216</v>
      </c>
      <c r="D7106" s="3" t="s">
        <v>35</v>
      </c>
      <c r="E7106" s="64">
        <v>1</v>
      </c>
    </row>
    <row r="7107" spans="1:5">
      <c r="A7107" s="64" t="s">
        <v>27</v>
      </c>
      <c r="B7107" s="65">
        <v>43557</v>
      </c>
      <c r="C7107" s="66" t="s">
        <v>217</v>
      </c>
      <c r="D7107" s="3" t="s">
        <v>35</v>
      </c>
      <c r="E7107" s="64">
        <v>1</v>
      </c>
    </row>
    <row r="7108" spans="1:5">
      <c r="A7108" s="64" t="s">
        <v>27</v>
      </c>
      <c r="B7108" s="65">
        <v>43558</v>
      </c>
      <c r="C7108" s="66" t="s">
        <v>218</v>
      </c>
      <c r="D7108" s="3" t="s">
        <v>35</v>
      </c>
      <c r="E7108" s="64">
        <v>1</v>
      </c>
    </row>
    <row r="7109" spans="1:5">
      <c r="A7109" s="64" t="s">
        <v>27</v>
      </c>
      <c r="B7109" s="65">
        <v>43559</v>
      </c>
      <c r="C7109" s="66" t="s">
        <v>219</v>
      </c>
      <c r="D7109" s="3" t="s">
        <v>35</v>
      </c>
      <c r="E7109" s="64">
        <v>1</v>
      </c>
    </row>
    <row r="7110" spans="1:5">
      <c r="A7110" s="64" t="s">
        <v>27</v>
      </c>
      <c r="B7110" s="65">
        <v>43560</v>
      </c>
      <c r="C7110" s="66" t="s">
        <v>220</v>
      </c>
      <c r="D7110" s="3" t="s">
        <v>35</v>
      </c>
      <c r="E7110" s="64">
        <v>1</v>
      </c>
    </row>
    <row r="7111" spans="1:5">
      <c r="A7111" s="64" t="s">
        <v>27</v>
      </c>
      <c r="B7111" s="65">
        <v>43561</v>
      </c>
      <c r="C7111" s="66" t="s">
        <v>221</v>
      </c>
      <c r="D7111" s="3" t="s">
        <v>35</v>
      </c>
      <c r="E7111" s="64">
        <v>1</v>
      </c>
    </row>
    <row r="7112" spans="1:5">
      <c r="A7112" s="64" t="s">
        <v>27</v>
      </c>
      <c r="B7112" s="65">
        <v>43562</v>
      </c>
      <c r="C7112" s="66" t="s">
        <v>222</v>
      </c>
      <c r="D7112" s="3" t="s">
        <v>35</v>
      </c>
      <c r="E7112" s="64">
        <v>1</v>
      </c>
    </row>
    <row r="7113" spans="1:5">
      <c r="A7113" s="64" t="s">
        <v>27</v>
      </c>
      <c r="B7113" s="65">
        <v>43563</v>
      </c>
      <c r="C7113" s="66" t="s">
        <v>216</v>
      </c>
      <c r="D7113" s="3" t="s">
        <v>35</v>
      </c>
      <c r="E7113" s="64">
        <v>1</v>
      </c>
    </row>
    <row r="7114" spans="1:5">
      <c r="A7114" s="64" t="s">
        <v>27</v>
      </c>
      <c r="B7114" s="65">
        <v>43564</v>
      </c>
      <c r="C7114" s="66" t="s">
        <v>217</v>
      </c>
      <c r="D7114" s="3" t="s">
        <v>35</v>
      </c>
      <c r="E7114" s="64">
        <v>1</v>
      </c>
    </row>
    <row r="7115" spans="1:5">
      <c r="A7115" s="64" t="s">
        <v>27</v>
      </c>
      <c r="B7115" s="65">
        <v>43565</v>
      </c>
      <c r="C7115" s="66" t="s">
        <v>218</v>
      </c>
      <c r="D7115" s="3" t="s">
        <v>35</v>
      </c>
      <c r="E7115" s="64">
        <v>1</v>
      </c>
    </row>
    <row r="7116" spans="1:5">
      <c r="A7116" s="64" t="s">
        <v>27</v>
      </c>
      <c r="B7116" s="65">
        <v>43566</v>
      </c>
      <c r="C7116" s="66" t="s">
        <v>219</v>
      </c>
      <c r="D7116" s="3" t="s">
        <v>35</v>
      </c>
      <c r="E7116" s="64">
        <v>1</v>
      </c>
    </row>
    <row r="7117" spans="1:5">
      <c r="A7117" s="64" t="s">
        <v>27</v>
      </c>
      <c r="B7117" s="65">
        <v>43567</v>
      </c>
      <c r="C7117" s="66" t="s">
        <v>220</v>
      </c>
      <c r="D7117" s="3" t="s">
        <v>35</v>
      </c>
      <c r="E7117" s="64">
        <v>1</v>
      </c>
    </row>
    <row r="7118" spans="1:5">
      <c r="A7118" s="64" t="s">
        <v>27</v>
      </c>
      <c r="B7118" s="65">
        <v>43568</v>
      </c>
      <c r="C7118" s="66" t="s">
        <v>221</v>
      </c>
      <c r="D7118" s="3" t="s">
        <v>35</v>
      </c>
      <c r="E7118" s="64">
        <v>1</v>
      </c>
    </row>
    <row r="7119" spans="1:5">
      <c r="A7119" s="64" t="s">
        <v>27</v>
      </c>
      <c r="B7119" s="65">
        <v>43569</v>
      </c>
      <c r="C7119" s="66" t="s">
        <v>222</v>
      </c>
      <c r="D7119" s="3" t="s">
        <v>35</v>
      </c>
      <c r="E7119" s="64">
        <v>1</v>
      </c>
    </row>
    <row r="7120" spans="1:5">
      <c r="A7120" s="64" t="s">
        <v>27</v>
      </c>
      <c r="B7120" s="65">
        <v>43570</v>
      </c>
      <c r="C7120" s="66" t="s">
        <v>216</v>
      </c>
      <c r="D7120" s="3" t="s">
        <v>35</v>
      </c>
      <c r="E7120" s="64">
        <v>1</v>
      </c>
    </row>
    <row r="7121" spans="1:5">
      <c r="A7121" s="64" t="s">
        <v>27</v>
      </c>
      <c r="B7121" s="65">
        <v>43571</v>
      </c>
      <c r="C7121" s="66" t="s">
        <v>217</v>
      </c>
      <c r="D7121" s="3" t="s">
        <v>35</v>
      </c>
      <c r="E7121" s="64">
        <v>1</v>
      </c>
    </row>
    <row r="7122" spans="1:5">
      <c r="A7122" s="64" t="s">
        <v>27</v>
      </c>
      <c r="B7122" s="65">
        <v>43572</v>
      </c>
      <c r="C7122" s="66" t="s">
        <v>218</v>
      </c>
      <c r="D7122" s="3" t="s">
        <v>35</v>
      </c>
      <c r="E7122" s="64">
        <v>1</v>
      </c>
    </row>
    <row r="7123" spans="1:5">
      <c r="A7123" s="64" t="s">
        <v>27</v>
      </c>
      <c r="B7123" s="65">
        <v>43573</v>
      </c>
      <c r="C7123" s="66" t="s">
        <v>219</v>
      </c>
      <c r="D7123" s="3" t="s">
        <v>35</v>
      </c>
      <c r="E7123" s="64">
        <v>1</v>
      </c>
    </row>
    <row r="7124" spans="1:5">
      <c r="A7124" s="64" t="s">
        <v>27</v>
      </c>
      <c r="B7124" s="65">
        <v>43574</v>
      </c>
      <c r="C7124" s="66" t="s">
        <v>220</v>
      </c>
      <c r="D7124" s="3" t="s">
        <v>35</v>
      </c>
      <c r="E7124" s="64">
        <v>1</v>
      </c>
    </row>
    <row r="7125" spans="1:5">
      <c r="A7125" s="64" t="s">
        <v>27</v>
      </c>
      <c r="B7125" s="65">
        <v>43575</v>
      </c>
      <c r="C7125" s="66" t="s">
        <v>221</v>
      </c>
      <c r="D7125" s="3" t="s">
        <v>35</v>
      </c>
      <c r="E7125" s="64">
        <v>1</v>
      </c>
    </row>
    <row r="7126" spans="1:5">
      <c r="A7126" s="64" t="s">
        <v>27</v>
      </c>
      <c r="B7126" s="65">
        <v>43576</v>
      </c>
      <c r="C7126" s="66" t="s">
        <v>222</v>
      </c>
      <c r="D7126" s="3" t="s">
        <v>35</v>
      </c>
      <c r="E7126" s="64">
        <v>1</v>
      </c>
    </row>
    <row r="7127" spans="1:5">
      <c r="A7127" s="64" t="s">
        <v>27</v>
      </c>
      <c r="B7127" s="65">
        <v>43577</v>
      </c>
      <c r="C7127" s="66" t="s">
        <v>216</v>
      </c>
      <c r="D7127" s="3" t="s">
        <v>35</v>
      </c>
      <c r="E7127" s="64">
        <v>1</v>
      </c>
    </row>
    <row r="7128" spans="1:5">
      <c r="A7128" s="64" t="s">
        <v>27</v>
      </c>
      <c r="B7128" s="65">
        <v>43578</v>
      </c>
      <c r="C7128" s="66" t="s">
        <v>217</v>
      </c>
      <c r="D7128" s="3" t="s">
        <v>35</v>
      </c>
      <c r="E7128" s="64">
        <v>1</v>
      </c>
    </row>
    <row r="7129" spans="1:5">
      <c r="A7129" s="64" t="s">
        <v>27</v>
      </c>
      <c r="B7129" s="65">
        <v>43579</v>
      </c>
      <c r="C7129" s="66" t="s">
        <v>218</v>
      </c>
      <c r="D7129" s="3" t="s">
        <v>35</v>
      </c>
      <c r="E7129" s="64">
        <v>1</v>
      </c>
    </row>
    <row r="7130" spans="1:5">
      <c r="A7130" s="64" t="s">
        <v>27</v>
      </c>
      <c r="B7130" s="65">
        <v>43580</v>
      </c>
      <c r="C7130" s="66" t="s">
        <v>219</v>
      </c>
      <c r="D7130" s="3" t="s">
        <v>35</v>
      </c>
      <c r="E7130" s="64">
        <v>1</v>
      </c>
    </row>
    <row r="7131" spans="1:5">
      <c r="A7131" s="64" t="s">
        <v>27</v>
      </c>
      <c r="B7131" s="65">
        <v>43581</v>
      </c>
      <c r="C7131" s="66" t="s">
        <v>220</v>
      </c>
      <c r="D7131" s="3" t="s">
        <v>35</v>
      </c>
      <c r="E7131" s="64">
        <v>1</v>
      </c>
    </row>
    <row r="7132" spans="1:5">
      <c r="A7132" s="64" t="s">
        <v>27</v>
      </c>
      <c r="B7132" s="65">
        <v>43582</v>
      </c>
      <c r="C7132" s="66" t="s">
        <v>221</v>
      </c>
      <c r="D7132" s="3" t="s">
        <v>35</v>
      </c>
      <c r="E7132" s="64">
        <v>1</v>
      </c>
    </row>
    <row r="7133" spans="1:5">
      <c r="A7133" s="64" t="s">
        <v>27</v>
      </c>
      <c r="B7133" s="65">
        <v>43583</v>
      </c>
      <c r="C7133" s="66" t="s">
        <v>222</v>
      </c>
      <c r="D7133" s="3" t="s">
        <v>35</v>
      </c>
      <c r="E7133" s="64">
        <v>1</v>
      </c>
    </row>
    <row r="7134" spans="1:5">
      <c r="A7134" s="64" t="s">
        <v>27</v>
      </c>
      <c r="B7134" s="65">
        <v>43584</v>
      </c>
      <c r="C7134" s="66" t="s">
        <v>216</v>
      </c>
      <c r="D7134" s="3" t="s">
        <v>35</v>
      </c>
      <c r="E7134" s="64">
        <v>1</v>
      </c>
    </row>
    <row r="7135" spans="1:5">
      <c r="A7135" s="64" t="s">
        <v>27</v>
      </c>
      <c r="B7135" s="65">
        <v>43585</v>
      </c>
      <c r="C7135" s="66" t="s">
        <v>217</v>
      </c>
      <c r="D7135" s="3" t="s">
        <v>35</v>
      </c>
      <c r="E7135" s="64">
        <v>1</v>
      </c>
    </row>
    <row r="7136" spans="1:5">
      <c r="A7136" s="64" t="s">
        <v>36</v>
      </c>
      <c r="B7136" s="65">
        <v>43514</v>
      </c>
      <c r="C7136" s="66" t="s">
        <v>216</v>
      </c>
      <c r="D7136" s="3" t="s">
        <v>26</v>
      </c>
      <c r="E7136" s="64">
        <v>1</v>
      </c>
    </row>
    <row r="7137" spans="1:5">
      <c r="A7137" s="64" t="s">
        <v>36</v>
      </c>
      <c r="B7137" s="65">
        <v>43515</v>
      </c>
      <c r="C7137" s="66" t="s">
        <v>217</v>
      </c>
      <c r="D7137" s="3" t="s">
        <v>26</v>
      </c>
      <c r="E7137" s="64">
        <v>1</v>
      </c>
    </row>
    <row r="7138" spans="1:5">
      <c r="A7138" s="64" t="s">
        <v>36</v>
      </c>
      <c r="B7138" s="65">
        <v>43516</v>
      </c>
      <c r="C7138" s="66" t="s">
        <v>218</v>
      </c>
      <c r="D7138" s="3" t="s">
        <v>26</v>
      </c>
      <c r="E7138" s="64">
        <v>1</v>
      </c>
    </row>
    <row r="7139" spans="1:5">
      <c r="A7139" s="64" t="s">
        <v>36</v>
      </c>
      <c r="B7139" s="65">
        <v>43517</v>
      </c>
      <c r="C7139" s="66" t="s">
        <v>219</v>
      </c>
      <c r="D7139" s="3" t="s">
        <v>26</v>
      </c>
      <c r="E7139" s="64">
        <v>1</v>
      </c>
    </row>
    <row r="7140" spans="1:5">
      <c r="A7140" s="64" t="s">
        <v>36</v>
      </c>
      <c r="B7140" s="65">
        <v>43518</v>
      </c>
      <c r="C7140" s="66" t="s">
        <v>220</v>
      </c>
      <c r="D7140" s="3" t="s">
        <v>26</v>
      </c>
      <c r="E7140" s="64">
        <v>1</v>
      </c>
    </row>
    <row r="7141" spans="1:5">
      <c r="A7141" s="64" t="s">
        <v>36</v>
      </c>
      <c r="B7141" s="65">
        <v>43521</v>
      </c>
      <c r="C7141" s="66" t="s">
        <v>216</v>
      </c>
      <c r="D7141" s="3" t="s">
        <v>26</v>
      </c>
      <c r="E7141" s="64">
        <v>1</v>
      </c>
    </row>
    <row r="7142" spans="1:5">
      <c r="A7142" s="64" t="s">
        <v>36</v>
      </c>
      <c r="B7142" s="65">
        <v>43522</v>
      </c>
      <c r="C7142" s="66" t="s">
        <v>217</v>
      </c>
      <c r="D7142" s="3" t="s">
        <v>26</v>
      </c>
      <c r="E7142" s="64">
        <v>1</v>
      </c>
    </row>
    <row r="7143" spans="1:5">
      <c r="A7143" s="64" t="s">
        <v>36</v>
      </c>
      <c r="B7143" s="65">
        <v>43523</v>
      </c>
      <c r="C7143" s="66" t="s">
        <v>218</v>
      </c>
      <c r="D7143" s="3" t="s">
        <v>26</v>
      </c>
      <c r="E7143" s="64">
        <v>1</v>
      </c>
    </row>
    <row r="7144" spans="1:5">
      <c r="A7144" s="64" t="s">
        <v>36</v>
      </c>
      <c r="B7144" s="65">
        <v>43524</v>
      </c>
      <c r="C7144" s="66" t="s">
        <v>219</v>
      </c>
      <c r="D7144" s="3" t="s">
        <v>26</v>
      </c>
      <c r="E7144" s="64">
        <v>1</v>
      </c>
    </row>
    <row r="7145" spans="1:5">
      <c r="A7145" s="64" t="s">
        <v>36</v>
      </c>
      <c r="B7145" s="65">
        <v>43525</v>
      </c>
      <c r="C7145" s="66" t="s">
        <v>220</v>
      </c>
      <c r="D7145" s="3" t="s">
        <v>26</v>
      </c>
      <c r="E7145" s="64">
        <v>1</v>
      </c>
    </row>
    <row r="7146" spans="1:5">
      <c r="A7146" s="64" t="s">
        <v>36</v>
      </c>
      <c r="B7146" s="65">
        <v>43528</v>
      </c>
      <c r="C7146" s="66" t="s">
        <v>216</v>
      </c>
      <c r="D7146" s="3" t="s">
        <v>26</v>
      </c>
      <c r="E7146" s="64">
        <v>1</v>
      </c>
    </row>
    <row r="7147" spans="1:5">
      <c r="A7147" s="64" t="s">
        <v>36</v>
      </c>
      <c r="B7147" s="65">
        <v>43529</v>
      </c>
      <c r="C7147" s="66" t="s">
        <v>217</v>
      </c>
      <c r="D7147" s="3" t="s">
        <v>26</v>
      </c>
      <c r="E7147" s="64">
        <v>1</v>
      </c>
    </row>
    <row r="7148" spans="1:5">
      <c r="A7148" s="64" t="s">
        <v>36</v>
      </c>
      <c r="B7148" s="65">
        <v>43530</v>
      </c>
      <c r="C7148" s="66" t="s">
        <v>218</v>
      </c>
      <c r="D7148" s="3" t="s">
        <v>26</v>
      </c>
      <c r="E7148" s="64">
        <v>1</v>
      </c>
    </row>
    <row r="7149" spans="1:5">
      <c r="A7149" s="64" t="s">
        <v>36</v>
      </c>
      <c r="B7149" s="65">
        <v>43531</v>
      </c>
      <c r="C7149" s="66" t="s">
        <v>219</v>
      </c>
      <c r="D7149" s="3" t="s">
        <v>26</v>
      </c>
      <c r="E7149" s="64">
        <v>1</v>
      </c>
    </row>
    <row r="7150" spans="1:5">
      <c r="A7150" s="64" t="s">
        <v>36</v>
      </c>
      <c r="B7150" s="65">
        <v>43532</v>
      </c>
      <c r="C7150" s="66" t="s">
        <v>220</v>
      </c>
      <c r="D7150" s="3" t="s">
        <v>26</v>
      </c>
      <c r="E7150" s="64">
        <v>1</v>
      </c>
    </row>
    <row r="7151" spans="1:5">
      <c r="A7151" s="64" t="s">
        <v>36</v>
      </c>
      <c r="B7151" s="65">
        <v>43535</v>
      </c>
      <c r="C7151" s="66" t="s">
        <v>216</v>
      </c>
      <c r="D7151" s="3" t="s">
        <v>26</v>
      </c>
      <c r="E7151" s="64">
        <v>1</v>
      </c>
    </row>
    <row r="7152" spans="1:5">
      <c r="A7152" s="64" t="s">
        <v>36</v>
      </c>
      <c r="B7152" s="65">
        <v>43536</v>
      </c>
      <c r="C7152" s="66" t="s">
        <v>217</v>
      </c>
      <c r="D7152" s="3" t="s">
        <v>26</v>
      </c>
      <c r="E7152" s="64">
        <v>1</v>
      </c>
    </row>
    <row r="7153" spans="1:5">
      <c r="A7153" s="64" t="s">
        <v>36</v>
      </c>
      <c r="B7153" s="65">
        <v>43537</v>
      </c>
      <c r="C7153" s="66" t="s">
        <v>218</v>
      </c>
      <c r="D7153" s="3" t="s">
        <v>26</v>
      </c>
      <c r="E7153" s="64">
        <v>1</v>
      </c>
    </row>
    <row r="7154" spans="1:5">
      <c r="A7154" s="64" t="s">
        <v>36</v>
      </c>
      <c r="B7154" s="65">
        <v>43538</v>
      </c>
      <c r="C7154" s="66" t="s">
        <v>219</v>
      </c>
      <c r="D7154" s="3" t="s">
        <v>26</v>
      </c>
      <c r="E7154" s="64">
        <v>1</v>
      </c>
    </row>
    <row r="7155" spans="1:5">
      <c r="A7155" s="64" t="s">
        <v>36</v>
      </c>
      <c r="B7155" s="65">
        <v>43539</v>
      </c>
      <c r="C7155" s="66" t="s">
        <v>220</v>
      </c>
      <c r="D7155" s="3" t="s">
        <v>26</v>
      </c>
      <c r="E7155" s="64">
        <v>1</v>
      </c>
    </row>
    <row r="7156" spans="1:5">
      <c r="A7156" s="64" t="s">
        <v>36</v>
      </c>
      <c r="B7156" s="65">
        <v>43542</v>
      </c>
      <c r="C7156" s="66" t="s">
        <v>216</v>
      </c>
      <c r="D7156" s="3" t="s">
        <v>26</v>
      </c>
      <c r="E7156" s="64">
        <v>1</v>
      </c>
    </row>
    <row r="7157" spans="1:5">
      <c r="A7157" s="64" t="s">
        <v>36</v>
      </c>
      <c r="B7157" s="65">
        <v>43543</v>
      </c>
      <c r="C7157" s="66" t="s">
        <v>217</v>
      </c>
      <c r="D7157" s="3" t="s">
        <v>26</v>
      </c>
      <c r="E7157" s="64">
        <v>1</v>
      </c>
    </row>
    <row r="7158" spans="1:5">
      <c r="A7158" s="64" t="s">
        <v>36</v>
      </c>
      <c r="B7158" s="65">
        <v>43544</v>
      </c>
      <c r="C7158" s="66" t="s">
        <v>218</v>
      </c>
      <c r="D7158" s="3" t="s">
        <v>26</v>
      </c>
      <c r="E7158" s="64">
        <v>1</v>
      </c>
    </row>
    <row r="7159" spans="1:5">
      <c r="A7159" s="64" t="s">
        <v>36</v>
      </c>
      <c r="B7159" s="65">
        <v>43545</v>
      </c>
      <c r="C7159" s="66" t="s">
        <v>219</v>
      </c>
      <c r="D7159" s="3" t="s">
        <v>26</v>
      </c>
      <c r="E7159" s="64">
        <v>1</v>
      </c>
    </row>
    <row r="7160" spans="1:5">
      <c r="A7160" s="64" t="s">
        <v>36</v>
      </c>
      <c r="B7160" s="65">
        <v>43546</v>
      </c>
      <c r="C7160" s="66" t="s">
        <v>220</v>
      </c>
      <c r="D7160" s="3" t="s">
        <v>26</v>
      </c>
      <c r="E7160" s="64">
        <v>1</v>
      </c>
    </row>
    <row r="7161" spans="1:5">
      <c r="A7161" s="64" t="s">
        <v>36</v>
      </c>
      <c r="B7161" s="65">
        <v>43549</v>
      </c>
      <c r="C7161" s="66" t="s">
        <v>216</v>
      </c>
      <c r="D7161" s="3" t="s">
        <v>26</v>
      </c>
      <c r="E7161" s="64">
        <v>1</v>
      </c>
    </row>
    <row r="7162" spans="1:5">
      <c r="A7162" s="64" t="s">
        <v>36</v>
      </c>
      <c r="B7162" s="65">
        <v>43550</v>
      </c>
      <c r="C7162" s="66" t="s">
        <v>217</v>
      </c>
      <c r="D7162" s="3" t="s">
        <v>26</v>
      </c>
      <c r="E7162" s="64">
        <v>1</v>
      </c>
    </row>
    <row r="7163" spans="1:5">
      <c r="A7163" s="64" t="s">
        <v>36</v>
      </c>
      <c r="B7163" s="65">
        <v>43551</v>
      </c>
      <c r="C7163" s="66" t="s">
        <v>218</v>
      </c>
      <c r="D7163" s="3" t="s">
        <v>26</v>
      </c>
      <c r="E7163" s="64">
        <v>1</v>
      </c>
    </row>
    <row r="7164" spans="1:5">
      <c r="A7164" s="64" t="s">
        <v>36</v>
      </c>
      <c r="B7164" s="65">
        <v>43552</v>
      </c>
      <c r="C7164" s="66" t="s">
        <v>219</v>
      </c>
      <c r="D7164" s="3" t="s">
        <v>26</v>
      </c>
      <c r="E7164" s="64">
        <v>1</v>
      </c>
    </row>
    <row r="7165" spans="1:5">
      <c r="A7165" s="64" t="s">
        <v>36</v>
      </c>
      <c r="B7165" s="65">
        <v>43553</v>
      </c>
      <c r="C7165" s="66" t="s">
        <v>220</v>
      </c>
      <c r="D7165" s="3" t="s">
        <v>26</v>
      </c>
      <c r="E7165" s="64">
        <v>1</v>
      </c>
    </row>
    <row r="7166" spans="1:5">
      <c r="A7166" s="64" t="s">
        <v>36</v>
      </c>
      <c r="B7166" s="65">
        <v>43556</v>
      </c>
      <c r="C7166" s="66" t="s">
        <v>216</v>
      </c>
      <c r="D7166" s="3" t="s">
        <v>26</v>
      </c>
      <c r="E7166" s="64">
        <v>1</v>
      </c>
    </row>
    <row r="7167" spans="1:5">
      <c r="A7167" s="64" t="s">
        <v>36</v>
      </c>
      <c r="B7167" s="65">
        <v>43557</v>
      </c>
      <c r="C7167" s="66" t="s">
        <v>217</v>
      </c>
      <c r="D7167" s="3" t="s">
        <v>26</v>
      </c>
      <c r="E7167" s="64">
        <v>1</v>
      </c>
    </row>
    <row r="7168" spans="1:5">
      <c r="A7168" s="64" t="s">
        <v>36</v>
      </c>
      <c r="B7168" s="65">
        <v>43558</v>
      </c>
      <c r="C7168" s="66" t="s">
        <v>218</v>
      </c>
      <c r="D7168" s="3" t="s">
        <v>26</v>
      </c>
      <c r="E7168" s="64">
        <v>1</v>
      </c>
    </row>
    <row r="7169" spans="1:5">
      <c r="A7169" s="64" t="s">
        <v>36</v>
      </c>
      <c r="B7169" s="65">
        <v>43559</v>
      </c>
      <c r="C7169" s="66" t="s">
        <v>219</v>
      </c>
      <c r="D7169" s="3" t="s">
        <v>26</v>
      </c>
      <c r="E7169" s="64">
        <v>1</v>
      </c>
    </row>
    <row r="7170" spans="1:5">
      <c r="A7170" s="64" t="s">
        <v>36</v>
      </c>
      <c r="B7170" s="65">
        <v>43560</v>
      </c>
      <c r="C7170" s="66" t="s">
        <v>220</v>
      </c>
      <c r="D7170" s="3" t="s">
        <v>26</v>
      </c>
      <c r="E7170" s="64">
        <v>1</v>
      </c>
    </row>
    <row r="7171" spans="1:5">
      <c r="A7171" s="64" t="s">
        <v>36</v>
      </c>
      <c r="B7171" s="65">
        <v>43563</v>
      </c>
      <c r="C7171" s="66" t="s">
        <v>216</v>
      </c>
      <c r="D7171" s="3" t="s">
        <v>26</v>
      </c>
      <c r="E7171" s="64">
        <v>1</v>
      </c>
    </row>
    <row r="7172" spans="1:5">
      <c r="A7172" s="64" t="s">
        <v>36</v>
      </c>
      <c r="B7172" s="65">
        <v>43564</v>
      </c>
      <c r="C7172" s="66" t="s">
        <v>217</v>
      </c>
      <c r="D7172" s="3" t="s">
        <v>26</v>
      </c>
      <c r="E7172" s="64">
        <v>1</v>
      </c>
    </row>
    <row r="7173" spans="1:5">
      <c r="A7173" s="64" t="s">
        <v>36</v>
      </c>
      <c r="B7173" s="65">
        <v>43565</v>
      </c>
      <c r="C7173" s="66" t="s">
        <v>218</v>
      </c>
      <c r="D7173" s="3" t="s">
        <v>26</v>
      </c>
      <c r="E7173" s="64">
        <v>1</v>
      </c>
    </row>
    <row r="7174" spans="1:5">
      <c r="A7174" s="64" t="s">
        <v>36</v>
      </c>
      <c r="B7174" s="65">
        <v>43566</v>
      </c>
      <c r="C7174" s="66" t="s">
        <v>219</v>
      </c>
      <c r="D7174" s="3" t="s">
        <v>26</v>
      </c>
      <c r="E7174" s="64">
        <v>1</v>
      </c>
    </row>
    <row r="7175" spans="1:5">
      <c r="A7175" s="64" t="s">
        <v>36</v>
      </c>
      <c r="B7175" s="65">
        <v>43567</v>
      </c>
      <c r="C7175" s="66" t="s">
        <v>220</v>
      </c>
      <c r="D7175" s="3" t="s">
        <v>26</v>
      </c>
      <c r="E7175" s="64">
        <v>1</v>
      </c>
    </row>
    <row r="7176" spans="1:5">
      <c r="A7176" s="64" t="s">
        <v>36</v>
      </c>
      <c r="B7176" s="65">
        <v>43570</v>
      </c>
      <c r="C7176" s="66" t="s">
        <v>216</v>
      </c>
      <c r="D7176" s="3" t="s">
        <v>26</v>
      </c>
      <c r="E7176" s="64">
        <v>1</v>
      </c>
    </row>
    <row r="7177" spans="1:5">
      <c r="A7177" s="64" t="s">
        <v>36</v>
      </c>
      <c r="B7177" s="65">
        <v>43571</v>
      </c>
      <c r="C7177" s="66" t="s">
        <v>217</v>
      </c>
      <c r="D7177" s="3" t="s">
        <v>26</v>
      </c>
      <c r="E7177" s="64">
        <v>1</v>
      </c>
    </row>
    <row r="7178" spans="1:5">
      <c r="A7178" s="64" t="s">
        <v>36</v>
      </c>
      <c r="B7178" s="65">
        <v>43572</v>
      </c>
      <c r="C7178" s="66" t="s">
        <v>218</v>
      </c>
      <c r="D7178" s="3" t="s">
        <v>26</v>
      </c>
      <c r="E7178" s="64">
        <v>1</v>
      </c>
    </row>
    <row r="7179" spans="1:5">
      <c r="A7179" s="64" t="s">
        <v>36</v>
      </c>
      <c r="B7179" s="65">
        <v>43573</v>
      </c>
      <c r="C7179" s="66" t="s">
        <v>219</v>
      </c>
      <c r="D7179" s="3" t="s">
        <v>26</v>
      </c>
      <c r="E7179" s="64">
        <v>1</v>
      </c>
    </row>
    <row r="7180" spans="1:5">
      <c r="A7180" s="64" t="s">
        <v>36</v>
      </c>
      <c r="B7180" s="65">
        <v>43574</v>
      </c>
      <c r="C7180" s="66" t="s">
        <v>220</v>
      </c>
      <c r="D7180" s="3" t="s">
        <v>26</v>
      </c>
      <c r="E7180" s="64">
        <v>1</v>
      </c>
    </row>
    <row r="7181" spans="1:5">
      <c r="A7181" s="64" t="s">
        <v>36</v>
      </c>
      <c r="B7181" s="65">
        <v>43577</v>
      </c>
      <c r="C7181" s="66" t="s">
        <v>216</v>
      </c>
      <c r="D7181" s="3" t="s">
        <v>26</v>
      </c>
      <c r="E7181" s="64">
        <v>1</v>
      </c>
    </row>
    <row r="7182" spans="1:5">
      <c r="A7182" s="64" t="s">
        <v>36</v>
      </c>
      <c r="B7182" s="65">
        <v>43578</v>
      </c>
      <c r="C7182" s="66" t="s">
        <v>217</v>
      </c>
      <c r="D7182" s="3" t="s">
        <v>26</v>
      </c>
      <c r="E7182" s="64">
        <v>1</v>
      </c>
    </row>
    <row r="7183" spans="1:5">
      <c r="A7183" s="64" t="s">
        <v>36</v>
      </c>
      <c r="B7183" s="65">
        <v>43579</v>
      </c>
      <c r="C7183" s="66" t="s">
        <v>218</v>
      </c>
      <c r="D7183" s="3" t="s">
        <v>26</v>
      </c>
      <c r="E7183" s="64">
        <v>1</v>
      </c>
    </row>
    <row r="7184" spans="1:5">
      <c r="A7184" s="64" t="s">
        <v>36</v>
      </c>
      <c r="B7184" s="65">
        <v>43580</v>
      </c>
      <c r="C7184" s="66" t="s">
        <v>219</v>
      </c>
      <c r="D7184" s="3" t="s">
        <v>26</v>
      </c>
      <c r="E7184" s="64">
        <v>1</v>
      </c>
    </row>
    <row r="7185" spans="1:5">
      <c r="A7185" s="64" t="s">
        <v>36</v>
      </c>
      <c r="B7185" s="65">
        <v>43581</v>
      </c>
      <c r="C7185" s="66" t="s">
        <v>220</v>
      </c>
      <c r="D7185" s="3" t="s">
        <v>26</v>
      </c>
      <c r="E7185" s="64">
        <v>1</v>
      </c>
    </row>
    <row r="7186" spans="1:5">
      <c r="A7186" s="64" t="s">
        <v>36</v>
      </c>
      <c r="B7186" s="65">
        <v>43584</v>
      </c>
      <c r="C7186" s="66" t="s">
        <v>216</v>
      </c>
      <c r="D7186" s="3" t="s">
        <v>26</v>
      </c>
      <c r="E7186" s="64">
        <v>1</v>
      </c>
    </row>
    <row r="7187" spans="1:5">
      <c r="A7187" s="64" t="s">
        <v>36</v>
      </c>
      <c r="B7187" s="65">
        <v>43585</v>
      </c>
      <c r="C7187" s="66" t="s">
        <v>217</v>
      </c>
      <c r="D7187" s="3" t="s">
        <v>26</v>
      </c>
      <c r="E7187" s="64">
        <v>1</v>
      </c>
    </row>
    <row r="7188" spans="1:5">
      <c r="A7188" s="64" t="s">
        <v>36</v>
      </c>
      <c r="B7188" s="65">
        <v>43586</v>
      </c>
      <c r="C7188" s="66" t="s">
        <v>218</v>
      </c>
      <c r="D7188" s="3" t="s">
        <v>26</v>
      </c>
      <c r="E7188" s="64">
        <v>1</v>
      </c>
    </row>
    <row r="7189" spans="1:5">
      <c r="A7189" s="64" t="s">
        <v>36</v>
      </c>
      <c r="B7189" s="65">
        <v>43587</v>
      </c>
      <c r="C7189" s="66" t="s">
        <v>219</v>
      </c>
      <c r="D7189" s="3" t="s">
        <v>26</v>
      </c>
      <c r="E7189" s="64">
        <v>1</v>
      </c>
    </row>
    <row r="7190" spans="1:5">
      <c r="A7190" s="64" t="s">
        <v>36</v>
      </c>
      <c r="B7190" s="65">
        <v>43588</v>
      </c>
      <c r="C7190" s="66" t="s">
        <v>220</v>
      </c>
      <c r="D7190" s="3" t="s">
        <v>26</v>
      </c>
      <c r="E7190" s="64">
        <v>1</v>
      </c>
    </row>
    <row r="7191" spans="1:5">
      <c r="A7191" s="64" t="s">
        <v>36</v>
      </c>
      <c r="B7191" s="65">
        <v>43591</v>
      </c>
      <c r="C7191" s="66" t="s">
        <v>216</v>
      </c>
      <c r="D7191" s="3" t="s">
        <v>26</v>
      </c>
      <c r="E7191" s="64">
        <v>1</v>
      </c>
    </row>
    <row r="7192" spans="1:5">
      <c r="A7192" s="64" t="s">
        <v>36</v>
      </c>
      <c r="B7192" s="65">
        <v>43592</v>
      </c>
      <c r="C7192" s="66" t="s">
        <v>217</v>
      </c>
      <c r="D7192" s="3" t="s">
        <v>26</v>
      </c>
      <c r="E7192" s="64">
        <v>1</v>
      </c>
    </row>
    <row r="7193" spans="1:5">
      <c r="A7193" s="64" t="s">
        <v>36</v>
      </c>
      <c r="B7193" s="65">
        <v>43593</v>
      </c>
      <c r="C7193" s="66" t="s">
        <v>218</v>
      </c>
      <c r="D7193" s="3" t="s">
        <v>26</v>
      </c>
      <c r="E7193" s="64">
        <v>1</v>
      </c>
    </row>
    <row r="7194" spans="1:5">
      <c r="A7194" s="64" t="s">
        <v>36</v>
      </c>
      <c r="B7194" s="65">
        <v>43594</v>
      </c>
      <c r="C7194" s="66" t="s">
        <v>219</v>
      </c>
      <c r="D7194" s="3" t="s">
        <v>26</v>
      </c>
      <c r="E7194" s="64">
        <v>1</v>
      </c>
    </row>
    <row r="7195" spans="1:5">
      <c r="A7195" s="64" t="s">
        <v>36</v>
      </c>
      <c r="B7195" s="65">
        <v>43595</v>
      </c>
      <c r="C7195" s="66" t="s">
        <v>220</v>
      </c>
      <c r="D7195" s="3" t="s">
        <v>26</v>
      </c>
      <c r="E7195" s="64">
        <v>1</v>
      </c>
    </row>
    <row r="7196" spans="1:5">
      <c r="A7196" s="64" t="s">
        <v>36</v>
      </c>
      <c r="B7196" s="65">
        <v>43598</v>
      </c>
      <c r="C7196" s="66" t="s">
        <v>216</v>
      </c>
      <c r="D7196" s="3" t="s">
        <v>26</v>
      </c>
      <c r="E7196" s="64">
        <v>1</v>
      </c>
    </row>
    <row r="7197" spans="1:5">
      <c r="A7197" s="64" t="s">
        <v>36</v>
      </c>
      <c r="B7197" s="65">
        <v>43599</v>
      </c>
      <c r="C7197" s="66" t="s">
        <v>217</v>
      </c>
      <c r="D7197" s="3" t="s">
        <v>26</v>
      </c>
      <c r="E7197" s="64">
        <v>1</v>
      </c>
    </row>
    <row r="7198" spans="1:5">
      <c r="A7198" s="64" t="s">
        <v>36</v>
      </c>
      <c r="B7198" s="65">
        <v>43600</v>
      </c>
      <c r="C7198" s="66" t="s">
        <v>218</v>
      </c>
      <c r="D7198" s="3" t="s">
        <v>26</v>
      </c>
      <c r="E7198" s="64">
        <v>1</v>
      </c>
    </row>
    <row r="7199" spans="1:5">
      <c r="A7199" s="64" t="s">
        <v>36</v>
      </c>
      <c r="B7199" s="65">
        <v>43601</v>
      </c>
      <c r="C7199" s="66" t="s">
        <v>219</v>
      </c>
      <c r="D7199" s="3" t="s">
        <v>26</v>
      </c>
      <c r="E7199" s="64">
        <v>1</v>
      </c>
    </row>
    <row r="7200" spans="1:5">
      <c r="A7200" s="64" t="s">
        <v>36</v>
      </c>
      <c r="B7200" s="65">
        <v>43602</v>
      </c>
      <c r="C7200" s="66" t="s">
        <v>220</v>
      </c>
      <c r="D7200" s="3" t="s">
        <v>26</v>
      </c>
      <c r="E7200" s="64">
        <v>1</v>
      </c>
    </row>
    <row r="7201" spans="1:5">
      <c r="A7201" s="64" t="s">
        <v>36</v>
      </c>
      <c r="B7201" s="65">
        <v>43605</v>
      </c>
      <c r="C7201" s="66" t="s">
        <v>216</v>
      </c>
      <c r="D7201" s="3" t="s">
        <v>26</v>
      </c>
      <c r="E7201" s="64">
        <v>1</v>
      </c>
    </row>
    <row r="7202" spans="1:5">
      <c r="A7202" s="64" t="s">
        <v>36</v>
      </c>
      <c r="B7202" s="65">
        <v>43606</v>
      </c>
      <c r="C7202" s="66" t="s">
        <v>217</v>
      </c>
      <c r="D7202" s="3" t="s">
        <v>26</v>
      </c>
      <c r="E7202" s="64">
        <v>1</v>
      </c>
    </row>
    <row r="7203" spans="1:5">
      <c r="A7203" s="64" t="s">
        <v>36</v>
      </c>
      <c r="B7203" s="65">
        <v>43607</v>
      </c>
      <c r="C7203" s="66" t="s">
        <v>218</v>
      </c>
      <c r="D7203" s="3" t="s">
        <v>26</v>
      </c>
      <c r="E7203" s="64">
        <v>1</v>
      </c>
    </row>
    <row r="7204" spans="1:5">
      <c r="A7204" s="64" t="s">
        <v>36</v>
      </c>
      <c r="B7204" s="65">
        <v>43608</v>
      </c>
      <c r="C7204" s="66" t="s">
        <v>219</v>
      </c>
      <c r="D7204" s="3" t="s">
        <v>26</v>
      </c>
      <c r="E7204" s="64">
        <v>1</v>
      </c>
    </row>
    <row r="7205" spans="1:5">
      <c r="A7205" s="64" t="s">
        <v>36</v>
      </c>
      <c r="B7205" s="65">
        <v>43609</v>
      </c>
      <c r="C7205" s="66" t="s">
        <v>220</v>
      </c>
      <c r="D7205" s="3" t="s">
        <v>26</v>
      </c>
      <c r="E7205" s="64">
        <v>1</v>
      </c>
    </row>
    <row r="7206" spans="1:5">
      <c r="A7206" s="64" t="s">
        <v>36</v>
      </c>
      <c r="B7206" s="65">
        <v>43612</v>
      </c>
      <c r="C7206" s="66" t="s">
        <v>216</v>
      </c>
      <c r="D7206" s="3" t="s">
        <v>26</v>
      </c>
      <c r="E7206" s="64">
        <v>1</v>
      </c>
    </row>
    <row r="7207" spans="1:5">
      <c r="A7207" s="64" t="s">
        <v>36</v>
      </c>
      <c r="B7207" s="65">
        <v>43613</v>
      </c>
      <c r="C7207" s="66" t="s">
        <v>217</v>
      </c>
      <c r="D7207" s="3" t="s">
        <v>26</v>
      </c>
      <c r="E7207" s="64">
        <v>1</v>
      </c>
    </row>
    <row r="7208" spans="1:5">
      <c r="A7208" s="64" t="s">
        <v>36</v>
      </c>
      <c r="B7208" s="65">
        <v>43614</v>
      </c>
      <c r="C7208" s="66" t="s">
        <v>218</v>
      </c>
      <c r="D7208" s="3" t="s">
        <v>26</v>
      </c>
      <c r="E7208" s="64">
        <v>1</v>
      </c>
    </row>
    <row r="7209" spans="1:5">
      <c r="A7209" s="64" t="s">
        <v>36</v>
      </c>
      <c r="B7209" s="65">
        <v>43615</v>
      </c>
      <c r="C7209" s="66" t="s">
        <v>219</v>
      </c>
      <c r="D7209" s="3" t="s">
        <v>26</v>
      </c>
      <c r="E7209" s="64">
        <v>1</v>
      </c>
    </row>
    <row r="7210" spans="1:5">
      <c r="A7210" s="64" t="s">
        <v>36</v>
      </c>
      <c r="B7210" s="65">
        <v>43616</v>
      </c>
      <c r="C7210" s="66" t="s">
        <v>220</v>
      </c>
      <c r="D7210" s="3" t="s">
        <v>26</v>
      </c>
      <c r="E7210" s="64">
        <v>1</v>
      </c>
    </row>
    <row r="7211" spans="1:5">
      <c r="A7211" s="64" t="s">
        <v>36</v>
      </c>
      <c r="B7211" s="65">
        <v>43557</v>
      </c>
      <c r="C7211" s="66" t="s">
        <v>217</v>
      </c>
      <c r="D7211" s="3" t="s">
        <v>37</v>
      </c>
      <c r="E7211" s="64">
        <v>1</v>
      </c>
    </row>
    <row r="7212" spans="1:5">
      <c r="A7212" s="64" t="s">
        <v>36</v>
      </c>
      <c r="B7212" s="65">
        <v>43558</v>
      </c>
      <c r="C7212" s="66" t="s">
        <v>218</v>
      </c>
      <c r="D7212" s="3" t="s">
        <v>37</v>
      </c>
      <c r="E7212" s="64">
        <v>1</v>
      </c>
    </row>
    <row r="7213" spans="1:5">
      <c r="A7213" s="64" t="s">
        <v>36</v>
      </c>
      <c r="B7213" s="65">
        <v>43559</v>
      </c>
      <c r="C7213" s="66" t="s">
        <v>219</v>
      </c>
      <c r="D7213" s="3" t="s">
        <v>37</v>
      </c>
      <c r="E7213" s="64">
        <v>1</v>
      </c>
    </row>
    <row r="7214" spans="1:5">
      <c r="A7214" s="64" t="s">
        <v>36</v>
      </c>
      <c r="B7214" s="65">
        <v>43560</v>
      </c>
      <c r="C7214" s="66" t="s">
        <v>220</v>
      </c>
      <c r="D7214" s="3" t="s">
        <v>37</v>
      </c>
      <c r="E7214" s="64">
        <v>1</v>
      </c>
    </row>
    <row r="7215" spans="1:5">
      <c r="A7215" s="64" t="s">
        <v>36</v>
      </c>
      <c r="B7215" s="65">
        <v>43561</v>
      </c>
      <c r="C7215" s="66" t="s">
        <v>221</v>
      </c>
      <c r="D7215" s="3" t="s">
        <v>37</v>
      </c>
      <c r="E7215" s="64">
        <v>1</v>
      </c>
    </row>
    <row r="7216" spans="1:5">
      <c r="A7216" s="64" t="s">
        <v>36</v>
      </c>
      <c r="B7216" s="65">
        <v>43562</v>
      </c>
      <c r="C7216" s="66" t="s">
        <v>222</v>
      </c>
      <c r="D7216" s="3" t="s">
        <v>37</v>
      </c>
      <c r="E7216" s="64">
        <v>1</v>
      </c>
    </row>
    <row r="7217" spans="1:5">
      <c r="A7217" s="64" t="s">
        <v>36</v>
      </c>
      <c r="B7217" s="65">
        <v>43563</v>
      </c>
      <c r="C7217" s="66" t="s">
        <v>216</v>
      </c>
      <c r="D7217" s="3" t="s">
        <v>37</v>
      </c>
      <c r="E7217" s="64">
        <v>1</v>
      </c>
    </row>
    <row r="7218" spans="1:5">
      <c r="A7218" s="64" t="s">
        <v>36</v>
      </c>
      <c r="B7218" s="65">
        <v>43564</v>
      </c>
      <c r="C7218" s="66" t="s">
        <v>217</v>
      </c>
      <c r="D7218" s="3" t="s">
        <v>37</v>
      </c>
      <c r="E7218" s="64">
        <v>1</v>
      </c>
    </row>
    <row r="7219" spans="1:5">
      <c r="A7219" s="64" t="s">
        <v>36</v>
      </c>
      <c r="B7219" s="65">
        <v>43565</v>
      </c>
      <c r="C7219" s="66" t="s">
        <v>218</v>
      </c>
      <c r="D7219" s="3" t="s">
        <v>37</v>
      </c>
      <c r="E7219" s="64">
        <v>1</v>
      </c>
    </row>
    <row r="7220" spans="1:5">
      <c r="A7220" s="64" t="s">
        <v>36</v>
      </c>
      <c r="B7220" s="65">
        <v>43566</v>
      </c>
      <c r="C7220" s="66" t="s">
        <v>219</v>
      </c>
      <c r="D7220" s="3" t="s">
        <v>37</v>
      </c>
      <c r="E7220" s="64">
        <v>1</v>
      </c>
    </row>
    <row r="7221" spans="1:5">
      <c r="A7221" s="64" t="s">
        <v>36</v>
      </c>
      <c r="B7221" s="65">
        <v>43567</v>
      </c>
      <c r="C7221" s="66" t="s">
        <v>220</v>
      </c>
      <c r="D7221" s="3" t="s">
        <v>37</v>
      </c>
      <c r="E7221" s="64">
        <v>1</v>
      </c>
    </row>
    <row r="7222" spans="1:5">
      <c r="A7222" s="64" t="s">
        <v>36</v>
      </c>
      <c r="B7222" s="65">
        <v>43568</v>
      </c>
      <c r="C7222" s="66" t="s">
        <v>221</v>
      </c>
      <c r="D7222" s="3" t="s">
        <v>37</v>
      </c>
      <c r="E7222" s="64">
        <v>1</v>
      </c>
    </row>
    <row r="7223" spans="1:5">
      <c r="A7223" s="64" t="s">
        <v>36</v>
      </c>
      <c r="B7223" s="65">
        <v>43569</v>
      </c>
      <c r="C7223" s="66" t="s">
        <v>222</v>
      </c>
      <c r="D7223" s="3" t="s">
        <v>37</v>
      </c>
      <c r="E7223" s="64">
        <v>1</v>
      </c>
    </row>
    <row r="7224" spans="1:5">
      <c r="A7224" s="64" t="s">
        <v>36</v>
      </c>
      <c r="B7224" s="65">
        <v>43570</v>
      </c>
      <c r="C7224" s="66" t="s">
        <v>216</v>
      </c>
      <c r="D7224" s="3" t="s">
        <v>37</v>
      </c>
      <c r="E7224" s="64">
        <v>1</v>
      </c>
    </row>
    <row r="7225" spans="1:5">
      <c r="A7225" s="64" t="s">
        <v>36</v>
      </c>
      <c r="B7225" s="65">
        <v>43571</v>
      </c>
      <c r="C7225" s="66" t="s">
        <v>217</v>
      </c>
      <c r="D7225" s="3" t="s">
        <v>37</v>
      </c>
      <c r="E7225" s="64">
        <v>1</v>
      </c>
    </row>
    <row r="7226" spans="1:5">
      <c r="A7226" s="64" t="s">
        <v>36</v>
      </c>
      <c r="B7226" s="65">
        <v>43572</v>
      </c>
      <c r="C7226" s="66" t="s">
        <v>218</v>
      </c>
      <c r="D7226" s="3" t="s">
        <v>37</v>
      </c>
      <c r="E7226" s="64">
        <v>1</v>
      </c>
    </row>
    <row r="7227" spans="1:5">
      <c r="A7227" s="64" t="s">
        <v>36</v>
      </c>
      <c r="B7227" s="65">
        <v>43573</v>
      </c>
      <c r="C7227" s="66" t="s">
        <v>219</v>
      </c>
      <c r="D7227" s="3" t="s">
        <v>37</v>
      </c>
      <c r="E7227" s="64">
        <v>1</v>
      </c>
    </row>
    <row r="7228" spans="1:5">
      <c r="A7228" s="64" t="s">
        <v>36</v>
      </c>
      <c r="B7228" s="65">
        <v>43574</v>
      </c>
      <c r="C7228" s="66" t="s">
        <v>220</v>
      </c>
      <c r="D7228" s="3" t="s">
        <v>37</v>
      </c>
      <c r="E7228" s="64">
        <v>1</v>
      </c>
    </row>
    <row r="7229" spans="1:5">
      <c r="A7229" s="64" t="s">
        <v>36</v>
      </c>
      <c r="B7229" s="65">
        <v>43575</v>
      </c>
      <c r="C7229" s="66" t="s">
        <v>221</v>
      </c>
      <c r="D7229" s="3" t="s">
        <v>37</v>
      </c>
      <c r="E7229" s="64">
        <v>1</v>
      </c>
    </row>
    <row r="7230" spans="1:5">
      <c r="A7230" s="64" t="s">
        <v>36</v>
      </c>
      <c r="B7230" s="65">
        <v>43576</v>
      </c>
      <c r="C7230" s="66" t="s">
        <v>222</v>
      </c>
      <c r="D7230" s="3" t="s">
        <v>37</v>
      </c>
      <c r="E7230" s="64">
        <v>1</v>
      </c>
    </row>
    <row r="7231" spans="1:5">
      <c r="A7231" s="64" t="s">
        <v>36</v>
      </c>
      <c r="B7231" s="65">
        <v>43577</v>
      </c>
      <c r="C7231" s="66" t="s">
        <v>216</v>
      </c>
      <c r="D7231" s="3" t="s">
        <v>37</v>
      </c>
      <c r="E7231" s="64">
        <v>1</v>
      </c>
    </row>
    <row r="7232" spans="1:5">
      <c r="A7232" s="64" t="s">
        <v>36</v>
      </c>
      <c r="B7232" s="65">
        <v>43578</v>
      </c>
      <c r="C7232" s="66" t="s">
        <v>217</v>
      </c>
      <c r="D7232" s="3" t="s">
        <v>37</v>
      </c>
      <c r="E7232" s="64">
        <v>1</v>
      </c>
    </row>
    <row r="7233" spans="1:5">
      <c r="A7233" s="64" t="s">
        <v>36</v>
      </c>
      <c r="B7233" s="65">
        <v>43579</v>
      </c>
      <c r="C7233" s="66" t="s">
        <v>218</v>
      </c>
      <c r="D7233" s="3" t="s">
        <v>37</v>
      </c>
      <c r="E7233" s="64">
        <v>1</v>
      </c>
    </row>
    <row r="7234" spans="1:5">
      <c r="A7234" s="64" t="s">
        <v>36</v>
      </c>
      <c r="B7234" s="65">
        <v>43580</v>
      </c>
      <c r="C7234" s="66" t="s">
        <v>219</v>
      </c>
      <c r="D7234" s="3" t="s">
        <v>37</v>
      </c>
      <c r="E7234" s="64">
        <v>1</v>
      </c>
    </row>
    <row r="7235" spans="1:5">
      <c r="A7235" s="64" t="s">
        <v>36</v>
      </c>
      <c r="B7235" s="65">
        <v>43581</v>
      </c>
      <c r="C7235" s="66" t="s">
        <v>220</v>
      </c>
      <c r="D7235" s="3" t="s">
        <v>37</v>
      </c>
      <c r="E7235" s="64">
        <v>1</v>
      </c>
    </row>
    <row r="7236" spans="1:5">
      <c r="A7236" s="64" t="s">
        <v>36</v>
      </c>
      <c r="B7236" s="65">
        <v>43582</v>
      </c>
      <c r="C7236" s="66" t="s">
        <v>221</v>
      </c>
      <c r="D7236" s="3" t="s">
        <v>37</v>
      </c>
      <c r="E7236" s="64">
        <v>1</v>
      </c>
    </row>
    <row r="7237" spans="1:5">
      <c r="A7237" s="64" t="s">
        <v>36</v>
      </c>
      <c r="B7237" s="65">
        <v>43583</v>
      </c>
      <c r="C7237" s="66" t="s">
        <v>222</v>
      </c>
      <c r="D7237" s="3" t="s">
        <v>37</v>
      </c>
      <c r="E7237" s="64">
        <v>1</v>
      </c>
    </row>
    <row r="7238" spans="1:5">
      <c r="A7238" s="64" t="s">
        <v>36</v>
      </c>
      <c r="B7238" s="65">
        <v>43584</v>
      </c>
      <c r="C7238" s="66" t="s">
        <v>216</v>
      </c>
      <c r="D7238" s="3" t="s">
        <v>37</v>
      </c>
      <c r="E7238" s="64">
        <v>1</v>
      </c>
    </row>
    <row r="7239" spans="1:5">
      <c r="A7239" s="64" t="s">
        <v>36</v>
      </c>
      <c r="B7239" s="65">
        <v>43585</v>
      </c>
      <c r="C7239" s="66" t="s">
        <v>217</v>
      </c>
      <c r="D7239" s="3" t="s">
        <v>37</v>
      </c>
      <c r="E7239" s="64">
        <v>1</v>
      </c>
    </row>
    <row r="7240" spans="1:5">
      <c r="A7240" s="64" t="s">
        <v>36</v>
      </c>
      <c r="B7240" s="65">
        <v>43586</v>
      </c>
      <c r="C7240" s="66" t="s">
        <v>218</v>
      </c>
      <c r="D7240" s="3" t="s">
        <v>37</v>
      </c>
      <c r="E7240" s="64">
        <v>1</v>
      </c>
    </row>
    <row r="7241" spans="1:5">
      <c r="A7241" s="64" t="s">
        <v>36</v>
      </c>
      <c r="B7241" s="65">
        <v>43587</v>
      </c>
      <c r="C7241" s="66" t="s">
        <v>219</v>
      </c>
      <c r="D7241" s="3" t="s">
        <v>37</v>
      </c>
      <c r="E7241" s="64">
        <v>1</v>
      </c>
    </row>
    <row r="7242" spans="1:5">
      <c r="A7242" s="64" t="s">
        <v>36</v>
      </c>
      <c r="B7242" s="65">
        <v>43588</v>
      </c>
      <c r="C7242" s="66" t="s">
        <v>220</v>
      </c>
      <c r="D7242" s="3" t="s">
        <v>37</v>
      </c>
      <c r="E7242" s="64">
        <v>1</v>
      </c>
    </row>
    <row r="7243" spans="1:5">
      <c r="A7243" s="64" t="s">
        <v>36</v>
      </c>
      <c r="B7243" s="65">
        <v>43589</v>
      </c>
      <c r="C7243" s="66" t="s">
        <v>221</v>
      </c>
      <c r="D7243" s="3" t="s">
        <v>37</v>
      </c>
      <c r="E7243" s="64">
        <v>1</v>
      </c>
    </row>
    <row r="7244" spans="1:5">
      <c r="A7244" s="64" t="s">
        <v>36</v>
      </c>
      <c r="B7244" s="65">
        <v>43590</v>
      </c>
      <c r="C7244" s="66" t="s">
        <v>222</v>
      </c>
      <c r="D7244" s="3" t="s">
        <v>37</v>
      </c>
      <c r="E7244" s="64">
        <v>1</v>
      </c>
    </row>
    <row r="7245" spans="1:5">
      <c r="A7245" s="64" t="s">
        <v>36</v>
      </c>
      <c r="B7245" s="65">
        <v>43591</v>
      </c>
      <c r="C7245" s="66" t="s">
        <v>216</v>
      </c>
      <c r="D7245" s="3" t="s">
        <v>37</v>
      </c>
      <c r="E7245" s="64">
        <v>1</v>
      </c>
    </row>
    <row r="7246" spans="1:5">
      <c r="A7246" s="64" t="s">
        <v>36</v>
      </c>
      <c r="B7246" s="65">
        <v>43592</v>
      </c>
      <c r="C7246" s="66" t="s">
        <v>217</v>
      </c>
      <c r="D7246" s="3" t="s">
        <v>37</v>
      </c>
      <c r="E7246" s="64">
        <v>1</v>
      </c>
    </row>
    <row r="7247" spans="1:5">
      <c r="A7247" s="64" t="s">
        <v>36</v>
      </c>
      <c r="B7247" s="65">
        <v>43593</v>
      </c>
      <c r="C7247" s="66" t="s">
        <v>218</v>
      </c>
      <c r="D7247" s="3" t="s">
        <v>37</v>
      </c>
      <c r="E7247" s="64">
        <v>1</v>
      </c>
    </row>
    <row r="7248" spans="1:5">
      <c r="A7248" s="64" t="s">
        <v>36</v>
      </c>
      <c r="B7248" s="65">
        <v>43594</v>
      </c>
      <c r="C7248" s="66" t="s">
        <v>219</v>
      </c>
      <c r="D7248" s="3" t="s">
        <v>37</v>
      </c>
      <c r="E7248" s="64">
        <v>1</v>
      </c>
    </row>
    <row r="7249" spans="1:5">
      <c r="A7249" s="64" t="s">
        <v>36</v>
      </c>
      <c r="B7249" s="65">
        <v>43595</v>
      </c>
      <c r="C7249" s="66" t="s">
        <v>220</v>
      </c>
      <c r="D7249" s="3" t="s">
        <v>37</v>
      </c>
      <c r="E7249" s="64">
        <v>1</v>
      </c>
    </row>
    <row r="7250" spans="1:5">
      <c r="A7250" s="64" t="s">
        <v>36</v>
      </c>
      <c r="B7250" s="65">
        <v>43596</v>
      </c>
      <c r="C7250" s="66" t="s">
        <v>221</v>
      </c>
      <c r="D7250" s="3" t="s">
        <v>37</v>
      </c>
      <c r="E7250" s="64">
        <v>1</v>
      </c>
    </row>
    <row r="7251" spans="1:5">
      <c r="A7251" s="64" t="s">
        <v>36</v>
      </c>
      <c r="B7251" s="65">
        <v>43597</v>
      </c>
      <c r="C7251" s="66" t="s">
        <v>222</v>
      </c>
      <c r="D7251" s="3" t="s">
        <v>37</v>
      </c>
      <c r="E7251" s="64">
        <v>1</v>
      </c>
    </row>
    <row r="7252" spans="1:5">
      <c r="A7252" s="64" t="s">
        <v>36</v>
      </c>
      <c r="B7252" s="65">
        <v>43598</v>
      </c>
      <c r="C7252" s="66" t="s">
        <v>216</v>
      </c>
      <c r="D7252" s="3" t="s">
        <v>37</v>
      </c>
      <c r="E7252" s="64">
        <v>1</v>
      </c>
    </row>
    <row r="7253" spans="1:5">
      <c r="A7253" s="64" t="s">
        <v>36</v>
      </c>
      <c r="B7253" s="65">
        <v>43599</v>
      </c>
      <c r="C7253" s="66" t="s">
        <v>217</v>
      </c>
      <c r="D7253" s="3" t="s">
        <v>37</v>
      </c>
      <c r="E7253" s="64">
        <v>1</v>
      </c>
    </row>
    <row r="7254" spans="1:5">
      <c r="A7254" s="64" t="s">
        <v>36</v>
      </c>
      <c r="B7254" s="65">
        <v>43600</v>
      </c>
      <c r="C7254" s="66" t="s">
        <v>218</v>
      </c>
      <c r="D7254" s="3" t="s">
        <v>37</v>
      </c>
      <c r="E7254" s="64">
        <v>1</v>
      </c>
    </row>
    <row r="7255" spans="1:5">
      <c r="A7255" s="64" t="s">
        <v>36</v>
      </c>
      <c r="B7255" s="65">
        <v>43601</v>
      </c>
      <c r="C7255" s="66" t="s">
        <v>219</v>
      </c>
      <c r="D7255" s="3" t="s">
        <v>37</v>
      </c>
      <c r="E7255" s="64">
        <v>1</v>
      </c>
    </row>
    <row r="7256" spans="1:5">
      <c r="A7256" s="64" t="s">
        <v>36</v>
      </c>
      <c r="B7256" s="65">
        <v>43602</v>
      </c>
      <c r="C7256" s="66" t="s">
        <v>220</v>
      </c>
      <c r="D7256" s="3" t="s">
        <v>37</v>
      </c>
      <c r="E7256" s="64">
        <v>1</v>
      </c>
    </row>
    <row r="7257" spans="1:5">
      <c r="A7257" s="64" t="s">
        <v>36</v>
      </c>
      <c r="B7257" s="65">
        <v>43603</v>
      </c>
      <c r="C7257" s="66" t="s">
        <v>221</v>
      </c>
      <c r="D7257" s="3" t="s">
        <v>37</v>
      </c>
      <c r="E7257" s="64">
        <v>1</v>
      </c>
    </row>
    <row r="7258" spans="1:5">
      <c r="A7258" s="64" t="s">
        <v>36</v>
      </c>
      <c r="B7258" s="65">
        <v>43604</v>
      </c>
      <c r="C7258" s="66" t="s">
        <v>222</v>
      </c>
      <c r="D7258" s="3" t="s">
        <v>37</v>
      </c>
      <c r="E7258" s="64">
        <v>1</v>
      </c>
    </row>
    <row r="7259" spans="1:5">
      <c r="A7259" s="64" t="s">
        <v>36</v>
      </c>
      <c r="B7259" s="65">
        <v>43605</v>
      </c>
      <c r="C7259" s="66" t="s">
        <v>216</v>
      </c>
      <c r="D7259" s="3" t="s">
        <v>37</v>
      </c>
      <c r="E7259" s="64">
        <v>1</v>
      </c>
    </row>
    <row r="7260" spans="1:5">
      <c r="A7260" s="64" t="s">
        <v>36</v>
      </c>
      <c r="B7260" s="65">
        <v>43606</v>
      </c>
      <c r="C7260" s="66" t="s">
        <v>217</v>
      </c>
      <c r="D7260" s="3" t="s">
        <v>37</v>
      </c>
      <c r="E7260" s="64">
        <v>1</v>
      </c>
    </row>
    <row r="7261" spans="1:5">
      <c r="A7261" s="64" t="s">
        <v>36</v>
      </c>
      <c r="B7261" s="65">
        <v>43607</v>
      </c>
      <c r="C7261" s="66" t="s">
        <v>218</v>
      </c>
      <c r="D7261" s="3" t="s">
        <v>37</v>
      </c>
      <c r="E7261" s="64">
        <v>1</v>
      </c>
    </row>
    <row r="7262" spans="1:5">
      <c r="A7262" s="64" t="s">
        <v>36</v>
      </c>
      <c r="B7262" s="65">
        <v>43608</v>
      </c>
      <c r="C7262" s="66" t="s">
        <v>219</v>
      </c>
      <c r="D7262" s="3" t="s">
        <v>37</v>
      </c>
      <c r="E7262" s="64">
        <v>1</v>
      </c>
    </row>
    <row r="7263" spans="1:5">
      <c r="A7263" s="64" t="s">
        <v>36</v>
      </c>
      <c r="B7263" s="65">
        <v>43609</v>
      </c>
      <c r="C7263" s="66" t="s">
        <v>220</v>
      </c>
      <c r="D7263" s="3" t="s">
        <v>37</v>
      </c>
      <c r="E7263" s="64">
        <v>1</v>
      </c>
    </row>
    <row r="7264" spans="1:5">
      <c r="A7264" s="64" t="s">
        <v>36</v>
      </c>
      <c r="B7264" s="65">
        <v>43610</v>
      </c>
      <c r="C7264" s="66" t="s">
        <v>221</v>
      </c>
      <c r="D7264" s="3" t="s">
        <v>37</v>
      </c>
      <c r="E7264" s="64">
        <v>1</v>
      </c>
    </row>
    <row r="7265" spans="1:5">
      <c r="A7265" s="64" t="s">
        <v>36</v>
      </c>
      <c r="B7265" s="65">
        <v>43611</v>
      </c>
      <c r="C7265" s="66" t="s">
        <v>222</v>
      </c>
      <c r="D7265" s="3" t="s">
        <v>37</v>
      </c>
      <c r="E7265" s="64">
        <v>1</v>
      </c>
    </row>
    <row r="7266" spans="1:5">
      <c r="A7266" s="64" t="s">
        <v>36</v>
      </c>
      <c r="B7266" s="65">
        <v>43612</v>
      </c>
      <c r="C7266" s="66" t="s">
        <v>216</v>
      </c>
      <c r="D7266" s="3" t="s">
        <v>37</v>
      </c>
      <c r="E7266" s="64">
        <v>1</v>
      </c>
    </row>
    <row r="7267" spans="1:5">
      <c r="A7267" s="64" t="s">
        <v>36</v>
      </c>
      <c r="B7267" s="65">
        <v>43613</v>
      </c>
      <c r="C7267" s="66" t="s">
        <v>217</v>
      </c>
      <c r="D7267" s="3" t="s">
        <v>37</v>
      </c>
      <c r="E7267" s="64">
        <v>1</v>
      </c>
    </row>
    <row r="7268" spans="1:5">
      <c r="A7268" s="64" t="s">
        <v>36</v>
      </c>
      <c r="B7268" s="65">
        <v>43614</v>
      </c>
      <c r="C7268" s="66" t="s">
        <v>218</v>
      </c>
      <c r="D7268" s="3" t="s">
        <v>37</v>
      </c>
      <c r="E7268" s="64">
        <v>1</v>
      </c>
    </row>
    <row r="7269" spans="1:5">
      <c r="A7269" s="64" t="s">
        <v>36</v>
      </c>
      <c r="B7269" s="65">
        <v>43615</v>
      </c>
      <c r="C7269" s="66" t="s">
        <v>219</v>
      </c>
      <c r="D7269" s="3" t="s">
        <v>37</v>
      </c>
      <c r="E7269" s="64">
        <v>1</v>
      </c>
    </row>
    <row r="7270" spans="1:5">
      <c r="A7270" s="64" t="s">
        <v>36</v>
      </c>
      <c r="B7270" s="65">
        <v>43616</v>
      </c>
      <c r="C7270" s="66" t="s">
        <v>220</v>
      </c>
      <c r="D7270" s="3" t="s">
        <v>37</v>
      </c>
      <c r="E7270" s="64">
        <v>1</v>
      </c>
    </row>
    <row r="7271" spans="1:5">
      <c r="A7271" s="64" t="s">
        <v>38</v>
      </c>
      <c r="B7271" s="65">
        <v>43381</v>
      </c>
      <c r="C7271" s="66" t="s">
        <v>216</v>
      </c>
      <c r="D7271" s="3" t="s">
        <v>30</v>
      </c>
      <c r="E7271" s="64">
        <v>1</v>
      </c>
    </row>
    <row r="7272" spans="1:5">
      <c r="A7272" s="64" t="s">
        <v>38</v>
      </c>
      <c r="B7272" s="65">
        <v>43382</v>
      </c>
      <c r="C7272" s="66" t="s">
        <v>217</v>
      </c>
      <c r="D7272" s="3" t="s">
        <v>30</v>
      </c>
      <c r="E7272" s="64">
        <v>1</v>
      </c>
    </row>
    <row r="7273" spans="1:5">
      <c r="A7273" s="64" t="s">
        <v>38</v>
      </c>
      <c r="B7273" s="65">
        <v>43383</v>
      </c>
      <c r="C7273" s="66" t="s">
        <v>218</v>
      </c>
      <c r="D7273" s="3" t="s">
        <v>30</v>
      </c>
      <c r="E7273" s="64">
        <v>1</v>
      </c>
    </row>
    <row r="7274" spans="1:5">
      <c r="A7274" s="64" t="s">
        <v>38</v>
      </c>
      <c r="B7274" s="65">
        <v>43384</v>
      </c>
      <c r="C7274" s="66" t="s">
        <v>219</v>
      </c>
      <c r="D7274" s="3" t="s">
        <v>30</v>
      </c>
      <c r="E7274" s="64">
        <v>1</v>
      </c>
    </row>
    <row r="7275" spans="1:5">
      <c r="A7275" s="64" t="s">
        <v>38</v>
      </c>
      <c r="B7275" s="65">
        <v>43385</v>
      </c>
      <c r="C7275" s="66" t="s">
        <v>220</v>
      </c>
      <c r="D7275" s="3" t="s">
        <v>30</v>
      </c>
      <c r="E7275" s="64">
        <v>1</v>
      </c>
    </row>
    <row r="7276" spans="1:5">
      <c r="A7276" s="64" t="s">
        <v>38</v>
      </c>
      <c r="B7276" s="65">
        <v>43388</v>
      </c>
      <c r="C7276" s="66" t="s">
        <v>216</v>
      </c>
      <c r="D7276" s="3" t="s">
        <v>30</v>
      </c>
      <c r="E7276" s="64">
        <v>1</v>
      </c>
    </row>
    <row r="7277" spans="1:5">
      <c r="A7277" s="64" t="s">
        <v>38</v>
      </c>
      <c r="B7277" s="65">
        <v>43389</v>
      </c>
      <c r="C7277" s="66" t="s">
        <v>217</v>
      </c>
      <c r="D7277" s="3" t="s">
        <v>30</v>
      </c>
      <c r="E7277" s="64">
        <v>1</v>
      </c>
    </row>
    <row r="7278" spans="1:5">
      <c r="A7278" s="64" t="s">
        <v>38</v>
      </c>
      <c r="B7278" s="65">
        <v>43390</v>
      </c>
      <c r="C7278" s="66" t="s">
        <v>218</v>
      </c>
      <c r="D7278" s="3" t="s">
        <v>30</v>
      </c>
      <c r="E7278" s="64">
        <v>1</v>
      </c>
    </row>
    <row r="7279" spans="1:5">
      <c r="A7279" s="64" t="s">
        <v>38</v>
      </c>
      <c r="B7279" s="65">
        <v>43391</v>
      </c>
      <c r="C7279" s="66" t="s">
        <v>219</v>
      </c>
      <c r="D7279" s="3" t="s">
        <v>30</v>
      </c>
      <c r="E7279" s="64">
        <v>1</v>
      </c>
    </row>
    <row r="7280" spans="1:5">
      <c r="A7280" s="64" t="s">
        <v>38</v>
      </c>
      <c r="B7280" s="65">
        <v>43392</v>
      </c>
      <c r="C7280" s="66" t="s">
        <v>220</v>
      </c>
      <c r="D7280" s="3" t="s">
        <v>30</v>
      </c>
      <c r="E7280" s="64">
        <v>1</v>
      </c>
    </row>
    <row r="7281" spans="1:5">
      <c r="A7281" s="64" t="s">
        <v>38</v>
      </c>
      <c r="B7281" s="65">
        <v>43395</v>
      </c>
      <c r="C7281" s="66" t="s">
        <v>216</v>
      </c>
      <c r="D7281" s="3" t="s">
        <v>30</v>
      </c>
      <c r="E7281" s="64">
        <v>1</v>
      </c>
    </row>
    <row r="7282" spans="1:5">
      <c r="A7282" s="64" t="s">
        <v>38</v>
      </c>
      <c r="B7282" s="65">
        <v>43396</v>
      </c>
      <c r="C7282" s="66" t="s">
        <v>217</v>
      </c>
      <c r="D7282" s="3" t="s">
        <v>30</v>
      </c>
      <c r="E7282" s="64">
        <v>1</v>
      </c>
    </row>
    <row r="7283" spans="1:5">
      <c r="A7283" s="64" t="s">
        <v>38</v>
      </c>
      <c r="B7283" s="65">
        <v>43397</v>
      </c>
      <c r="C7283" s="66" t="s">
        <v>218</v>
      </c>
      <c r="D7283" s="3" t="s">
        <v>30</v>
      </c>
      <c r="E7283" s="64">
        <v>1</v>
      </c>
    </row>
    <row r="7284" spans="1:5">
      <c r="A7284" s="64" t="s">
        <v>38</v>
      </c>
      <c r="B7284" s="65">
        <v>43398</v>
      </c>
      <c r="C7284" s="66" t="s">
        <v>219</v>
      </c>
      <c r="D7284" s="3" t="s">
        <v>30</v>
      </c>
      <c r="E7284" s="64">
        <v>1</v>
      </c>
    </row>
    <row r="7285" spans="1:5">
      <c r="A7285" s="64" t="s">
        <v>38</v>
      </c>
      <c r="B7285" s="65">
        <v>43399</v>
      </c>
      <c r="C7285" s="66" t="s">
        <v>220</v>
      </c>
      <c r="D7285" s="3" t="s">
        <v>30</v>
      </c>
      <c r="E7285" s="64">
        <v>1</v>
      </c>
    </row>
    <row r="7286" spans="1:5">
      <c r="A7286" s="64" t="s">
        <v>38</v>
      </c>
      <c r="B7286" s="65">
        <v>43402</v>
      </c>
      <c r="C7286" s="66" t="s">
        <v>216</v>
      </c>
      <c r="D7286" s="3" t="s">
        <v>30</v>
      </c>
      <c r="E7286" s="64">
        <v>1</v>
      </c>
    </row>
    <row r="7287" spans="1:5">
      <c r="A7287" s="64" t="s">
        <v>38</v>
      </c>
      <c r="B7287" s="65">
        <v>43403</v>
      </c>
      <c r="C7287" s="66" t="s">
        <v>217</v>
      </c>
      <c r="D7287" s="3" t="s">
        <v>30</v>
      </c>
      <c r="E7287" s="64">
        <v>1</v>
      </c>
    </row>
    <row r="7288" spans="1:5">
      <c r="A7288" s="64" t="s">
        <v>38</v>
      </c>
      <c r="B7288" s="65">
        <v>43404</v>
      </c>
      <c r="C7288" s="66" t="s">
        <v>218</v>
      </c>
      <c r="D7288" s="3" t="s">
        <v>30</v>
      </c>
      <c r="E7288" s="64">
        <v>1</v>
      </c>
    </row>
    <row r="7289" spans="1:5">
      <c r="A7289" s="64" t="s">
        <v>38</v>
      </c>
      <c r="B7289" s="65">
        <v>43405</v>
      </c>
      <c r="C7289" s="66" t="s">
        <v>219</v>
      </c>
      <c r="D7289" s="3" t="s">
        <v>30</v>
      </c>
      <c r="E7289" s="64">
        <v>1</v>
      </c>
    </row>
    <row r="7290" spans="1:5">
      <c r="A7290" s="64" t="s">
        <v>38</v>
      </c>
      <c r="B7290" s="65">
        <v>43406</v>
      </c>
      <c r="C7290" s="66" t="s">
        <v>220</v>
      </c>
      <c r="D7290" s="3" t="s">
        <v>30</v>
      </c>
      <c r="E7290" s="64">
        <v>1</v>
      </c>
    </row>
    <row r="7291" spans="1:5">
      <c r="A7291" s="64" t="s">
        <v>38</v>
      </c>
      <c r="B7291" s="65">
        <v>43409</v>
      </c>
      <c r="C7291" s="66" t="s">
        <v>216</v>
      </c>
      <c r="D7291" s="3" t="s">
        <v>30</v>
      </c>
      <c r="E7291" s="64">
        <v>1</v>
      </c>
    </row>
    <row r="7292" spans="1:5">
      <c r="A7292" s="64" t="s">
        <v>38</v>
      </c>
      <c r="B7292" s="65">
        <v>43410</v>
      </c>
      <c r="C7292" s="66" t="s">
        <v>217</v>
      </c>
      <c r="D7292" s="3" t="s">
        <v>30</v>
      </c>
      <c r="E7292" s="64">
        <v>1</v>
      </c>
    </row>
    <row r="7293" spans="1:5">
      <c r="A7293" s="64" t="s">
        <v>38</v>
      </c>
      <c r="B7293" s="65">
        <v>43411</v>
      </c>
      <c r="C7293" s="66" t="s">
        <v>218</v>
      </c>
      <c r="D7293" s="3" t="s">
        <v>30</v>
      </c>
      <c r="E7293" s="64">
        <v>1</v>
      </c>
    </row>
    <row r="7294" spans="1:5">
      <c r="A7294" s="64" t="s">
        <v>38</v>
      </c>
      <c r="B7294" s="65">
        <v>43412</v>
      </c>
      <c r="C7294" s="66" t="s">
        <v>219</v>
      </c>
      <c r="D7294" s="3" t="s">
        <v>30</v>
      </c>
      <c r="E7294" s="64">
        <v>1</v>
      </c>
    </row>
    <row r="7295" spans="1:5">
      <c r="A7295" s="64" t="s">
        <v>38</v>
      </c>
      <c r="B7295" s="65">
        <v>43413</v>
      </c>
      <c r="C7295" s="66" t="s">
        <v>220</v>
      </c>
      <c r="D7295" s="3" t="s">
        <v>30</v>
      </c>
      <c r="E7295" s="64">
        <v>1</v>
      </c>
    </row>
    <row r="7296" spans="1:5">
      <c r="A7296" s="64" t="s">
        <v>38</v>
      </c>
      <c r="B7296" s="65">
        <v>43416</v>
      </c>
      <c r="C7296" s="66" t="s">
        <v>216</v>
      </c>
      <c r="D7296" s="3" t="s">
        <v>30</v>
      </c>
      <c r="E7296" s="64">
        <v>1</v>
      </c>
    </row>
    <row r="7297" spans="1:5">
      <c r="A7297" s="64" t="s">
        <v>38</v>
      </c>
      <c r="B7297" s="65">
        <v>43417</v>
      </c>
      <c r="C7297" s="66" t="s">
        <v>217</v>
      </c>
      <c r="D7297" s="3" t="s">
        <v>30</v>
      </c>
      <c r="E7297" s="64">
        <v>1</v>
      </c>
    </row>
    <row r="7298" spans="1:5">
      <c r="A7298" s="64" t="s">
        <v>38</v>
      </c>
      <c r="B7298" s="65">
        <v>43418</v>
      </c>
      <c r="C7298" s="66" t="s">
        <v>218</v>
      </c>
      <c r="D7298" s="3" t="s">
        <v>30</v>
      </c>
      <c r="E7298" s="64">
        <v>1</v>
      </c>
    </row>
    <row r="7299" spans="1:5">
      <c r="A7299" s="64" t="s">
        <v>38</v>
      </c>
      <c r="B7299" s="65">
        <v>43419</v>
      </c>
      <c r="C7299" s="66" t="s">
        <v>219</v>
      </c>
      <c r="D7299" s="3" t="s">
        <v>30</v>
      </c>
      <c r="E7299" s="64">
        <v>1</v>
      </c>
    </row>
    <row r="7300" spans="1:5">
      <c r="A7300" s="64" t="s">
        <v>38</v>
      </c>
      <c r="B7300" s="65">
        <v>43420</v>
      </c>
      <c r="C7300" s="66" t="s">
        <v>220</v>
      </c>
      <c r="D7300" s="3" t="s">
        <v>30</v>
      </c>
      <c r="E7300" s="64">
        <v>1</v>
      </c>
    </row>
    <row r="7301" spans="1:5">
      <c r="A7301" s="64" t="s">
        <v>38</v>
      </c>
      <c r="B7301" s="65">
        <v>43423</v>
      </c>
      <c r="C7301" s="66" t="s">
        <v>216</v>
      </c>
      <c r="D7301" s="3" t="s">
        <v>30</v>
      </c>
      <c r="E7301" s="64">
        <v>1</v>
      </c>
    </row>
    <row r="7302" spans="1:5">
      <c r="A7302" s="64" t="s">
        <v>38</v>
      </c>
      <c r="B7302" s="65">
        <v>43424</v>
      </c>
      <c r="C7302" s="66" t="s">
        <v>217</v>
      </c>
      <c r="D7302" s="3" t="s">
        <v>30</v>
      </c>
      <c r="E7302" s="64">
        <v>1</v>
      </c>
    </row>
    <row r="7303" spans="1:5">
      <c r="A7303" s="64" t="s">
        <v>38</v>
      </c>
      <c r="B7303" s="65">
        <v>43425</v>
      </c>
      <c r="C7303" s="66" t="s">
        <v>218</v>
      </c>
      <c r="D7303" s="3" t="s">
        <v>30</v>
      </c>
      <c r="E7303" s="64">
        <v>1</v>
      </c>
    </row>
    <row r="7304" spans="1:5">
      <c r="A7304" s="64" t="s">
        <v>38</v>
      </c>
      <c r="B7304" s="65">
        <v>43426</v>
      </c>
      <c r="C7304" s="66" t="s">
        <v>219</v>
      </c>
      <c r="D7304" s="3" t="s">
        <v>30</v>
      </c>
      <c r="E7304" s="64">
        <v>1</v>
      </c>
    </row>
    <row r="7305" spans="1:5">
      <c r="A7305" s="64" t="s">
        <v>38</v>
      </c>
      <c r="B7305" s="65">
        <v>43427</v>
      </c>
      <c r="C7305" s="66" t="s">
        <v>220</v>
      </c>
      <c r="D7305" s="3" t="s">
        <v>30</v>
      </c>
      <c r="E7305" s="64">
        <v>1</v>
      </c>
    </row>
    <row r="7306" spans="1:5">
      <c r="A7306" s="64" t="s">
        <v>38</v>
      </c>
      <c r="B7306" s="65">
        <v>43430</v>
      </c>
      <c r="C7306" s="66" t="s">
        <v>216</v>
      </c>
      <c r="D7306" s="3" t="s">
        <v>30</v>
      </c>
      <c r="E7306" s="64">
        <v>1</v>
      </c>
    </row>
    <row r="7307" spans="1:5">
      <c r="A7307" s="64" t="s">
        <v>38</v>
      </c>
      <c r="B7307" s="65">
        <v>43431</v>
      </c>
      <c r="C7307" s="66" t="s">
        <v>217</v>
      </c>
      <c r="D7307" s="3" t="s">
        <v>30</v>
      </c>
      <c r="E7307" s="64">
        <v>1</v>
      </c>
    </row>
    <row r="7308" spans="1:5">
      <c r="A7308" s="64" t="s">
        <v>38</v>
      </c>
      <c r="B7308" s="65">
        <v>43432</v>
      </c>
      <c r="C7308" s="66" t="s">
        <v>218</v>
      </c>
      <c r="D7308" s="3" t="s">
        <v>30</v>
      </c>
      <c r="E7308" s="64">
        <v>1</v>
      </c>
    </row>
    <row r="7309" spans="1:5">
      <c r="A7309" s="64" t="s">
        <v>38</v>
      </c>
      <c r="B7309" s="65">
        <v>43433</v>
      </c>
      <c r="C7309" s="66" t="s">
        <v>219</v>
      </c>
      <c r="D7309" s="3" t="s">
        <v>30</v>
      </c>
      <c r="E7309" s="64">
        <v>1</v>
      </c>
    </row>
    <row r="7310" spans="1:5">
      <c r="A7310" s="64" t="s">
        <v>38</v>
      </c>
      <c r="B7310" s="65">
        <v>43434</v>
      </c>
      <c r="C7310" s="66" t="s">
        <v>220</v>
      </c>
      <c r="D7310" s="3" t="s">
        <v>30</v>
      </c>
      <c r="E7310" s="64">
        <v>1</v>
      </c>
    </row>
    <row r="7311" spans="1:5">
      <c r="A7311" s="64" t="s">
        <v>38</v>
      </c>
      <c r="B7311" s="65">
        <v>43437</v>
      </c>
      <c r="C7311" s="66" t="s">
        <v>216</v>
      </c>
      <c r="D7311" s="3" t="s">
        <v>30</v>
      </c>
      <c r="E7311" s="64">
        <v>1</v>
      </c>
    </row>
    <row r="7312" spans="1:5">
      <c r="A7312" s="64" t="s">
        <v>38</v>
      </c>
      <c r="B7312" s="65">
        <v>43438</v>
      </c>
      <c r="C7312" s="66" t="s">
        <v>217</v>
      </c>
      <c r="D7312" s="3" t="s">
        <v>30</v>
      </c>
      <c r="E7312" s="64">
        <v>1</v>
      </c>
    </row>
    <row r="7313" spans="1:5">
      <c r="A7313" s="64" t="s">
        <v>38</v>
      </c>
      <c r="B7313" s="65">
        <v>43439</v>
      </c>
      <c r="C7313" s="66" t="s">
        <v>218</v>
      </c>
      <c r="D7313" s="3" t="s">
        <v>30</v>
      </c>
      <c r="E7313" s="64">
        <v>1</v>
      </c>
    </row>
    <row r="7314" spans="1:5">
      <c r="A7314" s="64" t="s">
        <v>38</v>
      </c>
      <c r="B7314" s="65">
        <v>43440</v>
      </c>
      <c r="C7314" s="66" t="s">
        <v>219</v>
      </c>
      <c r="D7314" s="3" t="s">
        <v>30</v>
      </c>
      <c r="E7314" s="64">
        <v>1</v>
      </c>
    </row>
    <row r="7315" spans="1:5">
      <c r="A7315" s="64" t="s">
        <v>38</v>
      </c>
      <c r="B7315" s="65">
        <v>43441</v>
      </c>
      <c r="C7315" s="66" t="s">
        <v>220</v>
      </c>
      <c r="D7315" s="3" t="s">
        <v>30</v>
      </c>
      <c r="E7315" s="64">
        <v>1</v>
      </c>
    </row>
    <row r="7316" spans="1:5">
      <c r="A7316" s="64" t="s">
        <v>38</v>
      </c>
      <c r="B7316" s="65">
        <v>43444</v>
      </c>
      <c r="C7316" s="66" t="s">
        <v>216</v>
      </c>
      <c r="D7316" s="3" t="s">
        <v>30</v>
      </c>
      <c r="E7316" s="64">
        <v>1</v>
      </c>
    </row>
    <row r="7317" spans="1:5">
      <c r="A7317" s="64" t="s">
        <v>38</v>
      </c>
      <c r="B7317" s="65">
        <v>43445</v>
      </c>
      <c r="C7317" s="66" t="s">
        <v>217</v>
      </c>
      <c r="D7317" s="3" t="s">
        <v>30</v>
      </c>
      <c r="E7317" s="64">
        <v>1</v>
      </c>
    </row>
    <row r="7318" spans="1:5">
      <c r="A7318" s="64" t="s">
        <v>38</v>
      </c>
      <c r="B7318" s="65">
        <v>43446</v>
      </c>
      <c r="C7318" s="66" t="s">
        <v>218</v>
      </c>
      <c r="D7318" s="3" t="s">
        <v>30</v>
      </c>
      <c r="E7318" s="64">
        <v>1</v>
      </c>
    </row>
    <row r="7319" spans="1:5">
      <c r="A7319" s="64" t="s">
        <v>38</v>
      </c>
      <c r="B7319" s="65">
        <v>43447</v>
      </c>
      <c r="C7319" s="66" t="s">
        <v>219</v>
      </c>
      <c r="D7319" s="3" t="s">
        <v>30</v>
      </c>
      <c r="E7319" s="64">
        <v>1</v>
      </c>
    </row>
    <row r="7320" spans="1:5">
      <c r="A7320" s="64" t="s">
        <v>38</v>
      </c>
      <c r="B7320" s="65">
        <v>43448</v>
      </c>
      <c r="C7320" s="66" t="s">
        <v>220</v>
      </c>
      <c r="D7320" s="3" t="s">
        <v>30</v>
      </c>
      <c r="E7320" s="64">
        <v>1</v>
      </c>
    </row>
    <row r="7321" spans="1:5">
      <c r="A7321" s="64" t="s">
        <v>38</v>
      </c>
      <c r="B7321" s="65">
        <v>43451</v>
      </c>
      <c r="C7321" s="66" t="s">
        <v>216</v>
      </c>
      <c r="D7321" s="3" t="s">
        <v>30</v>
      </c>
      <c r="E7321" s="64">
        <v>1</v>
      </c>
    </row>
    <row r="7322" spans="1:5">
      <c r="A7322" s="64" t="s">
        <v>38</v>
      </c>
      <c r="B7322" s="65">
        <v>43452</v>
      </c>
      <c r="C7322" s="66" t="s">
        <v>217</v>
      </c>
      <c r="D7322" s="3" t="s">
        <v>30</v>
      </c>
      <c r="E7322" s="64">
        <v>1</v>
      </c>
    </row>
    <row r="7323" spans="1:5">
      <c r="A7323" s="64" t="s">
        <v>38</v>
      </c>
      <c r="B7323" s="65">
        <v>43453</v>
      </c>
      <c r="C7323" s="66" t="s">
        <v>218</v>
      </c>
      <c r="D7323" s="3" t="s">
        <v>30</v>
      </c>
      <c r="E7323" s="64">
        <v>1</v>
      </c>
    </row>
    <row r="7324" spans="1:5">
      <c r="A7324" s="64" t="s">
        <v>38</v>
      </c>
      <c r="B7324" s="65">
        <v>43454</v>
      </c>
      <c r="C7324" s="66" t="s">
        <v>219</v>
      </c>
      <c r="D7324" s="3" t="s">
        <v>30</v>
      </c>
      <c r="E7324" s="64">
        <v>1</v>
      </c>
    </row>
    <row r="7325" spans="1:5">
      <c r="A7325" s="64" t="s">
        <v>38</v>
      </c>
      <c r="B7325" s="65">
        <v>43455</v>
      </c>
      <c r="C7325" s="66" t="s">
        <v>220</v>
      </c>
      <c r="D7325" s="3" t="s">
        <v>30</v>
      </c>
      <c r="E7325" s="64">
        <v>1</v>
      </c>
    </row>
    <row r="7326" spans="1:5">
      <c r="A7326" s="64" t="s">
        <v>38</v>
      </c>
      <c r="B7326" s="65">
        <v>43458</v>
      </c>
      <c r="C7326" s="66" t="s">
        <v>216</v>
      </c>
      <c r="D7326" s="3" t="s">
        <v>30</v>
      </c>
      <c r="E7326" s="64">
        <v>1</v>
      </c>
    </row>
    <row r="7327" spans="1:5">
      <c r="A7327" s="64" t="s">
        <v>38</v>
      </c>
      <c r="B7327" s="65">
        <v>43459</v>
      </c>
      <c r="C7327" s="66" t="s">
        <v>217</v>
      </c>
      <c r="D7327" s="3" t="s">
        <v>30</v>
      </c>
      <c r="E7327" s="64">
        <v>1</v>
      </c>
    </row>
    <row r="7328" spans="1:5">
      <c r="A7328" s="64" t="s">
        <v>38</v>
      </c>
      <c r="B7328" s="65">
        <v>43460</v>
      </c>
      <c r="C7328" s="66" t="s">
        <v>218</v>
      </c>
      <c r="D7328" s="3" t="s">
        <v>30</v>
      </c>
      <c r="E7328" s="64">
        <v>1</v>
      </c>
    </row>
    <row r="7329" spans="1:5">
      <c r="A7329" s="64" t="s">
        <v>38</v>
      </c>
      <c r="B7329" s="65">
        <v>43461</v>
      </c>
      <c r="C7329" s="66" t="s">
        <v>219</v>
      </c>
      <c r="D7329" s="3" t="s">
        <v>30</v>
      </c>
      <c r="E7329" s="64">
        <v>1</v>
      </c>
    </row>
    <row r="7330" spans="1:5">
      <c r="A7330" s="64" t="s">
        <v>38</v>
      </c>
      <c r="B7330" s="65">
        <v>43462</v>
      </c>
      <c r="C7330" s="66" t="s">
        <v>220</v>
      </c>
      <c r="D7330" s="3" t="s">
        <v>30</v>
      </c>
      <c r="E7330" s="64">
        <v>1</v>
      </c>
    </row>
    <row r="7331" spans="1:5">
      <c r="A7331" s="64" t="s">
        <v>38</v>
      </c>
      <c r="B7331" s="65">
        <v>43465</v>
      </c>
      <c r="C7331" s="66" t="s">
        <v>216</v>
      </c>
      <c r="D7331" s="3" t="s">
        <v>30</v>
      </c>
      <c r="E7331" s="64">
        <v>1</v>
      </c>
    </row>
    <row r="7332" spans="1:5">
      <c r="A7332" s="64" t="s">
        <v>38</v>
      </c>
      <c r="B7332" s="65">
        <v>43466</v>
      </c>
      <c r="C7332" s="66" t="s">
        <v>217</v>
      </c>
      <c r="D7332" s="3" t="s">
        <v>30</v>
      </c>
      <c r="E7332" s="64">
        <v>1</v>
      </c>
    </row>
    <row r="7333" spans="1:5">
      <c r="A7333" s="64" t="s">
        <v>38</v>
      </c>
      <c r="B7333" s="65">
        <v>43467</v>
      </c>
      <c r="C7333" s="66" t="s">
        <v>218</v>
      </c>
      <c r="D7333" s="3" t="s">
        <v>30</v>
      </c>
      <c r="E7333" s="64">
        <v>1</v>
      </c>
    </row>
    <row r="7334" spans="1:5">
      <c r="A7334" s="64" t="s">
        <v>38</v>
      </c>
      <c r="B7334" s="65">
        <v>43468</v>
      </c>
      <c r="C7334" s="66" t="s">
        <v>219</v>
      </c>
      <c r="D7334" s="3" t="s">
        <v>30</v>
      </c>
      <c r="E7334" s="64">
        <v>1</v>
      </c>
    </row>
    <row r="7335" spans="1:5">
      <c r="A7335" s="64" t="s">
        <v>38</v>
      </c>
      <c r="B7335" s="65">
        <v>43469</v>
      </c>
      <c r="C7335" s="66" t="s">
        <v>220</v>
      </c>
      <c r="D7335" s="3" t="s">
        <v>30</v>
      </c>
      <c r="E7335" s="64">
        <v>1</v>
      </c>
    </row>
    <row r="7336" spans="1:5">
      <c r="A7336" s="64" t="s">
        <v>38</v>
      </c>
      <c r="B7336" s="65">
        <v>43472</v>
      </c>
      <c r="C7336" s="66" t="s">
        <v>216</v>
      </c>
      <c r="D7336" s="3" t="s">
        <v>30</v>
      </c>
      <c r="E7336" s="64">
        <v>1</v>
      </c>
    </row>
    <row r="7337" spans="1:5">
      <c r="A7337" s="64" t="s">
        <v>38</v>
      </c>
      <c r="B7337" s="65">
        <v>43473</v>
      </c>
      <c r="C7337" s="66" t="s">
        <v>217</v>
      </c>
      <c r="D7337" s="3" t="s">
        <v>30</v>
      </c>
      <c r="E7337" s="64">
        <v>1</v>
      </c>
    </row>
    <row r="7338" spans="1:5">
      <c r="A7338" s="64" t="s">
        <v>38</v>
      </c>
      <c r="B7338" s="65">
        <v>43474</v>
      </c>
      <c r="C7338" s="66" t="s">
        <v>218</v>
      </c>
      <c r="D7338" s="3" t="s">
        <v>30</v>
      </c>
      <c r="E7338" s="64">
        <v>1</v>
      </c>
    </row>
    <row r="7339" spans="1:5">
      <c r="A7339" s="64" t="s">
        <v>38</v>
      </c>
      <c r="B7339" s="65">
        <v>43475</v>
      </c>
      <c r="C7339" s="66" t="s">
        <v>219</v>
      </c>
      <c r="D7339" s="3" t="s">
        <v>30</v>
      </c>
      <c r="E7339" s="64">
        <v>1</v>
      </c>
    </row>
    <row r="7340" spans="1:5">
      <c r="A7340" s="64" t="s">
        <v>38</v>
      </c>
      <c r="B7340" s="65">
        <v>43476</v>
      </c>
      <c r="C7340" s="66" t="s">
        <v>220</v>
      </c>
      <c r="D7340" s="3" t="s">
        <v>30</v>
      </c>
      <c r="E7340" s="64">
        <v>1</v>
      </c>
    </row>
    <row r="7341" spans="1:5">
      <c r="A7341" s="64" t="s">
        <v>38</v>
      </c>
      <c r="B7341" s="65">
        <v>43479</v>
      </c>
      <c r="C7341" s="66" t="s">
        <v>216</v>
      </c>
      <c r="D7341" s="3" t="s">
        <v>30</v>
      </c>
      <c r="E7341" s="64">
        <v>1</v>
      </c>
    </row>
    <row r="7342" spans="1:5">
      <c r="A7342" s="64" t="s">
        <v>38</v>
      </c>
      <c r="B7342" s="65">
        <v>43480</v>
      </c>
      <c r="C7342" s="66" t="s">
        <v>217</v>
      </c>
      <c r="D7342" s="3" t="s">
        <v>30</v>
      </c>
      <c r="E7342" s="64">
        <v>1</v>
      </c>
    </row>
    <row r="7343" spans="1:5">
      <c r="A7343" s="64" t="s">
        <v>38</v>
      </c>
      <c r="B7343" s="65">
        <v>43481</v>
      </c>
      <c r="C7343" s="66" t="s">
        <v>218</v>
      </c>
      <c r="D7343" s="3" t="s">
        <v>30</v>
      </c>
      <c r="E7343" s="64">
        <v>1</v>
      </c>
    </row>
    <row r="7344" spans="1:5">
      <c r="A7344" s="64" t="s">
        <v>38</v>
      </c>
      <c r="B7344" s="65">
        <v>43482</v>
      </c>
      <c r="C7344" s="66" t="s">
        <v>219</v>
      </c>
      <c r="D7344" s="3" t="s">
        <v>30</v>
      </c>
      <c r="E7344" s="64">
        <v>1</v>
      </c>
    </row>
    <row r="7345" spans="1:5">
      <c r="A7345" s="64" t="s">
        <v>38</v>
      </c>
      <c r="B7345" s="65">
        <v>43483</v>
      </c>
      <c r="C7345" s="66" t="s">
        <v>220</v>
      </c>
      <c r="D7345" s="3" t="s">
        <v>30</v>
      </c>
      <c r="E7345" s="64">
        <v>1</v>
      </c>
    </row>
    <row r="7346" spans="1:5">
      <c r="A7346" s="64" t="s">
        <v>38</v>
      </c>
      <c r="B7346" s="65">
        <v>43486</v>
      </c>
      <c r="C7346" s="66" t="s">
        <v>216</v>
      </c>
      <c r="D7346" s="3" t="s">
        <v>30</v>
      </c>
      <c r="E7346" s="64">
        <v>1</v>
      </c>
    </row>
    <row r="7347" spans="1:5">
      <c r="A7347" s="64" t="s">
        <v>38</v>
      </c>
      <c r="B7347" s="65">
        <v>43487</v>
      </c>
      <c r="C7347" s="66" t="s">
        <v>217</v>
      </c>
      <c r="D7347" s="3" t="s">
        <v>30</v>
      </c>
      <c r="E7347" s="64">
        <v>1</v>
      </c>
    </row>
    <row r="7348" spans="1:5">
      <c r="A7348" s="64" t="s">
        <v>38</v>
      </c>
      <c r="B7348" s="65">
        <v>43488</v>
      </c>
      <c r="C7348" s="66" t="s">
        <v>218</v>
      </c>
      <c r="D7348" s="3" t="s">
        <v>30</v>
      </c>
      <c r="E7348" s="64">
        <v>1</v>
      </c>
    </row>
    <row r="7349" spans="1:5">
      <c r="A7349" s="64" t="s">
        <v>38</v>
      </c>
      <c r="B7349" s="65">
        <v>43489</v>
      </c>
      <c r="C7349" s="66" t="s">
        <v>219</v>
      </c>
      <c r="D7349" s="3" t="s">
        <v>30</v>
      </c>
      <c r="E7349" s="64">
        <v>1</v>
      </c>
    </row>
    <row r="7350" spans="1:5">
      <c r="A7350" s="64" t="s">
        <v>38</v>
      </c>
      <c r="B7350" s="65">
        <v>43490</v>
      </c>
      <c r="C7350" s="66" t="s">
        <v>220</v>
      </c>
      <c r="D7350" s="3" t="s">
        <v>30</v>
      </c>
      <c r="E7350" s="64">
        <v>1</v>
      </c>
    </row>
    <row r="7351" spans="1:5">
      <c r="A7351" s="64" t="s">
        <v>38</v>
      </c>
      <c r="B7351" s="65">
        <v>43493</v>
      </c>
      <c r="C7351" s="66" t="s">
        <v>216</v>
      </c>
      <c r="D7351" s="3" t="s">
        <v>30</v>
      </c>
      <c r="E7351" s="64">
        <v>1</v>
      </c>
    </row>
    <row r="7352" spans="1:5">
      <c r="A7352" s="64" t="s">
        <v>38</v>
      </c>
      <c r="B7352" s="65">
        <v>43494</v>
      </c>
      <c r="C7352" s="66" t="s">
        <v>217</v>
      </c>
      <c r="D7352" s="3" t="s">
        <v>30</v>
      </c>
      <c r="E7352" s="64">
        <v>1</v>
      </c>
    </row>
    <row r="7353" spans="1:5">
      <c r="A7353" s="64" t="s">
        <v>38</v>
      </c>
      <c r="B7353" s="65">
        <v>43495</v>
      </c>
      <c r="C7353" s="66" t="s">
        <v>218</v>
      </c>
      <c r="D7353" s="3" t="s">
        <v>30</v>
      </c>
      <c r="E7353" s="64">
        <v>1</v>
      </c>
    </row>
    <row r="7354" spans="1:5">
      <c r="A7354" s="64" t="s">
        <v>38</v>
      </c>
      <c r="B7354" s="65">
        <v>43496</v>
      </c>
      <c r="C7354" s="66" t="s">
        <v>219</v>
      </c>
      <c r="D7354" s="3" t="s">
        <v>30</v>
      </c>
      <c r="E7354" s="64">
        <v>1</v>
      </c>
    </row>
    <row r="7355" spans="1:5">
      <c r="A7355" s="64" t="s">
        <v>38</v>
      </c>
      <c r="B7355" s="65">
        <v>43497</v>
      </c>
      <c r="C7355" s="66" t="s">
        <v>220</v>
      </c>
      <c r="D7355" s="3" t="s">
        <v>30</v>
      </c>
      <c r="E7355" s="64">
        <v>1</v>
      </c>
    </row>
    <row r="7356" spans="1:5">
      <c r="A7356" s="64" t="s">
        <v>38</v>
      </c>
      <c r="B7356" s="65">
        <v>43500</v>
      </c>
      <c r="C7356" s="66" t="s">
        <v>216</v>
      </c>
      <c r="D7356" s="3" t="s">
        <v>30</v>
      </c>
      <c r="E7356" s="64">
        <v>1</v>
      </c>
    </row>
    <row r="7357" spans="1:5">
      <c r="A7357" s="64" t="s">
        <v>38</v>
      </c>
      <c r="B7357" s="65">
        <v>43501</v>
      </c>
      <c r="C7357" s="66" t="s">
        <v>217</v>
      </c>
      <c r="D7357" s="3" t="s">
        <v>30</v>
      </c>
      <c r="E7357" s="64">
        <v>1</v>
      </c>
    </row>
    <row r="7358" spans="1:5">
      <c r="A7358" s="64" t="s">
        <v>38</v>
      </c>
      <c r="B7358" s="65">
        <v>43502</v>
      </c>
      <c r="C7358" s="66" t="s">
        <v>218</v>
      </c>
      <c r="D7358" s="3" t="s">
        <v>30</v>
      </c>
      <c r="E7358" s="64">
        <v>1</v>
      </c>
    </row>
    <row r="7359" spans="1:5">
      <c r="A7359" s="64" t="s">
        <v>38</v>
      </c>
      <c r="B7359" s="65">
        <v>43503</v>
      </c>
      <c r="C7359" s="66" t="s">
        <v>219</v>
      </c>
      <c r="D7359" s="3" t="s">
        <v>30</v>
      </c>
      <c r="E7359" s="64">
        <v>1</v>
      </c>
    </row>
    <row r="7360" spans="1:5">
      <c r="A7360" s="64" t="s">
        <v>38</v>
      </c>
      <c r="B7360" s="65">
        <v>43504</v>
      </c>
      <c r="C7360" s="66" t="s">
        <v>220</v>
      </c>
      <c r="D7360" s="3" t="s">
        <v>30</v>
      </c>
      <c r="E7360" s="64">
        <v>1</v>
      </c>
    </row>
    <row r="7361" spans="1:5">
      <c r="A7361" s="64" t="s">
        <v>38</v>
      </c>
      <c r="B7361" s="65">
        <v>43507</v>
      </c>
      <c r="C7361" s="66" t="s">
        <v>216</v>
      </c>
      <c r="D7361" s="3" t="s">
        <v>30</v>
      </c>
      <c r="E7361" s="64">
        <v>1</v>
      </c>
    </row>
    <row r="7362" spans="1:5">
      <c r="A7362" s="64" t="s">
        <v>38</v>
      </c>
      <c r="B7362" s="65">
        <v>43508</v>
      </c>
      <c r="C7362" s="66" t="s">
        <v>217</v>
      </c>
      <c r="D7362" s="3" t="s">
        <v>30</v>
      </c>
      <c r="E7362" s="64">
        <v>1</v>
      </c>
    </row>
    <row r="7363" spans="1:5">
      <c r="A7363" s="64" t="s">
        <v>38</v>
      </c>
      <c r="B7363" s="65">
        <v>43509</v>
      </c>
      <c r="C7363" s="66" t="s">
        <v>218</v>
      </c>
      <c r="D7363" s="3" t="s">
        <v>30</v>
      </c>
      <c r="E7363" s="64">
        <v>1</v>
      </c>
    </row>
    <row r="7364" spans="1:5">
      <c r="A7364" s="64" t="s">
        <v>38</v>
      </c>
      <c r="B7364" s="65">
        <v>43510</v>
      </c>
      <c r="C7364" s="66" t="s">
        <v>219</v>
      </c>
      <c r="D7364" s="3" t="s">
        <v>30</v>
      </c>
      <c r="E7364" s="64">
        <v>1</v>
      </c>
    </row>
    <row r="7365" spans="1:5">
      <c r="A7365" s="64" t="s">
        <v>38</v>
      </c>
      <c r="B7365" s="65">
        <v>43511</v>
      </c>
      <c r="C7365" s="66" t="s">
        <v>220</v>
      </c>
      <c r="D7365" s="3" t="s">
        <v>30</v>
      </c>
      <c r="E7365" s="64">
        <v>1</v>
      </c>
    </row>
    <row r="7366" spans="1:5">
      <c r="A7366" s="64" t="s">
        <v>38</v>
      </c>
      <c r="B7366" s="65">
        <v>43514</v>
      </c>
      <c r="C7366" s="66" t="s">
        <v>216</v>
      </c>
      <c r="D7366" s="3" t="s">
        <v>30</v>
      </c>
      <c r="E7366" s="64">
        <v>1</v>
      </c>
    </row>
    <row r="7367" spans="1:5">
      <c r="A7367" s="64" t="s">
        <v>38</v>
      </c>
      <c r="B7367" s="65">
        <v>43515</v>
      </c>
      <c r="C7367" s="66" t="s">
        <v>217</v>
      </c>
      <c r="D7367" s="3" t="s">
        <v>30</v>
      </c>
      <c r="E7367" s="64">
        <v>1</v>
      </c>
    </row>
    <row r="7368" spans="1:5">
      <c r="A7368" s="64" t="s">
        <v>38</v>
      </c>
      <c r="B7368" s="65">
        <v>43516</v>
      </c>
      <c r="C7368" s="66" t="s">
        <v>218</v>
      </c>
      <c r="D7368" s="3" t="s">
        <v>30</v>
      </c>
      <c r="E7368" s="64">
        <v>1</v>
      </c>
    </row>
    <row r="7369" spans="1:5">
      <c r="A7369" s="64" t="s">
        <v>38</v>
      </c>
      <c r="B7369" s="65">
        <v>43517</v>
      </c>
      <c r="C7369" s="66" t="s">
        <v>219</v>
      </c>
      <c r="D7369" s="3" t="s">
        <v>30</v>
      </c>
      <c r="E7369" s="64">
        <v>1</v>
      </c>
    </row>
    <row r="7370" spans="1:5">
      <c r="A7370" s="64" t="s">
        <v>38</v>
      </c>
      <c r="B7370" s="65">
        <v>43518</v>
      </c>
      <c r="C7370" s="66" t="s">
        <v>220</v>
      </c>
      <c r="D7370" s="3" t="s">
        <v>30</v>
      </c>
      <c r="E7370" s="64">
        <v>1</v>
      </c>
    </row>
    <row r="7371" spans="1:5">
      <c r="A7371" s="64" t="s">
        <v>38</v>
      </c>
      <c r="B7371" s="65">
        <v>43521</v>
      </c>
      <c r="C7371" s="66" t="s">
        <v>216</v>
      </c>
      <c r="D7371" s="3" t="s">
        <v>30</v>
      </c>
      <c r="E7371" s="64">
        <v>1</v>
      </c>
    </row>
    <row r="7372" spans="1:5">
      <c r="A7372" s="64" t="s">
        <v>38</v>
      </c>
      <c r="B7372" s="65">
        <v>43522</v>
      </c>
      <c r="C7372" s="66" t="s">
        <v>217</v>
      </c>
      <c r="D7372" s="3" t="s">
        <v>30</v>
      </c>
      <c r="E7372" s="64">
        <v>1</v>
      </c>
    </row>
    <row r="7373" spans="1:5">
      <c r="A7373" s="64" t="s">
        <v>38</v>
      </c>
      <c r="B7373" s="65">
        <v>43523</v>
      </c>
      <c r="C7373" s="66" t="s">
        <v>218</v>
      </c>
      <c r="D7373" s="3" t="s">
        <v>30</v>
      </c>
      <c r="E7373" s="64">
        <v>1</v>
      </c>
    </row>
    <row r="7374" spans="1:5">
      <c r="A7374" s="64" t="s">
        <v>38</v>
      </c>
      <c r="B7374" s="65">
        <v>43524</v>
      </c>
      <c r="C7374" s="66" t="s">
        <v>219</v>
      </c>
      <c r="D7374" s="3" t="s">
        <v>30</v>
      </c>
      <c r="E7374" s="64">
        <v>1</v>
      </c>
    </row>
    <row r="7375" spans="1:5">
      <c r="A7375" s="64" t="s">
        <v>38</v>
      </c>
      <c r="B7375" s="65">
        <v>43525</v>
      </c>
      <c r="C7375" s="66" t="s">
        <v>220</v>
      </c>
      <c r="D7375" s="3" t="s">
        <v>30</v>
      </c>
      <c r="E7375" s="64">
        <v>1</v>
      </c>
    </row>
    <row r="7376" spans="1:5">
      <c r="A7376" s="64" t="s">
        <v>38</v>
      </c>
      <c r="B7376" s="65">
        <v>43528</v>
      </c>
      <c r="C7376" s="66" t="s">
        <v>216</v>
      </c>
      <c r="D7376" s="3" t="s">
        <v>30</v>
      </c>
      <c r="E7376" s="64">
        <v>1</v>
      </c>
    </row>
    <row r="7377" spans="1:5">
      <c r="A7377" s="64" t="s">
        <v>38</v>
      </c>
      <c r="B7377" s="65">
        <v>43529</v>
      </c>
      <c r="C7377" s="66" t="s">
        <v>217</v>
      </c>
      <c r="D7377" s="3" t="s">
        <v>30</v>
      </c>
      <c r="E7377" s="64">
        <v>1</v>
      </c>
    </row>
    <row r="7378" spans="1:5">
      <c r="A7378" s="64" t="s">
        <v>38</v>
      </c>
      <c r="B7378" s="65">
        <v>43530</v>
      </c>
      <c r="C7378" s="66" t="s">
        <v>218</v>
      </c>
      <c r="D7378" s="3" t="s">
        <v>30</v>
      </c>
      <c r="E7378" s="64">
        <v>1</v>
      </c>
    </row>
    <row r="7379" spans="1:5">
      <c r="A7379" s="64" t="s">
        <v>38</v>
      </c>
      <c r="B7379" s="65">
        <v>43531</v>
      </c>
      <c r="C7379" s="66" t="s">
        <v>219</v>
      </c>
      <c r="D7379" s="3" t="s">
        <v>30</v>
      </c>
      <c r="E7379" s="64">
        <v>1</v>
      </c>
    </row>
    <row r="7380" spans="1:5">
      <c r="A7380" s="64" t="s">
        <v>38</v>
      </c>
      <c r="B7380" s="65">
        <v>43255</v>
      </c>
      <c r="C7380" s="66" t="s">
        <v>216</v>
      </c>
      <c r="D7380" s="3" t="s">
        <v>39</v>
      </c>
      <c r="E7380" s="64">
        <v>1</v>
      </c>
    </row>
    <row r="7381" spans="1:5">
      <c r="A7381" s="64" t="s">
        <v>38</v>
      </c>
      <c r="B7381" s="65">
        <v>43256</v>
      </c>
      <c r="C7381" s="66" t="s">
        <v>217</v>
      </c>
      <c r="D7381" s="3" t="s">
        <v>39</v>
      </c>
      <c r="E7381" s="64">
        <v>1</v>
      </c>
    </row>
    <row r="7382" spans="1:5">
      <c r="A7382" s="64" t="s">
        <v>38</v>
      </c>
      <c r="B7382" s="65">
        <v>43257</v>
      </c>
      <c r="C7382" s="66" t="s">
        <v>218</v>
      </c>
      <c r="D7382" s="3" t="s">
        <v>39</v>
      </c>
      <c r="E7382" s="64">
        <v>1</v>
      </c>
    </row>
    <row r="7383" spans="1:5">
      <c r="A7383" s="64" t="s">
        <v>38</v>
      </c>
      <c r="B7383" s="65">
        <v>43258</v>
      </c>
      <c r="C7383" s="66" t="s">
        <v>219</v>
      </c>
      <c r="D7383" s="3" t="s">
        <v>39</v>
      </c>
      <c r="E7383" s="64">
        <v>1</v>
      </c>
    </row>
    <row r="7384" spans="1:5">
      <c r="A7384" s="64" t="s">
        <v>38</v>
      </c>
      <c r="B7384" s="65">
        <v>43259</v>
      </c>
      <c r="C7384" s="66" t="s">
        <v>220</v>
      </c>
      <c r="D7384" s="3" t="s">
        <v>39</v>
      </c>
      <c r="E7384" s="64">
        <v>1</v>
      </c>
    </row>
    <row r="7385" spans="1:5">
      <c r="A7385" s="64" t="s">
        <v>38</v>
      </c>
      <c r="B7385" s="65">
        <v>43260</v>
      </c>
      <c r="C7385" s="66" t="s">
        <v>221</v>
      </c>
      <c r="D7385" s="3" t="s">
        <v>39</v>
      </c>
      <c r="E7385" s="64">
        <v>1</v>
      </c>
    </row>
    <row r="7386" spans="1:5">
      <c r="A7386" s="64" t="s">
        <v>38</v>
      </c>
      <c r="B7386" s="65">
        <v>43261</v>
      </c>
      <c r="C7386" s="66" t="s">
        <v>222</v>
      </c>
      <c r="D7386" s="3" t="s">
        <v>39</v>
      </c>
      <c r="E7386" s="64">
        <v>1</v>
      </c>
    </row>
    <row r="7387" spans="1:5">
      <c r="A7387" s="64" t="s">
        <v>38</v>
      </c>
      <c r="B7387" s="65">
        <v>43262</v>
      </c>
      <c r="C7387" s="66" t="s">
        <v>216</v>
      </c>
      <c r="D7387" s="3" t="s">
        <v>39</v>
      </c>
      <c r="E7387" s="64">
        <v>1</v>
      </c>
    </row>
    <row r="7388" spans="1:5">
      <c r="A7388" s="64" t="s">
        <v>38</v>
      </c>
      <c r="B7388" s="65">
        <v>43263</v>
      </c>
      <c r="C7388" s="66" t="s">
        <v>217</v>
      </c>
      <c r="D7388" s="3" t="s">
        <v>39</v>
      </c>
      <c r="E7388" s="64">
        <v>1</v>
      </c>
    </row>
    <row r="7389" spans="1:5">
      <c r="A7389" s="64" t="s">
        <v>38</v>
      </c>
      <c r="B7389" s="65">
        <v>43264</v>
      </c>
      <c r="C7389" s="66" t="s">
        <v>218</v>
      </c>
      <c r="D7389" s="3" t="s">
        <v>39</v>
      </c>
      <c r="E7389" s="64">
        <v>1</v>
      </c>
    </row>
    <row r="7390" spans="1:5">
      <c r="A7390" s="64" t="s">
        <v>38</v>
      </c>
      <c r="B7390" s="65">
        <v>43265</v>
      </c>
      <c r="C7390" s="66" t="s">
        <v>219</v>
      </c>
      <c r="D7390" s="3" t="s">
        <v>39</v>
      </c>
      <c r="E7390" s="64">
        <v>1</v>
      </c>
    </row>
    <row r="7391" spans="1:5">
      <c r="A7391" s="64" t="s">
        <v>38</v>
      </c>
      <c r="B7391" s="65">
        <v>43266</v>
      </c>
      <c r="C7391" s="66" t="s">
        <v>220</v>
      </c>
      <c r="D7391" s="3" t="s">
        <v>39</v>
      </c>
      <c r="E7391" s="64">
        <v>1</v>
      </c>
    </row>
    <row r="7392" spans="1:5">
      <c r="A7392" s="64" t="s">
        <v>38</v>
      </c>
      <c r="B7392" s="65">
        <v>43267</v>
      </c>
      <c r="C7392" s="66" t="s">
        <v>221</v>
      </c>
      <c r="D7392" s="3" t="s">
        <v>39</v>
      </c>
      <c r="E7392" s="64">
        <v>1</v>
      </c>
    </row>
    <row r="7393" spans="1:5">
      <c r="A7393" s="64" t="s">
        <v>38</v>
      </c>
      <c r="B7393" s="65">
        <v>43268</v>
      </c>
      <c r="C7393" s="66" t="s">
        <v>222</v>
      </c>
      <c r="D7393" s="3" t="s">
        <v>39</v>
      </c>
      <c r="E7393" s="64">
        <v>1</v>
      </c>
    </row>
    <row r="7394" spans="1:5">
      <c r="A7394" s="64" t="s">
        <v>38</v>
      </c>
      <c r="B7394" s="65">
        <v>43269</v>
      </c>
      <c r="C7394" s="66" t="s">
        <v>216</v>
      </c>
      <c r="D7394" s="3" t="s">
        <v>39</v>
      </c>
      <c r="E7394" s="64">
        <v>1</v>
      </c>
    </row>
    <row r="7395" spans="1:5">
      <c r="A7395" s="64" t="s">
        <v>38</v>
      </c>
      <c r="B7395" s="65">
        <v>43270</v>
      </c>
      <c r="C7395" s="66" t="s">
        <v>217</v>
      </c>
      <c r="D7395" s="3" t="s">
        <v>39</v>
      </c>
      <c r="E7395" s="64">
        <v>1</v>
      </c>
    </row>
    <row r="7396" spans="1:5">
      <c r="A7396" s="64" t="s">
        <v>38</v>
      </c>
      <c r="B7396" s="65">
        <v>43271</v>
      </c>
      <c r="C7396" s="66" t="s">
        <v>218</v>
      </c>
      <c r="D7396" s="3" t="s">
        <v>39</v>
      </c>
      <c r="E7396" s="64">
        <v>1</v>
      </c>
    </row>
    <row r="7397" spans="1:5">
      <c r="A7397" s="64" t="s">
        <v>38</v>
      </c>
      <c r="B7397" s="65">
        <v>43272</v>
      </c>
      <c r="C7397" s="66" t="s">
        <v>219</v>
      </c>
      <c r="D7397" s="3" t="s">
        <v>39</v>
      </c>
      <c r="E7397" s="64">
        <v>1</v>
      </c>
    </row>
    <row r="7398" spans="1:5">
      <c r="A7398" s="64" t="s">
        <v>38</v>
      </c>
      <c r="B7398" s="65">
        <v>43273</v>
      </c>
      <c r="C7398" s="66" t="s">
        <v>220</v>
      </c>
      <c r="D7398" s="3" t="s">
        <v>39</v>
      </c>
      <c r="E7398" s="64">
        <v>1</v>
      </c>
    </row>
    <row r="7399" spans="1:5">
      <c r="A7399" s="64" t="s">
        <v>38</v>
      </c>
      <c r="B7399" s="65">
        <v>43274</v>
      </c>
      <c r="C7399" s="66" t="s">
        <v>221</v>
      </c>
      <c r="D7399" s="3" t="s">
        <v>39</v>
      </c>
      <c r="E7399" s="64">
        <v>1</v>
      </c>
    </row>
    <row r="7400" spans="1:5">
      <c r="A7400" s="64" t="s">
        <v>38</v>
      </c>
      <c r="B7400" s="65">
        <v>43275</v>
      </c>
      <c r="C7400" s="66" t="s">
        <v>222</v>
      </c>
      <c r="D7400" s="3" t="s">
        <v>39</v>
      </c>
      <c r="E7400" s="64">
        <v>1</v>
      </c>
    </row>
    <row r="7401" spans="1:5">
      <c r="A7401" s="64" t="s">
        <v>38</v>
      </c>
      <c r="B7401" s="65">
        <v>43276</v>
      </c>
      <c r="C7401" s="66" t="s">
        <v>216</v>
      </c>
      <c r="D7401" s="3" t="s">
        <v>39</v>
      </c>
      <c r="E7401" s="64">
        <v>1</v>
      </c>
    </row>
    <row r="7402" spans="1:5">
      <c r="A7402" s="64" t="s">
        <v>38</v>
      </c>
      <c r="B7402" s="65">
        <v>43277</v>
      </c>
      <c r="C7402" s="66" t="s">
        <v>217</v>
      </c>
      <c r="D7402" s="3" t="s">
        <v>39</v>
      </c>
      <c r="E7402" s="64">
        <v>1</v>
      </c>
    </row>
    <row r="7403" spans="1:5">
      <c r="A7403" s="64" t="s">
        <v>38</v>
      </c>
      <c r="B7403" s="65">
        <v>43278</v>
      </c>
      <c r="C7403" s="66" t="s">
        <v>218</v>
      </c>
      <c r="D7403" s="3" t="s">
        <v>39</v>
      </c>
      <c r="E7403" s="64">
        <v>1</v>
      </c>
    </row>
    <row r="7404" spans="1:5">
      <c r="A7404" s="64" t="s">
        <v>38</v>
      </c>
      <c r="B7404" s="65">
        <v>43279</v>
      </c>
      <c r="C7404" s="66" t="s">
        <v>219</v>
      </c>
      <c r="D7404" s="3" t="s">
        <v>39</v>
      </c>
      <c r="E7404" s="64">
        <v>1</v>
      </c>
    </row>
    <row r="7405" spans="1:5">
      <c r="A7405" s="64" t="s">
        <v>38</v>
      </c>
      <c r="B7405" s="65">
        <v>43280</v>
      </c>
      <c r="C7405" s="66" t="s">
        <v>220</v>
      </c>
      <c r="D7405" s="3" t="s">
        <v>39</v>
      </c>
      <c r="E7405" s="64">
        <v>1</v>
      </c>
    </row>
    <row r="7406" spans="1:5">
      <c r="A7406" s="64" t="s">
        <v>38</v>
      </c>
      <c r="B7406" s="65">
        <v>43281</v>
      </c>
      <c r="C7406" s="66" t="s">
        <v>221</v>
      </c>
      <c r="D7406" s="3" t="s">
        <v>39</v>
      </c>
      <c r="E7406" s="64">
        <v>1</v>
      </c>
    </row>
    <row r="7407" spans="1:5">
      <c r="A7407" s="64" t="s">
        <v>38</v>
      </c>
      <c r="B7407" s="65">
        <v>43282</v>
      </c>
      <c r="C7407" s="66" t="s">
        <v>222</v>
      </c>
      <c r="D7407" s="3" t="s">
        <v>39</v>
      </c>
      <c r="E7407" s="64">
        <v>1</v>
      </c>
    </row>
    <row r="7408" spans="1:5">
      <c r="A7408" s="64" t="s">
        <v>38</v>
      </c>
      <c r="B7408" s="65">
        <v>43283</v>
      </c>
      <c r="C7408" s="66" t="s">
        <v>216</v>
      </c>
      <c r="D7408" s="3" t="s">
        <v>39</v>
      </c>
      <c r="E7408" s="64">
        <v>1</v>
      </c>
    </row>
    <row r="7409" spans="1:5">
      <c r="A7409" s="64" t="s">
        <v>38</v>
      </c>
      <c r="B7409" s="65">
        <v>43284</v>
      </c>
      <c r="C7409" s="66" t="s">
        <v>217</v>
      </c>
      <c r="D7409" s="3" t="s">
        <v>39</v>
      </c>
      <c r="E7409" s="64">
        <v>1</v>
      </c>
    </row>
    <row r="7410" spans="1:5">
      <c r="A7410" s="64" t="s">
        <v>38</v>
      </c>
      <c r="B7410" s="65">
        <v>43285</v>
      </c>
      <c r="C7410" s="66" t="s">
        <v>218</v>
      </c>
      <c r="D7410" s="3" t="s">
        <v>39</v>
      </c>
      <c r="E7410" s="64">
        <v>1</v>
      </c>
    </row>
    <row r="7411" spans="1:5">
      <c r="A7411" s="64" t="s">
        <v>38</v>
      </c>
      <c r="B7411" s="65">
        <v>43286</v>
      </c>
      <c r="C7411" s="66" t="s">
        <v>219</v>
      </c>
      <c r="D7411" s="3" t="s">
        <v>39</v>
      </c>
      <c r="E7411" s="64">
        <v>1</v>
      </c>
    </row>
    <row r="7412" spans="1:5">
      <c r="A7412" s="64" t="s">
        <v>38</v>
      </c>
      <c r="B7412" s="65">
        <v>43287</v>
      </c>
      <c r="C7412" s="66" t="s">
        <v>220</v>
      </c>
      <c r="D7412" s="3" t="s">
        <v>39</v>
      </c>
      <c r="E7412" s="64">
        <v>1</v>
      </c>
    </row>
    <row r="7413" spans="1:5">
      <c r="A7413" s="64" t="s">
        <v>38</v>
      </c>
      <c r="B7413" s="65">
        <v>43288</v>
      </c>
      <c r="C7413" s="66" t="s">
        <v>221</v>
      </c>
      <c r="D7413" s="3" t="s">
        <v>39</v>
      </c>
      <c r="E7413" s="64">
        <v>1</v>
      </c>
    </row>
    <row r="7414" spans="1:5">
      <c r="A7414" s="64" t="s">
        <v>38</v>
      </c>
      <c r="B7414" s="65">
        <v>43289</v>
      </c>
      <c r="C7414" s="66" t="s">
        <v>222</v>
      </c>
      <c r="D7414" s="3" t="s">
        <v>39</v>
      </c>
      <c r="E7414" s="64">
        <v>1</v>
      </c>
    </row>
    <row r="7415" spans="1:5">
      <c r="A7415" s="64" t="s">
        <v>38</v>
      </c>
      <c r="B7415" s="65">
        <v>43290</v>
      </c>
      <c r="C7415" s="66" t="s">
        <v>216</v>
      </c>
      <c r="D7415" s="3" t="s">
        <v>39</v>
      </c>
      <c r="E7415" s="64">
        <v>1</v>
      </c>
    </row>
    <row r="7416" spans="1:5">
      <c r="A7416" s="64" t="s">
        <v>38</v>
      </c>
      <c r="B7416" s="65">
        <v>43291</v>
      </c>
      <c r="C7416" s="66" t="s">
        <v>217</v>
      </c>
      <c r="D7416" s="3" t="s">
        <v>39</v>
      </c>
      <c r="E7416" s="64">
        <v>1</v>
      </c>
    </row>
    <row r="7417" spans="1:5">
      <c r="A7417" s="64" t="s">
        <v>38</v>
      </c>
      <c r="B7417" s="65">
        <v>43292</v>
      </c>
      <c r="C7417" s="66" t="s">
        <v>218</v>
      </c>
      <c r="D7417" s="3" t="s">
        <v>39</v>
      </c>
      <c r="E7417" s="64">
        <v>1</v>
      </c>
    </row>
    <row r="7418" spans="1:5">
      <c r="A7418" s="64" t="s">
        <v>38</v>
      </c>
      <c r="B7418" s="65">
        <v>43293</v>
      </c>
      <c r="C7418" s="66" t="s">
        <v>219</v>
      </c>
      <c r="D7418" s="3" t="s">
        <v>39</v>
      </c>
      <c r="E7418" s="64">
        <v>1</v>
      </c>
    </row>
    <row r="7419" spans="1:5">
      <c r="A7419" s="64" t="s">
        <v>38</v>
      </c>
      <c r="B7419" s="65">
        <v>43294</v>
      </c>
      <c r="C7419" s="66" t="s">
        <v>220</v>
      </c>
      <c r="D7419" s="3" t="s">
        <v>39</v>
      </c>
      <c r="E7419" s="64">
        <v>1</v>
      </c>
    </row>
    <row r="7420" spans="1:5">
      <c r="A7420" s="64" t="s">
        <v>38</v>
      </c>
      <c r="B7420" s="65">
        <v>43295</v>
      </c>
      <c r="C7420" s="66" t="s">
        <v>221</v>
      </c>
      <c r="D7420" s="3" t="s">
        <v>39</v>
      </c>
      <c r="E7420" s="64">
        <v>1</v>
      </c>
    </row>
    <row r="7421" spans="1:5">
      <c r="A7421" s="64" t="s">
        <v>38</v>
      </c>
      <c r="B7421" s="65">
        <v>43296</v>
      </c>
      <c r="C7421" s="66" t="s">
        <v>222</v>
      </c>
      <c r="D7421" s="3" t="s">
        <v>39</v>
      </c>
      <c r="E7421" s="64">
        <v>1</v>
      </c>
    </row>
    <row r="7422" spans="1:5">
      <c r="A7422" s="64" t="s">
        <v>38</v>
      </c>
      <c r="B7422" s="65">
        <v>43297</v>
      </c>
      <c r="C7422" s="66" t="s">
        <v>216</v>
      </c>
      <c r="D7422" s="3" t="s">
        <v>39</v>
      </c>
      <c r="E7422" s="64">
        <v>1</v>
      </c>
    </row>
    <row r="7423" spans="1:5">
      <c r="A7423" s="64" t="s">
        <v>38</v>
      </c>
      <c r="B7423" s="65">
        <v>43298</v>
      </c>
      <c r="C7423" s="66" t="s">
        <v>217</v>
      </c>
      <c r="D7423" s="3" t="s">
        <v>39</v>
      </c>
      <c r="E7423" s="64">
        <v>1</v>
      </c>
    </row>
    <row r="7424" spans="1:5">
      <c r="A7424" s="64" t="s">
        <v>38</v>
      </c>
      <c r="B7424" s="65">
        <v>43299</v>
      </c>
      <c r="C7424" s="66" t="s">
        <v>218</v>
      </c>
      <c r="D7424" s="3" t="s">
        <v>39</v>
      </c>
      <c r="E7424" s="64">
        <v>1</v>
      </c>
    </row>
    <row r="7425" spans="1:5">
      <c r="A7425" s="64" t="s">
        <v>38</v>
      </c>
      <c r="B7425" s="65">
        <v>43300</v>
      </c>
      <c r="C7425" s="66" t="s">
        <v>219</v>
      </c>
      <c r="D7425" s="3" t="s">
        <v>39</v>
      </c>
      <c r="E7425" s="64">
        <v>1</v>
      </c>
    </row>
    <row r="7426" spans="1:5">
      <c r="A7426" s="64" t="s">
        <v>38</v>
      </c>
      <c r="B7426" s="65">
        <v>43301</v>
      </c>
      <c r="C7426" s="66" t="s">
        <v>220</v>
      </c>
      <c r="D7426" s="3" t="s">
        <v>39</v>
      </c>
      <c r="E7426" s="64">
        <v>1</v>
      </c>
    </row>
    <row r="7427" spans="1:5">
      <c r="A7427" s="64" t="s">
        <v>38</v>
      </c>
      <c r="B7427" s="65">
        <v>43302</v>
      </c>
      <c r="C7427" s="66" t="s">
        <v>221</v>
      </c>
      <c r="D7427" s="3" t="s">
        <v>39</v>
      </c>
      <c r="E7427" s="64">
        <v>1</v>
      </c>
    </row>
    <row r="7428" spans="1:5">
      <c r="A7428" s="64" t="s">
        <v>38</v>
      </c>
      <c r="B7428" s="65">
        <v>43303</v>
      </c>
      <c r="C7428" s="66" t="s">
        <v>222</v>
      </c>
      <c r="D7428" s="3" t="s">
        <v>39</v>
      </c>
      <c r="E7428" s="64">
        <v>1</v>
      </c>
    </row>
    <row r="7429" spans="1:5">
      <c r="A7429" s="64" t="s">
        <v>38</v>
      </c>
      <c r="B7429" s="65">
        <v>43304</v>
      </c>
      <c r="C7429" s="66" t="s">
        <v>216</v>
      </c>
      <c r="D7429" s="3" t="s">
        <v>39</v>
      </c>
      <c r="E7429" s="64">
        <v>1</v>
      </c>
    </row>
    <row r="7430" spans="1:5">
      <c r="A7430" s="64" t="s">
        <v>38</v>
      </c>
      <c r="B7430" s="65">
        <v>43305</v>
      </c>
      <c r="C7430" s="66" t="s">
        <v>217</v>
      </c>
      <c r="D7430" s="3" t="s">
        <v>39</v>
      </c>
      <c r="E7430" s="64">
        <v>1</v>
      </c>
    </row>
    <row r="7431" spans="1:5">
      <c r="A7431" s="64" t="s">
        <v>38</v>
      </c>
      <c r="B7431" s="65">
        <v>43306</v>
      </c>
      <c r="C7431" s="66" t="s">
        <v>218</v>
      </c>
      <c r="D7431" s="3" t="s">
        <v>39</v>
      </c>
      <c r="E7431" s="64">
        <v>1</v>
      </c>
    </row>
    <row r="7432" spans="1:5">
      <c r="A7432" s="64" t="s">
        <v>38</v>
      </c>
      <c r="B7432" s="65">
        <v>43307</v>
      </c>
      <c r="C7432" s="66" t="s">
        <v>219</v>
      </c>
      <c r="D7432" s="3" t="s">
        <v>39</v>
      </c>
      <c r="E7432" s="64">
        <v>1</v>
      </c>
    </row>
    <row r="7433" spans="1:5">
      <c r="A7433" s="64" t="s">
        <v>38</v>
      </c>
      <c r="B7433" s="65">
        <v>43308</v>
      </c>
      <c r="C7433" s="66" t="s">
        <v>220</v>
      </c>
      <c r="D7433" s="3" t="s">
        <v>39</v>
      </c>
      <c r="E7433" s="64">
        <v>1</v>
      </c>
    </row>
    <row r="7434" spans="1:5">
      <c r="A7434" s="64" t="s">
        <v>38</v>
      </c>
      <c r="B7434" s="65">
        <v>43309</v>
      </c>
      <c r="C7434" s="66" t="s">
        <v>221</v>
      </c>
      <c r="D7434" s="3" t="s">
        <v>39</v>
      </c>
      <c r="E7434" s="64">
        <v>1</v>
      </c>
    </row>
    <row r="7435" spans="1:5">
      <c r="A7435" s="64" t="s">
        <v>38</v>
      </c>
      <c r="B7435" s="65">
        <v>43310</v>
      </c>
      <c r="C7435" s="66" t="s">
        <v>222</v>
      </c>
      <c r="D7435" s="3" t="s">
        <v>39</v>
      </c>
      <c r="E7435" s="64">
        <v>1</v>
      </c>
    </row>
    <row r="7436" spans="1:5">
      <c r="A7436" s="64" t="s">
        <v>38</v>
      </c>
      <c r="B7436" s="65">
        <v>43311</v>
      </c>
      <c r="C7436" s="66" t="s">
        <v>216</v>
      </c>
      <c r="D7436" s="3" t="s">
        <v>39</v>
      </c>
      <c r="E7436" s="64">
        <v>1</v>
      </c>
    </row>
    <row r="7437" spans="1:5">
      <c r="A7437" s="64" t="s">
        <v>38</v>
      </c>
      <c r="B7437" s="65">
        <v>43312</v>
      </c>
      <c r="C7437" s="66" t="s">
        <v>217</v>
      </c>
      <c r="D7437" s="3" t="s">
        <v>39</v>
      </c>
      <c r="E7437" s="64">
        <v>1</v>
      </c>
    </row>
    <row r="7438" spans="1:5">
      <c r="A7438" s="64" t="s">
        <v>38</v>
      </c>
      <c r="B7438" s="65">
        <v>43313</v>
      </c>
      <c r="C7438" s="66" t="s">
        <v>218</v>
      </c>
      <c r="D7438" s="3" t="s">
        <v>39</v>
      </c>
      <c r="E7438" s="64">
        <v>1</v>
      </c>
    </row>
    <row r="7439" spans="1:5">
      <c r="A7439" s="64" t="s">
        <v>38</v>
      </c>
      <c r="B7439" s="65">
        <v>43314</v>
      </c>
      <c r="C7439" s="66" t="s">
        <v>219</v>
      </c>
      <c r="D7439" s="3" t="s">
        <v>39</v>
      </c>
      <c r="E7439" s="64">
        <v>1</v>
      </c>
    </row>
    <row r="7440" spans="1:5">
      <c r="A7440" s="64" t="s">
        <v>38</v>
      </c>
      <c r="B7440" s="65">
        <v>43315</v>
      </c>
      <c r="C7440" s="66" t="s">
        <v>220</v>
      </c>
      <c r="D7440" s="3" t="s">
        <v>39</v>
      </c>
      <c r="E7440" s="64">
        <v>1</v>
      </c>
    </row>
    <row r="7441" spans="1:5">
      <c r="A7441" s="64" t="s">
        <v>38</v>
      </c>
      <c r="B7441" s="65">
        <v>43316</v>
      </c>
      <c r="C7441" s="66" t="s">
        <v>221</v>
      </c>
      <c r="D7441" s="3" t="s">
        <v>39</v>
      </c>
      <c r="E7441" s="64">
        <v>1</v>
      </c>
    </row>
    <row r="7442" spans="1:5">
      <c r="A7442" s="64" t="s">
        <v>38</v>
      </c>
      <c r="B7442" s="65">
        <v>43317</v>
      </c>
      <c r="C7442" s="66" t="s">
        <v>222</v>
      </c>
      <c r="D7442" s="3" t="s">
        <v>39</v>
      </c>
      <c r="E7442" s="64">
        <v>1</v>
      </c>
    </row>
    <row r="7443" spans="1:5">
      <c r="A7443" s="64" t="s">
        <v>38</v>
      </c>
      <c r="B7443" s="65">
        <v>43318</v>
      </c>
      <c r="C7443" s="66" t="s">
        <v>216</v>
      </c>
      <c r="D7443" s="3" t="s">
        <v>39</v>
      </c>
      <c r="E7443" s="64">
        <v>1</v>
      </c>
    </row>
    <row r="7444" spans="1:5">
      <c r="A7444" s="64" t="s">
        <v>38</v>
      </c>
      <c r="B7444" s="65">
        <v>43319</v>
      </c>
      <c r="C7444" s="66" t="s">
        <v>217</v>
      </c>
      <c r="D7444" s="3" t="s">
        <v>39</v>
      </c>
      <c r="E7444" s="64">
        <v>1</v>
      </c>
    </row>
    <row r="7445" spans="1:5">
      <c r="A7445" s="64" t="s">
        <v>38</v>
      </c>
      <c r="B7445" s="65">
        <v>43320</v>
      </c>
      <c r="C7445" s="66" t="s">
        <v>218</v>
      </c>
      <c r="D7445" s="3" t="s">
        <v>39</v>
      </c>
      <c r="E7445" s="64">
        <v>1</v>
      </c>
    </row>
    <row r="7446" spans="1:5">
      <c r="A7446" s="64" t="s">
        <v>38</v>
      </c>
      <c r="B7446" s="65">
        <v>43321</v>
      </c>
      <c r="C7446" s="66" t="s">
        <v>219</v>
      </c>
      <c r="D7446" s="3" t="s">
        <v>39</v>
      </c>
      <c r="E7446" s="64">
        <v>1</v>
      </c>
    </row>
    <row r="7447" spans="1:5">
      <c r="A7447" s="64" t="s">
        <v>38</v>
      </c>
      <c r="B7447" s="65">
        <v>43322</v>
      </c>
      <c r="C7447" s="66" t="s">
        <v>220</v>
      </c>
      <c r="D7447" s="3" t="s">
        <v>39</v>
      </c>
      <c r="E7447" s="64">
        <v>1</v>
      </c>
    </row>
    <row r="7448" spans="1:5">
      <c r="A7448" s="64" t="s">
        <v>38</v>
      </c>
      <c r="B7448" s="65">
        <v>43323</v>
      </c>
      <c r="C7448" s="66" t="s">
        <v>221</v>
      </c>
      <c r="D7448" s="3" t="s">
        <v>39</v>
      </c>
      <c r="E7448" s="64">
        <v>1</v>
      </c>
    </row>
    <row r="7449" spans="1:5">
      <c r="A7449" s="64" t="s">
        <v>38</v>
      </c>
      <c r="B7449" s="65">
        <v>43324</v>
      </c>
      <c r="C7449" s="66" t="s">
        <v>222</v>
      </c>
      <c r="D7449" s="3" t="s">
        <v>39</v>
      </c>
      <c r="E7449" s="64">
        <v>1</v>
      </c>
    </row>
    <row r="7450" spans="1:5">
      <c r="A7450" s="64" t="s">
        <v>38</v>
      </c>
      <c r="B7450" s="65">
        <v>43325</v>
      </c>
      <c r="C7450" s="66" t="s">
        <v>216</v>
      </c>
      <c r="D7450" s="3" t="s">
        <v>39</v>
      </c>
      <c r="E7450" s="64">
        <v>1</v>
      </c>
    </row>
    <row r="7451" spans="1:5">
      <c r="A7451" s="64" t="s">
        <v>38</v>
      </c>
      <c r="B7451" s="65">
        <v>43326</v>
      </c>
      <c r="C7451" s="66" t="s">
        <v>217</v>
      </c>
      <c r="D7451" s="3" t="s">
        <v>39</v>
      </c>
      <c r="E7451" s="64">
        <v>1</v>
      </c>
    </row>
    <row r="7452" spans="1:5">
      <c r="A7452" s="64" t="s">
        <v>38</v>
      </c>
      <c r="B7452" s="65">
        <v>43327</v>
      </c>
      <c r="C7452" s="66" t="s">
        <v>218</v>
      </c>
      <c r="D7452" s="3" t="s">
        <v>39</v>
      </c>
      <c r="E7452" s="64">
        <v>1</v>
      </c>
    </row>
    <row r="7453" spans="1:5">
      <c r="A7453" s="64" t="s">
        <v>38</v>
      </c>
      <c r="B7453" s="65">
        <v>43328</v>
      </c>
      <c r="C7453" s="66" t="s">
        <v>219</v>
      </c>
      <c r="D7453" s="3" t="s">
        <v>39</v>
      </c>
      <c r="E7453" s="64">
        <v>1</v>
      </c>
    </row>
    <row r="7454" spans="1:5">
      <c r="A7454" s="64" t="s">
        <v>38</v>
      </c>
      <c r="B7454" s="65">
        <v>43329</v>
      </c>
      <c r="C7454" s="66" t="s">
        <v>220</v>
      </c>
      <c r="D7454" s="3" t="s">
        <v>39</v>
      </c>
      <c r="E7454" s="64">
        <v>1</v>
      </c>
    </row>
    <row r="7455" spans="1:5">
      <c r="A7455" s="64" t="s">
        <v>38</v>
      </c>
      <c r="B7455" s="65">
        <v>43330</v>
      </c>
      <c r="C7455" s="66" t="s">
        <v>221</v>
      </c>
      <c r="D7455" s="3" t="s">
        <v>39</v>
      </c>
      <c r="E7455" s="64">
        <v>1</v>
      </c>
    </row>
    <row r="7456" spans="1:5">
      <c r="A7456" s="64" t="s">
        <v>38</v>
      </c>
      <c r="B7456" s="65">
        <v>43331</v>
      </c>
      <c r="C7456" s="66" t="s">
        <v>222</v>
      </c>
      <c r="D7456" s="3" t="s">
        <v>39</v>
      </c>
      <c r="E7456" s="64">
        <v>1</v>
      </c>
    </row>
    <row r="7457" spans="1:5">
      <c r="A7457" s="64" t="s">
        <v>38</v>
      </c>
      <c r="B7457" s="65">
        <v>43332</v>
      </c>
      <c r="C7457" s="66" t="s">
        <v>216</v>
      </c>
      <c r="D7457" s="3" t="s">
        <v>39</v>
      </c>
      <c r="E7457" s="64">
        <v>1</v>
      </c>
    </row>
    <row r="7458" spans="1:5">
      <c r="A7458" s="64" t="s">
        <v>38</v>
      </c>
      <c r="B7458" s="65">
        <v>43333</v>
      </c>
      <c r="C7458" s="66" t="s">
        <v>217</v>
      </c>
      <c r="D7458" s="3" t="s">
        <v>39</v>
      </c>
      <c r="E7458" s="64">
        <v>1</v>
      </c>
    </row>
    <row r="7459" spans="1:5">
      <c r="A7459" s="64" t="s">
        <v>38</v>
      </c>
      <c r="B7459" s="65">
        <v>43334</v>
      </c>
      <c r="C7459" s="66" t="s">
        <v>218</v>
      </c>
      <c r="D7459" s="3" t="s">
        <v>39</v>
      </c>
      <c r="E7459" s="64">
        <v>1</v>
      </c>
    </row>
    <row r="7460" spans="1:5">
      <c r="A7460" s="64" t="s">
        <v>38</v>
      </c>
      <c r="B7460" s="65">
        <v>43335</v>
      </c>
      <c r="C7460" s="66" t="s">
        <v>219</v>
      </c>
      <c r="D7460" s="3" t="s">
        <v>39</v>
      </c>
      <c r="E7460" s="64">
        <v>1</v>
      </c>
    </row>
    <row r="7461" spans="1:5">
      <c r="A7461" s="64" t="s">
        <v>38</v>
      </c>
      <c r="B7461" s="65">
        <v>43336</v>
      </c>
      <c r="C7461" s="66" t="s">
        <v>220</v>
      </c>
      <c r="D7461" s="3" t="s">
        <v>39</v>
      </c>
      <c r="E7461" s="64">
        <v>1</v>
      </c>
    </row>
    <row r="7462" spans="1:5">
      <c r="A7462" s="64" t="s">
        <v>38</v>
      </c>
      <c r="B7462" s="65">
        <v>43337</v>
      </c>
      <c r="C7462" s="66" t="s">
        <v>221</v>
      </c>
      <c r="D7462" s="3" t="s">
        <v>39</v>
      </c>
      <c r="E7462" s="64">
        <v>1</v>
      </c>
    </row>
    <row r="7463" spans="1:5">
      <c r="A7463" s="64" t="s">
        <v>38</v>
      </c>
      <c r="B7463" s="65">
        <v>43338</v>
      </c>
      <c r="C7463" s="66" t="s">
        <v>222</v>
      </c>
      <c r="D7463" s="3" t="s">
        <v>39</v>
      </c>
      <c r="E7463" s="64">
        <v>1</v>
      </c>
    </row>
    <row r="7464" spans="1:5">
      <c r="A7464" s="64" t="s">
        <v>38</v>
      </c>
      <c r="B7464" s="65">
        <v>43339</v>
      </c>
      <c r="C7464" s="66" t="s">
        <v>216</v>
      </c>
      <c r="D7464" s="3" t="s">
        <v>39</v>
      </c>
      <c r="E7464" s="64">
        <v>1</v>
      </c>
    </row>
    <row r="7465" spans="1:5">
      <c r="A7465" s="64" t="s">
        <v>38</v>
      </c>
      <c r="B7465" s="65">
        <v>43340</v>
      </c>
      <c r="C7465" s="66" t="s">
        <v>217</v>
      </c>
      <c r="D7465" s="3" t="s">
        <v>39</v>
      </c>
      <c r="E7465" s="64">
        <v>1</v>
      </c>
    </row>
    <row r="7466" spans="1:5">
      <c r="A7466" s="64" t="s">
        <v>38</v>
      </c>
      <c r="B7466" s="65">
        <v>43341</v>
      </c>
      <c r="C7466" s="66" t="s">
        <v>218</v>
      </c>
      <c r="D7466" s="3" t="s">
        <v>39</v>
      </c>
      <c r="E7466" s="64">
        <v>1</v>
      </c>
    </row>
    <row r="7467" spans="1:5">
      <c r="A7467" s="64" t="s">
        <v>38</v>
      </c>
      <c r="B7467" s="65">
        <v>43342</v>
      </c>
      <c r="C7467" s="66" t="s">
        <v>219</v>
      </c>
      <c r="D7467" s="3" t="s">
        <v>39</v>
      </c>
      <c r="E7467" s="64">
        <v>1</v>
      </c>
    </row>
    <row r="7468" spans="1:5">
      <c r="A7468" s="64" t="s">
        <v>38</v>
      </c>
      <c r="B7468" s="65">
        <v>43343</v>
      </c>
      <c r="C7468" s="66" t="s">
        <v>220</v>
      </c>
      <c r="D7468" s="3" t="s">
        <v>39</v>
      </c>
      <c r="E7468" s="64">
        <v>1</v>
      </c>
    </row>
    <row r="7469" spans="1:5">
      <c r="A7469" s="64" t="s">
        <v>38</v>
      </c>
      <c r="B7469" s="65">
        <v>43344</v>
      </c>
      <c r="C7469" s="66" t="s">
        <v>221</v>
      </c>
      <c r="D7469" s="3" t="s">
        <v>39</v>
      </c>
      <c r="E7469" s="64">
        <v>1</v>
      </c>
    </row>
    <row r="7470" spans="1:5">
      <c r="A7470" s="64" t="s">
        <v>38</v>
      </c>
      <c r="B7470" s="65">
        <v>43345</v>
      </c>
      <c r="C7470" s="66" t="s">
        <v>222</v>
      </c>
      <c r="D7470" s="3" t="s">
        <v>39</v>
      </c>
      <c r="E7470" s="64">
        <v>1</v>
      </c>
    </row>
    <row r="7471" spans="1:5">
      <c r="A7471" s="64" t="s">
        <v>38</v>
      </c>
      <c r="B7471" s="65">
        <v>43346</v>
      </c>
      <c r="C7471" s="66" t="s">
        <v>216</v>
      </c>
      <c r="D7471" s="3" t="s">
        <v>39</v>
      </c>
      <c r="E7471" s="64">
        <v>1</v>
      </c>
    </row>
    <row r="7472" spans="1:5">
      <c r="A7472" s="64" t="s">
        <v>38</v>
      </c>
      <c r="B7472" s="65">
        <v>43347</v>
      </c>
      <c r="C7472" s="66" t="s">
        <v>217</v>
      </c>
      <c r="D7472" s="3" t="s">
        <v>39</v>
      </c>
      <c r="E7472" s="64">
        <v>1</v>
      </c>
    </row>
    <row r="7473" spans="1:5">
      <c r="A7473" s="64" t="s">
        <v>38</v>
      </c>
      <c r="B7473" s="65">
        <v>43348</v>
      </c>
      <c r="C7473" s="66" t="s">
        <v>218</v>
      </c>
      <c r="D7473" s="3" t="s">
        <v>39</v>
      </c>
      <c r="E7473" s="64">
        <v>1</v>
      </c>
    </row>
    <row r="7474" spans="1:5">
      <c r="A7474" s="64" t="s">
        <v>38</v>
      </c>
      <c r="B7474" s="65">
        <v>43349</v>
      </c>
      <c r="C7474" s="66" t="s">
        <v>219</v>
      </c>
      <c r="D7474" s="3" t="s">
        <v>39</v>
      </c>
      <c r="E7474" s="64">
        <v>1</v>
      </c>
    </row>
    <row r="7475" spans="1:5">
      <c r="A7475" s="64" t="s">
        <v>38</v>
      </c>
      <c r="B7475" s="65">
        <v>43350</v>
      </c>
      <c r="C7475" s="66" t="s">
        <v>220</v>
      </c>
      <c r="D7475" s="3" t="s">
        <v>39</v>
      </c>
      <c r="E7475" s="64">
        <v>1</v>
      </c>
    </row>
    <row r="7476" spans="1:5">
      <c r="A7476" s="64" t="s">
        <v>38</v>
      </c>
      <c r="B7476" s="65">
        <v>43351</v>
      </c>
      <c r="C7476" s="66" t="s">
        <v>221</v>
      </c>
      <c r="D7476" s="3" t="s">
        <v>39</v>
      </c>
      <c r="E7476" s="64">
        <v>1</v>
      </c>
    </row>
    <row r="7477" spans="1:5">
      <c r="A7477" s="64" t="s">
        <v>38</v>
      </c>
      <c r="B7477" s="65">
        <v>43352</v>
      </c>
      <c r="C7477" s="66" t="s">
        <v>222</v>
      </c>
      <c r="D7477" s="3" t="s">
        <v>39</v>
      </c>
      <c r="E7477" s="64">
        <v>1</v>
      </c>
    </row>
    <row r="7478" spans="1:5">
      <c r="A7478" s="64" t="s">
        <v>38</v>
      </c>
      <c r="B7478" s="65">
        <v>43353</v>
      </c>
      <c r="C7478" s="66" t="s">
        <v>216</v>
      </c>
      <c r="D7478" s="3" t="s">
        <v>39</v>
      </c>
      <c r="E7478" s="64">
        <v>1</v>
      </c>
    </row>
    <row r="7479" spans="1:5">
      <c r="A7479" s="64" t="s">
        <v>38</v>
      </c>
      <c r="B7479" s="65">
        <v>43354</v>
      </c>
      <c r="C7479" s="66" t="s">
        <v>217</v>
      </c>
      <c r="D7479" s="3" t="s">
        <v>39</v>
      </c>
      <c r="E7479" s="64">
        <v>1</v>
      </c>
    </row>
    <row r="7480" spans="1:5">
      <c r="A7480" s="64" t="s">
        <v>38</v>
      </c>
      <c r="B7480" s="65">
        <v>43355</v>
      </c>
      <c r="C7480" s="66" t="s">
        <v>218</v>
      </c>
      <c r="D7480" s="3" t="s">
        <v>39</v>
      </c>
      <c r="E7480" s="64">
        <v>1</v>
      </c>
    </row>
    <row r="7481" spans="1:5">
      <c r="A7481" s="64" t="s">
        <v>38</v>
      </c>
      <c r="B7481" s="65">
        <v>43356</v>
      </c>
      <c r="C7481" s="66" t="s">
        <v>219</v>
      </c>
      <c r="D7481" s="3" t="s">
        <v>39</v>
      </c>
      <c r="E7481" s="64">
        <v>1</v>
      </c>
    </row>
    <row r="7482" spans="1:5">
      <c r="A7482" s="64" t="s">
        <v>38</v>
      </c>
      <c r="B7482" s="65">
        <v>43357</v>
      </c>
      <c r="C7482" s="66" t="s">
        <v>220</v>
      </c>
      <c r="D7482" s="3" t="s">
        <v>39</v>
      </c>
      <c r="E7482" s="64">
        <v>1</v>
      </c>
    </row>
    <row r="7483" spans="1:5">
      <c r="A7483" s="64" t="s">
        <v>38</v>
      </c>
      <c r="B7483" s="65">
        <v>43358</v>
      </c>
      <c r="C7483" s="66" t="s">
        <v>221</v>
      </c>
      <c r="D7483" s="3" t="s">
        <v>39</v>
      </c>
      <c r="E7483" s="64">
        <v>1</v>
      </c>
    </row>
    <row r="7484" spans="1:5">
      <c r="A7484" s="64" t="s">
        <v>38</v>
      </c>
      <c r="B7484" s="65">
        <v>43359</v>
      </c>
      <c r="C7484" s="66" t="s">
        <v>222</v>
      </c>
      <c r="D7484" s="3" t="s">
        <v>39</v>
      </c>
      <c r="E7484" s="64">
        <v>1</v>
      </c>
    </row>
    <row r="7485" spans="1:5">
      <c r="A7485" s="64" t="s">
        <v>38</v>
      </c>
      <c r="B7485" s="65">
        <v>43360</v>
      </c>
      <c r="C7485" s="66" t="s">
        <v>216</v>
      </c>
      <c r="D7485" s="3" t="s">
        <v>39</v>
      </c>
      <c r="E7485" s="64">
        <v>1</v>
      </c>
    </row>
    <row r="7486" spans="1:5">
      <c r="A7486" s="64" t="s">
        <v>38</v>
      </c>
      <c r="B7486" s="65">
        <v>43361</v>
      </c>
      <c r="C7486" s="66" t="s">
        <v>217</v>
      </c>
      <c r="D7486" s="3" t="s">
        <v>39</v>
      </c>
      <c r="E7486" s="64">
        <v>1</v>
      </c>
    </row>
    <row r="7487" spans="1:5">
      <c r="A7487" s="64" t="s">
        <v>38</v>
      </c>
      <c r="B7487" s="65">
        <v>43362</v>
      </c>
      <c r="C7487" s="66" t="s">
        <v>218</v>
      </c>
      <c r="D7487" s="3" t="s">
        <v>39</v>
      </c>
      <c r="E7487" s="64">
        <v>1</v>
      </c>
    </row>
    <row r="7488" spans="1:5">
      <c r="A7488" s="64" t="s">
        <v>38</v>
      </c>
      <c r="B7488" s="65">
        <v>43363</v>
      </c>
      <c r="C7488" s="66" t="s">
        <v>219</v>
      </c>
      <c r="D7488" s="3" t="s">
        <v>39</v>
      </c>
      <c r="E7488" s="64">
        <v>1</v>
      </c>
    </row>
    <row r="7489" spans="1:5">
      <c r="A7489" s="64" t="s">
        <v>38</v>
      </c>
      <c r="B7489" s="65">
        <v>43364</v>
      </c>
      <c r="C7489" s="66" t="s">
        <v>220</v>
      </c>
      <c r="D7489" s="3" t="s">
        <v>39</v>
      </c>
      <c r="E7489" s="64">
        <v>1</v>
      </c>
    </row>
    <row r="7490" spans="1:5">
      <c r="A7490" s="64" t="s">
        <v>38</v>
      </c>
      <c r="B7490" s="65">
        <v>43365</v>
      </c>
      <c r="C7490" s="66" t="s">
        <v>221</v>
      </c>
      <c r="D7490" s="3" t="s">
        <v>39</v>
      </c>
      <c r="E7490" s="64">
        <v>1</v>
      </c>
    </row>
    <row r="7491" spans="1:5">
      <c r="A7491" s="64" t="s">
        <v>38</v>
      </c>
      <c r="B7491" s="65">
        <v>43366</v>
      </c>
      <c r="C7491" s="66" t="s">
        <v>222</v>
      </c>
      <c r="D7491" s="3" t="s">
        <v>39</v>
      </c>
      <c r="E7491" s="64">
        <v>1</v>
      </c>
    </row>
    <row r="7492" spans="1:5">
      <c r="A7492" s="64" t="s">
        <v>38</v>
      </c>
      <c r="B7492" s="65">
        <v>43367</v>
      </c>
      <c r="C7492" s="66" t="s">
        <v>216</v>
      </c>
      <c r="D7492" s="3" t="s">
        <v>39</v>
      </c>
      <c r="E7492" s="64">
        <v>1</v>
      </c>
    </row>
    <row r="7493" spans="1:5">
      <c r="A7493" s="64" t="s">
        <v>38</v>
      </c>
      <c r="B7493" s="65">
        <v>43368</v>
      </c>
      <c r="C7493" s="66" t="s">
        <v>217</v>
      </c>
      <c r="D7493" s="3" t="s">
        <v>39</v>
      </c>
      <c r="E7493" s="64">
        <v>1</v>
      </c>
    </row>
    <row r="7494" spans="1:5">
      <c r="A7494" s="64" t="s">
        <v>38</v>
      </c>
      <c r="B7494" s="65">
        <v>43369</v>
      </c>
      <c r="C7494" s="66" t="s">
        <v>218</v>
      </c>
      <c r="D7494" s="3" t="s">
        <v>39</v>
      </c>
      <c r="E7494" s="64">
        <v>1</v>
      </c>
    </row>
    <row r="7495" spans="1:5">
      <c r="A7495" s="64" t="s">
        <v>38</v>
      </c>
      <c r="B7495" s="65">
        <v>43370</v>
      </c>
      <c r="C7495" s="66" t="s">
        <v>219</v>
      </c>
      <c r="D7495" s="3" t="s">
        <v>39</v>
      </c>
      <c r="E7495" s="64">
        <v>1</v>
      </c>
    </row>
    <row r="7496" spans="1:5">
      <c r="A7496" s="64" t="s">
        <v>38</v>
      </c>
      <c r="B7496" s="65">
        <v>43371</v>
      </c>
      <c r="C7496" s="66" t="s">
        <v>220</v>
      </c>
      <c r="D7496" s="3" t="s">
        <v>39</v>
      </c>
      <c r="E7496" s="64">
        <v>1</v>
      </c>
    </row>
    <row r="7497" spans="1:5">
      <c r="A7497" s="64" t="s">
        <v>38</v>
      </c>
      <c r="B7497" s="65">
        <v>43372</v>
      </c>
      <c r="C7497" s="66" t="s">
        <v>221</v>
      </c>
      <c r="D7497" s="3" t="s">
        <v>39</v>
      </c>
      <c r="E7497" s="64">
        <v>1</v>
      </c>
    </row>
    <row r="7498" spans="1:5">
      <c r="A7498" s="64" t="s">
        <v>38</v>
      </c>
      <c r="B7498" s="65">
        <v>43373</v>
      </c>
      <c r="C7498" s="66" t="s">
        <v>222</v>
      </c>
      <c r="D7498" s="3" t="s">
        <v>39</v>
      </c>
      <c r="E7498" s="64">
        <v>1</v>
      </c>
    </row>
    <row r="7499" spans="1:5">
      <c r="A7499" s="64" t="s">
        <v>38</v>
      </c>
      <c r="B7499" s="65">
        <v>43374</v>
      </c>
      <c r="C7499" s="66" t="s">
        <v>216</v>
      </c>
      <c r="D7499" s="3" t="s">
        <v>39</v>
      </c>
      <c r="E7499" s="64">
        <v>1</v>
      </c>
    </row>
    <row r="7500" spans="1:5">
      <c r="A7500" s="64" t="s">
        <v>38</v>
      </c>
      <c r="B7500" s="65">
        <v>43375</v>
      </c>
      <c r="C7500" s="66" t="s">
        <v>217</v>
      </c>
      <c r="D7500" s="3" t="s">
        <v>39</v>
      </c>
      <c r="E7500" s="64">
        <v>1</v>
      </c>
    </row>
    <row r="7501" spans="1:5">
      <c r="A7501" s="64" t="s">
        <v>38</v>
      </c>
      <c r="B7501" s="65">
        <v>43376</v>
      </c>
      <c r="C7501" s="66" t="s">
        <v>218</v>
      </c>
      <c r="D7501" s="3" t="s">
        <v>39</v>
      </c>
      <c r="E7501" s="64">
        <v>1</v>
      </c>
    </row>
    <row r="7502" spans="1:5">
      <c r="A7502" s="64" t="s">
        <v>38</v>
      </c>
      <c r="B7502" s="65">
        <v>43377</v>
      </c>
      <c r="C7502" s="66" t="s">
        <v>219</v>
      </c>
      <c r="D7502" s="3" t="s">
        <v>39</v>
      </c>
      <c r="E7502" s="64">
        <v>1</v>
      </c>
    </row>
    <row r="7503" spans="1:5">
      <c r="A7503" s="64" t="s">
        <v>38</v>
      </c>
      <c r="B7503" s="65">
        <v>43378</v>
      </c>
      <c r="C7503" s="66" t="s">
        <v>220</v>
      </c>
      <c r="D7503" s="3" t="s">
        <v>39</v>
      </c>
      <c r="E7503" s="64">
        <v>1</v>
      </c>
    </row>
    <row r="7504" spans="1:5">
      <c r="A7504" s="64" t="s">
        <v>38</v>
      </c>
      <c r="B7504" s="65">
        <v>43379</v>
      </c>
      <c r="C7504" s="66" t="s">
        <v>221</v>
      </c>
      <c r="D7504" s="3" t="s">
        <v>39</v>
      </c>
      <c r="E7504" s="64">
        <v>1</v>
      </c>
    </row>
    <row r="7505" spans="1:5">
      <c r="A7505" s="64" t="s">
        <v>38</v>
      </c>
      <c r="B7505" s="65">
        <v>43380</v>
      </c>
      <c r="C7505" s="66" t="s">
        <v>222</v>
      </c>
      <c r="D7505" s="3" t="s">
        <v>39</v>
      </c>
      <c r="E7505" s="64">
        <v>1</v>
      </c>
    </row>
    <row r="7506" spans="1:5">
      <c r="A7506" s="64" t="s">
        <v>38</v>
      </c>
      <c r="B7506" s="65">
        <v>43381</v>
      </c>
      <c r="C7506" s="66" t="s">
        <v>216</v>
      </c>
      <c r="D7506" s="3" t="s">
        <v>39</v>
      </c>
      <c r="E7506" s="64">
        <v>1</v>
      </c>
    </row>
    <row r="7507" spans="1:5">
      <c r="A7507" s="64" t="s">
        <v>38</v>
      </c>
      <c r="B7507" s="65">
        <v>43382</v>
      </c>
      <c r="C7507" s="66" t="s">
        <v>217</v>
      </c>
      <c r="D7507" s="3" t="s">
        <v>39</v>
      </c>
      <c r="E7507" s="64">
        <v>1</v>
      </c>
    </row>
    <row r="7508" spans="1:5">
      <c r="A7508" s="64" t="s">
        <v>38</v>
      </c>
      <c r="B7508" s="65">
        <v>43383</v>
      </c>
      <c r="C7508" s="66" t="s">
        <v>218</v>
      </c>
      <c r="D7508" s="3" t="s">
        <v>39</v>
      </c>
      <c r="E7508" s="64">
        <v>1</v>
      </c>
    </row>
    <row r="7509" spans="1:5">
      <c r="A7509" s="64" t="s">
        <v>38</v>
      </c>
      <c r="B7509" s="65">
        <v>43384</v>
      </c>
      <c r="C7509" s="66" t="s">
        <v>219</v>
      </c>
      <c r="D7509" s="3" t="s">
        <v>39</v>
      </c>
      <c r="E7509" s="64">
        <v>1</v>
      </c>
    </row>
    <row r="7510" spans="1:5">
      <c r="A7510" s="64" t="s">
        <v>38</v>
      </c>
      <c r="B7510" s="65">
        <v>43385</v>
      </c>
      <c r="C7510" s="66" t="s">
        <v>220</v>
      </c>
      <c r="D7510" s="3" t="s">
        <v>39</v>
      </c>
      <c r="E7510" s="64">
        <v>1</v>
      </c>
    </row>
    <row r="7511" spans="1:5">
      <c r="A7511" s="64" t="s">
        <v>38</v>
      </c>
      <c r="B7511" s="65">
        <v>43386</v>
      </c>
      <c r="C7511" s="66" t="s">
        <v>221</v>
      </c>
      <c r="D7511" s="3" t="s">
        <v>39</v>
      </c>
      <c r="E7511" s="64">
        <v>1</v>
      </c>
    </row>
    <row r="7512" spans="1:5">
      <c r="A7512" s="64" t="s">
        <v>38</v>
      </c>
      <c r="B7512" s="65">
        <v>43387</v>
      </c>
      <c r="C7512" s="66" t="s">
        <v>222</v>
      </c>
      <c r="D7512" s="3" t="s">
        <v>39</v>
      </c>
      <c r="E7512" s="64">
        <v>1</v>
      </c>
    </row>
    <row r="7513" spans="1:5">
      <c r="A7513" s="64" t="s">
        <v>38</v>
      </c>
      <c r="B7513" s="65">
        <v>43388</v>
      </c>
      <c r="C7513" s="66" t="s">
        <v>216</v>
      </c>
      <c r="D7513" s="3" t="s">
        <v>39</v>
      </c>
      <c r="E7513" s="64">
        <v>1</v>
      </c>
    </row>
    <row r="7514" spans="1:5">
      <c r="A7514" s="64" t="s">
        <v>38</v>
      </c>
      <c r="B7514" s="65">
        <v>43389</v>
      </c>
      <c r="C7514" s="66" t="s">
        <v>217</v>
      </c>
      <c r="D7514" s="3" t="s">
        <v>39</v>
      </c>
      <c r="E7514" s="64">
        <v>1</v>
      </c>
    </row>
    <row r="7515" spans="1:5">
      <c r="A7515" s="64" t="s">
        <v>38</v>
      </c>
      <c r="B7515" s="65">
        <v>43390</v>
      </c>
      <c r="C7515" s="66" t="s">
        <v>218</v>
      </c>
      <c r="D7515" s="3" t="s">
        <v>39</v>
      </c>
      <c r="E7515" s="64">
        <v>1</v>
      </c>
    </row>
    <row r="7516" spans="1:5">
      <c r="A7516" s="64" t="s">
        <v>38</v>
      </c>
      <c r="B7516" s="65">
        <v>43391</v>
      </c>
      <c r="C7516" s="66" t="s">
        <v>219</v>
      </c>
      <c r="D7516" s="3" t="s">
        <v>39</v>
      </c>
      <c r="E7516" s="64">
        <v>1</v>
      </c>
    </row>
    <row r="7517" spans="1:5">
      <c r="A7517" s="64" t="s">
        <v>38</v>
      </c>
      <c r="B7517" s="65">
        <v>43392</v>
      </c>
      <c r="C7517" s="66" t="s">
        <v>220</v>
      </c>
      <c r="D7517" s="3" t="s">
        <v>39</v>
      </c>
      <c r="E7517" s="64">
        <v>1</v>
      </c>
    </row>
    <row r="7518" spans="1:5">
      <c r="A7518" s="64" t="s">
        <v>38</v>
      </c>
      <c r="B7518" s="65">
        <v>43393</v>
      </c>
      <c r="C7518" s="66" t="s">
        <v>221</v>
      </c>
      <c r="D7518" s="3" t="s">
        <v>39</v>
      </c>
      <c r="E7518" s="64">
        <v>1</v>
      </c>
    </row>
    <row r="7519" spans="1:5">
      <c r="A7519" s="64" t="s">
        <v>38</v>
      </c>
      <c r="B7519" s="65">
        <v>43394</v>
      </c>
      <c r="C7519" s="66" t="s">
        <v>222</v>
      </c>
      <c r="D7519" s="3" t="s">
        <v>39</v>
      </c>
      <c r="E7519" s="64">
        <v>1</v>
      </c>
    </row>
    <row r="7520" spans="1:5">
      <c r="A7520" s="64" t="s">
        <v>38</v>
      </c>
      <c r="B7520" s="65">
        <v>43395</v>
      </c>
      <c r="C7520" s="66" t="s">
        <v>216</v>
      </c>
      <c r="D7520" s="3" t="s">
        <v>39</v>
      </c>
      <c r="E7520" s="64">
        <v>1</v>
      </c>
    </row>
    <row r="7521" spans="1:5">
      <c r="A7521" s="64" t="s">
        <v>38</v>
      </c>
      <c r="B7521" s="65">
        <v>43396</v>
      </c>
      <c r="C7521" s="66" t="s">
        <v>217</v>
      </c>
      <c r="D7521" s="3" t="s">
        <v>39</v>
      </c>
      <c r="E7521" s="64">
        <v>1</v>
      </c>
    </row>
    <row r="7522" spans="1:5">
      <c r="A7522" s="64" t="s">
        <v>38</v>
      </c>
      <c r="B7522" s="65">
        <v>43397</v>
      </c>
      <c r="C7522" s="66" t="s">
        <v>218</v>
      </c>
      <c r="D7522" s="3" t="s">
        <v>39</v>
      </c>
      <c r="E7522" s="64">
        <v>1</v>
      </c>
    </row>
    <row r="7523" spans="1:5">
      <c r="A7523" s="64" t="s">
        <v>38</v>
      </c>
      <c r="B7523" s="65">
        <v>43398</v>
      </c>
      <c r="C7523" s="66" t="s">
        <v>219</v>
      </c>
      <c r="D7523" s="3" t="s">
        <v>39</v>
      </c>
      <c r="E7523" s="64">
        <v>1</v>
      </c>
    </row>
    <row r="7524" spans="1:5">
      <c r="A7524" s="64" t="s">
        <v>38</v>
      </c>
      <c r="B7524" s="65">
        <v>43399</v>
      </c>
      <c r="C7524" s="66" t="s">
        <v>220</v>
      </c>
      <c r="D7524" s="3" t="s">
        <v>39</v>
      </c>
      <c r="E7524" s="64">
        <v>1</v>
      </c>
    </row>
    <row r="7525" spans="1:5">
      <c r="A7525" s="64" t="s">
        <v>38</v>
      </c>
      <c r="B7525" s="65">
        <v>43400</v>
      </c>
      <c r="C7525" s="66" t="s">
        <v>221</v>
      </c>
      <c r="D7525" s="3" t="s">
        <v>39</v>
      </c>
      <c r="E7525" s="64">
        <v>1</v>
      </c>
    </row>
    <row r="7526" spans="1:5">
      <c r="A7526" s="64" t="s">
        <v>38</v>
      </c>
      <c r="B7526" s="65">
        <v>43401</v>
      </c>
      <c r="C7526" s="66" t="s">
        <v>222</v>
      </c>
      <c r="D7526" s="3" t="s">
        <v>39</v>
      </c>
      <c r="E7526" s="64">
        <v>1</v>
      </c>
    </row>
    <row r="7527" spans="1:5">
      <c r="A7527" s="64" t="s">
        <v>38</v>
      </c>
      <c r="B7527" s="65">
        <v>43402</v>
      </c>
      <c r="C7527" s="66" t="s">
        <v>216</v>
      </c>
      <c r="D7527" s="3" t="s">
        <v>39</v>
      </c>
      <c r="E7527" s="64">
        <v>1</v>
      </c>
    </row>
    <row r="7528" spans="1:5">
      <c r="A7528" s="64" t="s">
        <v>38</v>
      </c>
      <c r="B7528" s="65">
        <v>43403</v>
      </c>
      <c r="C7528" s="66" t="s">
        <v>217</v>
      </c>
      <c r="D7528" s="3" t="s">
        <v>39</v>
      </c>
      <c r="E7528" s="64">
        <v>1</v>
      </c>
    </row>
    <row r="7529" spans="1:5">
      <c r="A7529" s="64" t="s">
        <v>38</v>
      </c>
      <c r="B7529" s="65">
        <v>43404</v>
      </c>
      <c r="C7529" s="66" t="s">
        <v>218</v>
      </c>
      <c r="D7529" s="3" t="s">
        <v>39</v>
      </c>
      <c r="E7529" s="64">
        <v>1</v>
      </c>
    </row>
    <row r="7530" spans="1:5">
      <c r="A7530" s="64" t="s">
        <v>38</v>
      </c>
      <c r="B7530" s="65">
        <v>43405</v>
      </c>
      <c r="C7530" s="66" t="s">
        <v>219</v>
      </c>
      <c r="D7530" s="3" t="s">
        <v>39</v>
      </c>
      <c r="E7530" s="64">
        <v>1</v>
      </c>
    </row>
    <row r="7531" spans="1:5">
      <c r="A7531" s="64" t="s">
        <v>38</v>
      </c>
      <c r="B7531" s="65">
        <v>43406</v>
      </c>
      <c r="C7531" s="66" t="s">
        <v>220</v>
      </c>
      <c r="D7531" s="3" t="s">
        <v>39</v>
      </c>
      <c r="E7531" s="64">
        <v>1</v>
      </c>
    </row>
    <row r="7532" spans="1:5">
      <c r="A7532" s="64" t="s">
        <v>38</v>
      </c>
      <c r="B7532" s="65">
        <v>43407</v>
      </c>
      <c r="C7532" s="66" t="s">
        <v>221</v>
      </c>
      <c r="D7532" s="3" t="s">
        <v>39</v>
      </c>
      <c r="E7532" s="64">
        <v>1</v>
      </c>
    </row>
    <row r="7533" spans="1:5">
      <c r="A7533" s="64" t="s">
        <v>38</v>
      </c>
      <c r="B7533" s="65">
        <v>43408</v>
      </c>
      <c r="C7533" s="66" t="s">
        <v>222</v>
      </c>
      <c r="D7533" s="3" t="s">
        <v>39</v>
      </c>
      <c r="E7533" s="64">
        <v>1</v>
      </c>
    </row>
    <row r="7534" spans="1:5">
      <c r="A7534" s="64" t="s">
        <v>38</v>
      </c>
      <c r="B7534" s="65">
        <v>43409</v>
      </c>
      <c r="C7534" s="66" t="s">
        <v>216</v>
      </c>
      <c r="D7534" s="3" t="s">
        <v>39</v>
      </c>
      <c r="E7534" s="64">
        <v>1</v>
      </c>
    </row>
    <row r="7535" spans="1:5">
      <c r="A7535" s="64" t="s">
        <v>38</v>
      </c>
      <c r="B7535" s="65">
        <v>43410</v>
      </c>
      <c r="C7535" s="66" t="s">
        <v>217</v>
      </c>
      <c r="D7535" s="3" t="s">
        <v>39</v>
      </c>
      <c r="E7535" s="64">
        <v>1</v>
      </c>
    </row>
    <row r="7536" spans="1:5">
      <c r="A7536" s="64" t="s">
        <v>38</v>
      </c>
      <c r="B7536" s="65">
        <v>43411</v>
      </c>
      <c r="C7536" s="66" t="s">
        <v>218</v>
      </c>
      <c r="D7536" s="3" t="s">
        <v>39</v>
      </c>
      <c r="E7536" s="64">
        <v>1</v>
      </c>
    </row>
    <row r="7537" spans="1:5">
      <c r="A7537" s="64" t="s">
        <v>38</v>
      </c>
      <c r="B7537" s="65">
        <v>43412</v>
      </c>
      <c r="C7537" s="66" t="s">
        <v>219</v>
      </c>
      <c r="D7537" s="3" t="s">
        <v>39</v>
      </c>
      <c r="E7537" s="64">
        <v>1</v>
      </c>
    </row>
    <row r="7538" spans="1:5">
      <c r="A7538" s="64" t="s">
        <v>38</v>
      </c>
      <c r="B7538" s="65">
        <v>43413</v>
      </c>
      <c r="C7538" s="66" t="s">
        <v>220</v>
      </c>
      <c r="D7538" s="3" t="s">
        <v>39</v>
      </c>
      <c r="E7538" s="64">
        <v>1</v>
      </c>
    </row>
    <row r="7539" spans="1:5">
      <c r="A7539" s="64" t="s">
        <v>38</v>
      </c>
      <c r="B7539" s="65">
        <v>43414</v>
      </c>
      <c r="C7539" s="66" t="s">
        <v>221</v>
      </c>
      <c r="D7539" s="3" t="s">
        <v>39</v>
      </c>
      <c r="E7539" s="64">
        <v>1</v>
      </c>
    </row>
    <row r="7540" spans="1:5">
      <c r="A7540" s="64" t="s">
        <v>38</v>
      </c>
      <c r="B7540" s="65">
        <v>43415</v>
      </c>
      <c r="C7540" s="66" t="s">
        <v>222</v>
      </c>
      <c r="D7540" s="3" t="s">
        <v>39</v>
      </c>
      <c r="E7540" s="64">
        <v>1</v>
      </c>
    </row>
    <row r="7541" spans="1:5">
      <c r="A7541" s="64" t="s">
        <v>38</v>
      </c>
      <c r="B7541" s="65">
        <v>43416</v>
      </c>
      <c r="C7541" s="66" t="s">
        <v>216</v>
      </c>
      <c r="D7541" s="3" t="s">
        <v>39</v>
      </c>
      <c r="E7541" s="64">
        <v>1</v>
      </c>
    </row>
    <row r="7542" spans="1:5">
      <c r="A7542" s="64" t="s">
        <v>38</v>
      </c>
      <c r="B7542" s="65">
        <v>43417</v>
      </c>
      <c r="C7542" s="66" t="s">
        <v>217</v>
      </c>
      <c r="D7542" s="3" t="s">
        <v>39</v>
      </c>
      <c r="E7542" s="64">
        <v>1</v>
      </c>
    </row>
    <row r="7543" spans="1:5">
      <c r="A7543" s="64" t="s">
        <v>38</v>
      </c>
      <c r="B7543" s="65">
        <v>43418</v>
      </c>
      <c r="C7543" s="66" t="s">
        <v>218</v>
      </c>
      <c r="D7543" s="3" t="s">
        <v>39</v>
      </c>
      <c r="E7543" s="64">
        <v>1</v>
      </c>
    </row>
    <row r="7544" spans="1:5">
      <c r="A7544" s="64" t="s">
        <v>38</v>
      </c>
      <c r="B7544" s="65">
        <v>43419</v>
      </c>
      <c r="C7544" s="66" t="s">
        <v>219</v>
      </c>
      <c r="D7544" s="3" t="s">
        <v>39</v>
      </c>
      <c r="E7544" s="64">
        <v>1</v>
      </c>
    </row>
    <row r="7545" spans="1:5">
      <c r="A7545" s="64" t="s">
        <v>38</v>
      </c>
      <c r="B7545" s="65">
        <v>43420</v>
      </c>
      <c r="C7545" s="66" t="s">
        <v>220</v>
      </c>
      <c r="D7545" s="3" t="s">
        <v>39</v>
      </c>
      <c r="E7545" s="64">
        <v>1</v>
      </c>
    </row>
    <row r="7546" spans="1:5">
      <c r="A7546" s="64" t="s">
        <v>38</v>
      </c>
      <c r="B7546" s="65">
        <v>43421</v>
      </c>
      <c r="C7546" s="66" t="s">
        <v>221</v>
      </c>
      <c r="D7546" s="3" t="s">
        <v>39</v>
      </c>
      <c r="E7546" s="64">
        <v>1</v>
      </c>
    </row>
    <row r="7547" spans="1:5">
      <c r="A7547" s="64" t="s">
        <v>38</v>
      </c>
      <c r="B7547" s="65">
        <v>43422</v>
      </c>
      <c r="C7547" s="66" t="s">
        <v>222</v>
      </c>
      <c r="D7547" s="3" t="s">
        <v>39</v>
      </c>
      <c r="E7547" s="64">
        <v>1</v>
      </c>
    </row>
    <row r="7548" spans="1:5">
      <c r="A7548" s="64" t="s">
        <v>38</v>
      </c>
      <c r="B7548" s="65">
        <v>43423</v>
      </c>
      <c r="C7548" s="66" t="s">
        <v>216</v>
      </c>
      <c r="D7548" s="3" t="s">
        <v>39</v>
      </c>
      <c r="E7548" s="64">
        <v>1</v>
      </c>
    </row>
    <row r="7549" spans="1:5">
      <c r="A7549" s="64" t="s">
        <v>38</v>
      </c>
      <c r="B7549" s="65">
        <v>43424</v>
      </c>
      <c r="C7549" s="66" t="s">
        <v>217</v>
      </c>
      <c r="D7549" s="3" t="s">
        <v>39</v>
      </c>
      <c r="E7549" s="64">
        <v>1</v>
      </c>
    </row>
    <row r="7550" spans="1:5">
      <c r="A7550" s="64" t="s">
        <v>38</v>
      </c>
      <c r="B7550" s="65">
        <v>43425</v>
      </c>
      <c r="C7550" s="66" t="s">
        <v>218</v>
      </c>
      <c r="D7550" s="3" t="s">
        <v>39</v>
      </c>
      <c r="E7550" s="64">
        <v>1</v>
      </c>
    </row>
    <row r="7551" spans="1:5">
      <c r="A7551" s="64" t="s">
        <v>38</v>
      </c>
      <c r="B7551" s="65">
        <v>43426</v>
      </c>
      <c r="C7551" s="66" t="s">
        <v>219</v>
      </c>
      <c r="D7551" s="3" t="s">
        <v>39</v>
      </c>
      <c r="E7551" s="64">
        <v>1</v>
      </c>
    </row>
    <row r="7552" spans="1:5">
      <c r="A7552" s="64" t="s">
        <v>38</v>
      </c>
      <c r="B7552" s="65">
        <v>43427</v>
      </c>
      <c r="C7552" s="66" t="s">
        <v>220</v>
      </c>
      <c r="D7552" s="3" t="s">
        <v>39</v>
      </c>
      <c r="E7552" s="64">
        <v>1</v>
      </c>
    </row>
    <row r="7553" spans="1:5">
      <c r="A7553" s="64" t="s">
        <v>38</v>
      </c>
      <c r="B7553" s="65">
        <v>43428</v>
      </c>
      <c r="C7553" s="66" t="s">
        <v>221</v>
      </c>
      <c r="D7553" s="3" t="s">
        <v>39</v>
      </c>
      <c r="E7553" s="64">
        <v>1</v>
      </c>
    </row>
    <row r="7554" spans="1:5">
      <c r="A7554" s="64" t="s">
        <v>38</v>
      </c>
      <c r="B7554" s="65">
        <v>43429</v>
      </c>
      <c r="C7554" s="66" t="s">
        <v>222</v>
      </c>
      <c r="D7554" s="3" t="s">
        <v>39</v>
      </c>
      <c r="E7554" s="64">
        <v>1</v>
      </c>
    </row>
    <row r="7555" spans="1:5">
      <c r="A7555" s="64" t="s">
        <v>38</v>
      </c>
      <c r="B7555" s="65">
        <v>43430</v>
      </c>
      <c r="C7555" s="66" t="s">
        <v>216</v>
      </c>
      <c r="D7555" s="3" t="s">
        <v>39</v>
      </c>
      <c r="E7555" s="64">
        <v>1</v>
      </c>
    </row>
    <row r="7556" spans="1:5">
      <c r="A7556" s="64" t="s">
        <v>38</v>
      </c>
      <c r="B7556" s="65">
        <v>43431</v>
      </c>
      <c r="C7556" s="66" t="s">
        <v>217</v>
      </c>
      <c r="D7556" s="3" t="s">
        <v>39</v>
      </c>
      <c r="E7556" s="64">
        <v>1</v>
      </c>
    </row>
    <row r="7557" spans="1:5">
      <c r="A7557" s="64" t="s">
        <v>38</v>
      </c>
      <c r="B7557" s="65">
        <v>43432</v>
      </c>
      <c r="C7557" s="66" t="s">
        <v>218</v>
      </c>
      <c r="D7557" s="3" t="s">
        <v>39</v>
      </c>
      <c r="E7557" s="64">
        <v>1</v>
      </c>
    </row>
    <row r="7558" spans="1:5">
      <c r="A7558" s="64" t="s">
        <v>38</v>
      </c>
      <c r="B7558" s="65">
        <v>43433</v>
      </c>
      <c r="C7558" s="66" t="s">
        <v>219</v>
      </c>
      <c r="D7558" s="3" t="s">
        <v>39</v>
      </c>
      <c r="E7558" s="64">
        <v>1</v>
      </c>
    </row>
    <row r="7559" spans="1:5">
      <c r="A7559" s="64" t="s">
        <v>38</v>
      </c>
      <c r="B7559" s="65">
        <v>43434</v>
      </c>
      <c r="C7559" s="66" t="s">
        <v>220</v>
      </c>
      <c r="D7559" s="3" t="s">
        <v>39</v>
      </c>
      <c r="E7559" s="64">
        <v>1</v>
      </c>
    </row>
    <row r="7560" spans="1:5">
      <c r="A7560" s="64" t="s">
        <v>38</v>
      </c>
      <c r="B7560" s="65">
        <v>43435</v>
      </c>
      <c r="C7560" s="66" t="s">
        <v>221</v>
      </c>
      <c r="D7560" s="3" t="s">
        <v>39</v>
      </c>
      <c r="E7560" s="64">
        <v>1</v>
      </c>
    </row>
    <row r="7561" spans="1:5">
      <c r="A7561" s="64" t="s">
        <v>38</v>
      </c>
      <c r="B7561" s="65">
        <v>43436</v>
      </c>
      <c r="C7561" s="66" t="s">
        <v>222</v>
      </c>
      <c r="D7561" s="3" t="s">
        <v>39</v>
      </c>
      <c r="E7561" s="64">
        <v>1</v>
      </c>
    </row>
    <row r="7562" spans="1:5">
      <c r="A7562" s="64" t="s">
        <v>38</v>
      </c>
      <c r="B7562" s="65">
        <v>43437</v>
      </c>
      <c r="C7562" s="66" t="s">
        <v>216</v>
      </c>
      <c r="D7562" s="3" t="s">
        <v>39</v>
      </c>
      <c r="E7562" s="64">
        <v>1</v>
      </c>
    </row>
    <row r="7563" spans="1:5">
      <c r="A7563" s="64" t="s">
        <v>38</v>
      </c>
      <c r="B7563" s="65">
        <v>43438</v>
      </c>
      <c r="C7563" s="66" t="s">
        <v>217</v>
      </c>
      <c r="D7563" s="3" t="s">
        <v>39</v>
      </c>
      <c r="E7563" s="64">
        <v>1</v>
      </c>
    </row>
    <row r="7564" spans="1:5">
      <c r="A7564" s="64" t="s">
        <v>38</v>
      </c>
      <c r="B7564" s="65">
        <v>43439</v>
      </c>
      <c r="C7564" s="66" t="s">
        <v>218</v>
      </c>
      <c r="D7564" s="3" t="s">
        <v>39</v>
      </c>
      <c r="E7564" s="64">
        <v>1</v>
      </c>
    </row>
    <row r="7565" spans="1:5">
      <c r="A7565" s="64" t="s">
        <v>38</v>
      </c>
      <c r="B7565" s="65">
        <v>43440</v>
      </c>
      <c r="C7565" s="66" t="s">
        <v>219</v>
      </c>
      <c r="D7565" s="3" t="s">
        <v>39</v>
      </c>
      <c r="E7565" s="64">
        <v>1</v>
      </c>
    </row>
    <row r="7566" spans="1:5">
      <c r="A7566" s="64" t="s">
        <v>38</v>
      </c>
      <c r="B7566" s="65">
        <v>43441</v>
      </c>
      <c r="C7566" s="66" t="s">
        <v>220</v>
      </c>
      <c r="D7566" s="3" t="s">
        <v>39</v>
      </c>
      <c r="E7566" s="64">
        <v>1</v>
      </c>
    </row>
    <row r="7567" spans="1:5">
      <c r="A7567" s="64" t="s">
        <v>38</v>
      </c>
      <c r="B7567" s="65">
        <v>43442</v>
      </c>
      <c r="C7567" s="66" t="s">
        <v>221</v>
      </c>
      <c r="D7567" s="3" t="s">
        <v>39</v>
      </c>
      <c r="E7567" s="64">
        <v>1</v>
      </c>
    </row>
    <row r="7568" spans="1:5">
      <c r="A7568" s="64" t="s">
        <v>38</v>
      </c>
      <c r="B7568" s="65">
        <v>43443</v>
      </c>
      <c r="C7568" s="66" t="s">
        <v>222</v>
      </c>
      <c r="D7568" s="3" t="s">
        <v>39</v>
      </c>
      <c r="E7568" s="64">
        <v>1</v>
      </c>
    </row>
    <row r="7569" spans="1:5">
      <c r="A7569" s="64" t="s">
        <v>38</v>
      </c>
      <c r="B7569" s="65">
        <v>43444</v>
      </c>
      <c r="C7569" s="66" t="s">
        <v>216</v>
      </c>
      <c r="D7569" s="3" t="s">
        <v>39</v>
      </c>
      <c r="E7569" s="64">
        <v>1</v>
      </c>
    </row>
    <row r="7570" spans="1:5">
      <c r="A7570" s="64" t="s">
        <v>38</v>
      </c>
      <c r="B7570" s="65">
        <v>43445</v>
      </c>
      <c r="C7570" s="66" t="s">
        <v>217</v>
      </c>
      <c r="D7570" s="3" t="s">
        <v>39</v>
      </c>
      <c r="E7570" s="64">
        <v>1</v>
      </c>
    </row>
    <row r="7571" spans="1:5">
      <c r="A7571" s="64" t="s">
        <v>38</v>
      </c>
      <c r="B7571" s="65">
        <v>43446</v>
      </c>
      <c r="C7571" s="66" t="s">
        <v>218</v>
      </c>
      <c r="D7571" s="3" t="s">
        <v>39</v>
      </c>
      <c r="E7571" s="64">
        <v>1</v>
      </c>
    </row>
    <row r="7572" spans="1:5">
      <c r="A7572" s="64" t="s">
        <v>38</v>
      </c>
      <c r="B7572" s="65">
        <v>43447</v>
      </c>
      <c r="C7572" s="66" t="s">
        <v>219</v>
      </c>
      <c r="D7572" s="3" t="s">
        <v>39</v>
      </c>
      <c r="E7572" s="64">
        <v>1</v>
      </c>
    </row>
    <row r="7573" spans="1:5">
      <c r="A7573" s="64" t="s">
        <v>38</v>
      </c>
      <c r="B7573" s="65">
        <v>43448</v>
      </c>
      <c r="C7573" s="66" t="s">
        <v>220</v>
      </c>
      <c r="D7573" s="3" t="s">
        <v>39</v>
      </c>
      <c r="E7573" s="64">
        <v>1</v>
      </c>
    </row>
    <row r="7574" spans="1:5">
      <c r="A7574" s="64" t="s">
        <v>38</v>
      </c>
      <c r="B7574" s="65">
        <v>43449</v>
      </c>
      <c r="C7574" s="66" t="s">
        <v>221</v>
      </c>
      <c r="D7574" s="3" t="s">
        <v>39</v>
      </c>
      <c r="E7574" s="64">
        <v>1</v>
      </c>
    </row>
    <row r="7575" spans="1:5">
      <c r="A7575" s="64" t="s">
        <v>38</v>
      </c>
      <c r="B7575" s="65">
        <v>43450</v>
      </c>
      <c r="C7575" s="66" t="s">
        <v>222</v>
      </c>
      <c r="D7575" s="3" t="s">
        <v>39</v>
      </c>
      <c r="E7575" s="64">
        <v>1</v>
      </c>
    </row>
    <row r="7576" spans="1:5">
      <c r="A7576" s="64" t="s">
        <v>38</v>
      </c>
      <c r="B7576" s="65">
        <v>43451</v>
      </c>
      <c r="C7576" s="66" t="s">
        <v>216</v>
      </c>
      <c r="D7576" s="3" t="s">
        <v>39</v>
      </c>
      <c r="E7576" s="64">
        <v>1</v>
      </c>
    </row>
    <row r="7577" spans="1:5">
      <c r="A7577" s="64" t="s">
        <v>38</v>
      </c>
      <c r="B7577" s="65">
        <v>43452</v>
      </c>
      <c r="C7577" s="66" t="s">
        <v>217</v>
      </c>
      <c r="D7577" s="3" t="s">
        <v>39</v>
      </c>
      <c r="E7577" s="64">
        <v>1</v>
      </c>
    </row>
    <row r="7578" spans="1:5">
      <c r="A7578" s="64" t="s">
        <v>38</v>
      </c>
      <c r="B7578" s="65">
        <v>43453</v>
      </c>
      <c r="C7578" s="66" t="s">
        <v>218</v>
      </c>
      <c r="D7578" s="3" t="s">
        <v>39</v>
      </c>
      <c r="E7578" s="64">
        <v>1</v>
      </c>
    </row>
    <row r="7579" spans="1:5">
      <c r="A7579" s="64" t="s">
        <v>38</v>
      </c>
      <c r="B7579" s="65">
        <v>43454</v>
      </c>
      <c r="C7579" s="66" t="s">
        <v>219</v>
      </c>
      <c r="D7579" s="3" t="s">
        <v>39</v>
      </c>
      <c r="E7579" s="64">
        <v>1</v>
      </c>
    </row>
    <row r="7580" spans="1:5">
      <c r="A7580" s="64" t="s">
        <v>38</v>
      </c>
      <c r="B7580" s="65">
        <v>43455</v>
      </c>
      <c r="C7580" s="66" t="s">
        <v>220</v>
      </c>
      <c r="D7580" s="3" t="s">
        <v>39</v>
      </c>
      <c r="E7580" s="64">
        <v>1</v>
      </c>
    </row>
    <row r="7581" spans="1:5">
      <c r="A7581" s="64" t="s">
        <v>38</v>
      </c>
      <c r="B7581" s="65">
        <v>43456</v>
      </c>
      <c r="C7581" s="66" t="s">
        <v>221</v>
      </c>
      <c r="D7581" s="3" t="s">
        <v>39</v>
      </c>
      <c r="E7581" s="64">
        <v>1</v>
      </c>
    </row>
    <row r="7582" spans="1:5">
      <c r="A7582" s="64" t="s">
        <v>38</v>
      </c>
      <c r="B7582" s="65">
        <v>43457</v>
      </c>
      <c r="C7582" s="66" t="s">
        <v>222</v>
      </c>
      <c r="D7582" s="3" t="s">
        <v>39</v>
      </c>
      <c r="E7582" s="64">
        <v>1</v>
      </c>
    </row>
    <row r="7583" spans="1:5">
      <c r="A7583" s="64" t="s">
        <v>38</v>
      </c>
      <c r="B7583" s="65">
        <v>43458</v>
      </c>
      <c r="C7583" s="66" t="s">
        <v>216</v>
      </c>
      <c r="D7583" s="3" t="s">
        <v>39</v>
      </c>
      <c r="E7583" s="64">
        <v>1</v>
      </c>
    </row>
    <row r="7584" spans="1:5">
      <c r="A7584" s="64" t="s">
        <v>38</v>
      </c>
      <c r="B7584" s="65">
        <v>43459</v>
      </c>
      <c r="C7584" s="66" t="s">
        <v>217</v>
      </c>
      <c r="D7584" s="3" t="s">
        <v>39</v>
      </c>
      <c r="E7584" s="64">
        <v>1</v>
      </c>
    </row>
    <row r="7585" spans="1:5">
      <c r="A7585" s="64" t="s">
        <v>38</v>
      </c>
      <c r="B7585" s="65">
        <v>43460</v>
      </c>
      <c r="C7585" s="66" t="s">
        <v>218</v>
      </c>
      <c r="D7585" s="3" t="s">
        <v>39</v>
      </c>
      <c r="E7585" s="64">
        <v>1</v>
      </c>
    </row>
    <row r="7586" spans="1:5">
      <c r="A7586" s="64" t="s">
        <v>38</v>
      </c>
      <c r="B7586" s="65">
        <v>43461</v>
      </c>
      <c r="C7586" s="66" t="s">
        <v>219</v>
      </c>
      <c r="D7586" s="3" t="s">
        <v>39</v>
      </c>
      <c r="E7586" s="64">
        <v>1</v>
      </c>
    </row>
    <row r="7587" spans="1:5">
      <c r="A7587" s="64" t="s">
        <v>38</v>
      </c>
      <c r="B7587" s="65">
        <v>43462</v>
      </c>
      <c r="C7587" s="66" t="s">
        <v>220</v>
      </c>
      <c r="D7587" s="3" t="s">
        <v>39</v>
      </c>
      <c r="E7587" s="64">
        <v>1</v>
      </c>
    </row>
    <row r="7588" spans="1:5">
      <c r="A7588" s="64" t="s">
        <v>38</v>
      </c>
      <c r="B7588" s="65">
        <v>43463</v>
      </c>
      <c r="C7588" s="66" t="s">
        <v>221</v>
      </c>
      <c r="D7588" s="3" t="s">
        <v>39</v>
      </c>
      <c r="E7588" s="64">
        <v>1</v>
      </c>
    </row>
    <row r="7589" spans="1:5">
      <c r="A7589" s="64" t="s">
        <v>38</v>
      </c>
      <c r="B7589" s="65">
        <v>43464</v>
      </c>
      <c r="C7589" s="66" t="s">
        <v>222</v>
      </c>
      <c r="D7589" s="3" t="s">
        <v>39</v>
      </c>
      <c r="E7589" s="64">
        <v>1</v>
      </c>
    </row>
    <row r="7590" spans="1:5">
      <c r="A7590" s="64" t="s">
        <v>38</v>
      </c>
      <c r="B7590" s="65">
        <v>43465</v>
      </c>
      <c r="C7590" s="66" t="s">
        <v>216</v>
      </c>
      <c r="D7590" s="3" t="s">
        <v>39</v>
      </c>
      <c r="E7590" s="64">
        <v>1</v>
      </c>
    </row>
    <row r="7591" spans="1:5">
      <c r="A7591" s="64" t="s">
        <v>38</v>
      </c>
      <c r="B7591" s="65">
        <v>43466</v>
      </c>
      <c r="C7591" s="66" t="s">
        <v>217</v>
      </c>
      <c r="D7591" s="3" t="s">
        <v>39</v>
      </c>
      <c r="E7591" s="64">
        <v>1</v>
      </c>
    </row>
    <row r="7592" spans="1:5">
      <c r="A7592" s="64" t="s">
        <v>38</v>
      </c>
      <c r="B7592" s="65">
        <v>43467</v>
      </c>
      <c r="C7592" s="66" t="s">
        <v>218</v>
      </c>
      <c r="D7592" s="3" t="s">
        <v>39</v>
      </c>
      <c r="E7592" s="64">
        <v>1</v>
      </c>
    </row>
    <row r="7593" spans="1:5">
      <c r="A7593" s="64" t="s">
        <v>38</v>
      </c>
      <c r="B7593" s="65">
        <v>43468</v>
      </c>
      <c r="C7593" s="66" t="s">
        <v>219</v>
      </c>
      <c r="D7593" s="3" t="s">
        <v>39</v>
      </c>
      <c r="E7593" s="64">
        <v>1</v>
      </c>
    </row>
    <row r="7594" spans="1:5">
      <c r="A7594" s="64" t="s">
        <v>38</v>
      </c>
      <c r="B7594" s="65">
        <v>43469</v>
      </c>
      <c r="C7594" s="66" t="s">
        <v>220</v>
      </c>
      <c r="D7594" s="3" t="s">
        <v>39</v>
      </c>
      <c r="E7594" s="64">
        <v>1</v>
      </c>
    </row>
    <row r="7595" spans="1:5">
      <c r="A7595" s="64" t="s">
        <v>38</v>
      </c>
      <c r="B7595" s="65">
        <v>43470</v>
      </c>
      <c r="C7595" s="66" t="s">
        <v>221</v>
      </c>
      <c r="D7595" s="3" t="s">
        <v>39</v>
      </c>
      <c r="E7595" s="64">
        <v>1</v>
      </c>
    </row>
    <row r="7596" spans="1:5">
      <c r="A7596" s="64" t="s">
        <v>38</v>
      </c>
      <c r="B7596" s="65">
        <v>43471</v>
      </c>
      <c r="C7596" s="66" t="s">
        <v>222</v>
      </c>
      <c r="D7596" s="3" t="s">
        <v>39</v>
      </c>
      <c r="E7596" s="64">
        <v>1</v>
      </c>
    </row>
    <row r="7597" spans="1:5">
      <c r="A7597" s="64" t="s">
        <v>38</v>
      </c>
      <c r="B7597" s="65">
        <v>43472</v>
      </c>
      <c r="C7597" s="66" t="s">
        <v>216</v>
      </c>
      <c r="D7597" s="3" t="s">
        <v>39</v>
      </c>
      <c r="E7597" s="64">
        <v>1</v>
      </c>
    </row>
    <row r="7598" spans="1:5">
      <c r="A7598" s="64" t="s">
        <v>38</v>
      </c>
      <c r="B7598" s="65">
        <v>43473</v>
      </c>
      <c r="C7598" s="66" t="s">
        <v>217</v>
      </c>
      <c r="D7598" s="3" t="s">
        <v>39</v>
      </c>
      <c r="E7598" s="64">
        <v>1</v>
      </c>
    </row>
    <row r="7599" spans="1:5">
      <c r="A7599" s="64" t="s">
        <v>38</v>
      </c>
      <c r="B7599" s="65">
        <v>43474</v>
      </c>
      <c r="C7599" s="66" t="s">
        <v>218</v>
      </c>
      <c r="D7599" s="3" t="s">
        <v>39</v>
      </c>
      <c r="E7599" s="64">
        <v>1</v>
      </c>
    </row>
    <row r="7600" spans="1:5">
      <c r="A7600" s="64" t="s">
        <v>38</v>
      </c>
      <c r="B7600" s="65">
        <v>43475</v>
      </c>
      <c r="C7600" s="66" t="s">
        <v>219</v>
      </c>
      <c r="D7600" s="3" t="s">
        <v>39</v>
      </c>
      <c r="E7600" s="64">
        <v>1</v>
      </c>
    </row>
    <row r="7601" spans="1:5">
      <c r="A7601" s="64" t="s">
        <v>38</v>
      </c>
      <c r="B7601" s="65">
        <v>43476</v>
      </c>
      <c r="C7601" s="66" t="s">
        <v>220</v>
      </c>
      <c r="D7601" s="3" t="s">
        <v>39</v>
      </c>
      <c r="E7601" s="64">
        <v>1</v>
      </c>
    </row>
    <row r="7602" spans="1:5">
      <c r="A7602" s="64" t="s">
        <v>38</v>
      </c>
      <c r="B7602" s="65">
        <v>43477</v>
      </c>
      <c r="C7602" s="66" t="s">
        <v>221</v>
      </c>
      <c r="D7602" s="3" t="s">
        <v>39</v>
      </c>
      <c r="E7602" s="64">
        <v>1</v>
      </c>
    </row>
    <row r="7603" spans="1:5">
      <c r="A7603" s="64" t="s">
        <v>38</v>
      </c>
      <c r="B7603" s="65">
        <v>43478</v>
      </c>
      <c r="C7603" s="66" t="s">
        <v>222</v>
      </c>
      <c r="D7603" s="3" t="s">
        <v>39</v>
      </c>
      <c r="E7603" s="64">
        <v>1</v>
      </c>
    </row>
    <row r="7604" spans="1:5">
      <c r="A7604" s="64" t="s">
        <v>38</v>
      </c>
      <c r="B7604" s="65">
        <v>43479</v>
      </c>
      <c r="C7604" s="66" t="s">
        <v>216</v>
      </c>
      <c r="D7604" s="3" t="s">
        <v>39</v>
      </c>
      <c r="E7604" s="64">
        <v>1</v>
      </c>
    </row>
    <row r="7605" spans="1:5">
      <c r="A7605" s="64" t="s">
        <v>38</v>
      </c>
      <c r="B7605" s="65">
        <v>43480</v>
      </c>
      <c r="C7605" s="66" t="s">
        <v>217</v>
      </c>
      <c r="D7605" s="3" t="s">
        <v>39</v>
      </c>
      <c r="E7605" s="64">
        <v>1</v>
      </c>
    </row>
    <row r="7606" spans="1:5">
      <c r="A7606" s="64" t="s">
        <v>38</v>
      </c>
      <c r="B7606" s="65">
        <v>43481</v>
      </c>
      <c r="C7606" s="66" t="s">
        <v>218</v>
      </c>
      <c r="D7606" s="3" t="s">
        <v>39</v>
      </c>
      <c r="E7606" s="64">
        <v>1</v>
      </c>
    </row>
    <row r="7607" spans="1:5">
      <c r="A7607" s="64" t="s">
        <v>38</v>
      </c>
      <c r="B7607" s="65">
        <v>43482</v>
      </c>
      <c r="C7607" s="66" t="s">
        <v>219</v>
      </c>
      <c r="D7607" s="3" t="s">
        <v>39</v>
      </c>
      <c r="E7607" s="64">
        <v>1</v>
      </c>
    </row>
    <row r="7608" spans="1:5">
      <c r="A7608" s="64" t="s">
        <v>38</v>
      </c>
      <c r="B7608" s="65">
        <v>43483</v>
      </c>
      <c r="C7608" s="66" t="s">
        <v>220</v>
      </c>
      <c r="D7608" s="3" t="s">
        <v>39</v>
      </c>
      <c r="E7608" s="64">
        <v>1</v>
      </c>
    </row>
    <row r="7609" spans="1:5">
      <c r="A7609" s="64" t="s">
        <v>38</v>
      </c>
      <c r="B7609" s="65">
        <v>43484</v>
      </c>
      <c r="C7609" s="66" t="s">
        <v>221</v>
      </c>
      <c r="D7609" s="3" t="s">
        <v>39</v>
      </c>
      <c r="E7609" s="64">
        <v>1</v>
      </c>
    </row>
    <row r="7610" spans="1:5">
      <c r="A7610" s="64" t="s">
        <v>38</v>
      </c>
      <c r="B7610" s="65">
        <v>43485</v>
      </c>
      <c r="C7610" s="66" t="s">
        <v>222</v>
      </c>
      <c r="D7610" s="3" t="s">
        <v>39</v>
      </c>
      <c r="E7610" s="64">
        <v>1</v>
      </c>
    </row>
    <row r="7611" spans="1:5">
      <c r="A7611" s="64" t="s">
        <v>38</v>
      </c>
      <c r="B7611" s="65">
        <v>43486</v>
      </c>
      <c r="C7611" s="66" t="s">
        <v>216</v>
      </c>
      <c r="D7611" s="3" t="s">
        <v>39</v>
      </c>
      <c r="E7611" s="64">
        <v>1</v>
      </c>
    </row>
    <row r="7612" spans="1:5">
      <c r="A7612" s="64" t="s">
        <v>38</v>
      </c>
      <c r="B7612" s="65">
        <v>43487</v>
      </c>
      <c r="C7612" s="66" t="s">
        <v>217</v>
      </c>
      <c r="D7612" s="3" t="s">
        <v>39</v>
      </c>
      <c r="E7612" s="64">
        <v>1</v>
      </c>
    </row>
    <row r="7613" spans="1:5">
      <c r="A7613" s="64" t="s">
        <v>38</v>
      </c>
      <c r="B7613" s="65">
        <v>43488</v>
      </c>
      <c r="C7613" s="66" t="s">
        <v>218</v>
      </c>
      <c r="D7613" s="3" t="s">
        <v>39</v>
      </c>
      <c r="E7613" s="64">
        <v>1</v>
      </c>
    </row>
    <row r="7614" spans="1:5">
      <c r="A7614" s="64" t="s">
        <v>38</v>
      </c>
      <c r="B7614" s="65">
        <v>43489</v>
      </c>
      <c r="C7614" s="66" t="s">
        <v>219</v>
      </c>
      <c r="D7614" s="3" t="s">
        <v>39</v>
      </c>
      <c r="E7614" s="64">
        <v>1</v>
      </c>
    </row>
    <row r="7615" spans="1:5">
      <c r="A7615" s="64" t="s">
        <v>38</v>
      </c>
      <c r="B7615" s="65">
        <v>43490</v>
      </c>
      <c r="C7615" s="66" t="s">
        <v>220</v>
      </c>
      <c r="D7615" s="3" t="s">
        <v>39</v>
      </c>
      <c r="E7615" s="64">
        <v>1</v>
      </c>
    </row>
    <row r="7616" spans="1:5">
      <c r="A7616" s="64" t="s">
        <v>38</v>
      </c>
      <c r="B7616" s="65">
        <v>43491</v>
      </c>
      <c r="C7616" s="66" t="s">
        <v>221</v>
      </c>
      <c r="D7616" s="3" t="s">
        <v>39</v>
      </c>
      <c r="E7616" s="64">
        <v>1</v>
      </c>
    </row>
    <row r="7617" spans="1:5">
      <c r="A7617" s="64" t="s">
        <v>38</v>
      </c>
      <c r="B7617" s="65">
        <v>43492</v>
      </c>
      <c r="C7617" s="66" t="s">
        <v>222</v>
      </c>
      <c r="D7617" s="3" t="s">
        <v>39</v>
      </c>
      <c r="E7617" s="64">
        <v>1</v>
      </c>
    </row>
    <row r="7618" spans="1:5">
      <c r="A7618" s="64" t="s">
        <v>38</v>
      </c>
      <c r="B7618" s="65">
        <v>43493</v>
      </c>
      <c r="C7618" s="66" t="s">
        <v>216</v>
      </c>
      <c r="D7618" s="3" t="s">
        <v>39</v>
      </c>
      <c r="E7618" s="64">
        <v>1</v>
      </c>
    </row>
    <row r="7619" spans="1:5">
      <c r="A7619" s="64" t="s">
        <v>38</v>
      </c>
      <c r="B7619" s="65">
        <v>43494</v>
      </c>
      <c r="C7619" s="66" t="s">
        <v>217</v>
      </c>
      <c r="D7619" s="3" t="s">
        <v>39</v>
      </c>
      <c r="E7619" s="64">
        <v>1</v>
      </c>
    </row>
    <row r="7620" spans="1:5">
      <c r="A7620" s="64" t="s">
        <v>38</v>
      </c>
      <c r="B7620" s="65">
        <v>43495</v>
      </c>
      <c r="C7620" s="66" t="s">
        <v>218</v>
      </c>
      <c r="D7620" s="3" t="s">
        <v>39</v>
      </c>
      <c r="E7620" s="64">
        <v>1</v>
      </c>
    </row>
    <row r="7621" spans="1:5">
      <c r="A7621" s="64" t="s">
        <v>38</v>
      </c>
      <c r="B7621" s="65">
        <v>43496</v>
      </c>
      <c r="C7621" s="66" t="s">
        <v>219</v>
      </c>
      <c r="D7621" s="3" t="s">
        <v>39</v>
      </c>
      <c r="E7621" s="64">
        <v>1</v>
      </c>
    </row>
    <row r="7622" spans="1:5">
      <c r="A7622" s="64" t="s">
        <v>38</v>
      </c>
      <c r="B7622" s="65">
        <v>43497</v>
      </c>
      <c r="C7622" s="66" t="s">
        <v>220</v>
      </c>
      <c r="D7622" s="3" t="s">
        <v>39</v>
      </c>
      <c r="E7622" s="64">
        <v>1</v>
      </c>
    </row>
    <row r="7623" spans="1:5">
      <c r="A7623" s="64" t="s">
        <v>38</v>
      </c>
      <c r="B7623" s="65">
        <v>43498</v>
      </c>
      <c r="C7623" s="66" t="s">
        <v>221</v>
      </c>
      <c r="D7623" s="3" t="s">
        <v>39</v>
      </c>
      <c r="E7623" s="64">
        <v>1</v>
      </c>
    </row>
    <row r="7624" spans="1:5">
      <c r="A7624" s="64" t="s">
        <v>38</v>
      </c>
      <c r="B7624" s="65">
        <v>43499</v>
      </c>
      <c r="C7624" s="66" t="s">
        <v>222</v>
      </c>
      <c r="D7624" s="3" t="s">
        <v>39</v>
      </c>
      <c r="E7624" s="64">
        <v>1</v>
      </c>
    </row>
    <row r="7625" spans="1:5">
      <c r="A7625" s="64" t="s">
        <v>38</v>
      </c>
      <c r="B7625" s="65">
        <v>43500</v>
      </c>
      <c r="C7625" s="66" t="s">
        <v>216</v>
      </c>
      <c r="D7625" s="3" t="s">
        <v>39</v>
      </c>
      <c r="E7625" s="64">
        <v>1</v>
      </c>
    </row>
    <row r="7626" spans="1:5">
      <c r="A7626" s="64" t="s">
        <v>38</v>
      </c>
      <c r="B7626" s="65">
        <v>43501</v>
      </c>
      <c r="C7626" s="66" t="s">
        <v>217</v>
      </c>
      <c r="D7626" s="3" t="s">
        <v>39</v>
      </c>
      <c r="E7626" s="64">
        <v>1</v>
      </c>
    </row>
    <row r="7627" spans="1:5">
      <c r="A7627" s="64" t="s">
        <v>38</v>
      </c>
      <c r="B7627" s="65">
        <v>43502</v>
      </c>
      <c r="C7627" s="66" t="s">
        <v>218</v>
      </c>
      <c r="D7627" s="3" t="s">
        <v>39</v>
      </c>
      <c r="E7627" s="64">
        <v>1</v>
      </c>
    </row>
    <row r="7628" spans="1:5">
      <c r="A7628" s="64" t="s">
        <v>38</v>
      </c>
      <c r="B7628" s="65">
        <v>43503</v>
      </c>
      <c r="C7628" s="66" t="s">
        <v>219</v>
      </c>
      <c r="D7628" s="3" t="s">
        <v>39</v>
      </c>
      <c r="E7628" s="64">
        <v>1</v>
      </c>
    </row>
    <row r="7629" spans="1:5">
      <c r="A7629" s="64" t="s">
        <v>38</v>
      </c>
      <c r="B7629" s="65">
        <v>43504</v>
      </c>
      <c r="C7629" s="66" t="s">
        <v>220</v>
      </c>
      <c r="D7629" s="3" t="s">
        <v>39</v>
      </c>
      <c r="E7629" s="64">
        <v>1</v>
      </c>
    </row>
    <row r="7630" spans="1:5">
      <c r="A7630" s="64" t="s">
        <v>38</v>
      </c>
      <c r="B7630" s="65">
        <v>43505</v>
      </c>
      <c r="C7630" s="66" t="s">
        <v>221</v>
      </c>
      <c r="D7630" s="3" t="s">
        <v>39</v>
      </c>
      <c r="E7630" s="64">
        <v>1</v>
      </c>
    </row>
    <row r="7631" spans="1:5">
      <c r="A7631" s="64" t="s">
        <v>38</v>
      </c>
      <c r="B7631" s="65">
        <v>43506</v>
      </c>
      <c r="C7631" s="66" t="s">
        <v>222</v>
      </c>
      <c r="D7631" s="3" t="s">
        <v>39</v>
      </c>
      <c r="E7631" s="64">
        <v>1</v>
      </c>
    </row>
    <row r="7632" spans="1:5">
      <c r="A7632" s="64" t="s">
        <v>38</v>
      </c>
      <c r="B7632" s="65">
        <v>43507</v>
      </c>
      <c r="C7632" s="66" t="s">
        <v>216</v>
      </c>
      <c r="D7632" s="3" t="s">
        <v>39</v>
      </c>
      <c r="E7632" s="64">
        <v>1</v>
      </c>
    </row>
    <row r="7633" spans="1:5">
      <c r="A7633" s="64" t="s">
        <v>38</v>
      </c>
      <c r="B7633" s="65">
        <v>43508</v>
      </c>
      <c r="C7633" s="66" t="s">
        <v>217</v>
      </c>
      <c r="D7633" s="3" t="s">
        <v>39</v>
      </c>
      <c r="E7633" s="64">
        <v>1</v>
      </c>
    </row>
    <row r="7634" spans="1:5">
      <c r="A7634" s="64" t="s">
        <v>38</v>
      </c>
      <c r="B7634" s="65">
        <v>43509</v>
      </c>
      <c r="C7634" s="66" t="s">
        <v>218</v>
      </c>
      <c r="D7634" s="3" t="s">
        <v>39</v>
      </c>
      <c r="E7634" s="64">
        <v>1</v>
      </c>
    </row>
    <row r="7635" spans="1:5">
      <c r="A7635" s="64" t="s">
        <v>38</v>
      </c>
      <c r="B7635" s="65">
        <v>43510</v>
      </c>
      <c r="C7635" s="66" t="s">
        <v>219</v>
      </c>
      <c r="D7635" s="3" t="s">
        <v>39</v>
      </c>
      <c r="E7635" s="64">
        <v>1</v>
      </c>
    </row>
    <row r="7636" spans="1:5">
      <c r="A7636" s="64" t="s">
        <v>38</v>
      </c>
      <c r="B7636" s="65">
        <v>43511</v>
      </c>
      <c r="C7636" s="66" t="s">
        <v>220</v>
      </c>
      <c r="D7636" s="3" t="s">
        <v>39</v>
      </c>
      <c r="E7636" s="64">
        <v>1</v>
      </c>
    </row>
    <row r="7637" spans="1:5">
      <c r="A7637" s="64" t="s">
        <v>38</v>
      </c>
      <c r="B7637" s="65">
        <v>43512</v>
      </c>
      <c r="C7637" s="66" t="s">
        <v>221</v>
      </c>
      <c r="D7637" s="3" t="s">
        <v>39</v>
      </c>
      <c r="E7637" s="64">
        <v>1</v>
      </c>
    </row>
    <row r="7638" spans="1:5">
      <c r="A7638" s="64" t="s">
        <v>38</v>
      </c>
      <c r="B7638" s="65">
        <v>43513</v>
      </c>
      <c r="C7638" s="66" t="s">
        <v>222</v>
      </c>
      <c r="D7638" s="3" t="s">
        <v>39</v>
      </c>
      <c r="E7638" s="64">
        <v>1</v>
      </c>
    </row>
    <row r="7639" spans="1:5">
      <c r="A7639" s="64" t="s">
        <v>38</v>
      </c>
      <c r="B7639" s="65">
        <v>43514</v>
      </c>
      <c r="C7639" s="66" t="s">
        <v>216</v>
      </c>
      <c r="D7639" s="3" t="s">
        <v>39</v>
      </c>
      <c r="E7639" s="64">
        <v>1</v>
      </c>
    </row>
    <row r="7640" spans="1:5">
      <c r="A7640" s="64" t="s">
        <v>38</v>
      </c>
      <c r="B7640" s="65">
        <v>43515</v>
      </c>
      <c r="C7640" s="66" t="s">
        <v>217</v>
      </c>
      <c r="D7640" s="3" t="s">
        <v>39</v>
      </c>
      <c r="E7640" s="64">
        <v>1</v>
      </c>
    </row>
    <row r="7641" spans="1:5">
      <c r="A7641" s="64" t="s">
        <v>38</v>
      </c>
      <c r="B7641" s="65">
        <v>43516</v>
      </c>
      <c r="C7641" s="66" t="s">
        <v>218</v>
      </c>
      <c r="D7641" s="3" t="s">
        <v>39</v>
      </c>
      <c r="E7641" s="64">
        <v>1</v>
      </c>
    </row>
    <row r="7642" spans="1:5">
      <c r="A7642" s="64" t="s">
        <v>38</v>
      </c>
      <c r="B7642" s="65">
        <v>43517</v>
      </c>
      <c r="C7642" s="66" t="s">
        <v>219</v>
      </c>
      <c r="D7642" s="3" t="s">
        <v>39</v>
      </c>
      <c r="E7642" s="64">
        <v>1</v>
      </c>
    </row>
    <row r="7643" spans="1:5">
      <c r="A7643" s="64" t="s">
        <v>38</v>
      </c>
      <c r="B7643" s="65">
        <v>43518</v>
      </c>
      <c r="C7643" s="66" t="s">
        <v>220</v>
      </c>
      <c r="D7643" s="3" t="s">
        <v>39</v>
      </c>
      <c r="E7643" s="64">
        <v>1</v>
      </c>
    </row>
    <row r="7644" spans="1:5">
      <c r="A7644" s="64" t="s">
        <v>38</v>
      </c>
      <c r="B7644" s="65">
        <v>43519</v>
      </c>
      <c r="C7644" s="66" t="s">
        <v>221</v>
      </c>
      <c r="D7644" s="3" t="s">
        <v>39</v>
      </c>
      <c r="E7644" s="64">
        <v>1</v>
      </c>
    </row>
    <row r="7645" spans="1:5">
      <c r="A7645" s="64" t="s">
        <v>38</v>
      </c>
      <c r="B7645" s="65">
        <v>43520</v>
      </c>
      <c r="C7645" s="66" t="s">
        <v>222</v>
      </c>
      <c r="D7645" s="3" t="s">
        <v>39</v>
      </c>
      <c r="E7645" s="64">
        <v>1</v>
      </c>
    </row>
    <row r="7646" spans="1:5">
      <c r="A7646" s="64" t="s">
        <v>38</v>
      </c>
      <c r="B7646" s="65">
        <v>43521</v>
      </c>
      <c r="C7646" s="66" t="s">
        <v>216</v>
      </c>
      <c r="D7646" s="3" t="s">
        <v>39</v>
      </c>
      <c r="E7646" s="64">
        <v>1</v>
      </c>
    </row>
    <row r="7647" spans="1:5">
      <c r="A7647" s="64" t="s">
        <v>38</v>
      </c>
      <c r="B7647" s="65">
        <v>43522</v>
      </c>
      <c r="C7647" s="66" t="s">
        <v>217</v>
      </c>
      <c r="D7647" s="3" t="s">
        <v>39</v>
      </c>
      <c r="E7647" s="64">
        <v>1</v>
      </c>
    </row>
    <row r="7648" spans="1:5">
      <c r="A7648" s="64" t="s">
        <v>38</v>
      </c>
      <c r="B7648" s="65">
        <v>43523</v>
      </c>
      <c r="C7648" s="66" t="s">
        <v>218</v>
      </c>
      <c r="D7648" s="3" t="s">
        <v>39</v>
      </c>
      <c r="E7648" s="64">
        <v>1</v>
      </c>
    </row>
    <row r="7649" spans="1:5">
      <c r="A7649" s="64" t="s">
        <v>38</v>
      </c>
      <c r="B7649" s="65">
        <v>43524</v>
      </c>
      <c r="C7649" s="66" t="s">
        <v>219</v>
      </c>
      <c r="D7649" s="3" t="s">
        <v>39</v>
      </c>
      <c r="E7649" s="64">
        <v>1</v>
      </c>
    </row>
    <row r="7650" spans="1:5">
      <c r="A7650" s="64" t="s">
        <v>38</v>
      </c>
      <c r="B7650" s="65">
        <v>43525</v>
      </c>
      <c r="C7650" s="66" t="s">
        <v>220</v>
      </c>
      <c r="D7650" s="3" t="s">
        <v>39</v>
      </c>
      <c r="E7650" s="64">
        <v>1</v>
      </c>
    </row>
    <row r="7651" spans="1:5">
      <c r="A7651" s="64" t="s">
        <v>38</v>
      </c>
      <c r="B7651" s="65">
        <v>43526</v>
      </c>
      <c r="C7651" s="66" t="s">
        <v>221</v>
      </c>
      <c r="D7651" s="3" t="s">
        <v>39</v>
      </c>
      <c r="E7651" s="64">
        <v>1</v>
      </c>
    </row>
    <row r="7652" spans="1:5">
      <c r="A7652" s="64" t="s">
        <v>38</v>
      </c>
      <c r="B7652" s="65">
        <v>43527</v>
      </c>
      <c r="C7652" s="66" t="s">
        <v>222</v>
      </c>
      <c r="D7652" s="3" t="s">
        <v>39</v>
      </c>
      <c r="E7652" s="64">
        <v>1</v>
      </c>
    </row>
    <row r="7653" spans="1:5">
      <c r="A7653" s="64" t="s">
        <v>38</v>
      </c>
      <c r="B7653" s="65">
        <v>43528</v>
      </c>
      <c r="C7653" s="66" t="s">
        <v>216</v>
      </c>
      <c r="D7653" s="3" t="s">
        <v>39</v>
      </c>
      <c r="E7653" s="64">
        <v>1</v>
      </c>
    </row>
    <row r="7654" spans="1:5">
      <c r="A7654" s="64" t="s">
        <v>38</v>
      </c>
      <c r="B7654" s="65">
        <v>43529</v>
      </c>
      <c r="C7654" s="66" t="s">
        <v>217</v>
      </c>
      <c r="D7654" s="3" t="s">
        <v>39</v>
      </c>
      <c r="E7654" s="64">
        <v>1</v>
      </c>
    </row>
    <row r="7655" spans="1:5">
      <c r="A7655" s="64" t="s">
        <v>38</v>
      </c>
      <c r="B7655" s="65">
        <v>43530</v>
      </c>
      <c r="C7655" s="66" t="s">
        <v>218</v>
      </c>
      <c r="D7655" s="3" t="s">
        <v>39</v>
      </c>
      <c r="E7655" s="64">
        <v>1</v>
      </c>
    </row>
    <row r="7656" spans="1:5">
      <c r="A7656" s="64" t="s">
        <v>38</v>
      </c>
      <c r="B7656" s="65">
        <v>43531</v>
      </c>
      <c r="C7656" s="66" t="s">
        <v>219</v>
      </c>
      <c r="D7656" s="3" t="s">
        <v>39</v>
      </c>
      <c r="E7656" s="64">
        <v>1</v>
      </c>
    </row>
    <row r="7657" spans="1:5">
      <c r="A7657" s="64" t="s">
        <v>38</v>
      </c>
      <c r="B7657" s="65">
        <v>43532</v>
      </c>
      <c r="C7657" s="66" t="s">
        <v>220</v>
      </c>
      <c r="D7657" s="3" t="s">
        <v>39</v>
      </c>
      <c r="E7657" s="64">
        <v>1</v>
      </c>
    </row>
    <row r="7658" spans="1:5">
      <c r="A7658" s="64" t="s">
        <v>38</v>
      </c>
      <c r="B7658" s="65">
        <v>43533</v>
      </c>
      <c r="C7658" s="66" t="s">
        <v>221</v>
      </c>
      <c r="D7658" s="3" t="s">
        <v>39</v>
      </c>
      <c r="E7658" s="64">
        <v>1</v>
      </c>
    </row>
    <row r="7659" spans="1:5">
      <c r="A7659" s="64" t="s">
        <v>38</v>
      </c>
      <c r="B7659" s="65">
        <v>43534</v>
      </c>
      <c r="C7659" s="66" t="s">
        <v>222</v>
      </c>
      <c r="D7659" s="3" t="s">
        <v>39</v>
      </c>
      <c r="E7659" s="64">
        <v>1</v>
      </c>
    </row>
    <row r="7660" spans="1:5">
      <c r="A7660" s="64" t="s">
        <v>38</v>
      </c>
      <c r="B7660" s="65">
        <v>43535</v>
      </c>
      <c r="C7660" s="66" t="s">
        <v>216</v>
      </c>
      <c r="D7660" s="3" t="s">
        <v>39</v>
      </c>
      <c r="E7660" s="64">
        <v>1</v>
      </c>
    </row>
    <row r="7661" spans="1:5">
      <c r="A7661" s="64" t="s">
        <v>38</v>
      </c>
      <c r="B7661" s="65">
        <v>43536</v>
      </c>
      <c r="C7661" s="66" t="s">
        <v>217</v>
      </c>
      <c r="D7661" s="3" t="s">
        <v>39</v>
      </c>
      <c r="E7661" s="64">
        <v>1</v>
      </c>
    </row>
    <row r="7662" spans="1:5">
      <c r="A7662" s="64" t="s">
        <v>38</v>
      </c>
      <c r="B7662" s="65">
        <v>43537</v>
      </c>
      <c r="C7662" s="66" t="s">
        <v>218</v>
      </c>
      <c r="D7662" s="3" t="s">
        <v>39</v>
      </c>
      <c r="E7662" s="64">
        <v>1</v>
      </c>
    </row>
    <row r="7663" spans="1:5">
      <c r="A7663" s="64" t="s">
        <v>38</v>
      </c>
      <c r="B7663" s="65">
        <v>43538</v>
      </c>
      <c r="C7663" s="66" t="s">
        <v>219</v>
      </c>
      <c r="D7663" s="3" t="s">
        <v>39</v>
      </c>
      <c r="E7663" s="64">
        <v>1</v>
      </c>
    </row>
    <row r="7664" spans="1:5">
      <c r="A7664" s="64" t="s">
        <v>38</v>
      </c>
      <c r="B7664" s="65">
        <v>43539</v>
      </c>
      <c r="C7664" s="66" t="s">
        <v>220</v>
      </c>
      <c r="D7664" s="3" t="s">
        <v>39</v>
      </c>
      <c r="E7664" s="64">
        <v>1</v>
      </c>
    </row>
    <row r="7665" spans="1:5">
      <c r="A7665" s="64" t="s">
        <v>38</v>
      </c>
      <c r="B7665" s="65">
        <v>43540</v>
      </c>
      <c r="C7665" s="66" t="s">
        <v>221</v>
      </c>
      <c r="D7665" s="3" t="s">
        <v>39</v>
      </c>
      <c r="E7665" s="64">
        <v>1</v>
      </c>
    </row>
    <row r="7666" spans="1:5">
      <c r="A7666" s="64" t="s">
        <v>38</v>
      </c>
      <c r="B7666" s="65">
        <v>43541</v>
      </c>
      <c r="C7666" s="66" t="s">
        <v>222</v>
      </c>
      <c r="D7666" s="3" t="s">
        <v>39</v>
      </c>
      <c r="E7666" s="64">
        <v>1</v>
      </c>
    </row>
    <row r="7667" spans="1:5">
      <c r="A7667" s="64" t="s">
        <v>38</v>
      </c>
      <c r="B7667" s="65">
        <v>43542</v>
      </c>
      <c r="C7667" s="66" t="s">
        <v>216</v>
      </c>
      <c r="D7667" s="3" t="s">
        <v>39</v>
      </c>
      <c r="E7667" s="64">
        <v>1</v>
      </c>
    </row>
    <row r="7668" spans="1:5">
      <c r="A7668" s="64" t="s">
        <v>38</v>
      </c>
      <c r="B7668" s="65">
        <v>43543</v>
      </c>
      <c r="C7668" s="66" t="s">
        <v>217</v>
      </c>
      <c r="D7668" s="3" t="s">
        <v>39</v>
      </c>
      <c r="E7668" s="64">
        <v>1</v>
      </c>
    </row>
    <row r="7669" spans="1:5">
      <c r="A7669" s="64" t="s">
        <v>38</v>
      </c>
      <c r="B7669" s="65">
        <v>43544</v>
      </c>
      <c r="C7669" s="66" t="s">
        <v>218</v>
      </c>
      <c r="D7669" s="3" t="s">
        <v>39</v>
      </c>
      <c r="E7669" s="64">
        <v>1</v>
      </c>
    </row>
    <row r="7670" spans="1:5">
      <c r="A7670" s="64" t="s">
        <v>38</v>
      </c>
      <c r="B7670" s="65">
        <v>43545</v>
      </c>
      <c r="C7670" s="66" t="s">
        <v>219</v>
      </c>
      <c r="D7670" s="3" t="s">
        <v>39</v>
      </c>
      <c r="E7670" s="64">
        <v>1</v>
      </c>
    </row>
    <row r="7671" spans="1:5">
      <c r="A7671" s="64" t="s">
        <v>38</v>
      </c>
      <c r="B7671" s="65">
        <v>43546</v>
      </c>
      <c r="C7671" s="66" t="s">
        <v>220</v>
      </c>
      <c r="D7671" s="3" t="s">
        <v>39</v>
      </c>
      <c r="E7671" s="64">
        <v>1</v>
      </c>
    </row>
    <row r="7672" spans="1:5">
      <c r="A7672" s="64" t="s">
        <v>38</v>
      </c>
      <c r="B7672" s="65">
        <v>43547</v>
      </c>
      <c r="C7672" s="66" t="s">
        <v>221</v>
      </c>
      <c r="D7672" s="3" t="s">
        <v>39</v>
      </c>
      <c r="E7672" s="64">
        <v>1</v>
      </c>
    </row>
    <row r="7673" spans="1:5">
      <c r="A7673" s="64" t="s">
        <v>38</v>
      </c>
      <c r="B7673" s="65">
        <v>43548</v>
      </c>
      <c r="C7673" s="66" t="s">
        <v>222</v>
      </c>
      <c r="D7673" s="3" t="s">
        <v>39</v>
      </c>
      <c r="E7673" s="64">
        <v>1</v>
      </c>
    </row>
    <row r="7674" spans="1:5">
      <c r="A7674" s="64" t="s">
        <v>38</v>
      </c>
      <c r="B7674" s="65">
        <v>43549</v>
      </c>
      <c r="C7674" s="66" t="s">
        <v>216</v>
      </c>
      <c r="D7674" s="3" t="s">
        <v>39</v>
      </c>
      <c r="E7674" s="64">
        <v>1</v>
      </c>
    </row>
    <row r="7675" spans="1:5">
      <c r="A7675" s="64" t="s">
        <v>38</v>
      </c>
      <c r="B7675" s="65">
        <v>43550</v>
      </c>
      <c r="C7675" s="66" t="s">
        <v>217</v>
      </c>
      <c r="D7675" s="3" t="s">
        <v>39</v>
      </c>
      <c r="E7675" s="64">
        <v>1</v>
      </c>
    </row>
    <row r="7676" spans="1:5">
      <c r="A7676" s="64" t="s">
        <v>38</v>
      </c>
      <c r="B7676" s="65">
        <v>43551</v>
      </c>
      <c r="C7676" s="66" t="s">
        <v>218</v>
      </c>
      <c r="D7676" s="3" t="s">
        <v>39</v>
      </c>
      <c r="E7676" s="64">
        <v>1</v>
      </c>
    </row>
    <row r="7677" spans="1:5">
      <c r="A7677" s="64" t="s">
        <v>38</v>
      </c>
      <c r="B7677" s="65">
        <v>43552</v>
      </c>
      <c r="C7677" s="66" t="s">
        <v>219</v>
      </c>
      <c r="D7677" s="3" t="s">
        <v>39</v>
      </c>
      <c r="E7677" s="64">
        <v>1</v>
      </c>
    </row>
    <row r="7678" spans="1:5">
      <c r="A7678" s="64" t="s">
        <v>38</v>
      </c>
      <c r="B7678" s="65">
        <v>43553</v>
      </c>
      <c r="C7678" s="66" t="s">
        <v>220</v>
      </c>
      <c r="D7678" s="3" t="s">
        <v>39</v>
      </c>
      <c r="E7678" s="64">
        <v>1</v>
      </c>
    </row>
    <row r="7679" spans="1:5">
      <c r="A7679" s="64" t="s">
        <v>38</v>
      </c>
      <c r="B7679" s="65">
        <v>43554</v>
      </c>
      <c r="C7679" s="66" t="s">
        <v>221</v>
      </c>
      <c r="D7679" s="3" t="s">
        <v>39</v>
      </c>
      <c r="E7679" s="64">
        <v>1</v>
      </c>
    </row>
    <row r="7680" spans="1:5">
      <c r="A7680" s="64" t="s">
        <v>38</v>
      </c>
      <c r="B7680" s="65">
        <v>43555</v>
      </c>
      <c r="C7680" s="66" t="s">
        <v>222</v>
      </c>
      <c r="D7680" s="3" t="s">
        <v>39</v>
      </c>
      <c r="E7680" s="64">
        <v>1</v>
      </c>
    </row>
    <row r="7681" spans="1:5">
      <c r="A7681" s="64" t="s">
        <v>38</v>
      </c>
      <c r="B7681" s="65">
        <v>43556</v>
      </c>
      <c r="C7681" s="66" t="s">
        <v>216</v>
      </c>
      <c r="D7681" s="3" t="s">
        <v>39</v>
      </c>
      <c r="E7681" s="64">
        <v>1</v>
      </c>
    </row>
    <row r="7682" spans="1:5">
      <c r="A7682" s="64" t="s">
        <v>38</v>
      </c>
      <c r="B7682" s="65">
        <v>43557</v>
      </c>
      <c r="C7682" s="66" t="s">
        <v>217</v>
      </c>
      <c r="D7682" s="3" t="s">
        <v>39</v>
      </c>
      <c r="E7682" s="64">
        <v>1</v>
      </c>
    </row>
    <row r="7683" spans="1:5">
      <c r="A7683" s="64" t="s">
        <v>38</v>
      </c>
      <c r="B7683" s="65">
        <v>43558</v>
      </c>
      <c r="C7683" s="66" t="s">
        <v>218</v>
      </c>
      <c r="D7683" s="3" t="s">
        <v>39</v>
      </c>
      <c r="E7683" s="64">
        <v>1</v>
      </c>
    </row>
    <row r="7684" spans="1:5">
      <c r="A7684" s="64" t="s">
        <v>38</v>
      </c>
      <c r="B7684" s="65">
        <v>43559</v>
      </c>
      <c r="C7684" s="66" t="s">
        <v>219</v>
      </c>
      <c r="D7684" s="3" t="s">
        <v>39</v>
      </c>
      <c r="E7684" s="64">
        <v>1</v>
      </c>
    </row>
    <row r="7685" spans="1:5">
      <c r="A7685" s="64" t="s">
        <v>38</v>
      </c>
      <c r="B7685" s="65">
        <v>43560</v>
      </c>
      <c r="C7685" s="66" t="s">
        <v>220</v>
      </c>
      <c r="D7685" s="3" t="s">
        <v>39</v>
      </c>
      <c r="E7685" s="64">
        <v>1</v>
      </c>
    </row>
    <row r="7686" spans="1:5">
      <c r="A7686" s="64" t="s">
        <v>38</v>
      </c>
      <c r="B7686" s="65">
        <v>43255</v>
      </c>
      <c r="C7686" s="66" t="s">
        <v>216</v>
      </c>
      <c r="D7686" s="3" t="s">
        <v>40</v>
      </c>
      <c r="E7686" s="64">
        <v>1</v>
      </c>
    </row>
    <row r="7687" spans="1:5">
      <c r="A7687" s="64" t="s">
        <v>38</v>
      </c>
      <c r="B7687" s="65">
        <v>43256</v>
      </c>
      <c r="C7687" s="66" t="s">
        <v>217</v>
      </c>
      <c r="D7687" s="3" t="s">
        <v>40</v>
      </c>
      <c r="E7687" s="64">
        <v>1</v>
      </c>
    </row>
    <row r="7688" spans="1:5">
      <c r="A7688" s="64" t="s">
        <v>38</v>
      </c>
      <c r="B7688" s="65">
        <v>43257</v>
      </c>
      <c r="C7688" s="66" t="s">
        <v>218</v>
      </c>
      <c r="D7688" s="3" t="s">
        <v>40</v>
      </c>
      <c r="E7688" s="64">
        <v>1</v>
      </c>
    </row>
    <row r="7689" spans="1:5">
      <c r="A7689" s="64" t="s">
        <v>38</v>
      </c>
      <c r="B7689" s="65">
        <v>43258</v>
      </c>
      <c r="C7689" s="66" t="s">
        <v>219</v>
      </c>
      <c r="D7689" s="3" t="s">
        <v>40</v>
      </c>
      <c r="E7689" s="64">
        <v>1</v>
      </c>
    </row>
    <row r="7690" spans="1:5">
      <c r="A7690" s="64" t="s">
        <v>38</v>
      </c>
      <c r="B7690" s="65">
        <v>43259</v>
      </c>
      <c r="C7690" s="66" t="s">
        <v>220</v>
      </c>
      <c r="D7690" s="3" t="s">
        <v>40</v>
      </c>
      <c r="E7690" s="64">
        <v>1</v>
      </c>
    </row>
    <row r="7691" spans="1:5">
      <c r="A7691" s="64" t="s">
        <v>38</v>
      </c>
      <c r="B7691" s="65">
        <v>43260</v>
      </c>
      <c r="C7691" s="66" t="s">
        <v>221</v>
      </c>
      <c r="D7691" s="3" t="s">
        <v>40</v>
      </c>
      <c r="E7691" s="64">
        <v>1</v>
      </c>
    </row>
    <row r="7692" spans="1:5">
      <c r="A7692" s="64" t="s">
        <v>38</v>
      </c>
      <c r="B7692" s="65">
        <v>43261</v>
      </c>
      <c r="C7692" s="66" t="s">
        <v>222</v>
      </c>
      <c r="D7692" s="3" t="s">
        <v>40</v>
      </c>
      <c r="E7692" s="64">
        <v>1</v>
      </c>
    </row>
    <row r="7693" spans="1:5">
      <c r="A7693" s="64" t="s">
        <v>38</v>
      </c>
      <c r="B7693" s="65">
        <v>43262</v>
      </c>
      <c r="C7693" s="66" t="s">
        <v>216</v>
      </c>
      <c r="D7693" s="3" t="s">
        <v>40</v>
      </c>
      <c r="E7693" s="64">
        <v>1</v>
      </c>
    </row>
    <row r="7694" spans="1:5">
      <c r="A7694" s="64" t="s">
        <v>38</v>
      </c>
      <c r="B7694" s="65">
        <v>43263</v>
      </c>
      <c r="C7694" s="66" t="s">
        <v>217</v>
      </c>
      <c r="D7694" s="3" t="s">
        <v>40</v>
      </c>
      <c r="E7694" s="64">
        <v>1</v>
      </c>
    </row>
    <row r="7695" spans="1:5">
      <c r="A7695" s="64" t="s">
        <v>38</v>
      </c>
      <c r="B7695" s="65">
        <v>43264</v>
      </c>
      <c r="C7695" s="66" t="s">
        <v>218</v>
      </c>
      <c r="D7695" s="3" t="s">
        <v>40</v>
      </c>
      <c r="E7695" s="64">
        <v>1</v>
      </c>
    </row>
    <row r="7696" spans="1:5">
      <c r="A7696" s="64" t="s">
        <v>38</v>
      </c>
      <c r="B7696" s="65">
        <v>43265</v>
      </c>
      <c r="C7696" s="66" t="s">
        <v>219</v>
      </c>
      <c r="D7696" s="3" t="s">
        <v>40</v>
      </c>
      <c r="E7696" s="64">
        <v>1</v>
      </c>
    </row>
    <row r="7697" spans="1:5">
      <c r="A7697" s="64" t="s">
        <v>38</v>
      </c>
      <c r="B7697" s="65">
        <v>43266</v>
      </c>
      <c r="C7697" s="66" t="s">
        <v>220</v>
      </c>
      <c r="D7697" s="3" t="s">
        <v>40</v>
      </c>
      <c r="E7697" s="64">
        <v>1</v>
      </c>
    </row>
    <row r="7698" spans="1:5">
      <c r="A7698" s="64" t="s">
        <v>38</v>
      </c>
      <c r="B7698" s="65">
        <v>43267</v>
      </c>
      <c r="C7698" s="66" t="s">
        <v>221</v>
      </c>
      <c r="D7698" s="3" t="s">
        <v>40</v>
      </c>
      <c r="E7698" s="64">
        <v>1</v>
      </c>
    </row>
    <row r="7699" spans="1:5">
      <c r="A7699" s="64" t="s">
        <v>38</v>
      </c>
      <c r="B7699" s="65">
        <v>43268</v>
      </c>
      <c r="C7699" s="66" t="s">
        <v>222</v>
      </c>
      <c r="D7699" s="3" t="s">
        <v>40</v>
      </c>
      <c r="E7699" s="64">
        <v>1</v>
      </c>
    </row>
    <row r="7700" spans="1:5">
      <c r="A7700" s="64" t="s">
        <v>38</v>
      </c>
      <c r="B7700" s="65">
        <v>43269</v>
      </c>
      <c r="C7700" s="66" t="s">
        <v>216</v>
      </c>
      <c r="D7700" s="3" t="s">
        <v>40</v>
      </c>
      <c r="E7700" s="64">
        <v>1</v>
      </c>
    </row>
    <row r="7701" spans="1:5">
      <c r="A7701" s="64" t="s">
        <v>38</v>
      </c>
      <c r="B7701" s="65">
        <v>43270</v>
      </c>
      <c r="C7701" s="66" t="s">
        <v>217</v>
      </c>
      <c r="D7701" s="3" t="s">
        <v>40</v>
      </c>
      <c r="E7701" s="64">
        <v>1</v>
      </c>
    </row>
    <row r="7702" spans="1:5">
      <c r="A7702" s="64" t="s">
        <v>38</v>
      </c>
      <c r="B7702" s="65">
        <v>43271</v>
      </c>
      <c r="C7702" s="66" t="s">
        <v>218</v>
      </c>
      <c r="D7702" s="3" t="s">
        <v>40</v>
      </c>
      <c r="E7702" s="64">
        <v>1</v>
      </c>
    </row>
    <row r="7703" spans="1:5">
      <c r="A7703" s="64" t="s">
        <v>38</v>
      </c>
      <c r="B7703" s="65">
        <v>43272</v>
      </c>
      <c r="C7703" s="66" t="s">
        <v>219</v>
      </c>
      <c r="D7703" s="3" t="s">
        <v>40</v>
      </c>
      <c r="E7703" s="64">
        <v>1</v>
      </c>
    </row>
    <row r="7704" spans="1:5">
      <c r="A7704" s="64" t="s">
        <v>38</v>
      </c>
      <c r="B7704" s="65">
        <v>43273</v>
      </c>
      <c r="C7704" s="66" t="s">
        <v>220</v>
      </c>
      <c r="D7704" s="3" t="s">
        <v>40</v>
      </c>
      <c r="E7704" s="64">
        <v>1</v>
      </c>
    </row>
    <row r="7705" spans="1:5">
      <c r="A7705" s="64" t="s">
        <v>38</v>
      </c>
      <c r="B7705" s="65">
        <v>43274</v>
      </c>
      <c r="C7705" s="66" t="s">
        <v>221</v>
      </c>
      <c r="D7705" s="3" t="s">
        <v>40</v>
      </c>
      <c r="E7705" s="64">
        <v>1</v>
      </c>
    </row>
    <row r="7706" spans="1:5">
      <c r="A7706" s="64" t="s">
        <v>38</v>
      </c>
      <c r="B7706" s="65">
        <v>43275</v>
      </c>
      <c r="C7706" s="66" t="s">
        <v>222</v>
      </c>
      <c r="D7706" s="3" t="s">
        <v>40</v>
      </c>
      <c r="E7706" s="64">
        <v>1</v>
      </c>
    </row>
    <row r="7707" spans="1:5">
      <c r="A7707" s="64" t="s">
        <v>38</v>
      </c>
      <c r="B7707" s="65">
        <v>43276</v>
      </c>
      <c r="C7707" s="66" t="s">
        <v>216</v>
      </c>
      <c r="D7707" s="3" t="s">
        <v>40</v>
      </c>
      <c r="E7707" s="64">
        <v>1</v>
      </c>
    </row>
    <row r="7708" spans="1:5">
      <c r="A7708" s="64" t="s">
        <v>38</v>
      </c>
      <c r="B7708" s="65">
        <v>43277</v>
      </c>
      <c r="C7708" s="66" t="s">
        <v>217</v>
      </c>
      <c r="D7708" s="3" t="s">
        <v>40</v>
      </c>
      <c r="E7708" s="64">
        <v>1</v>
      </c>
    </row>
    <row r="7709" spans="1:5">
      <c r="A7709" s="64" t="s">
        <v>38</v>
      </c>
      <c r="B7709" s="65">
        <v>43278</v>
      </c>
      <c r="C7709" s="66" t="s">
        <v>218</v>
      </c>
      <c r="D7709" s="3" t="s">
        <v>40</v>
      </c>
      <c r="E7709" s="64">
        <v>1</v>
      </c>
    </row>
    <row r="7710" spans="1:5">
      <c r="A7710" s="64" t="s">
        <v>38</v>
      </c>
      <c r="B7710" s="65">
        <v>43279</v>
      </c>
      <c r="C7710" s="66" t="s">
        <v>219</v>
      </c>
      <c r="D7710" s="3" t="s">
        <v>40</v>
      </c>
      <c r="E7710" s="64">
        <v>1</v>
      </c>
    </row>
    <row r="7711" spans="1:5">
      <c r="A7711" s="64" t="s">
        <v>38</v>
      </c>
      <c r="B7711" s="65">
        <v>43280</v>
      </c>
      <c r="C7711" s="66" t="s">
        <v>220</v>
      </c>
      <c r="D7711" s="3" t="s">
        <v>40</v>
      </c>
      <c r="E7711" s="64">
        <v>1</v>
      </c>
    </row>
    <row r="7712" spans="1:5">
      <c r="A7712" s="64" t="s">
        <v>38</v>
      </c>
      <c r="B7712" s="65">
        <v>43281</v>
      </c>
      <c r="C7712" s="66" t="s">
        <v>221</v>
      </c>
      <c r="D7712" s="3" t="s">
        <v>40</v>
      </c>
      <c r="E7712" s="64">
        <v>1</v>
      </c>
    </row>
    <row r="7713" spans="1:5">
      <c r="A7713" s="64" t="s">
        <v>38</v>
      </c>
      <c r="B7713" s="65">
        <v>43282</v>
      </c>
      <c r="C7713" s="66" t="s">
        <v>222</v>
      </c>
      <c r="D7713" s="3" t="s">
        <v>40</v>
      </c>
      <c r="E7713" s="64">
        <v>1</v>
      </c>
    </row>
    <row r="7714" spans="1:5">
      <c r="A7714" s="64" t="s">
        <v>38</v>
      </c>
      <c r="B7714" s="65">
        <v>43283</v>
      </c>
      <c r="C7714" s="66" t="s">
        <v>216</v>
      </c>
      <c r="D7714" s="3" t="s">
        <v>40</v>
      </c>
      <c r="E7714" s="64">
        <v>1</v>
      </c>
    </row>
    <row r="7715" spans="1:5">
      <c r="A7715" s="64" t="s">
        <v>38</v>
      </c>
      <c r="B7715" s="65">
        <v>43284</v>
      </c>
      <c r="C7715" s="66" t="s">
        <v>217</v>
      </c>
      <c r="D7715" s="3" t="s">
        <v>40</v>
      </c>
      <c r="E7715" s="64">
        <v>1</v>
      </c>
    </row>
    <row r="7716" spans="1:5">
      <c r="A7716" s="64" t="s">
        <v>38</v>
      </c>
      <c r="B7716" s="65">
        <v>43285</v>
      </c>
      <c r="C7716" s="66" t="s">
        <v>218</v>
      </c>
      <c r="D7716" s="3" t="s">
        <v>40</v>
      </c>
      <c r="E7716" s="64">
        <v>1</v>
      </c>
    </row>
    <row r="7717" spans="1:5">
      <c r="A7717" s="64" t="s">
        <v>38</v>
      </c>
      <c r="B7717" s="65">
        <v>43286</v>
      </c>
      <c r="C7717" s="66" t="s">
        <v>219</v>
      </c>
      <c r="D7717" s="3" t="s">
        <v>40</v>
      </c>
      <c r="E7717" s="64">
        <v>1</v>
      </c>
    </row>
    <row r="7718" spans="1:5">
      <c r="A7718" s="64" t="s">
        <v>38</v>
      </c>
      <c r="B7718" s="65">
        <v>43287</v>
      </c>
      <c r="C7718" s="66" t="s">
        <v>220</v>
      </c>
      <c r="D7718" s="3" t="s">
        <v>40</v>
      </c>
      <c r="E7718" s="64">
        <v>1</v>
      </c>
    </row>
    <row r="7719" spans="1:5">
      <c r="A7719" s="64" t="s">
        <v>38</v>
      </c>
      <c r="B7719" s="65">
        <v>43288</v>
      </c>
      <c r="C7719" s="66" t="s">
        <v>221</v>
      </c>
      <c r="D7719" s="3" t="s">
        <v>40</v>
      </c>
      <c r="E7719" s="64">
        <v>1</v>
      </c>
    </row>
    <row r="7720" spans="1:5">
      <c r="A7720" s="64" t="s">
        <v>38</v>
      </c>
      <c r="B7720" s="65">
        <v>43289</v>
      </c>
      <c r="C7720" s="66" t="s">
        <v>222</v>
      </c>
      <c r="D7720" s="3" t="s">
        <v>40</v>
      </c>
      <c r="E7720" s="64">
        <v>1</v>
      </c>
    </row>
    <row r="7721" spans="1:5">
      <c r="A7721" s="64" t="s">
        <v>38</v>
      </c>
      <c r="B7721" s="65">
        <v>43290</v>
      </c>
      <c r="C7721" s="66" t="s">
        <v>216</v>
      </c>
      <c r="D7721" s="3" t="s">
        <v>40</v>
      </c>
      <c r="E7721" s="64">
        <v>1</v>
      </c>
    </row>
    <row r="7722" spans="1:5">
      <c r="A7722" s="64" t="s">
        <v>38</v>
      </c>
      <c r="B7722" s="65">
        <v>43291</v>
      </c>
      <c r="C7722" s="66" t="s">
        <v>217</v>
      </c>
      <c r="D7722" s="3" t="s">
        <v>40</v>
      </c>
      <c r="E7722" s="64">
        <v>1</v>
      </c>
    </row>
    <row r="7723" spans="1:5">
      <c r="A7723" s="64" t="s">
        <v>38</v>
      </c>
      <c r="B7723" s="65">
        <v>43292</v>
      </c>
      <c r="C7723" s="66" t="s">
        <v>218</v>
      </c>
      <c r="D7723" s="3" t="s">
        <v>40</v>
      </c>
      <c r="E7723" s="64">
        <v>1</v>
      </c>
    </row>
    <row r="7724" spans="1:5">
      <c r="A7724" s="64" t="s">
        <v>38</v>
      </c>
      <c r="B7724" s="65">
        <v>43293</v>
      </c>
      <c r="C7724" s="66" t="s">
        <v>219</v>
      </c>
      <c r="D7724" s="3" t="s">
        <v>40</v>
      </c>
      <c r="E7724" s="64">
        <v>1</v>
      </c>
    </row>
    <row r="7725" spans="1:5">
      <c r="A7725" s="64" t="s">
        <v>38</v>
      </c>
      <c r="B7725" s="65">
        <v>43294</v>
      </c>
      <c r="C7725" s="66" t="s">
        <v>220</v>
      </c>
      <c r="D7725" s="3" t="s">
        <v>40</v>
      </c>
      <c r="E7725" s="64">
        <v>1</v>
      </c>
    </row>
    <row r="7726" spans="1:5">
      <c r="A7726" s="64" t="s">
        <v>38</v>
      </c>
      <c r="B7726" s="65">
        <v>43295</v>
      </c>
      <c r="C7726" s="66" t="s">
        <v>221</v>
      </c>
      <c r="D7726" s="3" t="s">
        <v>40</v>
      </c>
      <c r="E7726" s="64">
        <v>1</v>
      </c>
    </row>
    <row r="7727" spans="1:5">
      <c r="A7727" s="64" t="s">
        <v>38</v>
      </c>
      <c r="B7727" s="65">
        <v>43296</v>
      </c>
      <c r="C7727" s="66" t="s">
        <v>222</v>
      </c>
      <c r="D7727" s="3" t="s">
        <v>40</v>
      </c>
      <c r="E7727" s="64">
        <v>1</v>
      </c>
    </row>
    <row r="7728" spans="1:5">
      <c r="A7728" s="64" t="s">
        <v>38</v>
      </c>
      <c r="B7728" s="65">
        <v>43297</v>
      </c>
      <c r="C7728" s="66" t="s">
        <v>216</v>
      </c>
      <c r="D7728" s="3" t="s">
        <v>40</v>
      </c>
      <c r="E7728" s="64">
        <v>1</v>
      </c>
    </row>
    <row r="7729" spans="1:5">
      <c r="A7729" s="64" t="s">
        <v>38</v>
      </c>
      <c r="B7729" s="65">
        <v>43298</v>
      </c>
      <c r="C7729" s="66" t="s">
        <v>217</v>
      </c>
      <c r="D7729" s="3" t="s">
        <v>40</v>
      </c>
      <c r="E7729" s="64">
        <v>1</v>
      </c>
    </row>
    <row r="7730" spans="1:5">
      <c r="A7730" s="64" t="s">
        <v>38</v>
      </c>
      <c r="B7730" s="65">
        <v>43299</v>
      </c>
      <c r="C7730" s="66" t="s">
        <v>218</v>
      </c>
      <c r="D7730" s="3" t="s">
        <v>40</v>
      </c>
      <c r="E7730" s="64">
        <v>1</v>
      </c>
    </row>
    <row r="7731" spans="1:5">
      <c r="A7731" s="64" t="s">
        <v>38</v>
      </c>
      <c r="B7731" s="65">
        <v>43300</v>
      </c>
      <c r="C7731" s="66" t="s">
        <v>219</v>
      </c>
      <c r="D7731" s="3" t="s">
        <v>40</v>
      </c>
      <c r="E7731" s="64">
        <v>1</v>
      </c>
    </row>
    <row r="7732" spans="1:5">
      <c r="A7732" s="64" t="s">
        <v>38</v>
      </c>
      <c r="B7732" s="65">
        <v>43301</v>
      </c>
      <c r="C7732" s="66" t="s">
        <v>220</v>
      </c>
      <c r="D7732" s="3" t="s">
        <v>40</v>
      </c>
      <c r="E7732" s="64">
        <v>1</v>
      </c>
    </row>
    <row r="7733" spans="1:5">
      <c r="A7733" s="64" t="s">
        <v>38</v>
      </c>
      <c r="B7733" s="65">
        <v>43302</v>
      </c>
      <c r="C7733" s="66" t="s">
        <v>221</v>
      </c>
      <c r="D7733" s="3" t="s">
        <v>40</v>
      </c>
      <c r="E7733" s="64">
        <v>1</v>
      </c>
    </row>
    <row r="7734" spans="1:5">
      <c r="A7734" s="64" t="s">
        <v>38</v>
      </c>
      <c r="B7734" s="65">
        <v>43303</v>
      </c>
      <c r="C7734" s="66" t="s">
        <v>222</v>
      </c>
      <c r="D7734" s="3" t="s">
        <v>40</v>
      </c>
      <c r="E7734" s="64">
        <v>1</v>
      </c>
    </row>
    <row r="7735" spans="1:5">
      <c r="A7735" s="64" t="s">
        <v>38</v>
      </c>
      <c r="B7735" s="65">
        <v>43304</v>
      </c>
      <c r="C7735" s="66" t="s">
        <v>216</v>
      </c>
      <c r="D7735" s="3" t="s">
        <v>40</v>
      </c>
      <c r="E7735" s="64">
        <v>1</v>
      </c>
    </row>
    <row r="7736" spans="1:5">
      <c r="A7736" s="64" t="s">
        <v>38</v>
      </c>
      <c r="B7736" s="65">
        <v>43305</v>
      </c>
      <c r="C7736" s="66" t="s">
        <v>217</v>
      </c>
      <c r="D7736" s="3" t="s">
        <v>40</v>
      </c>
      <c r="E7736" s="64">
        <v>1</v>
      </c>
    </row>
    <row r="7737" spans="1:5">
      <c r="A7737" s="64" t="s">
        <v>38</v>
      </c>
      <c r="B7737" s="65">
        <v>43306</v>
      </c>
      <c r="C7737" s="66" t="s">
        <v>218</v>
      </c>
      <c r="D7737" s="3" t="s">
        <v>40</v>
      </c>
      <c r="E7737" s="64">
        <v>1</v>
      </c>
    </row>
    <row r="7738" spans="1:5">
      <c r="A7738" s="64" t="s">
        <v>38</v>
      </c>
      <c r="B7738" s="65">
        <v>43307</v>
      </c>
      <c r="C7738" s="66" t="s">
        <v>219</v>
      </c>
      <c r="D7738" s="3" t="s">
        <v>40</v>
      </c>
      <c r="E7738" s="64">
        <v>1</v>
      </c>
    </row>
    <row r="7739" spans="1:5">
      <c r="A7739" s="64" t="s">
        <v>38</v>
      </c>
      <c r="B7739" s="65">
        <v>43308</v>
      </c>
      <c r="C7739" s="66" t="s">
        <v>220</v>
      </c>
      <c r="D7739" s="3" t="s">
        <v>40</v>
      </c>
      <c r="E7739" s="64">
        <v>1</v>
      </c>
    </row>
    <row r="7740" spans="1:5">
      <c r="A7740" s="64" t="s">
        <v>38</v>
      </c>
      <c r="B7740" s="65">
        <v>43309</v>
      </c>
      <c r="C7740" s="66" t="s">
        <v>221</v>
      </c>
      <c r="D7740" s="3" t="s">
        <v>40</v>
      </c>
      <c r="E7740" s="64">
        <v>1</v>
      </c>
    </row>
    <row r="7741" spans="1:5">
      <c r="A7741" s="64" t="s">
        <v>38</v>
      </c>
      <c r="B7741" s="65">
        <v>43310</v>
      </c>
      <c r="C7741" s="66" t="s">
        <v>222</v>
      </c>
      <c r="D7741" s="3" t="s">
        <v>40</v>
      </c>
      <c r="E7741" s="64">
        <v>1</v>
      </c>
    </row>
    <row r="7742" spans="1:5">
      <c r="A7742" s="64" t="s">
        <v>38</v>
      </c>
      <c r="B7742" s="65">
        <v>43311</v>
      </c>
      <c r="C7742" s="66" t="s">
        <v>216</v>
      </c>
      <c r="D7742" s="3" t="s">
        <v>40</v>
      </c>
      <c r="E7742" s="64">
        <v>1</v>
      </c>
    </row>
    <row r="7743" spans="1:5">
      <c r="A7743" s="64" t="s">
        <v>38</v>
      </c>
      <c r="B7743" s="65">
        <v>43312</v>
      </c>
      <c r="C7743" s="66" t="s">
        <v>217</v>
      </c>
      <c r="D7743" s="3" t="s">
        <v>40</v>
      </c>
      <c r="E7743" s="64">
        <v>1</v>
      </c>
    </row>
    <row r="7744" spans="1:5">
      <c r="A7744" s="64" t="s">
        <v>38</v>
      </c>
      <c r="B7744" s="65">
        <v>43313</v>
      </c>
      <c r="C7744" s="66" t="s">
        <v>218</v>
      </c>
      <c r="D7744" s="3" t="s">
        <v>40</v>
      </c>
      <c r="E7744" s="64">
        <v>1</v>
      </c>
    </row>
    <row r="7745" spans="1:5">
      <c r="A7745" s="64" t="s">
        <v>38</v>
      </c>
      <c r="B7745" s="65">
        <v>43314</v>
      </c>
      <c r="C7745" s="66" t="s">
        <v>219</v>
      </c>
      <c r="D7745" s="3" t="s">
        <v>40</v>
      </c>
      <c r="E7745" s="64">
        <v>1</v>
      </c>
    </row>
    <row r="7746" spans="1:5">
      <c r="A7746" s="64" t="s">
        <v>38</v>
      </c>
      <c r="B7746" s="65">
        <v>43315</v>
      </c>
      <c r="C7746" s="66" t="s">
        <v>220</v>
      </c>
      <c r="D7746" s="3" t="s">
        <v>40</v>
      </c>
      <c r="E7746" s="64">
        <v>1</v>
      </c>
    </row>
    <row r="7747" spans="1:5">
      <c r="A7747" s="64" t="s">
        <v>38</v>
      </c>
      <c r="B7747" s="65">
        <v>43316</v>
      </c>
      <c r="C7747" s="66" t="s">
        <v>221</v>
      </c>
      <c r="D7747" s="3" t="s">
        <v>40</v>
      </c>
      <c r="E7747" s="64">
        <v>1</v>
      </c>
    </row>
    <row r="7748" spans="1:5">
      <c r="A7748" s="64" t="s">
        <v>38</v>
      </c>
      <c r="B7748" s="65">
        <v>43317</v>
      </c>
      <c r="C7748" s="66" t="s">
        <v>222</v>
      </c>
      <c r="D7748" s="3" t="s">
        <v>40</v>
      </c>
      <c r="E7748" s="64">
        <v>1</v>
      </c>
    </row>
    <row r="7749" spans="1:5">
      <c r="A7749" s="64" t="s">
        <v>38</v>
      </c>
      <c r="B7749" s="65">
        <v>43318</v>
      </c>
      <c r="C7749" s="66" t="s">
        <v>216</v>
      </c>
      <c r="D7749" s="3" t="s">
        <v>40</v>
      </c>
      <c r="E7749" s="64">
        <v>1</v>
      </c>
    </row>
    <row r="7750" spans="1:5">
      <c r="A7750" s="64" t="s">
        <v>38</v>
      </c>
      <c r="B7750" s="65">
        <v>43319</v>
      </c>
      <c r="C7750" s="66" t="s">
        <v>217</v>
      </c>
      <c r="D7750" s="3" t="s">
        <v>40</v>
      </c>
      <c r="E7750" s="64">
        <v>1</v>
      </c>
    </row>
    <row r="7751" spans="1:5">
      <c r="A7751" s="64" t="s">
        <v>38</v>
      </c>
      <c r="B7751" s="65">
        <v>43320</v>
      </c>
      <c r="C7751" s="66" t="s">
        <v>218</v>
      </c>
      <c r="D7751" s="3" t="s">
        <v>40</v>
      </c>
      <c r="E7751" s="64">
        <v>1</v>
      </c>
    </row>
    <row r="7752" spans="1:5">
      <c r="A7752" s="64" t="s">
        <v>38</v>
      </c>
      <c r="B7752" s="65">
        <v>43321</v>
      </c>
      <c r="C7752" s="66" t="s">
        <v>219</v>
      </c>
      <c r="D7752" s="3" t="s">
        <v>40</v>
      </c>
      <c r="E7752" s="64">
        <v>1</v>
      </c>
    </row>
    <row r="7753" spans="1:5">
      <c r="A7753" s="64" t="s">
        <v>38</v>
      </c>
      <c r="B7753" s="65">
        <v>43322</v>
      </c>
      <c r="C7753" s="66" t="s">
        <v>220</v>
      </c>
      <c r="D7753" s="3" t="s">
        <v>40</v>
      </c>
      <c r="E7753" s="64">
        <v>1</v>
      </c>
    </row>
    <row r="7754" spans="1:5">
      <c r="A7754" s="64" t="s">
        <v>38</v>
      </c>
      <c r="B7754" s="65">
        <v>43323</v>
      </c>
      <c r="C7754" s="66" t="s">
        <v>221</v>
      </c>
      <c r="D7754" s="3" t="s">
        <v>40</v>
      </c>
      <c r="E7754" s="64">
        <v>1</v>
      </c>
    </row>
    <row r="7755" spans="1:5">
      <c r="A7755" s="64" t="s">
        <v>38</v>
      </c>
      <c r="B7755" s="65">
        <v>43324</v>
      </c>
      <c r="C7755" s="66" t="s">
        <v>222</v>
      </c>
      <c r="D7755" s="3" t="s">
        <v>40</v>
      </c>
      <c r="E7755" s="64">
        <v>1</v>
      </c>
    </row>
    <row r="7756" spans="1:5">
      <c r="A7756" s="64" t="s">
        <v>38</v>
      </c>
      <c r="B7756" s="65">
        <v>43325</v>
      </c>
      <c r="C7756" s="66" t="s">
        <v>216</v>
      </c>
      <c r="D7756" s="3" t="s">
        <v>40</v>
      </c>
      <c r="E7756" s="64">
        <v>1</v>
      </c>
    </row>
    <row r="7757" spans="1:5">
      <c r="A7757" s="64" t="s">
        <v>38</v>
      </c>
      <c r="B7757" s="65">
        <v>43326</v>
      </c>
      <c r="C7757" s="66" t="s">
        <v>217</v>
      </c>
      <c r="D7757" s="3" t="s">
        <v>40</v>
      </c>
      <c r="E7757" s="64">
        <v>1</v>
      </c>
    </row>
    <row r="7758" spans="1:5">
      <c r="A7758" s="64" t="s">
        <v>38</v>
      </c>
      <c r="B7758" s="65">
        <v>43327</v>
      </c>
      <c r="C7758" s="66" t="s">
        <v>218</v>
      </c>
      <c r="D7758" s="3" t="s">
        <v>40</v>
      </c>
      <c r="E7758" s="64">
        <v>1</v>
      </c>
    </row>
    <row r="7759" spans="1:5">
      <c r="A7759" s="64" t="s">
        <v>38</v>
      </c>
      <c r="B7759" s="65">
        <v>43328</v>
      </c>
      <c r="C7759" s="66" t="s">
        <v>219</v>
      </c>
      <c r="D7759" s="3" t="s">
        <v>40</v>
      </c>
      <c r="E7759" s="64">
        <v>1</v>
      </c>
    </row>
    <row r="7760" spans="1:5">
      <c r="A7760" s="64" t="s">
        <v>38</v>
      </c>
      <c r="B7760" s="65">
        <v>43329</v>
      </c>
      <c r="C7760" s="66" t="s">
        <v>220</v>
      </c>
      <c r="D7760" s="3" t="s">
        <v>40</v>
      </c>
      <c r="E7760" s="64">
        <v>1</v>
      </c>
    </row>
    <row r="7761" spans="1:5">
      <c r="A7761" s="64" t="s">
        <v>38</v>
      </c>
      <c r="B7761" s="65">
        <v>43330</v>
      </c>
      <c r="C7761" s="66" t="s">
        <v>221</v>
      </c>
      <c r="D7761" s="3" t="s">
        <v>40</v>
      </c>
      <c r="E7761" s="64">
        <v>1</v>
      </c>
    </row>
    <row r="7762" spans="1:5">
      <c r="A7762" s="64" t="s">
        <v>38</v>
      </c>
      <c r="B7762" s="65">
        <v>43331</v>
      </c>
      <c r="C7762" s="66" t="s">
        <v>222</v>
      </c>
      <c r="D7762" s="3" t="s">
        <v>40</v>
      </c>
      <c r="E7762" s="64">
        <v>1</v>
      </c>
    </row>
    <row r="7763" spans="1:5">
      <c r="A7763" s="64" t="s">
        <v>38</v>
      </c>
      <c r="B7763" s="65">
        <v>43332</v>
      </c>
      <c r="C7763" s="66" t="s">
        <v>216</v>
      </c>
      <c r="D7763" s="3" t="s">
        <v>40</v>
      </c>
      <c r="E7763" s="64">
        <v>1</v>
      </c>
    </row>
    <row r="7764" spans="1:5">
      <c r="A7764" s="64" t="s">
        <v>38</v>
      </c>
      <c r="B7764" s="65">
        <v>43333</v>
      </c>
      <c r="C7764" s="66" t="s">
        <v>217</v>
      </c>
      <c r="D7764" s="3" t="s">
        <v>40</v>
      </c>
      <c r="E7764" s="64">
        <v>1</v>
      </c>
    </row>
    <row r="7765" spans="1:5">
      <c r="A7765" s="64" t="s">
        <v>38</v>
      </c>
      <c r="B7765" s="65">
        <v>43334</v>
      </c>
      <c r="C7765" s="66" t="s">
        <v>218</v>
      </c>
      <c r="D7765" s="3" t="s">
        <v>40</v>
      </c>
      <c r="E7765" s="64">
        <v>1</v>
      </c>
    </row>
    <row r="7766" spans="1:5">
      <c r="A7766" s="64" t="s">
        <v>38</v>
      </c>
      <c r="B7766" s="65">
        <v>43335</v>
      </c>
      <c r="C7766" s="66" t="s">
        <v>219</v>
      </c>
      <c r="D7766" s="3" t="s">
        <v>40</v>
      </c>
      <c r="E7766" s="64">
        <v>1</v>
      </c>
    </row>
    <row r="7767" spans="1:5">
      <c r="A7767" s="64" t="s">
        <v>38</v>
      </c>
      <c r="B7767" s="65">
        <v>43336</v>
      </c>
      <c r="C7767" s="66" t="s">
        <v>220</v>
      </c>
      <c r="D7767" s="3" t="s">
        <v>40</v>
      </c>
      <c r="E7767" s="64">
        <v>1</v>
      </c>
    </row>
    <row r="7768" spans="1:5">
      <c r="A7768" s="64" t="s">
        <v>38</v>
      </c>
      <c r="B7768" s="65">
        <v>43337</v>
      </c>
      <c r="C7768" s="66" t="s">
        <v>221</v>
      </c>
      <c r="D7768" s="3" t="s">
        <v>40</v>
      </c>
      <c r="E7768" s="64">
        <v>1</v>
      </c>
    </row>
    <row r="7769" spans="1:5">
      <c r="A7769" s="64" t="s">
        <v>38</v>
      </c>
      <c r="B7769" s="65">
        <v>43338</v>
      </c>
      <c r="C7769" s="66" t="s">
        <v>222</v>
      </c>
      <c r="D7769" s="3" t="s">
        <v>40</v>
      </c>
      <c r="E7769" s="64">
        <v>1</v>
      </c>
    </row>
    <row r="7770" spans="1:5">
      <c r="A7770" s="64" t="s">
        <v>38</v>
      </c>
      <c r="B7770" s="65">
        <v>43339</v>
      </c>
      <c r="C7770" s="66" t="s">
        <v>216</v>
      </c>
      <c r="D7770" s="3" t="s">
        <v>40</v>
      </c>
      <c r="E7770" s="64">
        <v>1</v>
      </c>
    </row>
    <row r="7771" spans="1:5">
      <c r="A7771" s="64" t="s">
        <v>38</v>
      </c>
      <c r="B7771" s="65">
        <v>43340</v>
      </c>
      <c r="C7771" s="66" t="s">
        <v>217</v>
      </c>
      <c r="D7771" s="3" t="s">
        <v>40</v>
      </c>
      <c r="E7771" s="64">
        <v>1</v>
      </c>
    </row>
    <row r="7772" spans="1:5">
      <c r="A7772" s="64" t="s">
        <v>38</v>
      </c>
      <c r="B7772" s="65">
        <v>43341</v>
      </c>
      <c r="C7772" s="66" t="s">
        <v>218</v>
      </c>
      <c r="D7772" s="3" t="s">
        <v>40</v>
      </c>
      <c r="E7772" s="64">
        <v>1</v>
      </c>
    </row>
    <row r="7773" spans="1:5">
      <c r="A7773" s="64" t="s">
        <v>38</v>
      </c>
      <c r="B7773" s="65">
        <v>43342</v>
      </c>
      <c r="C7773" s="66" t="s">
        <v>219</v>
      </c>
      <c r="D7773" s="3" t="s">
        <v>40</v>
      </c>
      <c r="E7773" s="64">
        <v>1</v>
      </c>
    </row>
    <row r="7774" spans="1:5">
      <c r="A7774" s="64" t="s">
        <v>38</v>
      </c>
      <c r="B7774" s="65">
        <v>43343</v>
      </c>
      <c r="C7774" s="66" t="s">
        <v>220</v>
      </c>
      <c r="D7774" s="3" t="s">
        <v>40</v>
      </c>
      <c r="E7774" s="64">
        <v>1</v>
      </c>
    </row>
    <row r="7775" spans="1:5">
      <c r="A7775" s="64" t="s">
        <v>38</v>
      </c>
      <c r="B7775" s="65">
        <v>43344</v>
      </c>
      <c r="C7775" s="66" t="s">
        <v>221</v>
      </c>
      <c r="D7775" s="3" t="s">
        <v>40</v>
      </c>
      <c r="E7775" s="64">
        <v>1</v>
      </c>
    </row>
    <row r="7776" spans="1:5">
      <c r="A7776" s="64" t="s">
        <v>38</v>
      </c>
      <c r="B7776" s="65">
        <v>43345</v>
      </c>
      <c r="C7776" s="66" t="s">
        <v>222</v>
      </c>
      <c r="D7776" s="3" t="s">
        <v>40</v>
      </c>
      <c r="E7776" s="64">
        <v>1</v>
      </c>
    </row>
    <row r="7777" spans="1:5">
      <c r="A7777" s="64" t="s">
        <v>38</v>
      </c>
      <c r="B7777" s="65">
        <v>43346</v>
      </c>
      <c r="C7777" s="66" t="s">
        <v>216</v>
      </c>
      <c r="D7777" s="3" t="s">
        <v>40</v>
      </c>
      <c r="E7777" s="64">
        <v>1</v>
      </c>
    </row>
    <row r="7778" spans="1:5">
      <c r="A7778" s="64" t="s">
        <v>38</v>
      </c>
      <c r="B7778" s="65">
        <v>43347</v>
      </c>
      <c r="C7778" s="66" t="s">
        <v>217</v>
      </c>
      <c r="D7778" s="3" t="s">
        <v>40</v>
      </c>
      <c r="E7778" s="64">
        <v>1</v>
      </c>
    </row>
    <row r="7779" spans="1:5">
      <c r="A7779" s="64" t="s">
        <v>38</v>
      </c>
      <c r="B7779" s="65">
        <v>43348</v>
      </c>
      <c r="C7779" s="66" t="s">
        <v>218</v>
      </c>
      <c r="D7779" s="3" t="s">
        <v>40</v>
      </c>
      <c r="E7779" s="64">
        <v>1</v>
      </c>
    </row>
    <row r="7780" spans="1:5">
      <c r="A7780" s="64" t="s">
        <v>38</v>
      </c>
      <c r="B7780" s="65">
        <v>43349</v>
      </c>
      <c r="C7780" s="66" t="s">
        <v>219</v>
      </c>
      <c r="D7780" s="3" t="s">
        <v>40</v>
      </c>
      <c r="E7780" s="64">
        <v>1</v>
      </c>
    </row>
    <row r="7781" spans="1:5">
      <c r="A7781" s="64" t="s">
        <v>38</v>
      </c>
      <c r="B7781" s="65">
        <v>43350</v>
      </c>
      <c r="C7781" s="66" t="s">
        <v>220</v>
      </c>
      <c r="D7781" s="3" t="s">
        <v>40</v>
      </c>
      <c r="E7781" s="64">
        <v>1</v>
      </c>
    </row>
    <row r="7782" spans="1:5">
      <c r="A7782" s="64" t="s">
        <v>38</v>
      </c>
      <c r="B7782" s="65">
        <v>43351</v>
      </c>
      <c r="C7782" s="66" t="s">
        <v>221</v>
      </c>
      <c r="D7782" s="3" t="s">
        <v>40</v>
      </c>
      <c r="E7782" s="64">
        <v>1</v>
      </c>
    </row>
    <row r="7783" spans="1:5">
      <c r="A7783" s="64" t="s">
        <v>38</v>
      </c>
      <c r="B7783" s="65">
        <v>43352</v>
      </c>
      <c r="C7783" s="66" t="s">
        <v>222</v>
      </c>
      <c r="D7783" s="3" t="s">
        <v>40</v>
      </c>
      <c r="E7783" s="64">
        <v>1</v>
      </c>
    </row>
    <row r="7784" spans="1:5">
      <c r="A7784" s="64" t="s">
        <v>38</v>
      </c>
      <c r="B7784" s="65">
        <v>43353</v>
      </c>
      <c r="C7784" s="66" t="s">
        <v>216</v>
      </c>
      <c r="D7784" s="3" t="s">
        <v>40</v>
      </c>
      <c r="E7784" s="64">
        <v>1</v>
      </c>
    </row>
    <row r="7785" spans="1:5">
      <c r="A7785" s="64" t="s">
        <v>38</v>
      </c>
      <c r="B7785" s="65">
        <v>43354</v>
      </c>
      <c r="C7785" s="66" t="s">
        <v>217</v>
      </c>
      <c r="D7785" s="3" t="s">
        <v>40</v>
      </c>
      <c r="E7785" s="64">
        <v>1</v>
      </c>
    </row>
    <row r="7786" spans="1:5">
      <c r="A7786" s="64" t="s">
        <v>38</v>
      </c>
      <c r="B7786" s="65">
        <v>43355</v>
      </c>
      <c r="C7786" s="66" t="s">
        <v>218</v>
      </c>
      <c r="D7786" s="3" t="s">
        <v>40</v>
      </c>
      <c r="E7786" s="64">
        <v>1</v>
      </c>
    </row>
    <row r="7787" spans="1:5">
      <c r="A7787" s="64" t="s">
        <v>38</v>
      </c>
      <c r="B7787" s="65">
        <v>43356</v>
      </c>
      <c r="C7787" s="66" t="s">
        <v>219</v>
      </c>
      <c r="D7787" s="3" t="s">
        <v>40</v>
      </c>
      <c r="E7787" s="64">
        <v>1</v>
      </c>
    </row>
    <row r="7788" spans="1:5">
      <c r="A7788" s="64" t="s">
        <v>38</v>
      </c>
      <c r="B7788" s="65">
        <v>43357</v>
      </c>
      <c r="C7788" s="66" t="s">
        <v>220</v>
      </c>
      <c r="D7788" s="3" t="s">
        <v>40</v>
      </c>
      <c r="E7788" s="64">
        <v>1</v>
      </c>
    </row>
    <row r="7789" spans="1:5">
      <c r="A7789" s="64" t="s">
        <v>38</v>
      </c>
      <c r="B7789" s="65">
        <v>43358</v>
      </c>
      <c r="C7789" s="66" t="s">
        <v>221</v>
      </c>
      <c r="D7789" s="3" t="s">
        <v>40</v>
      </c>
      <c r="E7789" s="64">
        <v>1</v>
      </c>
    </row>
    <row r="7790" spans="1:5">
      <c r="A7790" s="64" t="s">
        <v>38</v>
      </c>
      <c r="B7790" s="65">
        <v>43359</v>
      </c>
      <c r="C7790" s="66" t="s">
        <v>222</v>
      </c>
      <c r="D7790" s="3" t="s">
        <v>40</v>
      </c>
      <c r="E7790" s="64">
        <v>1</v>
      </c>
    </row>
    <row r="7791" spans="1:5">
      <c r="A7791" s="64" t="s">
        <v>38</v>
      </c>
      <c r="B7791" s="65">
        <v>43360</v>
      </c>
      <c r="C7791" s="66" t="s">
        <v>216</v>
      </c>
      <c r="D7791" s="3" t="s">
        <v>40</v>
      </c>
      <c r="E7791" s="64">
        <v>1</v>
      </c>
    </row>
    <row r="7792" spans="1:5">
      <c r="A7792" s="64" t="s">
        <v>38</v>
      </c>
      <c r="B7792" s="65">
        <v>43361</v>
      </c>
      <c r="C7792" s="66" t="s">
        <v>217</v>
      </c>
      <c r="D7792" s="3" t="s">
        <v>40</v>
      </c>
      <c r="E7792" s="64">
        <v>1</v>
      </c>
    </row>
    <row r="7793" spans="1:5">
      <c r="A7793" s="64" t="s">
        <v>38</v>
      </c>
      <c r="B7793" s="65">
        <v>43362</v>
      </c>
      <c r="C7793" s="66" t="s">
        <v>218</v>
      </c>
      <c r="D7793" s="3" t="s">
        <v>40</v>
      </c>
      <c r="E7793" s="64">
        <v>1</v>
      </c>
    </row>
    <row r="7794" spans="1:5">
      <c r="A7794" s="64" t="s">
        <v>38</v>
      </c>
      <c r="B7794" s="65">
        <v>43363</v>
      </c>
      <c r="C7794" s="66" t="s">
        <v>219</v>
      </c>
      <c r="D7794" s="3" t="s">
        <v>40</v>
      </c>
      <c r="E7794" s="64">
        <v>1</v>
      </c>
    </row>
    <row r="7795" spans="1:5">
      <c r="A7795" s="64" t="s">
        <v>38</v>
      </c>
      <c r="B7795" s="65">
        <v>43364</v>
      </c>
      <c r="C7795" s="66" t="s">
        <v>220</v>
      </c>
      <c r="D7795" s="3" t="s">
        <v>40</v>
      </c>
      <c r="E7795" s="64">
        <v>1</v>
      </c>
    </row>
    <row r="7796" spans="1:5">
      <c r="A7796" s="64" t="s">
        <v>38</v>
      </c>
      <c r="B7796" s="65">
        <v>43365</v>
      </c>
      <c r="C7796" s="66" t="s">
        <v>221</v>
      </c>
      <c r="D7796" s="3" t="s">
        <v>40</v>
      </c>
      <c r="E7796" s="64">
        <v>1</v>
      </c>
    </row>
    <row r="7797" spans="1:5">
      <c r="A7797" s="64" t="s">
        <v>38</v>
      </c>
      <c r="B7797" s="65">
        <v>43366</v>
      </c>
      <c r="C7797" s="66" t="s">
        <v>222</v>
      </c>
      <c r="D7797" s="3" t="s">
        <v>40</v>
      </c>
      <c r="E7797" s="64">
        <v>1</v>
      </c>
    </row>
    <row r="7798" spans="1:5">
      <c r="A7798" s="64" t="s">
        <v>38</v>
      </c>
      <c r="B7798" s="65">
        <v>43367</v>
      </c>
      <c r="C7798" s="66" t="s">
        <v>216</v>
      </c>
      <c r="D7798" s="3" t="s">
        <v>40</v>
      </c>
      <c r="E7798" s="64">
        <v>1</v>
      </c>
    </row>
    <row r="7799" spans="1:5">
      <c r="A7799" s="64" t="s">
        <v>38</v>
      </c>
      <c r="B7799" s="65">
        <v>43368</v>
      </c>
      <c r="C7799" s="66" t="s">
        <v>217</v>
      </c>
      <c r="D7799" s="3" t="s">
        <v>40</v>
      </c>
      <c r="E7799" s="64">
        <v>1</v>
      </c>
    </row>
    <row r="7800" spans="1:5">
      <c r="A7800" s="64" t="s">
        <v>38</v>
      </c>
      <c r="B7800" s="65">
        <v>43369</v>
      </c>
      <c r="C7800" s="66" t="s">
        <v>218</v>
      </c>
      <c r="D7800" s="3" t="s">
        <v>40</v>
      </c>
      <c r="E7800" s="64">
        <v>1</v>
      </c>
    </row>
    <row r="7801" spans="1:5">
      <c r="A7801" s="64" t="s">
        <v>38</v>
      </c>
      <c r="B7801" s="65">
        <v>43370</v>
      </c>
      <c r="C7801" s="66" t="s">
        <v>219</v>
      </c>
      <c r="D7801" s="3" t="s">
        <v>40</v>
      </c>
      <c r="E7801" s="64">
        <v>1</v>
      </c>
    </row>
    <row r="7802" spans="1:5">
      <c r="A7802" s="64" t="s">
        <v>38</v>
      </c>
      <c r="B7802" s="65">
        <v>43371</v>
      </c>
      <c r="C7802" s="66" t="s">
        <v>220</v>
      </c>
      <c r="D7802" s="3" t="s">
        <v>40</v>
      </c>
      <c r="E7802" s="64">
        <v>1</v>
      </c>
    </row>
    <row r="7803" spans="1:5">
      <c r="A7803" s="64" t="s">
        <v>38</v>
      </c>
      <c r="B7803" s="65">
        <v>43372</v>
      </c>
      <c r="C7803" s="66" t="s">
        <v>221</v>
      </c>
      <c r="D7803" s="3" t="s">
        <v>40</v>
      </c>
      <c r="E7803" s="64">
        <v>1</v>
      </c>
    </row>
    <row r="7804" spans="1:5">
      <c r="A7804" s="64" t="s">
        <v>38</v>
      </c>
      <c r="B7804" s="65">
        <v>43373</v>
      </c>
      <c r="C7804" s="66" t="s">
        <v>222</v>
      </c>
      <c r="D7804" s="3" t="s">
        <v>40</v>
      </c>
      <c r="E7804" s="64">
        <v>1</v>
      </c>
    </row>
    <row r="7805" spans="1:5">
      <c r="A7805" s="64" t="s">
        <v>38</v>
      </c>
      <c r="B7805" s="65">
        <v>43374</v>
      </c>
      <c r="C7805" s="66" t="s">
        <v>216</v>
      </c>
      <c r="D7805" s="3" t="s">
        <v>40</v>
      </c>
      <c r="E7805" s="64">
        <v>1</v>
      </c>
    </row>
    <row r="7806" spans="1:5">
      <c r="A7806" s="64" t="s">
        <v>38</v>
      </c>
      <c r="B7806" s="65">
        <v>43375</v>
      </c>
      <c r="C7806" s="66" t="s">
        <v>217</v>
      </c>
      <c r="D7806" s="3" t="s">
        <v>40</v>
      </c>
      <c r="E7806" s="64">
        <v>1</v>
      </c>
    </row>
    <row r="7807" spans="1:5">
      <c r="A7807" s="64" t="s">
        <v>38</v>
      </c>
      <c r="B7807" s="65">
        <v>43376</v>
      </c>
      <c r="C7807" s="66" t="s">
        <v>218</v>
      </c>
      <c r="D7807" s="3" t="s">
        <v>40</v>
      </c>
      <c r="E7807" s="64">
        <v>1</v>
      </c>
    </row>
    <row r="7808" spans="1:5">
      <c r="A7808" s="64" t="s">
        <v>38</v>
      </c>
      <c r="B7808" s="65">
        <v>43377</v>
      </c>
      <c r="C7808" s="66" t="s">
        <v>219</v>
      </c>
      <c r="D7808" s="3" t="s">
        <v>40</v>
      </c>
      <c r="E7808" s="64">
        <v>1</v>
      </c>
    </row>
    <row r="7809" spans="1:5">
      <c r="A7809" s="64" t="s">
        <v>38</v>
      </c>
      <c r="B7809" s="65">
        <v>43378</v>
      </c>
      <c r="C7809" s="66" t="s">
        <v>220</v>
      </c>
      <c r="D7809" s="3" t="s">
        <v>40</v>
      </c>
      <c r="E7809" s="64">
        <v>1</v>
      </c>
    </row>
    <row r="7810" spans="1:5">
      <c r="A7810" s="64" t="s">
        <v>38</v>
      </c>
      <c r="B7810" s="65">
        <v>43379</v>
      </c>
      <c r="C7810" s="66" t="s">
        <v>221</v>
      </c>
      <c r="D7810" s="3" t="s">
        <v>40</v>
      </c>
      <c r="E7810" s="64">
        <v>1</v>
      </c>
    </row>
    <row r="7811" spans="1:5">
      <c r="A7811" s="64" t="s">
        <v>38</v>
      </c>
      <c r="B7811" s="65">
        <v>43380</v>
      </c>
      <c r="C7811" s="66" t="s">
        <v>222</v>
      </c>
      <c r="D7811" s="3" t="s">
        <v>40</v>
      </c>
      <c r="E7811" s="64">
        <v>1</v>
      </c>
    </row>
    <row r="7812" spans="1:5">
      <c r="A7812" s="64" t="s">
        <v>38</v>
      </c>
      <c r="B7812" s="65">
        <v>43381</v>
      </c>
      <c r="C7812" s="66" t="s">
        <v>216</v>
      </c>
      <c r="D7812" s="3" t="s">
        <v>40</v>
      </c>
      <c r="E7812" s="64">
        <v>1</v>
      </c>
    </row>
    <row r="7813" spans="1:5">
      <c r="A7813" s="64" t="s">
        <v>38</v>
      </c>
      <c r="B7813" s="65">
        <v>43382</v>
      </c>
      <c r="C7813" s="66" t="s">
        <v>217</v>
      </c>
      <c r="D7813" s="3" t="s">
        <v>40</v>
      </c>
      <c r="E7813" s="64">
        <v>1</v>
      </c>
    </row>
    <row r="7814" spans="1:5">
      <c r="A7814" s="64" t="s">
        <v>38</v>
      </c>
      <c r="B7814" s="65">
        <v>43383</v>
      </c>
      <c r="C7814" s="66" t="s">
        <v>218</v>
      </c>
      <c r="D7814" s="3" t="s">
        <v>40</v>
      </c>
      <c r="E7814" s="64">
        <v>1</v>
      </c>
    </row>
    <row r="7815" spans="1:5">
      <c r="A7815" s="64" t="s">
        <v>38</v>
      </c>
      <c r="B7815" s="65">
        <v>43384</v>
      </c>
      <c r="C7815" s="66" t="s">
        <v>219</v>
      </c>
      <c r="D7815" s="3" t="s">
        <v>40</v>
      </c>
      <c r="E7815" s="64">
        <v>1</v>
      </c>
    </row>
    <row r="7816" spans="1:5">
      <c r="A7816" s="64" t="s">
        <v>38</v>
      </c>
      <c r="B7816" s="65">
        <v>43385</v>
      </c>
      <c r="C7816" s="66" t="s">
        <v>220</v>
      </c>
      <c r="D7816" s="3" t="s">
        <v>40</v>
      </c>
      <c r="E7816" s="64">
        <v>1</v>
      </c>
    </row>
    <row r="7817" spans="1:5">
      <c r="A7817" s="64" t="s">
        <v>38</v>
      </c>
      <c r="B7817" s="65">
        <v>43386</v>
      </c>
      <c r="C7817" s="66" t="s">
        <v>221</v>
      </c>
      <c r="D7817" s="3" t="s">
        <v>40</v>
      </c>
      <c r="E7817" s="64">
        <v>1</v>
      </c>
    </row>
    <row r="7818" spans="1:5">
      <c r="A7818" s="64" t="s">
        <v>38</v>
      </c>
      <c r="B7818" s="65">
        <v>43387</v>
      </c>
      <c r="C7818" s="66" t="s">
        <v>222</v>
      </c>
      <c r="D7818" s="3" t="s">
        <v>40</v>
      </c>
      <c r="E7818" s="64">
        <v>1</v>
      </c>
    </row>
    <row r="7819" spans="1:5">
      <c r="A7819" s="64" t="s">
        <v>38</v>
      </c>
      <c r="B7819" s="65">
        <v>43388</v>
      </c>
      <c r="C7819" s="66" t="s">
        <v>216</v>
      </c>
      <c r="D7819" s="3" t="s">
        <v>40</v>
      </c>
      <c r="E7819" s="64">
        <v>1</v>
      </c>
    </row>
    <row r="7820" spans="1:5">
      <c r="A7820" s="64" t="s">
        <v>38</v>
      </c>
      <c r="B7820" s="65">
        <v>43389</v>
      </c>
      <c r="C7820" s="66" t="s">
        <v>217</v>
      </c>
      <c r="D7820" s="3" t="s">
        <v>40</v>
      </c>
      <c r="E7820" s="64">
        <v>1</v>
      </c>
    </row>
    <row r="7821" spans="1:5">
      <c r="A7821" s="64" t="s">
        <v>38</v>
      </c>
      <c r="B7821" s="65">
        <v>43390</v>
      </c>
      <c r="C7821" s="66" t="s">
        <v>218</v>
      </c>
      <c r="D7821" s="3" t="s">
        <v>40</v>
      </c>
      <c r="E7821" s="64">
        <v>1</v>
      </c>
    </row>
    <row r="7822" spans="1:5">
      <c r="A7822" s="64" t="s">
        <v>38</v>
      </c>
      <c r="B7822" s="65">
        <v>43391</v>
      </c>
      <c r="C7822" s="66" t="s">
        <v>219</v>
      </c>
      <c r="D7822" s="3" t="s">
        <v>40</v>
      </c>
      <c r="E7822" s="64">
        <v>1</v>
      </c>
    </row>
    <row r="7823" spans="1:5">
      <c r="A7823" s="64" t="s">
        <v>38</v>
      </c>
      <c r="B7823" s="65">
        <v>43392</v>
      </c>
      <c r="C7823" s="66" t="s">
        <v>220</v>
      </c>
      <c r="D7823" s="3" t="s">
        <v>40</v>
      </c>
      <c r="E7823" s="64">
        <v>1</v>
      </c>
    </row>
    <row r="7824" spans="1:5">
      <c r="A7824" s="64" t="s">
        <v>38</v>
      </c>
      <c r="B7824" s="65">
        <v>43393</v>
      </c>
      <c r="C7824" s="66" t="s">
        <v>221</v>
      </c>
      <c r="D7824" s="3" t="s">
        <v>40</v>
      </c>
      <c r="E7824" s="64">
        <v>1</v>
      </c>
    </row>
    <row r="7825" spans="1:5">
      <c r="A7825" s="64" t="s">
        <v>38</v>
      </c>
      <c r="B7825" s="65">
        <v>43394</v>
      </c>
      <c r="C7825" s="66" t="s">
        <v>222</v>
      </c>
      <c r="D7825" s="3" t="s">
        <v>40</v>
      </c>
      <c r="E7825" s="64">
        <v>1</v>
      </c>
    </row>
    <row r="7826" spans="1:5">
      <c r="A7826" s="64" t="s">
        <v>38</v>
      </c>
      <c r="B7826" s="65">
        <v>43395</v>
      </c>
      <c r="C7826" s="66" t="s">
        <v>216</v>
      </c>
      <c r="D7826" s="3" t="s">
        <v>40</v>
      </c>
      <c r="E7826" s="64">
        <v>1</v>
      </c>
    </row>
    <row r="7827" spans="1:5">
      <c r="A7827" s="64" t="s">
        <v>38</v>
      </c>
      <c r="B7827" s="65">
        <v>43396</v>
      </c>
      <c r="C7827" s="66" t="s">
        <v>217</v>
      </c>
      <c r="D7827" s="3" t="s">
        <v>40</v>
      </c>
      <c r="E7827" s="64">
        <v>1</v>
      </c>
    </row>
    <row r="7828" spans="1:5">
      <c r="A7828" s="64" t="s">
        <v>38</v>
      </c>
      <c r="B7828" s="65">
        <v>43397</v>
      </c>
      <c r="C7828" s="66" t="s">
        <v>218</v>
      </c>
      <c r="D7828" s="3" t="s">
        <v>40</v>
      </c>
      <c r="E7828" s="64">
        <v>1</v>
      </c>
    </row>
    <row r="7829" spans="1:5">
      <c r="A7829" s="64" t="s">
        <v>38</v>
      </c>
      <c r="B7829" s="65">
        <v>43398</v>
      </c>
      <c r="C7829" s="66" t="s">
        <v>219</v>
      </c>
      <c r="D7829" s="3" t="s">
        <v>40</v>
      </c>
      <c r="E7829" s="64">
        <v>1</v>
      </c>
    </row>
    <row r="7830" spans="1:5">
      <c r="A7830" s="64" t="s">
        <v>38</v>
      </c>
      <c r="B7830" s="65">
        <v>43399</v>
      </c>
      <c r="C7830" s="66" t="s">
        <v>220</v>
      </c>
      <c r="D7830" s="3" t="s">
        <v>40</v>
      </c>
      <c r="E7830" s="64">
        <v>1</v>
      </c>
    </row>
    <row r="7831" spans="1:5">
      <c r="A7831" s="64" t="s">
        <v>38</v>
      </c>
      <c r="B7831" s="65">
        <v>43400</v>
      </c>
      <c r="C7831" s="66" t="s">
        <v>221</v>
      </c>
      <c r="D7831" s="3" t="s">
        <v>40</v>
      </c>
      <c r="E7831" s="64">
        <v>1</v>
      </c>
    </row>
    <row r="7832" spans="1:5">
      <c r="A7832" s="64" t="s">
        <v>38</v>
      </c>
      <c r="B7832" s="65">
        <v>43401</v>
      </c>
      <c r="C7832" s="66" t="s">
        <v>222</v>
      </c>
      <c r="D7832" s="3" t="s">
        <v>40</v>
      </c>
      <c r="E7832" s="64">
        <v>1</v>
      </c>
    </row>
    <row r="7833" spans="1:5">
      <c r="A7833" s="64" t="s">
        <v>38</v>
      </c>
      <c r="B7833" s="65">
        <v>43402</v>
      </c>
      <c r="C7833" s="66" t="s">
        <v>216</v>
      </c>
      <c r="D7833" s="3" t="s">
        <v>40</v>
      </c>
      <c r="E7833" s="64">
        <v>1</v>
      </c>
    </row>
    <row r="7834" spans="1:5">
      <c r="A7834" s="64" t="s">
        <v>38</v>
      </c>
      <c r="B7834" s="65">
        <v>43403</v>
      </c>
      <c r="C7834" s="66" t="s">
        <v>217</v>
      </c>
      <c r="D7834" s="3" t="s">
        <v>40</v>
      </c>
      <c r="E7834" s="64">
        <v>1</v>
      </c>
    </row>
    <row r="7835" spans="1:5">
      <c r="A7835" s="64" t="s">
        <v>38</v>
      </c>
      <c r="B7835" s="65">
        <v>43404</v>
      </c>
      <c r="C7835" s="66" t="s">
        <v>218</v>
      </c>
      <c r="D7835" s="3" t="s">
        <v>40</v>
      </c>
      <c r="E7835" s="64">
        <v>1</v>
      </c>
    </row>
    <row r="7836" spans="1:5">
      <c r="A7836" s="64" t="s">
        <v>38</v>
      </c>
      <c r="B7836" s="65">
        <v>43405</v>
      </c>
      <c r="C7836" s="66" t="s">
        <v>219</v>
      </c>
      <c r="D7836" s="3" t="s">
        <v>40</v>
      </c>
      <c r="E7836" s="64">
        <v>1</v>
      </c>
    </row>
    <row r="7837" spans="1:5">
      <c r="A7837" s="64" t="s">
        <v>38</v>
      </c>
      <c r="B7837" s="65">
        <v>43406</v>
      </c>
      <c r="C7837" s="66" t="s">
        <v>220</v>
      </c>
      <c r="D7837" s="3" t="s">
        <v>40</v>
      </c>
      <c r="E7837" s="64">
        <v>1</v>
      </c>
    </row>
    <row r="7838" spans="1:5">
      <c r="A7838" s="64" t="s">
        <v>38</v>
      </c>
      <c r="B7838" s="65">
        <v>43407</v>
      </c>
      <c r="C7838" s="66" t="s">
        <v>221</v>
      </c>
      <c r="D7838" s="3" t="s">
        <v>40</v>
      </c>
      <c r="E7838" s="64">
        <v>1</v>
      </c>
    </row>
    <row r="7839" spans="1:5">
      <c r="A7839" s="64" t="s">
        <v>38</v>
      </c>
      <c r="B7839" s="65">
        <v>43408</v>
      </c>
      <c r="C7839" s="66" t="s">
        <v>222</v>
      </c>
      <c r="D7839" s="3" t="s">
        <v>40</v>
      </c>
      <c r="E7839" s="64">
        <v>1</v>
      </c>
    </row>
    <row r="7840" spans="1:5">
      <c r="A7840" s="64" t="s">
        <v>38</v>
      </c>
      <c r="B7840" s="65">
        <v>43409</v>
      </c>
      <c r="C7840" s="66" t="s">
        <v>216</v>
      </c>
      <c r="D7840" s="3" t="s">
        <v>40</v>
      </c>
      <c r="E7840" s="64">
        <v>1</v>
      </c>
    </row>
    <row r="7841" spans="1:5">
      <c r="A7841" s="64" t="s">
        <v>38</v>
      </c>
      <c r="B7841" s="65">
        <v>43410</v>
      </c>
      <c r="C7841" s="66" t="s">
        <v>217</v>
      </c>
      <c r="D7841" s="3" t="s">
        <v>40</v>
      </c>
      <c r="E7841" s="64">
        <v>1</v>
      </c>
    </row>
    <row r="7842" spans="1:5">
      <c r="A7842" s="64" t="s">
        <v>38</v>
      </c>
      <c r="B7842" s="65">
        <v>43411</v>
      </c>
      <c r="C7842" s="66" t="s">
        <v>218</v>
      </c>
      <c r="D7842" s="3" t="s">
        <v>40</v>
      </c>
      <c r="E7842" s="64">
        <v>1</v>
      </c>
    </row>
    <row r="7843" spans="1:5">
      <c r="A7843" s="64" t="s">
        <v>38</v>
      </c>
      <c r="B7843" s="65">
        <v>43412</v>
      </c>
      <c r="C7843" s="66" t="s">
        <v>219</v>
      </c>
      <c r="D7843" s="3" t="s">
        <v>40</v>
      </c>
      <c r="E7843" s="64">
        <v>1</v>
      </c>
    </row>
    <row r="7844" spans="1:5">
      <c r="A7844" s="64" t="s">
        <v>38</v>
      </c>
      <c r="B7844" s="65">
        <v>43413</v>
      </c>
      <c r="C7844" s="66" t="s">
        <v>220</v>
      </c>
      <c r="D7844" s="3" t="s">
        <v>40</v>
      </c>
      <c r="E7844" s="64">
        <v>1</v>
      </c>
    </row>
    <row r="7845" spans="1:5">
      <c r="A7845" s="64" t="s">
        <v>38</v>
      </c>
      <c r="B7845" s="65">
        <v>43414</v>
      </c>
      <c r="C7845" s="66" t="s">
        <v>221</v>
      </c>
      <c r="D7845" s="3" t="s">
        <v>40</v>
      </c>
      <c r="E7845" s="64">
        <v>1</v>
      </c>
    </row>
    <row r="7846" spans="1:5">
      <c r="A7846" s="64" t="s">
        <v>38</v>
      </c>
      <c r="B7846" s="65">
        <v>43415</v>
      </c>
      <c r="C7846" s="66" t="s">
        <v>222</v>
      </c>
      <c r="D7846" s="3" t="s">
        <v>40</v>
      </c>
      <c r="E7846" s="64">
        <v>1</v>
      </c>
    </row>
    <row r="7847" spans="1:5">
      <c r="A7847" s="64" t="s">
        <v>38</v>
      </c>
      <c r="B7847" s="65">
        <v>43416</v>
      </c>
      <c r="C7847" s="66" t="s">
        <v>216</v>
      </c>
      <c r="D7847" s="3" t="s">
        <v>40</v>
      </c>
      <c r="E7847" s="64">
        <v>1</v>
      </c>
    </row>
    <row r="7848" spans="1:5">
      <c r="A7848" s="64" t="s">
        <v>38</v>
      </c>
      <c r="B7848" s="65">
        <v>43417</v>
      </c>
      <c r="C7848" s="66" t="s">
        <v>217</v>
      </c>
      <c r="D7848" s="3" t="s">
        <v>40</v>
      </c>
      <c r="E7848" s="64">
        <v>1</v>
      </c>
    </row>
    <row r="7849" spans="1:5">
      <c r="A7849" s="64" t="s">
        <v>38</v>
      </c>
      <c r="B7849" s="65">
        <v>43418</v>
      </c>
      <c r="C7849" s="66" t="s">
        <v>218</v>
      </c>
      <c r="D7849" s="3" t="s">
        <v>40</v>
      </c>
      <c r="E7849" s="64">
        <v>1</v>
      </c>
    </row>
    <row r="7850" spans="1:5">
      <c r="A7850" s="64" t="s">
        <v>38</v>
      </c>
      <c r="B7850" s="65">
        <v>43419</v>
      </c>
      <c r="C7850" s="66" t="s">
        <v>219</v>
      </c>
      <c r="D7850" s="3" t="s">
        <v>40</v>
      </c>
      <c r="E7850" s="64">
        <v>1</v>
      </c>
    </row>
    <row r="7851" spans="1:5">
      <c r="A7851" s="64" t="s">
        <v>38</v>
      </c>
      <c r="B7851" s="65">
        <v>43420</v>
      </c>
      <c r="C7851" s="66" t="s">
        <v>220</v>
      </c>
      <c r="D7851" s="3" t="s">
        <v>40</v>
      </c>
      <c r="E7851" s="64">
        <v>1</v>
      </c>
    </row>
    <row r="7852" spans="1:5">
      <c r="A7852" s="64" t="s">
        <v>38</v>
      </c>
      <c r="B7852" s="65">
        <v>43421</v>
      </c>
      <c r="C7852" s="66" t="s">
        <v>221</v>
      </c>
      <c r="D7852" s="3" t="s">
        <v>40</v>
      </c>
      <c r="E7852" s="64">
        <v>1</v>
      </c>
    </row>
    <row r="7853" spans="1:5">
      <c r="A7853" s="64" t="s">
        <v>38</v>
      </c>
      <c r="B7853" s="65">
        <v>43422</v>
      </c>
      <c r="C7853" s="66" t="s">
        <v>222</v>
      </c>
      <c r="D7853" s="3" t="s">
        <v>40</v>
      </c>
      <c r="E7853" s="64">
        <v>1</v>
      </c>
    </row>
    <row r="7854" spans="1:5">
      <c r="A7854" s="64" t="s">
        <v>38</v>
      </c>
      <c r="B7854" s="65">
        <v>43423</v>
      </c>
      <c r="C7854" s="66" t="s">
        <v>216</v>
      </c>
      <c r="D7854" s="3" t="s">
        <v>40</v>
      </c>
      <c r="E7854" s="64">
        <v>1</v>
      </c>
    </row>
    <row r="7855" spans="1:5">
      <c r="A7855" s="64" t="s">
        <v>38</v>
      </c>
      <c r="B7855" s="65">
        <v>43424</v>
      </c>
      <c r="C7855" s="66" t="s">
        <v>217</v>
      </c>
      <c r="D7855" s="3" t="s">
        <v>40</v>
      </c>
      <c r="E7855" s="64">
        <v>1</v>
      </c>
    </row>
    <row r="7856" spans="1:5">
      <c r="A7856" s="64" t="s">
        <v>38</v>
      </c>
      <c r="B7856" s="65">
        <v>43425</v>
      </c>
      <c r="C7856" s="66" t="s">
        <v>218</v>
      </c>
      <c r="D7856" s="3" t="s">
        <v>40</v>
      </c>
      <c r="E7856" s="64">
        <v>1</v>
      </c>
    </row>
    <row r="7857" spans="1:5">
      <c r="A7857" s="64" t="s">
        <v>38</v>
      </c>
      <c r="B7857" s="65">
        <v>43426</v>
      </c>
      <c r="C7857" s="66" t="s">
        <v>219</v>
      </c>
      <c r="D7857" s="3" t="s">
        <v>40</v>
      </c>
      <c r="E7857" s="64">
        <v>1</v>
      </c>
    </row>
    <row r="7858" spans="1:5">
      <c r="A7858" s="64" t="s">
        <v>38</v>
      </c>
      <c r="B7858" s="65">
        <v>43427</v>
      </c>
      <c r="C7858" s="66" t="s">
        <v>220</v>
      </c>
      <c r="D7858" s="3" t="s">
        <v>40</v>
      </c>
      <c r="E7858" s="64">
        <v>1</v>
      </c>
    </row>
    <row r="7859" spans="1:5">
      <c r="A7859" s="64" t="s">
        <v>38</v>
      </c>
      <c r="B7859" s="65">
        <v>43428</v>
      </c>
      <c r="C7859" s="66" t="s">
        <v>221</v>
      </c>
      <c r="D7859" s="3" t="s">
        <v>40</v>
      </c>
      <c r="E7859" s="64">
        <v>1</v>
      </c>
    </row>
    <row r="7860" spans="1:5">
      <c r="A7860" s="64" t="s">
        <v>38</v>
      </c>
      <c r="B7860" s="65">
        <v>43429</v>
      </c>
      <c r="C7860" s="66" t="s">
        <v>222</v>
      </c>
      <c r="D7860" s="3" t="s">
        <v>40</v>
      </c>
      <c r="E7860" s="64">
        <v>1</v>
      </c>
    </row>
    <row r="7861" spans="1:5">
      <c r="A7861" s="64" t="s">
        <v>38</v>
      </c>
      <c r="B7861" s="65">
        <v>43430</v>
      </c>
      <c r="C7861" s="66" t="s">
        <v>216</v>
      </c>
      <c r="D7861" s="3" t="s">
        <v>40</v>
      </c>
      <c r="E7861" s="64">
        <v>1</v>
      </c>
    </row>
    <row r="7862" spans="1:5">
      <c r="A7862" s="64" t="s">
        <v>38</v>
      </c>
      <c r="B7862" s="65">
        <v>43431</v>
      </c>
      <c r="C7862" s="66" t="s">
        <v>217</v>
      </c>
      <c r="D7862" s="3" t="s">
        <v>40</v>
      </c>
      <c r="E7862" s="64">
        <v>1</v>
      </c>
    </row>
    <row r="7863" spans="1:5">
      <c r="A7863" s="64" t="s">
        <v>38</v>
      </c>
      <c r="B7863" s="65">
        <v>43432</v>
      </c>
      <c r="C7863" s="66" t="s">
        <v>218</v>
      </c>
      <c r="D7863" s="3" t="s">
        <v>40</v>
      </c>
      <c r="E7863" s="64">
        <v>1</v>
      </c>
    </row>
    <row r="7864" spans="1:5">
      <c r="A7864" s="64" t="s">
        <v>38</v>
      </c>
      <c r="B7864" s="65">
        <v>43433</v>
      </c>
      <c r="C7864" s="66" t="s">
        <v>219</v>
      </c>
      <c r="D7864" s="3" t="s">
        <v>40</v>
      </c>
      <c r="E7864" s="64">
        <v>1</v>
      </c>
    </row>
    <row r="7865" spans="1:5">
      <c r="A7865" s="64" t="s">
        <v>38</v>
      </c>
      <c r="B7865" s="65">
        <v>43434</v>
      </c>
      <c r="C7865" s="66" t="s">
        <v>220</v>
      </c>
      <c r="D7865" s="3" t="s">
        <v>40</v>
      </c>
      <c r="E7865" s="64">
        <v>1</v>
      </c>
    </row>
    <row r="7866" spans="1:5">
      <c r="A7866" s="64" t="s">
        <v>38</v>
      </c>
      <c r="B7866" s="65">
        <v>43435</v>
      </c>
      <c r="C7866" s="66" t="s">
        <v>221</v>
      </c>
      <c r="D7866" s="3" t="s">
        <v>40</v>
      </c>
      <c r="E7866" s="64">
        <v>1</v>
      </c>
    </row>
    <row r="7867" spans="1:5">
      <c r="A7867" s="64" t="s">
        <v>38</v>
      </c>
      <c r="B7867" s="65">
        <v>43436</v>
      </c>
      <c r="C7867" s="66" t="s">
        <v>222</v>
      </c>
      <c r="D7867" s="3" t="s">
        <v>40</v>
      </c>
      <c r="E7867" s="64">
        <v>1</v>
      </c>
    </row>
    <row r="7868" spans="1:5">
      <c r="A7868" s="64" t="s">
        <v>38</v>
      </c>
      <c r="B7868" s="65">
        <v>43437</v>
      </c>
      <c r="C7868" s="66" t="s">
        <v>216</v>
      </c>
      <c r="D7868" s="3" t="s">
        <v>40</v>
      </c>
      <c r="E7868" s="64">
        <v>1</v>
      </c>
    </row>
    <row r="7869" spans="1:5">
      <c r="A7869" s="64" t="s">
        <v>38</v>
      </c>
      <c r="B7869" s="65">
        <v>43438</v>
      </c>
      <c r="C7869" s="66" t="s">
        <v>217</v>
      </c>
      <c r="D7869" s="3" t="s">
        <v>40</v>
      </c>
      <c r="E7869" s="64">
        <v>1</v>
      </c>
    </row>
    <row r="7870" spans="1:5">
      <c r="A7870" s="64" t="s">
        <v>38</v>
      </c>
      <c r="B7870" s="65">
        <v>43439</v>
      </c>
      <c r="C7870" s="66" t="s">
        <v>218</v>
      </c>
      <c r="D7870" s="3" t="s">
        <v>40</v>
      </c>
      <c r="E7870" s="64">
        <v>1</v>
      </c>
    </row>
    <row r="7871" spans="1:5">
      <c r="A7871" s="64" t="s">
        <v>38</v>
      </c>
      <c r="B7871" s="65">
        <v>43440</v>
      </c>
      <c r="C7871" s="66" t="s">
        <v>219</v>
      </c>
      <c r="D7871" s="3" t="s">
        <v>40</v>
      </c>
      <c r="E7871" s="64">
        <v>1</v>
      </c>
    </row>
    <row r="7872" spans="1:5">
      <c r="A7872" s="64" t="s">
        <v>38</v>
      </c>
      <c r="B7872" s="65">
        <v>43441</v>
      </c>
      <c r="C7872" s="66" t="s">
        <v>220</v>
      </c>
      <c r="D7872" s="3" t="s">
        <v>40</v>
      </c>
      <c r="E7872" s="64">
        <v>1</v>
      </c>
    </row>
    <row r="7873" spans="1:5">
      <c r="A7873" s="64" t="s">
        <v>38</v>
      </c>
      <c r="B7873" s="65">
        <v>43442</v>
      </c>
      <c r="C7873" s="66" t="s">
        <v>221</v>
      </c>
      <c r="D7873" s="3" t="s">
        <v>40</v>
      </c>
      <c r="E7873" s="64">
        <v>1</v>
      </c>
    </row>
    <row r="7874" spans="1:5">
      <c r="A7874" s="64" t="s">
        <v>38</v>
      </c>
      <c r="B7874" s="65">
        <v>43443</v>
      </c>
      <c r="C7874" s="66" t="s">
        <v>222</v>
      </c>
      <c r="D7874" s="3" t="s">
        <v>40</v>
      </c>
      <c r="E7874" s="64">
        <v>1</v>
      </c>
    </row>
    <row r="7875" spans="1:5">
      <c r="A7875" s="64" t="s">
        <v>38</v>
      </c>
      <c r="B7875" s="65">
        <v>43444</v>
      </c>
      <c r="C7875" s="66" t="s">
        <v>216</v>
      </c>
      <c r="D7875" s="3" t="s">
        <v>40</v>
      </c>
      <c r="E7875" s="64">
        <v>1</v>
      </c>
    </row>
    <row r="7876" spans="1:5">
      <c r="A7876" s="64" t="s">
        <v>38</v>
      </c>
      <c r="B7876" s="65">
        <v>43445</v>
      </c>
      <c r="C7876" s="66" t="s">
        <v>217</v>
      </c>
      <c r="D7876" s="3" t="s">
        <v>40</v>
      </c>
      <c r="E7876" s="64">
        <v>1</v>
      </c>
    </row>
    <row r="7877" spans="1:5">
      <c r="A7877" s="64" t="s">
        <v>38</v>
      </c>
      <c r="B7877" s="65">
        <v>43446</v>
      </c>
      <c r="C7877" s="66" t="s">
        <v>218</v>
      </c>
      <c r="D7877" s="3" t="s">
        <v>40</v>
      </c>
      <c r="E7877" s="64">
        <v>1</v>
      </c>
    </row>
    <row r="7878" spans="1:5">
      <c r="A7878" s="64" t="s">
        <v>38</v>
      </c>
      <c r="B7878" s="65">
        <v>43447</v>
      </c>
      <c r="C7878" s="66" t="s">
        <v>219</v>
      </c>
      <c r="D7878" s="3" t="s">
        <v>40</v>
      </c>
      <c r="E7878" s="64">
        <v>1</v>
      </c>
    </row>
    <row r="7879" spans="1:5">
      <c r="A7879" s="64" t="s">
        <v>38</v>
      </c>
      <c r="B7879" s="65">
        <v>43448</v>
      </c>
      <c r="C7879" s="66" t="s">
        <v>220</v>
      </c>
      <c r="D7879" s="3" t="s">
        <v>40</v>
      </c>
      <c r="E7879" s="64">
        <v>1</v>
      </c>
    </row>
    <row r="7880" spans="1:5">
      <c r="A7880" s="64" t="s">
        <v>38</v>
      </c>
      <c r="B7880" s="65">
        <v>43449</v>
      </c>
      <c r="C7880" s="66" t="s">
        <v>221</v>
      </c>
      <c r="D7880" s="3" t="s">
        <v>40</v>
      </c>
      <c r="E7880" s="64">
        <v>1</v>
      </c>
    </row>
    <row r="7881" spans="1:5">
      <c r="A7881" s="64" t="s">
        <v>38</v>
      </c>
      <c r="B7881" s="65">
        <v>43450</v>
      </c>
      <c r="C7881" s="66" t="s">
        <v>222</v>
      </c>
      <c r="D7881" s="3" t="s">
        <v>40</v>
      </c>
      <c r="E7881" s="64">
        <v>1</v>
      </c>
    </row>
    <row r="7882" spans="1:5">
      <c r="A7882" s="64" t="s">
        <v>38</v>
      </c>
      <c r="B7882" s="65">
        <v>43451</v>
      </c>
      <c r="C7882" s="66" t="s">
        <v>216</v>
      </c>
      <c r="D7882" s="3" t="s">
        <v>40</v>
      </c>
      <c r="E7882" s="64">
        <v>1</v>
      </c>
    </row>
    <row r="7883" spans="1:5">
      <c r="A7883" s="64" t="s">
        <v>38</v>
      </c>
      <c r="B7883" s="65">
        <v>43452</v>
      </c>
      <c r="C7883" s="66" t="s">
        <v>217</v>
      </c>
      <c r="D7883" s="3" t="s">
        <v>40</v>
      </c>
      <c r="E7883" s="64">
        <v>1</v>
      </c>
    </row>
    <row r="7884" spans="1:5">
      <c r="A7884" s="64" t="s">
        <v>38</v>
      </c>
      <c r="B7884" s="65">
        <v>43453</v>
      </c>
      <c r="C7884" s="66" t="s">
        <v>218</v>
      </c>
      <c r="D7884" s="3" t="s">
        <v>40</v>
      </c>
      <c r="E7884" s="64">
        <v>1</v>
      </c>
    </row>
    <row r="7885" spans="1:5">
      <c r="A7885" s="64" t="s">
        <v>38</v>
      </c>
      <c r="B7885" s="65">
        <v>43454</v>
      </c>
      <c r="C7885" s="66" t="s">
        <v>219</v>
      </c>
      <c r="D7885" s="3" t="s">
        <v>40</v>
      </c>
      <c r="E7885" s="64">
        <v>1</v>
      </c>
    </row>
    <row r="7886" spans="1:5">
      <c r="A7886" s="64" t="s">
        <v>38</v>
      </c>
      <c r="B7886" s="65">
        <v>43455</v>
      </c>
      <c r="C7886" s="66" t="s">
        <v>220</v>
      </c>
      <c r="D7886" s="3" t="s">
        <v>40</v>
      </c>
      <c r="E7886" s="64">
        <v>1</v>
      </c>
    </row>
    <row r="7887" spans="1:5">
      <c r="A7887" s="64" t="s">
        <v>38</v>
      </c>
      <c r="B7887" s="65">
        <v>43456</v>
      </c>
      <c r="C7887" s="66" t="s">
        <v>221</v>
      </c>
      <c r="D7887" s="3" t="s">
        <v>40</v>
      </c>
      <c r="E7887" s="64">
        <v>1</v>
      </c>
    </row>
    <row r="7888" spans="1:5">
      <c r="A7888" s="64" t="s">
        <v>38</v>
      </c>
      <c r="B7888" s="65">
        <v>43457</v>
      </c>
      <c r="C7888" s="66" t="s">
        <v>222</v>
      </c>
      <c r="D7888" s="3" t="s">
        <v>40</v>
      </c>
      <c r="E7888" s="64">
        <v>1</v>
      </c>
    </row>
    <row r="7889" spans="1:5">
      <c r="A7889" s="64" t="s">
        <v>38</v>
      </c>
      <c r="B7889" s="65">
        <v>43458</v>
      </c>
      <c r="C7889" s="66" t="s">
        <v>216</v>
      </c>
      <c r="D7889" s="3" t="s">
        <v>40</v>
      </c>
      <c r="E7889" s="64">
        <v>1</v>
      </c>
    </row>
    <row r="7890" spans="1:5">
      <c r="A7890" s="64" t="s">
        <v>38</v>
      </c>
      <c r="B7890" s="65">
        <v>43459</v>
      </c>
      <c r="C7890" s="66" t="s">
        <v>217</v>
      </c>
      <c r="D7890" s="3" t="s">
        <v>40</v>
      </c>
      <c r="E7890" s="64">
        <v>1</v>
      </c>
    </row>
    <row r="7891" spans="1:5">
      <c r="A7891" s="64" t="s">
        <v>38</v>
      </c>
      <c r="B7891" s="65">
        <v>43460</v>
      </c>
      <c r="C7891" s="66" t="s">
        <v>218</v>
      </c>
      <c r="D7891" s="3" t="s">
        <v>40</v>
      </c>
      <c r="E7891" s="64">
        <v>1</v>
      </c>
    </row>
    <row r="7892" spans="1:5">
      <c r="A7892" s="64" t="s">
        <v>38</v>
      </c>
      <c r="B7892" s="65">
        <v>43461</v>
      </c>
      <c r="C7892" s="66" t="s">
        <v>219</v>
      </c>
      <c r="D7892" s="3" t="s">
        <v>40</v>
      </c>
      <c r="E7892" s="64">
        <v>1</v>
      </c>
    </row>
    <row r="7893" spans="1:5">
      <c r="A7893" s="64" t="s">
        <v>38</v>
      </c>
      <c r="B7893" s="65">
        <v>43462</v>
      </c>
      <c r="C7893" s="66" t="s">
        <v>220</v>
      </c>
      <c r="D7893" s="3" t="s">
        <v>40</v>
      </c>
      <c r="E7893" s="64">
        <v>1</v>
      </c>
    </row>
    <row r="7894" spans="1:5">
      <c r="A7894" s="64" t="s">
        <v>38</v>
      </c>
      <c r="B7894" s="65">
        <v>43463</v>
      </c>
      <c r="C7894" s="66" t="s">
        <v>221</v>
      </c>
      <c r="D7894" s="3" t="s">
        <v>40</v>
      </c>
      <c r="E7894" s="64">
        <v>1</v>
      </c>
    </row>
    <row r="7895" spans="1:5">
      <c r="A7895" s="64" t="s">
        <v>38</v>
      </c>
      <c r="B7895" s="65">
        <v>43464</v>
      </c>
      <c r="C7895" s="66" t="s">
        <v>222</v>
      </c>
      <c r="D7895" s="3" t="s">
        <v>40</v>
      </c>
      <c r="E7895" s="64">
        <v>1</v>
      </c>
    </row>
    <row r="7896" spans="1:5">
      <c r="A7896" s="64" t="s">
        <v>38</v>
      </c>
      <c r="B7896" s="65">
        <v>43465</v>
      </c>
      <c r="C7896" s="66" t="s">
        <v>216</v>
      </c>
      <c r="D7896" s="3" t="s">
        <v>40</v>
      </c>
      <c r="E7896" s="64">
        <v>1</v>
      </c>
    </row>
    <row r="7897" spans="1:5">
      <c r="A7897" s="64" t="s">
        <v>38</v>
      </c>
      <c r="B7897" s="65">
        <v>43466</v>
      </c>
      <c r="C7897" s="66" t="s">
        <v>217</v>
      </c>
      <c r="D7897" s="3" t="s">
        <v>40</v>
      </c>
      <c r="E7897" s="64">
        <v>1</v>
      </c>
    </row>
    <row r="7898" spans="1:5">
      <c r="A7898" s="64" t="s">
        <v>38</v>
      </c>
      <c r="B7898" s="65">
        <v>43467</v>
      </c>
      <c r="C7898" s="66" t="s">
        <v>218</v>
      </c>
      <c r="D7898" s="3" t="s">
        <v>40</v>
      </c>
      <c r="E7898" s="64">
        <v>1</v>
      </c>
    </row>
    <row r="7899" spans="1:5">
      <c r="A7899" s="64" t="s">
        <v>38</v>
      </c>
      <c r="B7899" s="65">
        <v>43468</v>
      </c>
      <c r="C7899" s="66" t="s">
        <v>219</v>
      </c>
      <c r="D7899" s="3" t="s">
        <v>40</v>
      </c>
      <c r="E7899" s="64">
        <v>1</v>
      </c>
    </row>
    <row r="7900" spans="1:5">
      <c r="A7900" s="64" t="s">
        <v>38</v>
      </c>
      <c r="B7900" s="65">
        <v>43469</v>
      </c>
      <c r="C7900" s="66" t="s">
        <v>220</v>
      </c>
      <c r="D7900" s="3" t="s">
        <v>40</v>
      </c>
      <c r="E7900" s="64">
        <v>1</v>
      </c>
    </row>
    <row r="7901" spans="1:5">
      <c r="A7901" s="64" t="s">
        <v>38</v>
      </c>
      <c r="B7901" s="65">
        <v>43470</v>
      </c>
      <c r="C7901" s="66" t="s">
        <v>221</v>
      </c>
      <c r="D7901" s="3" t="s">
        <v>40</v>
      </c>
      <c r="E7901" s="64">
        <v>1</v>
      </c>
    </row>
    <row r="7902" spans="1:5">
      <c r="A7902" s="64" t="s">
        <v>38</v>
      </c>
      <c r="B7902" s="65">
        <v>43471</v>
      </c>
      <c r="C7902" s="66" t="s">
        <v>222</v>
      </c>
      <c r="D7902" s="3" t="s">
        <v>40</v>
      </c>
      <c r="E7902" s="64">
        <v>1</v>
      </c>
    </row>
    <row r="7903" spans="1:5">
      <c r="A7903" s="64" t="s">
        <v>38</v>
      </c>
      <c r="B7903" s="65">
        <v>43472</v>
      </c>
      <c r="C7903" s="66" t="s">
        <v>216</v>
      </c>
      <c r="D7903" s="3" t="s">
        <v>40</v>
      </c>
      <c r="E7903" s="64">
        <v>1</v>
      </c>
    </row>
    <row r="7904" spans="1:5">
      <c r="A7904" s="64" t="s">
        <v>38</v>
      </c>
      <c r="B7904" s="65">
        <v>43473</v>
      </c>
      <c r="C7904" s="66" t="s">
        <v>217</v>
      </c>
      <c r="D7904" s="3" t="s">
        <v>40</v>
      </c>
      <c r="E7904" s="64">
        <v>1</v>
      </c>
    </row>
    <row r="7905" spans="1:5">
      <c r="A7905" s="64" t="s">
        <v>38</v>
      </c>
      <c r="B7905" s="65">
        <v>43474</v>
      </c>
      <c r="C7905" s="66" t="s">
        <v>218</v>
      </c>
      <c r="D7905" s="3" t="s">
        <v>40</v>
      </c>
      <c r="E7905" s="64">
        <v>1</v>
      </c>
    </row>
    <row r="7906" spans="1:5">
      <c r="A7906" s="64" t="s">
        <v>38</v>
      </c>
      <c r="B7906" s="65">
        <v>43475</v>
      </c>
      <c r="C7906" s="66" t="s">
        <v>219</v>
      </c>
      <c r="D7906" s="3" t="s">
        <v>40</v>
      </c>
      <c r="E7906" s="64">
        <v>1</v>
      </c>
    </row>
    <row r="7907" spans="1:5">
      <c r="A7907" s="64" t="s">
        <v>38</v>
      </c>
      <c r="B7907" s="65">
        <v>43476</v>
      </c>
      <c r="C7907" s="66" t="s">
        <v>220</v>
      </c>
      <c r="D7907" s="3" t="s">
        <v>40</v>
      </c>
      <c r="E7907" s="64">
        <v>1</v>
      </c>
    </row>
    <row r="7908" spans="1:5">
      <c r="A7908" s="64" t="s">
        <v>38</v>
      </c>
      <c r="B7908" s="65">
        <v>43477</v>
      </c>
      <c r="C7908" s="66" t="s">
        <v>221</v>
      </c>
      <c r="D7908" s="3" t="s">
        <v>40</v>
      </c>
      <c r="E7908" s="64">
        <v>1</v>
      </c>
    </row>
    <row r="7909" spans="1:5">
      <c r="A7909" s="64" t="s">
        <v>38</v>
      </c>
      <c r="B7909" s="65">
        <v>43478</v>
      </c>
      <c r="C7909" s="66" t="s">
        <v>222</v>
      </c>
      <c r="D7909" s="3" t="s">
        <v>40</v>
      </c>
      <c r="E7909" s="64">
        <v>1</v>
      </c>
    </row>
    <row r="7910" spans="1:5">
      <c r="A7910" s="64" t="s">
        <v>38</v>
      </c>
      <c r="B7910" s="65">
        <v>43479</v>
      </c>
      <c r="C7910" s="66" t="s">
        <v>216</v>
      </c>
      <c r="D7910" s="3" t="s">
        <v>40</v>
      </c>
      <c r="E7910" s="64">
        <v>1</v>
      </c>
    </row>
    <row r="7911" spans="1:5">
      <c r="A7911" s="64" t="s">
        <v>38</v>
      </c>
      <c r="B7911" s="65">
        <v>43480</v>
      </c>
      <c r="C7911" s="66" t="s">
        <v>217</v>
      </c>
      <c r="D7911" s="3" t="s">
        <v>40</v>
      </c>
      <c r="E7911" s="64">
        <v>1</v>
      </c>
    </row>
    <row r="7912" spans="1:5">
      <c r="A7912" s="64" t="s">
        <v>38</v>
      </c>
      <c r="B7912" s="65">
        <v>43481</v>
      </c>
      <c r="C7912" s="66" t="s">
        <v>218</v>
      </c>
      <c r="D7912" s="3" t="s">
        <v>40</v>
      </c>
      <c r="E7912" s="64">
        <v>1</v>
      </c>
    </row>
    <row r="7913" spans="1:5">
      <c r="A7913" s="64" t="s">
        <v>38</v>
      </c>
      <c r="B7913" s="65">
        <v>43482</v>
      </c>
      <c r="C7913" s="66" t="s">
        <v>219</v>
      </c>
      <c r="D7913" s="3" t="s">
        <v>40</v>
      </c>
      <c r="E7913" s="64">
        <v>1</v>
      </c>
    </row>
    <row r="7914" spans="1:5">
      <c r="A7914" s="64" t="s">
        <v>38</v>
      </c>
      <c r="B7914" s="65">
        <v>43483</v>
      </c>
      <c r="C7914" s="66" t="s">
        <v>220</v>
      </c>
      <c r="D7914" s="3" t="s">
        <v>40</v>
      </c>
      <c r="E7914" s="64">
        <v>1</v>
      </c>
    </row>
    <row r="7915" spans="1:5">
      <c r="A7915" s="64" t="s">
        <v>38</v>
      </c>
      <c r="B7915" s="65">
        <v>43484</v>
      </c>
      <c r="C7915" s="66" t="s">
        <v>221</v>
      </c>
      <c r="D7915" s="3" t="s">
        <v>40</v>
      </c>
      <c r="E7915" s="64">
        <v>1</v>
      </c>
    </row>
    <row r="7916" spans="1:5">
      <c r="A7916" s="64" t="s">
        <v>38</v>
      </c>
      <c r="B7916" s="65">
        <v>43485</v>
      </c>
      <c r="C7916" s="66" t="s">
        <v>222</v>
      </c>
      <c r="D7916" s="3" t="s">
        <v>40</v>
      </c>
      <c r="E7916" s="64">
        <v>1</v>
      </c>
    </row>
    <row r="7917" spans="1:5">
      <c r="A7917" s="64" t="s">
        <v>38</v>
      </c>
      <c r="B7917" s="65">
        <v>43486</v>
      </c>
      <c r="C7917" s="66" t="s">
        <v>216</v>
      </c>
      <c r="D7917" s="3" t="s">
        <v>40</v>
      </c>
      <c r="E7917" s="64">
        <v>1</v>
      </c>
    </row>
    <row r="7918" spans="1:5">
      <c r="A7918" s="64" t="s">
        <v>38</v>
      </c>
      <c r="B7918" s="65">
        <v>43487</v>
      </c>
      <c r="C7918" s="66" t="s">
        <v>217</v>
      </c>
      <c r="D7918" s="3" t="s">
        <v>40</v>
      </c>
      <c r="E7918" s="64">
        <v>1</v>
      </c>
    </row>
    <row r="7919" spans="1:5">
      <c r="A7919" s="64" t="s">
        <v>38</v>
      </c>
      <c r="B7919" s="65">
        <v>43488</v>
      </c>
      <c r="C7919" s="66" t="s">
        <v>218</v>
      </c>
      <c r="D7919" s="3" t="s">
        <v>40</v>
      </c>
      <c r="E7919" s="64">
        <v>1</v>
      </c>
    </row>
    <row r="7920" spans="1:5">
      <c r="A7920" s="64" t="s">
        <v>38</v>
      </c>
      <c r="B7920" s="65">
        <v>43489</v>
      </c>
      <c r="C7920" s="66" t="s">
        <v>219</v>
      </c>
      <c r="D7920" s="3" t="s">
        <v>40</v>
      </c>
      <c r="E7920" s="64">
        <v>1</v>
      </c>
    </row>
    <row r="7921" spans="1:5">
      <c r="A7921" s="64" t="s">
        <v>38</v>
      </c>
      <c r="B7921" s="65">
        <v>43490</v>
      </c>
      <c r="C7921" s="66" t="s">
        <v>220</v>
      </c>
      <c r="D7921" s="3" t="s">
        <v>40</v>
      </c>
      <c r="E7921" s="64">
        <v>1</v>
      </c>
    </row>
    <row r="7922" spans="1:5">
      <c r="A7922" s="64" t="s">
        <v>38</v>
      </c>
      <c r="B7922" s="65">
        <v>43491</v>
      </c>
      <c r="C7922" s="66" t="s">
        <v>221</v>
      </c>
      <c r="D7922" s="3" t="s">
        <v>40</v>
      </c>
      <c r="E7922" s="64">
        <v>1</v>
      </c>
    </row>
    <row r="7923" spans="1:5">
      <c r="A7923" s="64" t="s">
        <v>38</v>
      </c>
      <c r="B7923" s="65">
        <v>43492</v>
      </c>
      <c r="C7923" s="66" t="s">
        <v>222</v>
      </c>
      <c r="D7923" s="3" t="s">
        <v>40</v>
      </c>
      <c r="E7923" s="64">
        <v>1</v>
      </c>
    </row>
    <row r="7924" spans="1:5">
      <c r="A7924" s="64" t="s">
        <v>38</v>
      </c>
      <c r="B7924" s="65">
        <v>43493</v>
      </c>
      <c r="C7924" s="66" t="s">
        <v>216</v>
      </c>
      <c r="D7924" s="3" t="s">
        <v>40</v>
      </c>
      <c r="E7924" s="64">
        <v>1</v>
      </c>
    </row>
    <row r="7925" spans="1:5">
      <c r="A7925" s="64" t="s">
        <v>38</v>
      </c>
      <c r="B7925" s="65">
        <v>43494</v>
      </c>
      <c r="C7925" s="66" t="s">
        <v>217</v>
      </c>
      <c r="D7925" s="3" t="s">
        <v>40</v>
      </c>
      <c r="E7925" s="64">
        <v>1</v>
      </c>
    </row>
    <row r="7926" spans="1:5">
      <c r="A7926" s="64" t="s">
        <v>38</v>
      </c>
      <c r="B7926" s="65">
        <v>43495</v>
      </c>
      <c r="C7926" s="66" t="s">
        <v>218</v>
      </c>
      <c r="D7926" s="3" t="s">
        <v>40</v>
      </c>
      <c r="E7926" s="64">
        <v>1</v>
      </c>
    </row>
    <row r="7927" spans="1:5">
      <c r="A7927" s="64" t="s">
        <v>38</v>
      </c>
      <c r="B7927" s="65">
        <v>43496</v>
      </c>
      <c r="C7927" s="66" t="s">
        <v>219</v>
      </c>
      <c r="D7927" s="3" t="s">
        <v>40</v>
      </c>
      <c r="E7927" s="64">
        <v>1</v>
      </c>
    </row>
    <row r="7928" spans="1:5">
      <c r="A7928" s="64" t="s">
        <v>38</v>
      </c>
      <c r="B7928" s="65">
        <v>43497</v>
      </c>
      <c r="C7928" s="66" t="s">
        <v>220</v>
      </c>
      <c r="D7928" s="3" t="s">
        <v>40</v>
      </c>
      <c r="E7928" s="64">
        <v>1</v>
      </c>
    </row>
    <row r="7929" spans="1:5">
      <c r="A7929" s="64" t="s">
        <v>38</v>
      </c>
      <c r="B7929" s="65">
        <v>43498</v>
      </c>
      <c r="C7929" s="66" t="s">
        <v>221</v>
      </c>
      <c r="D7929" s="3" t="s">
        <v>40</v>
      </c>
      <c r="E7929" s="64">
        <v>1</v>
      </c>
    </row>
    <row r="7930" spans="1:5">
      <c r="A7930" s="64" t="s">
        <v>38</v>
      </c>
      <c r="B7930" s="65">
        <v>43499</v>
      </c>
      <c r="C7930" s="66" t="s">
        <v>222</v>
      </c>
      <c r="D7930" s="3" t="s">
        <v>40</v>
      </c>
      <c r="E7930" s="64">
        <v>1</v>
      </c>
    </row>
    <row r="7931" spans="1:5">
      <c r="A7931" s="64" t="s">
        <v>38</v>
      </c>
      <c r="B7931" s="65">
        <v>43500</v>
      </c>
      <c r="C7931" s="66" t="s">
        <v>216</v>
      </c>
      <c r="D7931" s="3" t="s">
        <v>40</v>
      </c>
      <c r="E7931" s="64">
        <v>1</v>
      </c>
    </row>
    <row r="7932" spans="1:5">
      <c r="A7932" s="64" t="s">
        <v>38</v>
      </c>
      <c r="B7932" s="65">
        <v>43501</v>
      </c>
      <c r="C7932" s="66" t="s">
        <v>217</v>
      </c>
      <c r="D7932" s="3" t="s">
        <v>40</v>
      </c>
      <c r="E7932" s="64">
        <v>1</v>
      </c>
    </row>
    <row r="7933" spans="1:5">
      <c r="A7933" s="64" t="s">
        <v>38</v>
      </c>
      <c r="B7933" s="65">
        <v>43502</v>
      </c>
      <c r="C7933" s="66" t="s">
        <v>218</v>
      </c>
      <c r="D7933" s="3" t="s">
        <v>40</v>
      </c>
      <c r="E7933" s="64">
        <v>1</v>
      </c>
    </row>
    <row r="7934" spans="1:5">
      <c r="A7934" s="64" t="s">
        <v>38</v>
      </c>
      <c r="B7934" s="65">
        <v>43503</v>
      </c>
      <c r="C7934" s="66" t="s">
        <v>219</v>
      </c>
      <c r="D7934" s="3" t="s">
        <v>40</v>
      </c>
      <c r="E7934" s="64">
        <v>1</v>
      </c>
    </row>
    <row r="7935" spans="1:5">
      <c r="A7935" s="64" t="s">
        <v>38</v>
      </c>
      <c r="B7935" s="65">
        <v>43504</v>
      </c>
      <c r="C7935" s="66" t="s">
        <v>220</v>
      </c>
      <c r="D7935" s="3" t="s">
        <v>40</v>
      </c>
      <c r="E7935" s="64">
        <v>1</v>
      </c>
    </row>
    <row r="7936" spans="1:5">
      <c r="A7936" s="64" t="s">
        <v>38</v>
      </c>
      <c r="B7936" s="65">
        <v>43505</v>
      </c>
      <c r="C7936" s="66" t="s">
        <v>221</v>
      </c>
      <c r="D7936" s="3" t="s">
        <v>40</v>
      </c>
      <c r="E7936" s="64">
        <v>1</v>
      </c>
    </row>
    <row r="7937" spans="1:5">
      <c r="A7937" s="64" t="s">
        <v>38</v>
      </c>
      <c r="B7937" s="65">
        <v>43506</v>
      </c>
      <c r="C7937" s="66" t="s">
        <v>222</v>
      </c>
      <c r="D7937" s="3" t="s">
        <v>40</v>
      </c>
      <c r="E7937" s="64">
        <v>1</v>
      </c>
    </row>
    <row r="7938" spans="1:5">
      <c r="A7938" s="64" t="s">
        <v>38</v>
      </c>
      <c r="B7938" s="65">
        <v>43507</v>
      </c>
      <c r="C7938" s="66" t="s">
        <v>216</v>
      </c>
      <c r="D7938" s="3" t="s">
        <v>40</v>
      </c>
      <c r="E7938" s="64">
        <v>1</v>
      </c>
    </row>
    <row r="7939" spans="1:5">
      <c r="A7939" s="64" t="s">
        <v>38</v>
      </c>
      <c r="B7939" s="65">
        <v>43508</v>
      </c>
      <c r="C7939" s="66" t="s">
        <v>217</v>
      </c>
      <c r="D7939" s="3" t="s">
        <v>40</v>
      </c>
      <c r="E7939" s="64">
        <v>1</v>
      </c>
    </row>
    <row r="7940" spans="1:5">
      <c r="A7940" s="64" t="s">
        <v>38</v>
      </c>
      <c r="B7940" s="65">
        <v>43509</v>
      </c>
      <c r="C7940" s="66" t="s">
        <v>218</v>
      </c>
      <c r="D7940" s="3" t="s">
        <v>40</v>
      </c>
      <c r="E7940" s="64">
        <v>1</v>
      </c>
    </row>
    <row r="7941" spans="1:5">
      <c r="A7941" s="64" t="s">
        <v>38</v>
      </c>
      <c r="B7941" s="65">
        <v>43510</v>
      </c>
      <c r="C7941" s="66" t="s">
        <v>219</v>
      </c>
      <c r="D7941" s="3" t="s">
        <v>40</v>
      </c>
      <c r="E7941" s="64">
        <v>1</v>
      </c>
    </row>
    <row r="7942" spans="1:5">
      <c r="A7942" s="64" t="s">
        <v>38</v>
      </c>
      <c r="B7942" s="65">
        <v>43511</v>
      </c>
      <c r="C7942" s="66" t="s">
        <v>220</v>
      </c>
      <c r="D7942" s="3" t="s">
        <v>40</v>
      </c>
      <c r="E7942" s="64">
        <v>1</v>
      </c>
    </row>
    <row r="7943" spans="1:5">
      <c r="A7943" s="64" t="s">
        <v>38</v>
      </c>
      <c r="B7943" s="65">
        <v>43512</v>
      </c>
      <c r="C7943" s="66" t="s">
        <v>221</v>
      </c>
      <c r="D7943" s="3" t="s">
        <v>40</v>
      </c>
      <c r="E7943" s="64">
        <v>1</v>
      </c>
    </row>
    <row r="7944" spans="1:5">
      <c r="A7944" s="64" t="s">
        <v>38</v>
      </c>
      <c r="B7944" s="65">
        <v>43513</v>
      </c>
      <c r="C7944" s="66" t="s">
        <v>222</v>
      </c>
      <c r="D7944" s="3" t="s">
        <v>40</v>
      </c>
      <c r="E7944" s="64">
        <v>1</v>
      </c>
    </row>
    <row r="7945" spans="1:5">
      <c r="A7945" s="64" t="s">
        <v>38</v>
      </c>
      <c r="B7945" s="65">
        <v>43514</v>
      </c>
      <c r="C7945" s="66" t="s">
        <v>216</v>
      </c>
      <c r="D7945" s="3" t="s">
        <v>40</v>
      </c>
      <c r="E7945" s="64">
        <v>1</v>
      </c>
    </row>
    <row r="7946" spans="1:5">
      <c r="A7946" s="64" t="s">
        <v>38</v>
      </c>
      <c r="B7946" s="65">
        <v>43515</v>
      </c>
      <c r="C7946" s="66" t="s">
        <v>217</v>
      </c>
      <c r="D7946" s="3" t="s">
        <v>40</v>
      </c>
      <c r="E7946" s="64">
        <v>1</v>
      </c>
    </row>
    <row r="7947" spans="1:5">
      <c r="A7947" s="64" t="s">
        <v>38</v>
      </c>
      <c r="B7947" s="65">
        <v>43516</v>
      </c>
      <c r="C7947" s="66" t="s">
        <v>218</v>
      </c>
      <c r="D7947" s="3" t="s">
        <v>40</v>
      </c>
      <c r="E7947" s="64">
        <v>1</v>
      </c>
    </row>
    <row r="7948" spans="1:5">
      <c r="A7948" s="64" t="s">
        <v>38</v>
      </c>
      <c r="B7948" s="65">
        <v>43517</v>
      </c>
      <c r="C7948" s="66" t="s">
        <v>219</v>
      </c>
      <c r="D7948" s="3" t="s">
        <v>40</v>
      </c>
      <c r="E7948" s="64">
        <v>1</v>
      </c>
    </row>
    <row r="7949" spans="1:5">
      <c r="A7949" s="64" t="s">
        <v>38</v>
      </c>
      <c r="B7949" s="65">
        <v>43518</v>
      </c>
      <c r="C7949" s="66" t="s">
        <v>220</v>
      </c>
      <c r="D7949" s="3" t="s">
        <v>40</v>
      </c>
      <c r="E7949" s="64">
        <v>1</v>
      </c>
    </row>
    <row r="7950" spans="1:5">
      <c r="A7950" s="64" t="s">
        <v>38</v>
      </c>
      <c r="B7950" s="65">
        <v>43519</v>
      </c>
      <c r="C7950" s="66" t="s">
        <v>221</v>
      </c>
      <c r="D7950" s="3" t="s">
        <v>40</v>
      </c>
      <c r="E7950" s="64">
        <v>1</v>
      </c>
    </row>
    <row r="7951" spans="1:5">
      <c r="A7951" s="64" t="s">
        <v>38</v>
      </c>
      <c r="B7951" s="65">
        <v>43520</v>
      </c>
      <c r="C7951" s="66" t="s">
        <v>222</v>
      </c>
      <c r="D7951" s="3" t="s">
        <v>40</v>
      </c>
      <c r="E7951" s="64">
        <v>1</v>
      </c>
    </row>
    <row r="7952" spans="1:5">
      <c r="A7952" s="64" t="s">
        <v>38</v>
      </c>
      <c r="B7952" s="65">
        <v>43521</v>
      </c>
      <c r="C7952" s="66" t="s">
        <v>216</v>
      </c>
      <c r="D7952" s="3" t="s">
        <v>40</v>
      </c>
      <c r="E7952" s="64">
        <v>1</v>
      </c>
    </row>
    <row r="7953" spans="1:5">
      <c r="A7953" s="64" t="s">
        <v>38</v>
      </c>
      <c r="B7953" s="65">
        <v>43522</v>
      </c>
      <c r="C7953" s="66" t="s">
        <v>217</v>
      </c>
      <c r="D7953" s="3" t="s">
        <v>40</v>
      </c>
      <c r="E7953" s="64">
        <v>1</v>
      </c>
    </row>
    <row r="7954" spans="1:5">
      <c r="A7954" s="64" t="s">
        <v>38</v>
      </c>
      <c r="B7954" s="65">
        <v>43523</v>
      </c>
      <c r="C7954" s="66" t="s">
        <v>218</v>
      </c>
      <c r="D7954" s="3" t="s">
        <v>40</v>
      </c>
      <c r="E7954" s="64">
        <v>1</v>
      </c>
    </row>
    <row r="7955" spans="1:5">
      <c r="A7955" s="64" t="s">
        <v>38</v>
      </c>
      <c r="B7955" s="65">
        <v>43524</v>
      </c>
      <c r="C7955" s="66" t="s">
        <v>219</v>
      </c>
      <c r="D7955" s="3" t="s">
        <v>40</v>
      </c>
      <c r="E7955" s="64">
        <v>1</v>
      </c>
    </row>
    <row r="7956" spans="1:5">
      <c r="A7956" s="64" t="s">
        <v>38</v>
      </c>
      <c r="B7956" s="65">
        <v>43525</v>
      </c>
      <c r="C7956" s="66" t="s">
        <v>220</v>
      </c>
      <c r="D7956" s="3" t="s">
        <v>40</v>
      </c>
      <c r="E7956" s="64">
        <v>1</v>
      </c>
    </row>
    <row r="7957" spans="1:5">
      <c r="A7957" s="64" t="s">
        <v>38</v>
      </c>
      <c r="B7957" s="65">
        <v>43526</v>
      </c>
      <c r="C7957" s="66" t="s">
        <v>221</v>
      </c>
      <c r="D7957" s="3" t="s">
        <v>40</v>
      </c>
      <c r="E7957" s="64">
        <v>1</v>
      </c>
    </row>
    <row r="7958" spans="1:5">
      <c r="A7958" s="64" t="s">
        <v>38</v>
      </c>
      <c r="B7958" s="65">
        <v>43527</v>
      </c>
      <c r="C7958" s="66" t="s">
        <v>222</v>
      </c>
      <c r="D7958" s="3" t="s">
        <v>40</v>
      </c>
      <c r="E7958" s="64">
        <v>1</v>
      </c>
    </row>
    <row r="7959" spans="1:5">
      <c r="A7959" s="64" t="s">
        <v>38</v>
      </c>
      <c r="B7959" s="65">
        <v>43528</v>
      </c>
      <c r="C7959" s="66" t="s">
        <v>216</v>
      </c>
      <c r="D7959" s="3" t="s">
        <v>40</v>
      </c>
      <c r="E7959" s="64">
        <v>1</v>
      </c>
    </row>
    <row r="7960" spans="1:5">
      <c r="A7960" s="64" t="s">
        <v>38</v>
      </c>
      <c r="B7960" s="65">
        <v>43529</v>
      </c>
      <c r="C7960" s="66" t="s">
        <v>217</v>
      </c>
      <c r="D7960" s="3" t="s">
        <v>40</v>
      </c>
      <c r="E7960" s="64">
        <v>1</v>
      </c>
    </row>
    <row r="7961" spans="1:5">
      <c r="A7961" s="64" t="s">
        <v>38</v>
      </c>
      <c r="B7961" s="65">
        <v>43530</v>
      </c>
      <c r="C7961" s="66" t="s">
        <v>218</v>
      </c>
      <c r="D7961" s="3" t="s">
        <v>40</v>
      </c>
      <c r="E7961" s="64">
        <v>1</v>
      </c>
    </row>
    <row r="7962" spans="1:5">
      <c r="A7962" s="64" t="s">
        <v>38</v>
      </c>
      <c r="B7962" s="65">
        <v>43531</v>
      </c>
      <c r="C7962" s="66" t="s">
        <v>219</v>
      </c>
      <c r="D7962" s="3" t="s">
        <v>40</v>
      </c>
      <c r="E7962" s="64">
        <v>1</v>
      </c>
    </row>
    <row r="7963" spans="1:5">
      <c r="A7963" s="64" t="s">
        <v>38</v>
      </c>
      <c r="B7963" s="65">
        <v>43532</v>
      </c>
      <c r="C7963" s="66" t="s">
        <v>220</v>
      </c>
      <c r="D7963" s="3" t="s">
        <v>40</v>
      </c>
      <c r="E7963" s="64">
        <v>1</v>
      </c>
    </row>
    <row r="7964" spans="1:5">
      <c r="A7964" s="64" t="s">
        <v>38</v>
      </c>
      <c r="B7964" s="65">
        <v>43533</v>
      </c>
      <c r="C7964" s="66" t="s">
        <v>221</v>
      </c>
      <c r="D7964" s="3" t="s">
        <v>40</v>
      </c>
      <c r="E7964" s="64">
        <v>1</v>
      </c>
    </row>
    <row r="7965" spans="1:5">
      <c r="A7965" s="64" t="s">
        <v>38</v>
      </c>
      <c r="B7965" s="65">
        <v>43534</v>
      </c>
      <c r="C7965" s="66" t="s">
        <v>222</v>
      </c>
      <c r="D7965" s="3" t="s">
        <v>40</v>
      </c>
      <c r="E7965" s="64">
        <v>1</v>
      </c>
    </row>
    <row r="7966" spans="1:5">
      <c r="A7966" s="64" t="s">
        <v>38</v>
      </c>
      <c r="B7966" s="65">
        <v>43535</v>
      </c>
      <c r="C7966" s="66" t="s">
        <v>216</v>
      </c>
      <c r="D7966" s="3" t="s">
        <v>40</v>
      </c>
      <c r="E7966" s="64">
        <v>1</v>
      </c>
    </row>
    <row r="7967" spans="1:5">
      <c r="A7967" s="64" t="s">
        <v>38</v>
      </c>
      <c r="B7967" s="65">
        <v>43536</v>
      </c>
      <c r="C7967" s="66" t="s">
        <v>217</v>
      </c>
      <c r="D7967" s="3" t="s">
        <v>40</v>
      </c>
      <c r="E7967" s="64">
        <v>1</v>
      </c>
    </row>
    <row r="7968" spans="1:5">
      <c r="A7968" s="64" t="s">
        <v>38</v>
      </c>
      <c r="B7968" s="65">
        <v>43537</v>
      </c>
      <c r="C7968" s="66" t="s">
        <v>218</v>
      </c>
      <c r="D7968" s="3" t="s">
        <v>40</v>
      </c>
      <c r="E7968" s="64">
        <v>1</v>
      </c>
    </row>
    <row r="7969" spans="1:5">
      <c r="A7969" s="64" t="s">
        <v>38</v>
      </c>
      <c r="B7969" s="65">
        <v>43538</v>
      </c>
      <c r="C7969" s="66" t="s">
        <v>219</v>
      </c>
      <c r="D7969" s="3" t="s">
        <v>40</v>
      </c>
      <c r="E7969" s="64">
        <v>1</v>
      </c>
    </row>
    <row r="7970" spans="1:5">
      <c r="A7970" s="64" t="s">
        <v>38</v>
      </c>
      <c r="B7970" s="65">
        <v>43539</v>
      </c>
      <c r="C7970" s="66" t="s">
        <v>220</v>
      </c>
      <c r="D7970" s="3" t="s">
        <v>40</v>
      </c>
      <c r="E7970" s="64">
        <v>1</v>
      </c>
    </row>
    <row r="7971" spans="1:5">
      <c r="A7971" s="64" t="s">
        <v>38</v>
      </c>
      <c r="B7971" s="65">
        <v>43540</v>
      </c>
      <c r="C7971" s="66" t="s">
        <v>221</v>
      </c>
      <c r="D7971" s="3" t="s">
        <v>40</v>
      </c>
      <c r="E7971" s="64">
        <v>1</v>
      </c>
    </row>
    <row r="7972" spans="1:5">
      <c r="A7972" s="64" t="s">
        <v>38</v>
      </c>
      <c r="B7972" s="65">
        <v>43541</v>
      </c>
      <c r="C7972" s="66" t="s">
        <v>222</v>
      </c>
      <c r="D7972" s="3" t="s">
        <v>40</v>
      </c>
      <c r="E7972" s="64">
        <v>1</v>
      </c>
    </row>
    <row r="7973" spans="1:5">
      <c r="A7973" s="64" t="s">
        <v>38</v>
      </c>
      <c r="B7973" s="65">
        <v>43542</v>
      </c>
      <c r="C7973" s="66" t="s">
        <v>216</v>
      </c>
      <c r="D7973" s="3" t="s">
        <v>40</v>
      </c>
      <c r="E7973" s="64">
        <v>1</v>
      </c>
    </row>
    <row r="7974" spans="1:5">
      <c r="A7974" s="64" t="s">
        <v>38</v>
      </c>
      <c r="B7974" s="65">
        <v>43543</v>
      </c>
      <c r="C7974" s="66" t="s">
        <v>217</v>
      </c>
      <c r="D7974" s="3" t="s">
        <v>40</v>
      </c>
      <c r="E7974" s="64">
        <v>1</v>
      </c>
    </row>
    <row r="7975" spans="1:5">
      <c r="A7975" s="64" t="s">
        <v>38</v>
      </c>
      <c r="B7975" s="65">
        <v>43544</v>
      </c>
      <c r="C7975" s="66" t="s">
        <v>218</v>
      </c>
      <c r="D7975" s="3" t="s">
        <v>40</v>
      </c>
      <c r="E7975" s="64">
        <v>1</v>
      </c>
    </row>
    <row r="7976" spans="1:5">
      <c r="A7976" s="64" t="s">
        <v>38</v>
      </c>
      <c r="B7976" s="65">
        <v>43545</v>
      </c>
      <c r="C7976" s="66" t="s">
        <v>219</v>
      </c>
      <c r="D7976" s="3" t="s">
        <v>40</v>
      </c>
      <c r="E7976" s="64">
        <v>1</v>
      </c>
    </row>
    <row r="7977" spans="1:5">
      <c r="A7977" s="64" t="s">
        <v>38</v>
      </c>
      <c r="B7977" s="65">
        <v>43546</v>
      </c>
      <c r="C7977" s="66" t="s">
        <v>220</v>
      </c>
      <c r="D7977" s="3" t="s">
        <v>40</v>
      </c>
      <c r="E7977" s="64">
        <v>1</v>
      </c>
    </row>
    <row r="7978" spans="1:5">
      <c r="A7978" s="64" t="s">
        <v>38</v>
      </c>
      <c r="B7978" s="65">
        <v>43547</v>
      </c>
      <c r="C7978" s="66" t="s">
        <v>221</v>
      </c>
      <c r="D7978" s="3" t="s">
        <v>40</v>
      </c>
      <c r="E7978" s="64">
        <v>1</v>
      </c>
    </row>
    <row r="7979" spans="1:5">
      <c r="A7979" s="64" t="s">
        <v>38</v>
      </c>
      <c r="B7979" s="65">
        <v>43548</v>
      </c>
      <c r="C7979" s="66" t="s">
        <v>222</v>
      </c>
      <c r="D7979" s="3" t="s">
        <v>40</v>
      </c>
      <c r="E7979" s="64">
        <v>1</v>
      </c>
    </row>
    <row r="7980" spans="1:5">
      <c r="A7980" s="64" t="s">
        <v>38</v>
      </c>
      <c r="B7980" s="65">
        <v>43549</v>
      </c>
      <c r="C7980" s="66" t="s">
        <v>216</v>
      </c>
      <c r="D7980" s="3" t="s">
        <v>40</v>
      </c>
      <c r="E7980" s="64">
        <v>1</v>
      </c>
    </row>
    <row r="7981" spans="1:5">
      <c r="A7981" s="64" t="s">
        <v>38</v>
      </c>
      <c r="B7981" s="65">
        <v>43550</v>
      </c>
      <c r="C7981" s="66" t="s">
        <v>217</v>
      </c>
      <c r="D7981" s="3" t="s">
        <v>40</v>
      </c>
      <c r="E7981" s="64">
        <v>1</v>
      </c>
    </row>
    <row r="7982" spans="1:5">
      <c r="A7982" s="64" t="s">
        <v>38</v>
      </c>
      <c r="B7982" s="65">
        <v>43551</v>
      </c>
      <c r="C7982" s="66" t="s">
        <v>218</v>
      </c>
      <c r="D7982" s="3" t="s">
        <v>40</v>
      </c>
      <c r="E7982" s="64">
        <v>1</v>
      </c>
    </row>
    <row r="7983" spans="1:5">
      <c r="A7983" s="64" t="s">
        <v>38</v>
      </c>
      <c r="B7983" s="65">
        <v>43552</v>
      </c>
      <c r="C7983" s="66" t="s">
        <v>219</v>
      </c>
      <c r="D7983" s="3" t="s">
        <v>40</v>
      </c>
      <c r="E7983" s="64">
        <v>1</v>
      </c>
    </row>
    <row r="7984" spans="1:5">
      <c r="A7984" s="64" t="s">
        <v>38</v>
      </c>
      <c r="B7984" s="65">
        <v>43553</v>
      </c>
      <c r="C7984" s="66" t="s">
        <v>220</v>
      </c>
      <c r="D7984" s="3" t="s">
        <v>40</v>
      </c>
      <c r="E7984" s="64">
        <v>1</v>
      </c>
    </row>
    <row r="7985" spans="1:5">
      <c r="A7985" s="64" t="s">
        <v>38</v>
      </c>
      <c r="B7985" s="65">
        <v>43554</v>
      </c>
      <c r="C7985" s="66" t="s">
        <v>221</v>
      </c>
      <c r="D7985" s="3" t="s">
        <v>40</v>
      </c>
      <c r="E7985" s="64">
        <v>1</v>
      </c>
    </row>
    <row r="7986" spans="1:5">
      <c r="A7986" s="64" t="s">
        <v>38</v>
      </c>
      <c r="B7986" s="65">
        <v>43555</v>
      </c>
      <c r="C7986" s="66" t="s">
        <v>222</v>
      </c>
      <c r="D7986" s="3" t="s">
        <v>40</v>
      </c>
      <c r="E7986" s="64">
        <v>1</v>
      </c>
    </row>
    <row r="7987" spans="1:5">
      <c r="A7987" s="64" t="s">
        <v>38</v>
      </c>
      <c r="B7987" s="65">
        <v>43556</v>
      </c>
      <c r="C7987" s="66" t="s">
        <v>216</v>
      </c>
      <c r="D7987" s="3" t="s">
        <v>40</v>
      </c>
      <c r="E7987" s="64">
        <v>1</v>
      </c>
    </row>
    <row r="7988" spans="1:5">
      <c r="A7988" s="64" t="s">
        <v>38</v>
      </c>
      <c r="B7988" s="65">
        <v>43557</v>
      </c>
      <c r="C7988" s="66" t="s">
        <v>217</v>
      </c>
      <c r="D7988" s="3" t="s">
        <v>40</v>
      </c>
      <c r="E7988" s="64">
        <v>1</v>
      </c>
    </row>
    <row r="7989" spans="1:5">
      <c r="A7989" s="64" t="s">
        <v>38</v>
      </c>
      <c r="B7989" s="65">
        <v>43558</v>
      </c>
      <c r="C7989" s="66" t="s">
        <v>218</v>
      </c>
      <c r="D7989" s="3" t="s">
        <v>40</v>
      </c>
      <c r="E7989" s="64">
        <v>1</v>
      </c>
    </row>
    <row r="7990" spans="1:5">
      <c r="A7990" s="64" t="s">
        <v>38</v>
      </c>
      <c r="B7990" s="65">
        <v>43559</v>
      </c>
      <c r="C7990" s="66" t="s">
        <v>219</v>
      </c>
      <c r="D7990" s="3" t="s">
        <v>40</v>
      </c>
      <c r="E7990" s="64">
        <v>1</v>
      </c>
    </row>
    <row r="7991" spans="1:5">
      <c r="A7991" s="64" t="s">
        <v>38</v>
      </c>
      <c r="B7991" s="65">
        <v>43560</v>
      </c>
      <c r="C7991" s="66" t="s">
        <v>220</v>
      </c>
      <c r="D7991" s="3" t="s">
        <v>40</v>
      </c>
      <c r="E7991" s="64">
        <v>1</v>
      </c>
    </row>
    <row r="7992" spans="1:5">
      <c r="A7992" s="64" t="s">
        <v>38</v>
      </c>
      <c r="B7992" s="65">
        <v>43316</v>
      </c>
      <c r="C7992" s="66" t="s">
        <v>221</v>
      </c>
      <c r="D7992" s="3" t="s">
        <v>41</v>
      </c>
      <c r="E7992" s="64">
        <v>1</v>
      </c>
    </row>
    <row r="7993" spans="1:5">
      <c r="A7993" s="64" t="s">
        <v>38</v>
      </c>
      <c r="B7993" s="65">
        <v>43317</v>
      </c>
      <c r="C7993" s="66" t="s">
        <v>222</v>
      </c>
      <c r="D7993" s="3" t="s">
        <v>41</v>
      </c>
      <c r="E7993" s="64">
        <v>1</v>
      </c>
    </row>
    <row r="7994" spans="1:5">
      <c r="A7994" s="64" t="s">
        <v>38</v>
      </c>
      <c r="B7994" s="65">
        <v>43318</v>
      </c>
      <c r="C7994" s="66" t="s">
        <v>216</v>
      </c>
      <c r="D7994" s="3" t="s">
        <v>41</v>
      </c>
      <c r="E7994" s="64">
        <v>1</v>
      </c>
    </row>
    <row r="7995" spans="1:5">
      <c r="A7995" s="64" t="s">
        <v>38</v>
      </c>
      <c r="B7995" s="65">
        <v>43319</v>
      </c>
      <c r="C7995" s="66" t="s">
        <v>217</v>
      </c>
      <c r="D7995" s="3" t="s">
        <v>41</v>
      </c>
      <c r="E7995" s="64">
        <v>1</v>
      </c>
    </row>
    <row r="7996" spans="1:5">
      <c r="A7996" s="64" t="s">
        <v>38</v>
      </c>
      <c r="B7996" s="65">
        <v>43320</v>
      </c>
      <c r="C7996" s="66" t="s">
        <v>218</v>
      </c>
      <c r="D7996" s="3" t="s">
        <v>41</v>
      </c>
      <c r="E7996" s="64">
        <v>1</v>
      </c>
    </row>
    <row r="7997" spans="1:5">
      <c r="A7997" s="64" t="s">
        <v>38</v>
      </c>
      <c r="B7997" s="65">
        <v>43321</v>
      </c>
      <c r="C7997" s="66" t="s">
        <v>219</v>
      </c>
      <c r="D7997" s="3" t="s">
        <v>41</v>
      </c>
      <c r="E7997" s="64">
        <v>1</v>
      </c>
    </row>
    <row r="7998" spans="1:5">
      <c r="A7998" s="64" t="s">
        <v>38</v>
      </c>
      <c r="B7998" s="65">
        <v>43322</v>
      </c>
      <c r="C7998" s="66" t="s">
        <v>220</v>
      </c>
      <c r="D7998" s="3" t="s">
        <v>41</v>
      </c>
      <c r="E7998" s="64">
        <v>1</v>
      </c>
    </row>
    <row r="7999" spans="1:5">
      <c r="A7999" s="64" t="s">
        <v>38</v>
      </c>
      <c r="B7999" s="65">
        <v>43323</v>
      </c>
      <c r="C7999" s="66" t="s">
        <v>221</v>
      </c>
      <c r="D7999" s="3" t="s">
        <v>41</v>
      </c>
      <c r="E7999" s="64">
        <v>1</v>
      </c>
    </row>
    <row r="8000" spans="1:5">
      <c r="A8000" s="64" t="s">
        <v>38</v>
      </c>
      <c r="B8000" s="65">
        <v>43324</v>
      </c>
      <c r="C8000" s="66" t="s">
        <v>222</v>
      </c>
      <c r="D8000" s="3" t="s">
        <v>41</v>
      </c>
      <c r="E8000" s="64">
        <v>1</v>
      </c>
    </row>
    <row r="8001" spans="1:5">
      <c r="A8001" s="64" t="s">
        <v>38</v>
      </c>
      <c r="B8001" s="65">
        <v>43325</v>
      </c>
      <c r="C8001" s="66" t="s">
        <v>216</v>
      </c>
      <c r="D8001" s="3" t="s">
        <v>41</v>
      </c>
      <c r="E8001" s="64">
        <v>1</v>
      </c>
    </row>
    <row r="8002" spans="1:5">
      <c r="A8002" s="64" t="s">
        <v>38</v>
      </c>
      <c r="B8002" s="65">
        <v>43326</v>
      </c>
      <c r="C8002" s="66" t="s">
        <v>217</v>
      </c>
      <c r="D8002" s="3" t="s">
        <v>41</v>
      </c>
      <c r="E8002" s="64">
        <v>1</v>
      </c>
    </row>
    <row r="8003" spans="1:5">
      <c r="A8003" s="64" t="s">
        <v>38</v>
      </c>
      <c r="B8003" s="65">
        <v>43327</v>
      </c>
      <c r="C8003" s="66" t="s">
        <v>218</v>
      </c>
      <c r="D8003" s="3" t="s">
        <v>41</v>
      </c>
      <c r="E8003" s="64">
        <v>1</v>
      </c>
    </row>
    <row r="8004" spans="1:5">
      <c r="A8004" s="64" t="s">
        <v>38</v>
      </c>
      <c r="B8004" s="65">
        <v>43328</v>
      </c>
      <c r="C8004" s="66" t="s">
        <v>219</v>
      </c>
      <c r="D8004" s="3" t="s">
        <v>41</v>
      </c>
      <c r="E8004" s="64">
        <v>1</v>
      </c>
    </row>
    <row r="8005" spans="1:5">
      <c r="A8005" s="64" t="s">
        <v>38</v>
      </c>
      <c r="B8005" s="65">
        <v>43329</v>
      </c>
      <c r="C8005" s="66" t="s">
        <v>220</v>
      </c>
      <c r="D8005" s="3" t="s">
        <v>41</v>
      </c>
      <c r="E8005" s="64">
        <v>1</v>
      </c>
    </row>
    <row r="8006" spans="1:5">
      <c r="A8006" s="64" t="s">
        <v>38</v>
      </c>
      <c r="B8006" s="65">
        <v>43330</v>
      </c>
      <c r="C8006" s="66" t="s">
        <v>221</v>
      </c>
      <c r="D8006" s="3" t="s">
        <v>41</v>
      </c>
      <c r="E8006" s="64">
        <v>1</v>
      </c>
    </row>
    <row r="8007" spans="1:5">
      <c r="A8007" s="64" t="s">
        <v>38</v>
      </c>
      <c r="B8007" s="65">
        <v>43331</v>
      </c>
      <c r="C8007" s="66" t="s">
        <v>222</v>
      </c>
      <c r="D8007" s="3" t="s">
        <v>41</v>
      </c>
      <c r="E8007" s="64">
        <v>1</v>
      </c>
    </row>
    <row r="8008" spans="1:5">
      <c r="A8008" s="64" t="s">
        <v>38</v>
      </c>
      <c r="B8008" s="65">
        <v>43332</v>
      </c>
      <c r="C8008" s="66" t="s">
        <v>216</v>
      </c>
      <c r="D8008" s="3" t="s">
        <v>41</v>
      </c>
      <c r="E8008" s="64">
        <v>1</v>
      </c>
    </row>
    <row r="8009" spans="1:5">
      <c r="A8009" s="64" t="s">
        <v>38</v>
      </c>
      <c r="B8009" s="65">
        <v>43333</v>
      </c>
      <c r="C8009" s="66" t="s">
        <v>217</v>
      </c>
      <c r="D8009" s="3" t="s">
        <v>41</v>
      </c>
      <c r="E8009" s="64">
        <v>1</v>
      </c>
    </row>
    <row r="8010" spans="1:5">
      <c r="A8010" s="64" t="s">
        <v>38</v>
      </c>
      <c r="B8010" s="65">
        <v>43334</v>
      </c>
      <c r="C8010" s="66" t="s">
        <v>218</v>
      </c>
      <c r="D8010" s="3" t="s">
        <v>41</v>
      </c>
      <c r="E8010" s="64">
        <v>1</v>
      </c>
    </row>
    <row r="8011" spans="1:5">
      <c r="A8011" s="64" t="s">
        <v>38</v>
      </c>
      <c r="B8011" s="65">
        <v>43335</v>
      </c>
      <c r="C8011" s="66" t="s">
        <v>219</v>
      </c>
      <c r="D8011" s="3" t="s">
        <v>41</v>
      </c>
      <c r="E8011" s="64">
        <v>1</v>
      </c>
    </row>
    <row r="8012" spans="1:5">
      <c r="A8012" s="64" t="s">
        <v>38</v>
      </c>
      <c r="B8012" s="65">
        <v>43336</v>
      </c>
      <c r="C8012" s="66" t="s">
        <v>220</v>
      </c>
      <c r="D8012" s="3" t="s">
        <v>41</v>
      </c>
      <c r="E8012" s="64">
        <v>1</v>
      </c>
    </row>
    <row r="8013" spans="1:5">
      <c r="A8013" s="64" t="s">
        <v>38</v>
      </c>
      <c r="B8013" s="65">
        <v>43337</v>
      </c>
      <c r="C8013" s="66" t="s">
        <v>221</v>
      </c>
      <c r="D8013" s="3" t="s">
        <v>41</v>
      </c>
      <c r="E8013" s="64">
        <v>1</v>
      </c>
    </row>
    <row r="8014" spans="1:5">
      <c r="A8014" s="64" t="s">
        <v>38</v>
      </c>
      <c r="B8014" s="65">
        <v>43338</v>
      </c>
      <c r="C8014" s="66" t="s">
        <v>222</v>
      </c>
      <c r="D8014" s="3" t="s">
        <v>41</v>
      </c>
      <c r="E8014" s="64">
        <v>1</v>
      </c>
    </row>
    <row r="8015" spans="1:5">
      <c r="A8015" s="64" t="s">
        <v>38</v>
      </c>
      <c r="B8015" s="65">
        <v>43339</v>
      </c>
      <c r="C8015" s="66" t="s">
        <v>216</v>
      </c>
      <c r="D8015" s="3" t="s">
        <v>41</v>
      </c>
      <c r="E8015" s="64">
        <v>1</v>
      </c>
    </row>
    <row r="8016" spans="1:5">
      <c r="A8016" s="64" t="s">
        <v>38</v>
      </c>
      <c r="B8016" s="65">
        <v>43340</v>
      </c>
      <c r="C8016" s="66" t="s">
        <v>217</v>
      </c>
      <c r="D8016" s="3" t="s">
        <v>41</v>
      </c>
      <c r="E8016" s="64">
        <v>1</v>
      </c>
    </row>
    <row r="8017" spans="1:5">
      <c r="A8017" s="64" t="s">
        <v>38</v>
      </c>
      <c r="B8017" s="65">
        <v>43341</v>
      </c>
      <c r="C8017" s="66" t="s">
        <v>218</v>
      </c>
      <c r="D8017" s="3" t="s">
        <v>41</v>
      </c>
      <c r="E8017" s="64">
        <v>1</v>
      </c>
    </row>
    <row r="8018" spans="1:5">
      <c r="A8018" s="64" t="s">
        <v>38</v>
      </c>
      <c r="B8018" s="65">
        <v>43342</v>
      </c>
      <c r="C8018" s="66" t="s">
        <v>219</v>
      </c>
      <c r="D8018" s="3" t="s">
        <v>41</v>
      </c>
      <c r="E8018" s="64">
        <v>1</v>
      </c>
    </row>
    <row r="8019" spans="1:5">
      <c r="A8019" s="64" t="s">
        <v>38</v>
      </c>
      <c r="B8019" s="65">
        <v>43343</v>
      </c>
      <c r="C8019" s="66" t="s">
        <v>220</v>
      </c>
      <c r="D8019" s="3" t="s">
        <v>41</v>
      </c>
      <c r="E8019" s="64">
        <v>1</v>
      </c>
    </row>
    <row r="8020" spans="1:5">
      <c r="A8020" s="64" t="s">
        <v>38</v>
      </c>
      <c r="B8020" s="65">
        <v>43344</v>
      </c>
      <c r="C8020" s="66" t="s">
        <v>221</v>
      </c>
      <c r="D8020" s="3" t="s">
        <v>41</v>
      </c>
      <c r="E8020" s="64">
        <v>1</v>
      </c>
    </row>
    <row r="8021" spans="1:5">
      <c r="A8021" s="64" t="s">
        <v>38</v>
      </c>
      <c r="B8021" s="65">
        <v>43345</v>
      </c>
      <c r="C8021" s="66" t="s">
        <v>222</v>
      </c>
      <c r="D8021" s="3" t="s">
        <v>41</v>
      </c>
      <c r="E8021" s="64">
        <v>1</v>
      </c>
    </row>
    <row r="8022" spans="1:5">
      <c r="A8022" s="64" t="s">
        <v>38</v>
      </c>
      <c r="B8022" s="65">
        <v>43346</v>
      </c>
      <c r="C8022" s="66" t="s">
        <v>216</v>
      </c>
      <c r="D8022" s="3" t="s">
        <v>41</v>
      </c>
      <c r="E8022" s="64">
        <v>1</v>
      </c>
    </row>
    <row r="8023" spans="1:5">
      <c r="A8023" s="64" t="s">
        <v>38</v>
      </c>
      <c r="B8023" s="65">
        <v>43347</v>
      </c>
      <c r="C8023" s="66" t="s">
        <v>217</v>
      </c>
      <c r="D8023" s="3" t="s">
        <v>41</v>
      </c>
      <c r="E8023" s="64">
        <v>1</v>
      </c>
    </row>
    <row r="8024" spans="1:5">
      <c r="A8024" s="64" t="s">
        <v>38</v>
      </c>
      <c r="B8024" s="65">
        <v>43348</v>
      </c>
      <c r="C8024" s="66" t="s">
        <v>218</v>
      </c>
      <c r="D8024" s="3" t="s">
        <v>41</v>
      </c>
      <c r="E8024" s="64">
        <v>1</v>
      </c>
    </row>
    <row r="8025" spans="1:5">
      <c r="A8025" s="64" t="s">
        <v>38</v>
      </c>
      <c r="B8025" s="65">
        <v>43349</v>
      </c>
      <c r="C8025" s="66" t="s">
        <v>219</v>
      </c>
      <c r="D8025" s="3" t="s">
        <v>41</v>
      </c>
      <c r="E8025" s="64">
        <v>1</v>
      </c>
    </row>
    <row r="8026" spans="1:5">
      <c r="A8026" s="64" t="s">
        <v>38</v>
      </c>
      <c r="B8026" s="65">
        <v>43350</v>
      </c>
      <c r="C8026" s="66" t="s">
        <v>220</v>
      </c>
      <c r="D8026" s="3" t="s">
        <v>41</v>
      </c>
      <c r="E8026" s="64">
        <v>1</v>
      </c>
    </row>
    <row r="8027" spans="1:5">
      <c r="A8027" s="64" t="s">
        <v>38</v>
      </c>
      <c r="B8027" s="65">
        <v>43351</v>
      </c>
      <c r="C8027" s="66" t="s">
        <v>221</v>
      </c>
      <c r="D8027" s="3" t="s">
        <v>41</v>
      </c>
      <c r="E8027" s="64">
        <v>1</v>
      </c>
    </row>
    <row r="8028" spans="1:5">
      <c r="A8028" s="64" t="s">
        <v>38</v>
      </c>
      <c r="B8028" s="65">
        <v>43352</v>
      </c>
      <c r="C8028" s="66" t="s">
        <v>222</v>
      </c>
      <c r="D8028" s="3" t="s">
        <v>41</v>
      </c>
      <c r="E8028" s="64">
        <v>1</v>
      </c>
    </row>
    <row r="8029" spans="1:5">
      <c r="A8029" s="64" t="s">
        <v>38</v>
      </c>
      <c r="B8029" s="65">
        <v>43353</v>
      </c>
      <c r="C8029" s="66" t="s">
        <v>216</v>
      </c>
      <c r="D8029" s="3" t="s">
        <v>41</v>
      </c>
      <c r="E8029" s="64">
        <v>1</v>
      </c>
    </row>
    <row r="8030" spans="1:5">
      <c r="A8030" s="64" t="s">
        <v>38</v>
      </c>
      <c r="B8030" s="65">
        <v>43354</v>
      </c>
      <c r="C8030" s="66" t="s">
        <v>217</v>
      </c>
      <c r="D8030" s="3" t="s">
        <v>41</v>
      </c>
      <c r="E8030" s="64">
        <v>1</v>
      </c>
    </row>
    <row r="8031" spans="1:5">
      <c r="A8031" s="64" t="s">
        <v>38</v>
      </c>
      <c r="B8031" s="65">
        <v>43355</v>
      </c>
      <c r="C8031" s="66" t="s">
        <v>218</v>
      </c>
      <c r="D8031" s="3" t="s">
        <v>41</v>
      </c>
      <c r="E8031" s="64">
        <v>1</v>
      </c>
    </row>
    <row r="8032" spans="1:5">
      <c r="A8032" s="64" t="s">
        <v>38</v>
      </c>
      <c r="B8032" s="65">
        <v>43356</v>
      </c>
      <c r="C8032" s="66" t="s">
        <v>219</v>
      </c>
      <c r="D8032" s="3" t="s">
        <v>41</v>
      </c>
      <c r="E8032" s="64">
        <v>1</v>
      </c>
    </row>
    <row r="8033" spans="1:5">
      <c r="A8033" s="64" t="s">
        <v>38</v>
      </c>
      <c r="B8033" s="65">
        <v>43357</v>
      </c>
      <c r="C8033" s="66" t="s">
        <v>220</v>
      </c>
      <c r="D8033" s="3" t="s">
        <v>41</v>
      </c>
      <c r="E8033" s="64">
        <v>1</v>
      </c>
    </row>
    <row r="8034" spans="1:5">
      <c r="A8034" s="64" t="s">
        <v>38</v>
      </c>
      <c r="B8034" s="65">
        <v>43358</v>
      </c>
      <c r="C8034" s="66" t="s">
        <v>221</v>
      </c>
      <c r="D8034" s="3" t="s">
        <v>41</v>
      </c>
      <c r="E8034" s="64">
        <v>1</v>
      </c>
    </row>
    <row r="8035" spans="1:5">
      <c r="A8035" s="64" t="s">
        <v>38</v>
      </c>
      <c r="B8035" s="65">
        <v>43359</v>
      </c>
      <c r="C8035" s="66" t="s">
        <v>222</v>
      </c>
      <c r="D8035" s="3" t="s">
        <v>41</v>
      </c>
      <c r="E8035" s="64">
        <v>1</v>
      </c>
    </row>
    <row r="8036" spans="1:5">
      <c r="A8036" s="64" t="s">
        <v>38</v>
      </c>
      <c r="B8036" s="65">
        <v>43360</v>
      </c>
      <c r="C8036" s="66" t="s">
        <v>216</v>
      </c>
      <c r="D8036" s="3" t="s">
        <v>41</v>
      </c>
      <c r="E8036" s="64">
        <v>1</v>
      </c>
    </row>
    <row r="8037" spans="1:5">
      <c r="A8037" s="64" t="s">
        <v>38</v>
      </c>
      <c r="B8037" s="65">
        <v>43361</v>
      </c>
      <c r="C8037" s="66" t="s">
        <v>217</v>
      </c>
      <c r="D8037" s="3" t="s">
        <v>41</v>
      </c>
      <c r="E8037" s="64">
        <v>1</v>
      </c>
    </row>
    <row r="8038" spans="1:5">
      <c r="A8038" s="64" t="s">
        <v>38</v>
      </c>
      <c r="B8038" s="65">
        <v>43362</v>
      </c>
      <c r="C8038" s="66" t="s">
        <v>218</v>
      </c>
      <c r="D8038" s="3" t="s">
        <v>41</v>
      </c>
      <c r="E8038" s="64">
        <v>1</v>
      </c>
    </row>
    <row r="8039" spans="1:5">
      <c r="A8039" s="64" t="s">
        <v>38</v>
      </c>
      <c r="B8039" s="65">
        <v>43363</v>
      </c>
      <c r="C8039" s="66" t="s">
        <v>219</v>
      </c>
      <c r="D8039" s="3" t="s">
        <v>41</v>
      </c>
      <c r="E8039" s="64">
        <v>1</v>
      </c>
    </row>
    <row r="8040" spans="1:5">
      <c r="A8040" s="64" t="s">
        <v>38</v>
      </c>
      <c r="B8040" s="65">
        <v>43364</v>
      </c>
      <c r="C8040" s="66" t="s">
        <v>220</v>
      </c>
      <c r="D8040" s="3" t="s">
        <v>41</v>
      </c>
      <c r="E8040" s="64">
        <v>1</v>
      </c>
    </row>
    <row r="8041" spans="1:5">
      <c r="A8041" s="64" t="s">
        <v>38</v>
      </c>
      <c r="B8041" s="65">
        <v>43365</v>
      </c>
      <c r="C8041" s="66" t="s">
        <v>221</v>
      </c>
      <c r="D8041" s="3" t="s">
        <v>41</v>
      </c>
      <c r="E8041" s="64">
        <v>1</v>
      </c>
    </row>
    <row r="8042" spans="1:5">
      <c r="A8042" s="64" t="s">
        <v>38</v>
      </c>
      <c r="B8042" s="65">
        <v>43366</v>
      </c>
      <c r="C8042" s="66" t="s">
        <v>222</v>
      </c>
      <c r="D8042" s="3" t="s">
        <v>41</v>
      </c>
      <c r="E8042" s="64">
        <v>1</v>
      </c>
    </row>
    <row r="8043" spans="1:5">
      <c r="A8043" s="64" t="s">
        <v>38</v>
      </c>
      <c r="B8043" s="65">
        <v>43367</v>
      </c>
      <c r="C8043" s="66" t="s">
        <v>216</v>
      </c>
      <c r="D8043" s="3" t="s">
        <v>41</v>
      </c>
      <c r="E8043" s="64">
        <v>1</v>
      </c>
    </row>
    <row r="8044" spans="1:5">
      <c r="A8044" s="64" t="s">
        <v>38</v>
      </c>
      <c r="B8044" s="65">
        <v>43368</v>
      </c>
      <c r="C8044" s="66" t="s">
        <v>217</v>
      </c>
      <c r="D8044" s="3" t="s">
        <v>41</v>
      </c>
      <c r="E8044" s="64">
        <v>1</v>
      </c>
    </row>
    <row r="8045" spans="1:5">
      <c r="A8045" s="64" t="s">
        <v>38</v>
      </c>
      <c r="B8045" s="65">
        <v>43369</v>
      </c>
      <c r="C8045" s="66" t="s">
        <v>218</v>
      </c>
      <c r="D8045" s="3" t="s">
        <v>41</v>
      </c>
      <c r="E8045" s="64">
        <v>1</v>
      </c>
    </row>
    <row r="8046" spans="1:5">
      <c r="A8046" s="64" t="s">
        <v>38</v>
      </c>
      <c r="B8046" s="65">
        <v>43370</v>
      </c>
      <c r="C8046" s="66" t="s">
        <v>219</v>
      </c>
      <c r="D8046" s="3" t="s">
        <v>41</v>
      </c>
      <c r="E8046" s="64">
        <v>1</v>
      </c>
    </row>
    <row r="8047" spans="1:5">
      <c r="A8047" s="64" t="s">
        <v>38</v>
      </c>
      <c r="B8047" s="65">
        <v>43371</v>
      </c>
      <c r="C8047" s="66" t="s">
        <v>220</v>
      </c>
      <c r="D8047" s="3" t="s">
        <v>41</v>
      </c>
      <c r="E8047" s="64">
        <v>1</v>
      </c>
    </row>
    <row r="8048" spans="1:5">
      <c r="A8048" s="64" t="s">
        <v>38</v>
      </c>
      <c r="B8048" s="65">
        <v>43372</v>
      </c>
      <c r="C8048" s="66" t="s">
        <v>221</v>
      </c>
      <c r="D8048" s="3" t="s">
        <v>41</v>
      </c>
      <c r="E8048" s="64">
        <v>1</v>
      </c>
    </row>
    <row r="8049" spans="1:5">
      <c r="A8049" s="64" t="s">
        <v>38</v>
      </c>
      <c r="B8049" s="65">
        <v>43373</v>
      </c>
      <c r="C8049" s="66" t="s">
        <v>222</v>
      </c>
      <c r="D8049" s="3" t="s">
        <v>41</v>
      </c>
      <c r="E8049" s="64">
        <v>1</v>
      </c>
    </row>
    <row r="8050" spans="1:5">
      <c r="A8050" s="64" t="s">
        <v>38</v>
      </c>
      <c r="B8050" s="65">
        <v>43374</v>
      </c>
      <c r="C8050" s="66" t="s">
        <v>216</v>
      </c>
      <c r="D8050" s="3" t="s">
        <v>41</v>
      </c>
      <c r="E8050" s="64">
        <v>1</v>
      </c>
    </row>
    <row r="8051" spans="1:5">
      <c r="A8051" s="64" t="s">
        <v>38</v>
      </c>
      <c r="B8051" s="65">
        <v>43375</v>
      </c>
      <c r="C8051" s="66" t="s">
        <v>217</v>
      </c>
      <c r="D8051" s="3" t="s">
        <v>41</v>
      </c>
      <c r="E8051" s="64">
        <v>1</v>
      </c>
    </row>
    <row r="8052" spans="1:5">
      <c r="A8052" s="64" t="s">
        <v>38</v>
      </c>
      <c r="B8052" s="65">
        <v>43376</v>
      </c>
      <c r="C8052" s="66" t="s">
        <v>218</v>
      </c>
      <c r="D8052" s="3" t="s">
        <v>41</v>
      </c>
      <c r="E8052" s="64">
        <v>1</v>
      </c>
    </row>
    <row r="8053" spans="1:5">
      <c r="A8053" s="64" t="s">
        <v>38</v>
      </c>
      <c r="B8053" s="65">
        <v>43377</v>
      </c>
      <c r="C8053" s="66" t="s">
        <v>219</v>
      </c>
      <c r="D8053" s="3" t="s">
        <v>41</v>
      </c>
      <c r="E8053" s="64">
        <v>1</v>
      </c>
    </row>
    <row r="8054" spans="1:5">
      <c r="A8054" s="64" t="s">
        <v>38</v>
      </c>
      <c r="B8054" s="65">
        <v>43378</v>
      </c>
      <c r="C8054" s="66" t="s">
        <v>220</v>
      </c>
      <c r="D8054" s="3" t="s">
        <v>41</v>
      </c>
      <c r="E8054" s="64">
        <v>1</v>
      </c>
    </row>
    <row r="8055" spans="1:5">
      <c r="A8055" s="64" t="s">
        <v>38</v>
      </c>
      <c r="B8055" s="65">
        <v>43379</v>
      </c>
      <c r="C8055" s="66" t="s">
        <v>221</v>
      </c>
      <c r="D8055" s="3" t="s">
        <v>41</v>
      </c>
      <c r="E8055" s="64">
        <v>1</v>
      </c>
    </row>
    <row r="8056" spans="1:5">
      <c r="A8056" s="64" t="s">
        <v>38</v>
      </c>
      <c r="B8056" s="65">
        <v>43380</v>
      </c>
      <c r="C8056" s="66" t="s">
        <v>222</v>
      </c>
      <c r="D8056" s="3" t="s">
        <v>41</v>
      </c>
      <c r="E8056" s="64">
        <v>1</v>
      </c>
    </row>
    <row r="8057" spans="1:5">
      <c r="A8057" s="64" t="s">
        <v>38</v>
      </c>
      <c r="B8057" s="65">
        <v>43381</v>
      </c>
      <c r="C8057" s="66" t="s">
        <v>216</v>
      </c>
      <c r="D8057" s="3" t="s">
        <v>41</v>
      </c>
      <c r="E8057" s="64">
        <v>1</v>
      </c>
    </row>
    <row r="8058" spans="1:5">
      <c r="A8058" s="64" t="s">
        <v>38</v>
      </c>
      <c r="B8058" s="65">
        <v>43382</v>
      </c>
      <c r="C8058" s="66" t="s">
        <v>217</v>
      </c>
      <c r="D8058" s="3" t="s">
        <v>41</v>
      </c>
      <c r="E8058" s="64">
        <v>1</v>
      </c>
    </row>
    <row r="8059" spans="1:5">
      <c r="A8059" s="64" t="s">
        <v>38</v>
      </c>
      <c r="B8059" s="65">
        <v>43383</v>
      </c>
      <c r="C8059" s="66" t="s">
        <v>218</v>
      </c>
      <c r="D8059" s="3" t="s">
        <v>41</v>
      </c>
      <c r="E8059" s="64">
        <v>1</v>
      </c>
    </row>
    <row r="8060" spans="1:5">
      <c r="A8060" s="64" t="s">
        <v>38</v>
      </c>
      <c r="B8060" s="65">
        <v>43384</v>
      </c>
      <c r="C8060" s="66" t="s">
        <v>219</v>
      </c>
      <c r="D8060" s="3" t="s">
        <v>41</v>
      </c>
      <c r="E8060" s="64">
        <v>1</v>
      </c>
    </row>
    <row r="8061" spans="1:5">
      <c r="A8061" s="64" t="s">
        <v>38</v>
      </c>
      <c r="B8061" s="65">
        <v>43385</v>
      </c>
      <c r="C8061" s="66" t="s">
        <v>220</v>
      </c>
      <c r="D8061" s="3" t="s">
        <v>41</v>
      </c>
      <c r="E8061" s="64">
        <v>1</v>
      </c>
    </row>
    <row r="8062" spans="1:5">
      <c r="A8062" s="64" t="s">
        <v>38</v>
      </c>
      <c r="B8062" s="65">
        <v>43386</v>
      </c>
      <c r="C8062" s="66" t="s">
        <v>221</v>
      </c>
      <c r="D8062" s="3" t="s">
        <v>41</v>
      </c>
      <c r="E8062" s="64">
        <v>1</v>
      </c>
    </row>
    <row r="8063" spans="1:5">
      <c r="A8063" s="64" t="s">
        <v>38</v>
      </c>
      <c r="B8063" s="65">
        <v>43387</v>
      </c>
      <c r="C8063" s="66" t="s">
        <v>222</v>
      </c>
      <c r="D8063" s="3" t="s">
        <v>41</v>
      </c>
      <c r="E8063" s="64">
        <v>1</v>
      </c>
    </row>
    <row r="8064" spans="1:5">
      <c r="A8064" s="64" t="s">
        <v>38</v>
      </c>
      <c r="B8064" s="65">
        <v>43388</v>
      </c>
      <c r="C8064" s="66" t="s">
        <v>216</v>
      </c>
      <c r="D8064" s="3" t="s">
        <v>41</v>
      </c>
      <c r="E8064" s="64">
        <v>1</v>
      </c>
    </row>
    <row r="8065" spans="1:5">
      <c r="A8065" s="64" t="s">
        <v>38</v>
      </c>
      <c r="B8065" s="65">
        <v>43389</v>
      </c>
      <c r="C8065" s="66" t="s">
        <v>217</v>
      </c>
      <c r="D8065" s="3" t="s">
        <v>41</v>
      </c>
      <c r="E8065" s="64">
        <v>1</v>
      </c>
    </row>
    <row r="8066" spans="1:5">
      <c r="A8066" s="64" t="s">
        <v>38</v>
      </c>
      <c r="B8066" s="65">
        <v>43390</v>
      </c>
      <c r="C8066" s="66" t="s">
        <v>218</v>
      </c>
      <c r="D8066" s="3" t="s">
        <v>41</v>
      </c>
      <c r="E8066" s="64">
        <v>1</v>
      </c>
    </row>
    <row r="8067" spans="1:5">
      <c r="A8067" s="64" t="s">
        <v>38</v>
      </c>
      <c r="B8067" s="65">
        <v>43391</v>
      </c>
      <c r="C8067" s="66" t="s">
        <v>219</v>
      </c>
      <c r="D8067" s="3" t="s">
        <v>41</v>
      </c>
      <c r="E8067" s="64">
        <v>1</v>
      </c>
    </row>
    <row r="8068" spans="1:5">
      <c r="A8068" s="64" t="s">
        <v>38</v>
      </c>
      <c r="B8068" s="65">
        <v>43392</v>
      </c>
      <c r="C8068" s="66" t="s">
        <v>220</v>
      </c>
      <c r="D8068" s="3" t="s">
        <v>41</v>
      </c>
      <c r="E8068" s="64">
        <v>1</v>
      </c>
    </row>
    <row r="8069" spans="1:5">
      <c r="A8069" s="64" t="s">
        <v>38</v>
      </c>
      <c r="B8069" s="65">
        <v>43393</v>
      </c>
      <c r="C8069" s="66" t="s">
        <v>221</v>
      </c>
      <c r="D8069" s="3" t="s">
        <v>41</v>
      </c>
      <c r="E8069" s="64">
        <v>1</v>
      </c>
    </row>
    <row r="8070" spans="1:5">
      <c r="A8070" s="64" t="s">
        <v>38</v>
      </c>
      <c r="B8070" s="65">
        <v>43394</v>
      </c>
      <c r="C8070" s="66" t="s">
        <v>222</v>
      </c>
      <c r="D8070" s="3" t="s">
        <v>41</v>
      </c>
      <c r="E8070" s="64">
        <v>1</v>
      </c>
    </row>
    <row r="8071" spans="1:5">
      <c r="A8071" s="64" t="s">
        <v>38</v>
      </c>
      <c r="B8071" s="65">
        <v>43395</v>
      </c>
      <c r="C8071" s="66" t="s">
        <v>216</v>
      </c>
      <c r="D8071" s="3" t="s">
        <v>41</v>
      </c>
      <c r="E8071" s="64">
        <v>1</v>
      </c>
    </row>
    <row r="8072" spans="1:5">
      <c r="A8072" s="64" t="s">
        <v>38</v>
      </c>
      <c r="B8072" s="65">
        <v>43396</v>
      </c>
      <c r="C8072" s="66" t="s">
        <v>217</v>
      </c>
      <c r="D8072" s="3" t="s">
        <v>41</v>
      </c>
      <c r="E8072" s="64">
        <v>1</v>
      </c>
    </row>
    <row r="8073" spans="1:5">
      <c r="A8073" s="64" t="s">
        <v>38</v>
      </c>
      <c r="B8073" s="65">
        <v>43397</v>
      </c>
      <c r="C8073" s="66" t="s">
        <v>218</v>
      </c>
      <c r="D8073" s="3" t="s">
        <v>41</v>
      </c>
      <c r="E8073" s="64">
        <v>1</v>
      </c>
    </row>
    <row r="8074" spans="1:5">
      <c r="A8074" s="64" t="s">
        <v>38</v>
      </c>
      <c r="B8074" s="65">
        <v>43398</v>
      </c>
      <c r="C8074" s="66" t="s">
        <v>219</v>
      </c>
      <c r="D8074" s="3" t="s">
        <v>41</v>
      </c>
      <c r="E8074" s="64">
        <v>1</v>
      </c>
    </row>
    <row r="8075" spans="1:5">
      <c r="A8075" s="64" t="s">
        <v>38</v>
      </c>
      <c r="B8075" s="65">
        <v>43399</v>
      </c>
      <c r="C8075" s="66" t="s">
        <v>220</v>
      </c>
      <c r="D8075" s="3" t="s">
        <v>41</v>
      </c>
      <c r="E8075" s="64">
        <v>1</v>
      </c>
    </row>
    <row r="8076" spans="1:5">
      <c r="A8076" s="64" t="s">
        <v>38</v>
      </c>
      <c r="B8076" s="65">
        <v>43400</v>
      </c>
      <c r="C8076" s="66" t="s">
        <v>221</v>
      </c>
      <c r="D8076" s="3" t="s">
        <v>41</v>
      </c>
      <c r="E8076" s="64">
        <v>1</v>
      </c>
    </row>
    <row r="8077" spans="1:5">
      <c r="A8077" s="64" t="s">
        <v>38</v>
      </c>
      <c r="B8077" s="65">
        <v>43401</v>
      </c>
      <c r="C8077" s="66" t="s">
        <v>222</v>
      </c>
      <c r="D8077" s="3" t="s">
        <v>41</v>
      </c>
      <c r="E8077" s="64">
        <v>1</v>
      </c>
    </row>
    <row r="8078" spans="1:5">
      <c r="A8078" s="64" t="s">
        <v>38</v>
      </c>
      <c r="B8078" s="65">
        <v>43402</v>
      </c>
      <c r="C8078" s="66" t="s">
        <v>216</v>
      </c>
      <c r="D8078" s="3" t="s">
        <v>41</v>
      </c>
      <c r="E8078" s="64">
        <v>1</v>
      </c>
    </row>
    <row r="8079" spans="1:5">
      <c r="A8079" s="64" t="s">
        <v>38</v>
      </c>
      <c r="B8079" s="65">
        <v>43403</v>
      </c>
      <c r="C8079" s="66" t="s">
        <v>217</v>
      </c>
      <c r="D8079" s="3" t="s">
        <v>41</v>
      </c>
      <c r="E8079" s="64">
        <v>1</v>
      </c>
    </row>
    <row r="8080" spans="1:5">
      <c r="A8080" s="64" t="s">
        <v>38</v>
      </c>
      <c r="B8080" s="65">
        <v>43404</v>
      </c>
      <c r="C8080" s="66" t="s">
        <v>218</v>
      </c>
      <c r="D8080" s="3" t="s">
        <v>41</v>
      </c>
      <c r="E8080" s="64">
        <v>1</v>
      </c>
    </row>
    <row r="8081" spans="1:5">
      <c r="A8081" s="64" t="s">
        <v>38</v>
      </c>
      <c r="B8081" s="65">
        <v>43405</v>
      </c>
      <c r="C8081" s="66" t="s">
        <v>219</v>
      </c>
      <c r="D8081" s="3" t="s">
        <v>41</v>
      </c>
      <c r="E8081" s="64">
        <v>1</v>
      </c>
    </row>
    <row r="8082" spans="1:5">
      <c r="A8082" s="64" t="s">
        <v>38</v>
      </c>
      <c r="B8082" s="65">
        <v>43406</v>
      </c>
      <c r="C8082" s="66" t="s">
        <v>220</v>
      </c>
      <c r="D8082" s="3" t="s">
        <v>41</v>
      </c>
      <c r="E8082" s="64">
        <v>1</v>
      </c>
    </row>
    <row r="8083" spans="1:5">
      <c r="A8083" s="64" t="s">
        <v>38</v>
      </c>
      <c r="B8083" s="65">
        <v>43407</v>
      </c>
      <c r="C8083" s="66" t="s">
        <v>221</v>
      </c>
      <c r="D8083" s="3" t="s">
        <v>41</v>
      </c>
      <c r="E8083" s="64">
        <v>1</v>
      </c>
    </row>
    <row r="8084" spans="1:5">
      <c r="A8084" s="64" t="s">
        <v>38</v>
      </c>
      <c r="B8084" s="65">
        <v>43408</v>
      </c>
      <c r="C8084" s="66" t="s">
        <v>222</v>
      </c>
      <c r="D8084" s="3" t="s">
        <v>41</v>
      </c>
      <c r="E8084" s="64">
        <v>1</v>
      </c>
    </row>
    <row r="8085" spans="1:5">
      <c r="A8085" s="64" t="s">
        <v>38</v>
      </c>
      <c r="B8085" s="65">
        <v>43409</v>
      </c>
      <c r="C8085" s="66" t="s">
        <v>216</v>
      </c>
      <c r="D8085" s="3" t="s">
        <v>41</v>
      </c>
      <c r="E8085" s="64">
        <v>1</v>
      </c>
    </row>
    <row r="8086" spans="1:5">
      <c r="A8086" s="64" t="s">
        <v>38</v>
      </c>
      <c r="B8086" s="65">
        <v>43410</v>
      </c>
      <c r="C8086" s="66" t="s">
        <v>217</v>
      </c>
      <c r="D8086" s="3" t="s">
        <v>41</v>
      </c>
      <c r="E8086" s="64">
        <v>1</v>
      </c>
    </row>
    <row r="8087" spans="1:5">
      <c r="A8087" s="64" t="s">
        <v>38</v>
      </c>
      <c r="B8087" s="65">
        <v>43411</v>
      </c>
      <c r="C8087" s="66" t="s">
        <v>218</v>
      </c>
      <c r="D8087" s="3" t="s">
        <v>41</v>
      </c>
      <c r="E8087" s="64">
        <v>1</v>
      </c>
    </row>
    <row r="8088" spans="1:5">
      <c r="A8088" s="64" t="s">
        <v>38</v>
      </c>
      <c r="B8088" s="65">
        <v>43412</v>
      </c>
      <c r="C8088" s="66" t="s">
        <v>219</v>
      </c>
      <c r="D8088" s="3" t="s">
        <v>41</v>
      </c>
      <c r="E8088" s="64">
        <v>1</v>
      </c>
    </row>
    <row r="8089" spans="1:5">
      <c r="A8089" s="64" t="s">
        <v>38</v>
      </c>
      <c r="B8089" s="65">
        <v>43413</v>
      </c>
      <c r="C8089" s="66" t="s">
        <v>220</v>
      </c>
      <c r="D8089" s="3" t="s">
        <v>41</v>
      </c>
      <c r="E8089" s="64">
        <v>1</v>
      </c>
    </row>
    <row r="8090" spans="1:5">
      <c r="A8090" s="64" t="s">
        <v>38</v>
      </c>
      <c r="B8090" s="65">
        <v>43414</v>
      </c>
      <c r="C8090" s="66" t="s">
        <v>221</v>
      </c>
      <c r="D8090" s="3" t="s">
        <v>41</v>
      </c>
      <c r="E8090" s="64">
        <v>1</v>
      </c>
    </row>
    <row r="8091" spans="1:5">
      <c r="A8091" s="64" t="s">
        <v>38</v>
      </c>
      <c r="B8091" s="65">
        <v>43415</v>
      </c>
      <c r="C8091" s="66" t="s">
        <v>222</v>
      </c>
      <c r="D8091" s="3" t="s">
        <v>41</v>
      </c>
      <c r="E8091" s="64">
        <v>1</v>
      </c>
    </row>
    <row r="8092" spans="1:5">
      <c r="A8092" s="64" t="s">
        <v>38</v>
      </c>
      <c r="B8092" s="65">
        <v>43416</v>
      </c>
      <c r="C8092" s="66" t="s">
        <v>216</v>
      </c>
      <c r="D8092" s="3" t="s">
        <v>41</v>
      </c>
      <c r="E8092" s="64">
        <v>1</v>
      </c>
    </row>
    <row r="8093" spans="1:5">
      <c r="A8093" s="64" t="s">
        <v>38</v>
      </c>
      <c r="B8093" s="65">
        <v>43417</v>
      </c>
      <c r="C8093" s="66" t="s">
        <v>217</v>
      </c>
      <c r="D8093" s="3" t="s">
        <v>41</v>
      </c>
      <c r="E8093" s="64">
        <v>1</v>
      </c>
    </row>
    <row r="8094" spans="1:5">
      <c r="A8094" s="64" t="s">
        <v>38</v>
      </c>
      <c r="B8094" s="65">
        <v>43418</v>
      </c>
      <c r="C8094" s="66" t="s">
        <v>218</v>
      </c>
      <c r="D8094" s="3" t="s">
        <v>41</v>
      </c>
      <c r="E8094" s="64">
        <v>1</v>
      </c>
    </row>
    <row r="8095" spans="1:5">
      <c r="A8095" s="64" t="s">
        <v>38</v>
      </c>
      <c r="B8095" s="65">
        <v>43419</v>
      </c>
      <c r="C8095" s="66" t="s">
        <v>219</v>
      </c>
      <c r="D8095" s="3" t="s">
        <v>41</v>
      </c>
      <c r="E8095" s="64">
        <v>1</v>
      </c>
    </row>
    <row r="8096" spans="1:5">
      <c r="A8096" s="64" t="s">
        <v>38</v>
      </c>
      <c r="B8096" s="65">
        <v>43420</v>
      </c>
      <c r="C8096" s="66" t="s">
        <v>220</v>
      </c>
      <c r="D8096" s="3" t="s">
        <v>41</v>
      </c>
      <c r="E8096" s="64">
        <v>1</v>
      </c>
    </row>
    <row r="8097" spans="1:5">
      <c r="A8097" s="64" t="s">
        <v>38</v>
      </c>
      <c r="B8097" s="65">
        <v>43421</v>
      </c>
      <c r="C8097" s="66" t="s">
        <v>221</v>
      </c>
      <c r="D8097" s="3" t="s">
        <v>41</v>
      </c>
      <c r="E8097" s="64">
        <v>1</v>
      </c>
    </row>
    <row r="8098" spans="1:5">
      <c r="A8098" s="64" t="s">
        <v>38</v>
      </c>
      <c r="B8098" s="65">
        <v>43422</v>
      </c>
      <c r="C8098" s="66" t="s">
        <v>222</v>
      </c>
      <c r="D8098" s="3" t="s">
        <v>41</v>
      </c>
      <c r="E8098" s="64">
        <v>1</v>
      </c>
    </row>
    <row r="8099" spans="1:5">
      <c r="A8099" s="64" t="s">
        <v>38</v>
      </c>
      <c r="B8099" s="65">
        <v>43423</v>
      </c>
      <c r="C8099" s="66" t="s">
        <v>216</v>
      </c>
      <c r="D8099" s="3" t="s">
        <v>41</v>
      </c>
      <c r="E8099" s="64">
        <v>1</v>
      </c>
    </row>
    <row r="8100" spans="1:5">
      <c r="A8100" s="64" t="s">
        <v>38</v>
      </c>
      <c r="B8100" s="65">
        <v>43424</v>
      </c>
      <c r="C8100" s="66" t="s">
        <v>217</v>
      </c>
      <c r="D8100" s="3" t="s">
        <v>41</v>
      </c>
      <c r="E8100" s="64">
        <v>1</v>
      </c>
    </row>
    <row r="8101" spans="1:5">
      <c r="A8101" s="64" t="s">
        <v>38</v>
      </c>
      <c r="B8101" s="65">
        <v>43425</v>
      </c>
      <c r="C8101" s="66" t="s">
        <v>218</v>
      </c>
      <c r="D8101" s="3" t="s">
        <v>41</v>
      </c>
      <c r="E8101" s="64">
        <v>1</v>
      </c>
    </row>
    <row r="8102" spans="1:5">
      <c r="A8102" s="64" t="s">
        <v>38</v>
      </c>
      <c r="B8102" s="65">
        <v>43426</v>
      </c>
      <c r="C8102" s="66" t="s">
        <v>219</v>
      </c>
      <c r="D8102" s="3" t="s">
        <v>41</v>
      </c>
      <c r="E8102" s="64">
        <v>1</v>
      </c>
    </row>
    <row r="8103" spans="1:5">
      <c r="A8103" s="64" t="s">
        <v>38</v>
      </c>
      <c r="B8103" s="65">
        <v>43427</v>
      </c>
      <c r="C8103" s="66" t="s">
        <v>220</v>
      </c>
      <c r="D8103" s="3" t="s">
        <v>41</v>
      </c>
      <c r="E8103" s="64">
        <v>1</v>
      </c>
    </row>
    <row r="8104" spans="1:5">
      <c r="A8104" s="64" t="s">
        <v>38</v>
      </c>
      <c r="B8104" s="65">
        <v>43428</v>
      </c>
      <c r="C8104" s="66" t="s">
        <v>221</v>
      </c>
      <c r="D8104" s="3" t="s">
        <v>41</v>
      </c>
      <c r="E8104" s="64">
        <v>1</v>
      </c>
    </row>
    <row r="8105" spans="1:5">
      <c r="A8105" s="64" t="s">
        <v>38</v>
      </c>
      <c r="B8105" s="65">
        <v>43429</v>
      </c>
      <c r="C8105" s="66" t="s">
        <v>222</v>
      </c>
      <c r="D8105" s="3" t="s">
        <v>41</v>
      </c>
      <c r="E8105" s="64">
        <v>1</v>
      </c>
    </row>
    <row r="8106" spans="1:5">
      <c r="A8106" s="64" t="s">
        <v>38</v>
      </c>
      <c r="B8106" s="65">
        <v>43430</v>
      </c>
      <c r="C8106" s="66" t="s">
        <v>216</v>
      </c>
      <c r="D8106" s="3" t="s">
        <v>41</v>
      </c>
      <c r="E8106" s="64">
        <v>1</v>
      </c>
    </row>
    <row r="8107" spans="1:5">
      <c r="A8107" s="64" t="s">
        <v>38</v>
      </c>
      <c r="B8107" s="65">
        <v>43431</v>
      </c>
      <c r="C8107" s="66" t="s">
        <v>217</v>
      </c>
      <c r="D8107" s="3" t="s">
        <v>41</v>
      </c>
      <c r="E8107" s="64">
        <v>1</v>
      </c>
    </row>
    <row r="8108" spans="1:5">
      <c r="A8108" s="64" t="s">
        <v>38</v>
      </c>
      <c r="B8108" s="65">
        <v>43432</v>
      </c>
      <c r="C8108" s="66" t="s">
        <v>218</v>
      </c>
      <c r="D8108" s="3" t="s">
        <v>41</v>
      </c>
      <c r="E8108" s="64">
        <v>1</v>
      </c>
    </row>
    <row r="8109" spans="1:5">
      <c r="A8109" s="64" t="s">
        <v>38</v>
      </c>
      <c r="B8109" s="65">
        <v>43433</v>
      </c>
      <c r="C8109" s="66" t="s">
        <v>219</v>
      </c>
      <c r="D8109" s="3" t="s">
        <v>41</v>
      </c>
      <c r="E8109" s="64">
        <v>1</v>
      </c>
    </row>
    <row r="8110" spans="1:5">
      <c r="A8110" s="64" t="s">
        <v>38</v>
      </c>
      <c r="B8110" s="65">
        <v>43434</v>
      </c>
      <c r="C8110" s="66" t="s">
        <v>220</v>
      </c>
      <c r="D8110" s="3" t="s">
        <v>41</v>
      </c>
      <c r="E8110" s="64">
        <v>1</v>
      </c>
    </row>
    <row r="8111" spans="1:5">
      <c r="A8111" s="64" t="s">
        <v>38</v>
      </c>
      <c r="B8111" s="65">
        <v>43435</v>
      </c>
      <c r="C8111" s="66" t="s">
        <v>221</v>
      </c>
      <c r="D8111" s="3" t="s">
        <v>41</v>
      </c>
      <c r="E8111" s="64">
        <v>1</v>
      </c>
    </row>
    <row r="8112" spans="1:5">
      <c r="A8112" s="64" t="s">
        <v>38</v>
      </c>
      <c r="B8112" s="65">
        <v>43436</v>
      </c>
      <c r="C8112" s="66" t="s">
        <v>222</v>
      </c>
      <c r="D8112" s="3" t="s">
        <v>41</v>
      </c>
      <c r="E8112" s="64">
        <v>1</v>
      </c>
    </row>
    <row r="8113" spans="1:5">
      <c r="A8113" s="64" t="s">
        <v>38</v>
      </c>
      <c r="B8113" s="65">
        <v>43437</v>
      </c>
      <c r="C8113" s="66" t="s">
        <v>216</v>
      </c>
      <c r="D8113" s="3" t="s">
        <v>41</v>
      </c>
      <c r="E8113" s="64">
        <v>1</v>
      </c>
    </row>
    <row r="8114" spans="1:5">
      <c r="A8114" s="64" t="s">
        <v>38</v>
      </c>
      <c r="B8114" s="65">
        <v>43438</v>
      </c>
      <c r="C8114" s="66" t="s">
        <v>217</v>
      </c>
      <c r="D8114" s="3" t="s">
        <v>41</v>
      </c>
      <c r="E8114" s="64">
        <v>1</v>
      </c>
    </row>
    <row r="8115" spans="1:5">
      <c r="A8115" s="64" t="s">
        <v>38</v>
      </c>
      <c r="B8115" s="65">
        <v>43439</v>
      </c>
      <c r="C8115" s="66" t="s">
        <v>218</v>
      </c>
      <c r="D8115" s="3" t="s">
        <v>41</v>
      </c>
      <c r="E8115" s="64">
        <v>1</v>
      </c>
    </row>
    <row r="8116" spans="1:5">
      <c r="A8116" s="64" t="s">
        <v>38</v>
      </c>
      <c r="B8116" s="65">
        <v>43440</v>
      </c>
      <c r="C8116" s="66" t="s">
        <v>219</v>
      </c>
      <c r="D8116" s="3" t="s">
        <v>41</v>
      </c>
      <c r="E8116" s="64">
        <v>1</v>
      </c>
    </row>
    <row r="8117" spans="1:5">
      <c r="A8117" s="64" t="s">
        <v>38</v>
      </c>
      <c r="B8117" s="65">
        <v>43441</v>
      </c>
      <c r="C8117" s="66" t="s">
        <v>220</v>
      </c>
      <c r="D8117" s="3" t="s">
        <v>41</v>
      </c>
      <c r="E8117" s="64">
        <v>1</v>
      </c>
    </row>
    <row r="8118" spans="1:5">
      <c r="A8118" s="64" t="s">
        <v>38</v>
      </c>
      <c r="B8118" s="65">
        <v>43442</v>
      </c>
      <c r="C8118" s="66" t="s">
        <v>221</v>
      </c>
      <c r="D8118" s="3" t="s">
        <v>41</v>
      </c>
      <c r="E8118" s="64">
        <v>1</v>
      </c>
    </row>
    <row r="8119" spans="1:5">
      <c r="A8119" s="64" t="s">
        <v>38</v>
      </c>
      <c r="B8119" s="65">
        <v>43443</v>
      </c>
      <c r="C8119" s="66" t="s">
        <v>222</v>
      </c>
      <c r="D8119" s="3" t="s">
        <v>41</v>
      </c>
      <c r="E8119" s="64">
        <v>1</v>
      </c>
    </row>
    <row r="8120" spans="1:5">
      <c r="A8120" s="64" t="s">
        <v>38</v>
      </c>
      <c r="B8120" s="65">
        <v>43444</v>
      </c>
      <c r="C8120" s="66" t="s">
        <v>216</v>
      </c>
      <c r="D8120" s="3" t="s">
        <v>41</v>
      </c>
      <c r="E8120" s="64">
        <v>1</v>
      </c>
    </row>
    <row r="8121" spans="1:5">
      <c r="A8121" s="64" t="s">
        <v>38</v>
      </c>
      <c r="B8121" s="65">
        <v>43445</v>
      </c>
      <c r="C8121" s="66" t="s">
        <v>217</v>
      </c>
      <c r="D8121" s="3" t="s">
        <v>41</v>
      </c>
      <c r="E8121" s="64">
        <v>1</v>
      </c>
    </row>
    <row r="8122" spans="1:5">
      <c r="A8122" s="64" t="s">
        <v>38</v>
      </c>
      <c r="B8122" s="65">
        <v>43446</v>
      </c>
      <c r="C8122" s="66" t="s">
        <v>218</v>
      </c>
      <c r="D8122" s="3" t="s">
        <v>41</v>
      </c>
      <c r="E8122" s="64">
        <v>1</v>
      </c>
    </row>
    <row r="8123" spans="1:5">
      <c r="A8123" s="64" t="s">
        <v>38</v>
      </c>
      <c r="B8123" s="65">
        <v>43447</v>
      </c>
      <c r="C8123" s="66" t="s">
        <v>219</v>
      </c>
      <c r="D8123" s="3" t="s">
        <v>41</v>
      </c>
      <c r="E8123" s="64">
        <v>1</v>
      </c>
    </row>
    <row r="8124" spans="1:5">
      <c r="A8124" s="64" t="s">
        <v>38</v>
      </c>
      <c r="B8124" s="65">
        <v>43448</v>
      </c>
      <c r="C8124" s="66" t="s">
        <v>220</v>
      </c>
      <c r="D8124" s="3" t="s">
        <v>41</v>
      </c>
      <c r="E8124" s="64">
        <v>1</v>
      </c>
    </row>
    <row r="8125" spans="1:5">
      <c r="A8125" s="64" t="s">
        <v>38</v>
      </c>
      <c r="B8125" s="65">
        <v>43449</v>
      </c>
      <c r="C8125" s="66" t="s">
        <v>221</v>
      </c>
      <c r="D8125" s="3" t="s">
        <v>41</v>
      </c>
      <c r="E8125" s="64">
        <v>1</v>
      </c>
    </row>
    <row r="8126" spans="1:5">
      <c r="A8126" s="64" t="s">
        <v>38</v>
      </c>
      <c r="B8126" s="65">
        <v>43450</v>
      </c>
      <c r="C8126" s="66" t="s">
        <v>222</v>
      </c>
      <c r="D8126" s="3" t="s">
        <v>41</v>
      </c>
      <c r="E8126" s="64">
        <v>1</v>
      </c>
    </row>
    <row r="8127" spans="1:5">
      <c r="A8127" s="64" t="s">
        <v>38</v>
      </c>
      <c r="B8127" s="65">
        <v>43451</v>
      </c>
      <c r="C8127" s="66" t="s">
        <v>216</v>
      </c>
      <c r="D8127" s="3" t="s">
        <v>41</v>
      </c>
      <c r="E8127" s="64">
        <v>1</v>
      </c>
    </row>
    <row r="8128" spans="1:5">
      <c r="A8128" s="64" t="s">
        <v>38</v>
      </c>
      <c r="B8128" s="65">
        <v>43452</v>
      </c>
      <c r="C8128" s="66" t="s">
        <v>217</v>
      </c>
      <c r="D8128" s="3" t="s">
        <v>41</v>
      </c>
      <c r="E8128" s="64">
        <v>1</v>
      </c>
    </row>
    <row r="8129" spans="1:5">
      <c r="A8129" s="64" t="s">
        <v>38</v>
      </c>
      <c r="B8129" s="65">
        <v>43453</v>
      </c>
      <c r="C8129" s="66" t="s">
        <v>218</v>
      </c>
      <c r="D8129" s="3" t="s">
        <v>41</v>
      </c>
      <c r="E8129" s="64">
        <v>1</v>
      </c>
    </row>
    <row r="8130" spans="1:5">
      <c r="A8130" s="64" t="s">
        <v>38</v>
      </c>
      <c r="B8130" s="65">
        <v>43454</v>
      </c>
      <c r="C8130" s="66" t="s">
        <v>219</v>
      </c>
      <c r="D8130" s="3" t="s">
        <v>41</v>
      </c>
      <c r="E8130" s="64">
        <v>1</v>
      </c>
    </row>
    <row r="8131" spans="1:5">
      <c r="A8131" s="64" t="s">
        <v>38</v>
      </c>
      <c r="B8131" s="65">
        <v>43455</v>
      </c>
      <c r="C8131" s="66" t="s">
        <v>220</v>
      </c>
      <c r="D8131" s="3" t="s">
        <v>41</v>
      </c>
      <c r="E8131" s="64">
        <v>1</v>
      </c>
    </row>
    <row r="8132" spans="1:5">
      <c r="A8132" s="64" t="s">
        <v>38</v>
      </c>
      <c r="B8132" s="65">
        <v>43456</v>
      </c>
      <c r="C8132" s="66" t="s">
        <v>221</v>
      </c>
      <c r="D8132" s="3" t="s">
        <v>41</v>
      </c>
      <c r="E8132" s="64">
        <v>1</v>
      </c>
    </row>
    <row r="8133" spans="1:5">
      <c r="A8133" s="64" t="s">
        <v>38</v>
      </c>
      <c r="B8133" s="65">
        <v>43457</v>
      </c>
      <c r="C8133" s="66" t="s">
        <v>222</v>
      </c>
      <c r="D8133" s="3" t="s">
        <v>41</v>
      </c>
      <c r="E8133" s="64">
        <v>1</v>
      </c>
    </row>
    <row r="8134" spans="1:5">
      <c r="A8134" s="64" t="s">
        <v>38</v>
      </c>
      <c r="B8134" s="65">
        <v>43458</v>
      </c>
      <c r="C8134" s="66" t="s">
        <v>216</v>
      </c>
      <c r="D8134" s="3" t="s">
        <v>41</v>
      </c>
      <c r="E8134" s="64">
        <v>1</v>
      </c>
    </row>
    <row r="8135" spans="1:5">
      <c r="A8135" s="64" t="s">
        <v>38</v>
      </c>
      <c r="B8135" s="65">
        <v>43459</v>
      </c>
      <c r="C8135" s="66" t="s">
        <v>217</v>
      </c>
      <c r="D8135" s="3" t="s">
        <v>41</v>
      </c>
      <c r="E8135" s="64">
        <v>1</v>
      </c>
    </row>
    <row r="8136" spans="1:5">
      <c r="A8136" s="64" t="s">
        <v>38</v>
      </c>
      <c r="B8136" s="65">
        <v>43460</v>
      </c>
      <c r="C8136" s="66" t="s">
        <v>218</v>
      </c>
      <c r="D8136" s="3" t="s">
        <v>41</v>
      </c>
      <c r="E8136" s="64">
        <v>1</v>
      </c>
    </row>
    <row r="8137" spans="1:5">
      <c r="A8137" s="64" t="s">
        <v>38</v>
      </c>
      <c r="B8137" s="65">
        <v>43461</v>
      </c>
      <c r="C8137" s="66" t="s">
        <v>219</v>
      </c>
      <c r="D8137" s="3" t="s">
        <v>41</v>
      </c>
      <c r="E8137" s="64">
        <v>1</v>
      </c>
    </row>
    <row r="8138" spans="1:5">
      <c r="A8138" s="64" t="s">
        <v>38</v>
      </c>
      <c r="B8138" s="65">
        <v>43462</v>
      </c>
      <c r="C8138" s="66" t="s">
        <v>220</v>
      </c>
      <c r="D8138" s="3" t="s">
        <v>41</v>
      </c>
      <c r="E8138" s="64">
        <v>1</v>
      </c>
    </row>
    <row r="8139" spans="1:5">
      <c r="A8139" s="64" t="s">
        <v>38</v>
      </c>
      <c r="B8139" s="65">
        <v>43463</v>
      </c>
      <c r="C8139" s="66" t="s">
        <v>221</v>
      </c>
      <c r="D8139" s="3" t="s">
        <v>41</v>
      </c>
      <c r="E8139" s="64">
        <v>1</v>
      </c>
    </row>
    <row r="8140" spans="1:5">
      <c r="A8140" s="64" t="s">
        <v>38</v>
      </c>
      <c r="B8140" s="65">
        <v>43464</v>
      </c>
      <c r="C8140" s="66" t="s">
        <v>222</v>
      </c>
      <c r="D8140" s="3" t="s">
        <v>41</v>
      </c>
      <c r="E8140" s="64">
        <v>1</v>
      </c>
    </row>
    <row r="8141" spans="1:5">
      <c r="A8141" s="64" t="s">
        <v>38</v>
      </c>
      <c r="B8141" s="65">
        <v>43465</v>
      </c>
      <c r="C8141" s="66" t="s">
        <v>216</v>
      </c>
      <c r="D8141" s="3" t="s">
        <v>41</v>
      </c>
      <c r="E8141" s="64">
        <v>1</v>
      </c>
    </row>
    <row r="8142" spans="1:5">
      <c r="A8142" s="64" t="s">
        <v>38</v>
      </c>
      <c r="B8142" s="65">
        <v>43466</v>
      </c>
      <c r="C8142" s="66" t="s">
        <v>217</v>
      </c>
      <c r="D8142" s="3" t="s">
        <v>41</v>
      </c>
      <c r="E8142" s="64">
        <v>1</v>
      </c>
    </row>
    <row r="8143" spans="1:5">
      <c r="A8143" s="64" t="s">
        <v>38</v>
      </c>
      <c r="B8143" s="65">
        <v>43467</v>
      </c>
      <c r="C8143" s="66" t="s">
        <v>218</v>
      </c>
      <c r="D8143" s="3" t="s">
        <v>41</v>
      </c>
      <c r="E8143" s="64">
        <v>1</v>
      </c>
    </row>
    <row r="8144" spans="1:5">
      <c r="A8144" s="64" t="s">
        <v>38</v>
      </c>
      <c r="B8144" s="65">
        <v>43468</v>
      </c>
      <c r="C8144" s="66" t="s">
        <v>219</v>
      </c>
      <c r="D8144" s="3" t="s">
        <v>41</v>
      </c>
      <c r="E8144" s="64">
        <v>1</v>
      </c>
    </row>
    <row r="8145" spans="1:5">
      <c r="A8145" s="64" t="s">
        <v>38</v>
      </c>
      <c r="B8145" s="65">
        <v>43469</v>
      </c>
      <c r="C8145" s="66" t="s">
        <v>220</v>
      </c>
      <c r="D8145" s="3" t="s">
        <v>41</v>
      </c>
      <c r="E8145" s="64">
        <v>1</v>
      </c>
    </row>
    <row r="8146" spans="1:5">
      <c r="A8146" s="64" t="s">
        <v>38</v>
      </c>
      <c r="B8146" s="65">
        <v>43470</v>
      </c>
      <c r="C8146" s="66" t="s">
        <v>221</v>
      </c>
      <c r="D8146" s="3" t="s">
        <v>41</v>
      </c>
      <c r="E8146" s="64">
        <v>1</v>
      </c>
    </row>
    <row r="8147" spans="1:5">
      <c r="A8147" s="64" t="s">
        <v>38</v>
      </c>
      <c r="B8147" s="65">
        <v>43471</v>
      </c>
      <c r="C8147" s="66" t="s">
        <v>222</v>
      </c>
      <c r="D8147" s="3" t="s">
        <v>41</v>
      </c>
      <c r="E8147" s="64">
        <v>1</v>
      </c>
    </row>
    <row r="8148" spans="1:5">
      <c r="A8148" s="64" t="s">
        <v>38</v>
      </c>
      <c r="B8148" s="65">
        <v>43472</v>
      </c>
      <c r="C8148" s="66" t="s">
        <v>216</v>
      </c>
      <c r="D8148" s="3" t="s">
        <v>41</v>
      </c>
      <c r="E8148" s="64">
        <v>1</v>
      </c>
    </row>
    <row r="8149" spans="1:5">
      <c r="A8149" s="64" t="s">
        <v>38</v>
      </c>
      <c r="B8149" s="65">
        <v>43473</v>
      </c>
      <c r="C8149" s="66" t="s">
        <v>217</v>
      </c>
      <c r="D8149" s="3" t="s">
        <v>41</v>
      </c>
      <c r="E8149" s="64">
        <v>1</v>
      </c>
    </row>
    <row r="8150" spans="1:5">
      <c r="A8150" s="64" t="s">
        <v>38</v>
      </c>
      <c r="B8150" s="65">
        <v>43474</v>
      </c>
      <c r="C8150" s="66" t="s">
        <v>218</v>
      </c>
      <c r="D8150" s="3" t="s">
        <v>41</v>
      </c>
      <c r="E8150" s="64">
        <v>1</v>
      </c>
    </row>
    <row r="8151" spans="1:5">
      <c r="A8151" s="64" t="s">
        <v>38</v>
      </c>
      <c r="B8151" s="65">
        <v>43475</v>
      </c>
      <c r="C8151" s="66" t="s">
        <v>219</v>
      </c>
      <c r="D8151" s="3" t="s">
        <v>41</v>
      </c>
      <c r="E8151" s="64">
        <v>1</v>
      </c>
    </row>
    <row r="8152" spans="1:5">
      <c r="A8152" s="64" t="s">
        <v>38</v>
      </c>
      <c r="B8152" s="65">
        <v>43476</v>
      </c>
      <c r="C8152" s="66" t="s">
        <v>220</v>
      </c>
      <c r="D8152" s="3" t="s">
        <v>41</v>
      </c>
      <c r="E8152" s="64">
        <v>1</v>
      </c>
    </row>
    <row r="8153" spans="1:5">
      <c r="A8153" s="64" t="s">
        <v>38</v>
      </c>
      <c r="B8153" s="65">
        <v>43477</v>
      </c>
      <c r="C8153" s="66" t="s">
        <v>221</v>
      </c>
      <c r="D8153" s="3" t="s">
        <v>41</v>
      </c>
      <c r="E8153" s="64">
        <v>1</v>
      </c>
    </row>
    <row r="8154" spans="1:5">
      <c r="A8154" s="64" t="s">
        <v>38</v>
      </c>
      <c r="B8154" s="65">
        <v>43478</v>
      </c>
      <c r="C8154" s="66" t="s">
        <v>222</v>
      </c>
      <c r="D8154" s="3" t="s">
        <v>41</v>
      </c>
      <c r="E8154" s="64">
        <v>1</v>
      </c>
    </row>
    <row r="8155" spans="1:5">
      <c r="A8155" s="64" t="s">
        <v>38</v>
      </c>
      <c r="B8155" s="65">
        <v>43479</v>
      </c>
      <c r="C8155" s="66" t="s">
        <v>216</v>
      </c>
      <c r="D8155" s="3" t="s">
        <v>41</v>
      </c>
      <c r="E8155" s="64">
        <v>1</v>
      </c>
    </row>
    <row r="8156" spans="1:5">
      <c r="A8156" s="64" t="s">
        <v>38</v>
      </c>
      <c r="B8156" s="65">
        <v>43480</v>
      </c>
      <c r="C8156" s="66" t="s">
        <v>217</v>
      </c>
      <c r="D8156" s="3" t="s">
        <v>41</v>
      </c>
      <c r="E8156" s="64">
        <v>1</v>
      </c>
    </row>
    <row r="8157" spans="1:5">
      <c r="A8157" s="64" t="s">
        <v>38</v>
      </c>
      <c r="B8157" s="65">
        <v>43481</v>
      </c>
      <c r="C8157" s="66" t="s">
        <v>218</v>
      </c>
      <c r="D8157" s="3" t="s">
        <v>41</v>
      </c>
      <c r="E8157" s="64">
        <v>1</v>
      </c>
    </row>
    <row r="8158" spans="1:5">
      <c r="A8158" s="64" t="s">
        <v>38</v>
      </c>
      <c r="B8158" s="65">
        <v>43482</v>
      </c>
      <c r="C8158" s="66" t="s">
        <v>219</v>
      </c>
      <c r="D8158" s="3" t="s">
        <v>41</v>
      </c>
      <c r="E8158" s="64">
        <v>1</v>
      </c>
    </row>
    <row r="8159" spans="1:5">
      <c r="A8159" s="64" t="s">
        <v>38</v>
      </c>
      <c r="B8159" s="65">
        <v>43483</v>
      </c>
      <c r="C8159" s="66" t="s">
        <v>220</v>
      </c>
      <c r="D8159" s="3" t="s">
        <v>41</v>
      </c>
      <c r="E8159" s="64">
        <v>1</v>
      </c>
    </row>
    <row r="8160" spans="1:5">
      <c r="A8160" s="64" t="s">
        <v>38</v>
      </c>
      <c r="B8160" s="65">
        <v>43484</v>
      </c>
      <c r="C8160" s="66" t="s">
        <v>221</v>
      </c>
      <c r="D8160" s="3" t="s">
        <v>41</v>
      </c>
      <c r="E8160" s="64">
        <v>1</v>
      </c>
    </row>
    <row r="8161" spans="1:5">
      <c r="A8161" s="64" t="s">
        <v>38</v>
      </c>
      <c r="B8161" s="65">
        <v>43485</v>
      </c>
      <c r="C8161" s="66" t="s">
        <v>222</v>
      </c>
      <c r="D8161" s="3" t="s">
        <v>41</v>
      </c>
      <c r="E8161" s="64">
        <v>1</v>
      </c>
    </row>
    <row r="8162" spans="1:5">
      <c r="A8162" s="64" t="s">
        <v>38</v>
      </c>
      <c r="B8162" s="65">
        <v>43486</v>
      </c>
      <c r="C8162" s="66" t="s">
        <v>216</v>
      </c>
      <c r="D8162" s="3" t="s">
        <v>41</v>
      </c>
      <c r="E8162" s="64">
        <v>1</v>
      </c>
    </row>
    <row r="8163" spans="1:5">
      <c r="A8163" s="64" t="s">
        <v>38</v>
      </c>
      <c r="B8163" s="65">
        <v>43487</v>
      </c>
      <c r="C8163" s="66" t="s">
        <v>217</v>
      </c>
      <c r="D8163" s="3" t="s">
        <v>41</v>
      </c>
      <c r="E8163" s="64">
        <v>1</v>
      </c>
    </row>
    <row r="8164" spans="1:5">
      <c r="A8164" s="64" t="s">
        <v>38</v>
      </c>
      <c r="B8164" s="65">
        <v>43488</v>
      </c>
      <c r="C8164" s="66" t="s">
        <v>218</v>
      </c>
      <c r="D8164" s="3" t="s">
        <v>41</v>
      </c>
      <c r="E8164" s="64">
        <v>1</v>
      </c>
    </row>
    <row r="8165" spans="1:5">
      <c r="A8165" s="64" t="s">
        <v>38</v>
      </c>
      <c r="B8165" s="65">
        <v>43489</v>
      </c>
      <c r="C8165" s="66" t="s">
        <v>219</v>
      </c>
      <c r="D8165" s="3" t="s">
        <v>41</v>
      </c>
      <c r="E8165" s="64">
        <v>1</v>
      </c>
    </row>
    <row r="8166" spans="1:5">
      <c r="A8166" s="64" t="s">
        <v>38</v>
      </c>
      <c r="B8166" s="65">
        <v>43490</v>
      </c>
      <c r="C8166" s="66" t="s">
        <v>220</v>
      </c>
      <c r="D8166" s="3" t="s">
        <v>41</v>
      </c>
      <c r="E8166" s="64">
        <v>1</v>
      </c>
    </row>
    <row r="8167" spans="1:5">
      <c r="A8167" s="64" t="s">
        <v>38</v>
      </c>
      <c r="B8167" s="65">
        <v>43491</v>
      </c>
      <c r="C8167" s="66" t="s">
        <v>221</v>
      </c>
      <c r="D8167" s="3" t="s">
        <v>41</v>
      </c>
      <c r="E8167" s="64">
        <v>1</v>
      </c>
    </row>
    <row r="8168" spans="1:5">
      <c r="A8168" s="64" t="s">
        <v>38</v>
      </c>
      <c r="B8168" s="65">
        <v>43492</v>
      </c>
      <c r="C8168" s="66" t="s">
        <v>222</v>
      </c>
      <c r="D8168" s="3" t="s">
        <v>41</v>
      </c>
      <c r="E8168" s="64">
        <v>1</v>
      </c>
    </row>
    <row r="8169" spans="1:5">
      <c r="A8169" s="64" t="s">
        <v>38</v>
      </c>
      <c r="B8169" s="65">
        <v>43493</v>
      </c>
      <c r="C8169" s="66" t="s">
        <v>216</v>
      </c>
      <c r="D8169" s="3" t="s">
        <v>41</v>
      </c>
      <c r="E8169" s="64">
        <v>1</v>
      </c>
    </row>
    <row r="8170" spans="1:5">
      <c r="A8170" s="64" t="s">
        <v>38</v>
      </c>
      <c r="B8170" s="65">
        <v>43494</v>
      </c>
      <c r="C8170" s="66" t="s">
        <v>217</v>
      </c>
      <c r="D8170" s="3" t="s">
        <v>41</v>
      </c>
      <c r="E8170" s="64">
        <v>1</v>
      </c>
    </row>
    <row r="8171" spans="1:5">
      <c r="A8171" s="64" t="s">
        <v>38</v>
      </c>
      <c r="B8171" s="65">
        <v>43495</v>
      </c>
      <c r="C8171" s="66" t="s">
        <v>218</v>
      </c>
      <c r="D8171" s="3" t="s">
        <v>41</v>
      </c>
      <c r="E8171" s="64">
        <v>1</v>
      </c>
    </row>
    <row r="8172" spans="1:5">
      <c r="A8172" s="64" t="s">
        <v>38</v>
      </c>
      <c r="B8172" s="65">
        <v>43496</v>
      </c>
      <c r="C8172" s="66" t="s">
        <v>219</v>
      </c>
      <c r="D8172" s="3" t="s">
        <v>41</v>
      </c>
      <c r="E8172" s="64">
        <v>1</v>
      </c>
    </row>
    <row r="8173" spans="1:5">
      <c r="A8173" s="64" t="s">
        <v>38</v>
      </c>
      <c r="B8173" s="65">
        <v>43497</v>
      </c>
      <c r="C8173" s="66" t="s">
        <v>220</v>
      </c>
      <c r="D8173" s="3" t="s">
        <v>41</v>
      </c>
      <c r="E8173" s="64">
        <v>1</v>
      </c>
    </row>
    <row r="8174" spans="1:5">
      <c r="A8174" s="64" t="s">
        <v>38</v>
      </c>
      <c r="B8174" s="65">
        <v>43498</v>
      </c>
      <c r="C8174" s="66" t="s">
        <v>221</v>
      </c>
      <c r="D8174" s="3" t="s">
        <v>41</v>
      </c>
      <c r="E8174" s="64">
        <v>1</v>
      </c>
    </row>
    <row r="8175" spans="1:5">
      <c r="A8175" s="64" t="s">
        <v>38</v>
      </c>
      <c r="B8175" s="65">
        <v>43499</v>
      </c>
      <c r="C8175" s="66" t="s">
        <v>222</v>
      </c>
      <c r="D8175" s="3" t="s">
        <v>41</v>
      </c>
      <c r="E8175" s="64">
        <v>1</v>
      </c>
    </row>
    <row r="8176" spans="1:5">
      <c r="A8176" s="64" t="s">
        <v>38</v>
      </c>
      <c r="B8176" s="65">
        <v>43500</v>
      </c>
      <c r="C8176" s="66" t="s">
        <v>216</v>
      </c>
      <c r="D8176" s="3" t="s">
        <v>41</v>
      </c>
      <c r="E8176" s="64">
        <v>1</v>
      </c>
    </row>
    <row r="8177" spans="1:5">
      <c r="A8177" s="64" t="s">
        <v>38</v>
      </c>
      <c r="B8177" s="65">
        <v>43501</v>
      </c>
      <c r="C8177" s="66" t="s">
        <v>217</v>
      </c>
      <c r="D8177" s="3" t="s">
        <v>41</v>
      </c>
      <c r="E8177" s="64">
        <v>1</v>
      </c>
    </row>
    <row r="8178" spans="1:5">
      <c r="A8178" s="64" t="s">
        <v>38</v>
      </c>
      <c r="B8178" s="65">
        <v>43502</v>
      </c>
      <c r="C8178" s="66" t="s">
        <v>218</v>
      </c>
      <c r="D8178" s="3" t="s">
        <v>41</v>
      </c>
      <c r="E8178" s="64">
        <v>1</v>
      </c>
    </row>
    <row r="8179" spans="1:5">
      <c r="A8179" s="64" t="s">
        <v>38</v>
      </c>
      <c r="B8179" s="65">
        <v>43503</v>
      </c>
      <c r="C8179" s="66" t="s">
        <v>219</v>
      </c>
      <c r="D8179" s="3" t="s">
        <v>41</v>
      </c>
      <c r="E8179" s="64">
        <v>1</v>
      </c>
    </row>
    <row r="8180" spans="1:5">
      <c r="A8180" s="64" t="s">
        <v>38</v>
      </c>
      <c r="B8180" s="65">
        <v>43504</v>
      </c>
      <c r="C8180" s="66" t="s">
        <v>220</v>
      </c>
      <c r="D8180" s="3" t="s">
        <v>41</v>
      </c>
      <c r="E8180" s="64">
        <v>1</v>
      </c>
    </row>
    <row r="8181" spans="1:5">
      <c r="A8181" s="64" t="s">
        <v>38</v>
      </c>
      <c r="B8181" s="65">
        <v>43505</v>
      </c>
      <c r="C8181" s="66" t="s">
        <v>221</v>
      </c>
      <c r="D8181" s="3" t="s">
        <v>41</v>
      </c>
      <c r="E8181" s="64">
        <v>1</v>
      </c>
    </row>
    <row r="8182" spans="1:5">
      <c r="A8182" s="64" t="s">
        <v>38</v>
      </c>
      <c r="B8182" s="65">
        <v>43506</v>
      </c>
      <c r="C8182" s="66" t="s">
        <v>222</v>
      </c>
      <c r="D8182" s="3" t="s">
        <v>41</v>
      </c>
      <c r="E8182" s="64">
        <v>1</v>
      </c>
    </row>
    <row r="8183" spans="1:5">
      <c r="A8183" s="64" t="s">
        <v>38</v>
      </c>
      <c r="B8183" s="65">
        <v>43507</v>
      </c>
      <c r="C8183" s="66" t="s">
        <v>216</v>
      </c>
      <c r="D8183" s="3" t="s">
        <v>41</v>
      </c>
      <c r="E8183" s="64">
        <v>1</v>
      </c>
    </row>
    <row r="8184" spans="1:5">
      <c r="A8184" s="64" t="s">
        <v>38</v>
      </c>
      <c r="B8184" s="65">
        <v>43508</v>
      </c>
      <c r="C8184" s="66" t="s">
        <v>217</v>
      </c>
      <c r="D8184" s="3" t="s">
        <v>41</v>
      </c>
      <c r="E8184" s="64">
        <v>1</v>
      </c>
    </row>
    <row r="8185" spans="1:5">
      <c r="A8185" s="64" t="s">
        <v>38</v>
      </c>
      <c r="B8185" s="65">
        <v>43509</v>
      </c>
      <c r="C8185" s="66" t="s">
        <v>218</v>
      </c>
      <c r="D8185" s="3" t="s">
        <v>41</v>
      </c>
      <c r="E8185" s="64">
        <v>1</v>
      </c>
    </row>
    <row r="8186" spans="1:5">
      <c r="A8186" s="64" t="s">
        <v>38</v>
      </c>
      <c r="B8186" s="65">
        <v>43510</v>
      </c>
      <c r="C8186" s="66" t="s">
        <v>219</v>
      </c>
      <c r="D8186" s="3" t="s">
        <v>41</v>
      </c>
      <c r="E8186" s="64">
        <v>1</v>
      </c>
    </row>
    <row r="8187" spans="1:5">
      <c r="A8187" s="64" t="s">
        <v>38</v>
      </c>
      <c r="B8187" s="65">
        <v>43511</v>
      </c>
      <c r="C8187" s="66" t="s">
        <v>220</v>
      </c>
      <c r="D8187" s="3" t="s">
        <v>41</v>
      </c>
      <c r="E8187" s="64">
        <v>1</v>
      </c>
    </row>
    <row r="8188" spans="1:5">
      <c r="A8188" s="64" t="s">
        <v>38</v>
      </c>
      <c r="B8188" s="65">
        <v>43512</v>
      </c>
      <c r="C8188" s="66" t="s">
        <v>221</v>
      </c>
      <c r="D8188" s="3" t="s">
        <v>41</v>
      </c>
      <c r="E8188" s="64">
        <v>1</v>
      </c>
    </row>
    <row r="8189" spans="1:5">
      <c r="A8189" s="64" t="s">
        <v>38</v>
      </c>
      <c r="B8189" s="65">
        <v>43513</v>
      </c>
      <c r="C8189" s="66" t="s">
        <v>222</v>
      </c>
      <c r="D8189" s="3" t="s">
        <v>41</v>
      </c>
      <c r="E8189" s="64">
        <v>1</v>
      </c>
    </row>
    <row r="8190" spans="1:5">
      <c r="A8190" s="64" t="s">
        <v>38</v>
      </c>
      <c r="B8190" s="65">
        <v>43514</v>
      </c>
      <c r="C8190" s="66" t="s">
        <v>216</v>
      </c>
      <c r="D8190" s="3" t="s">
        <v>41</v>
      </c>
      <c r="E8190" s="64">
        <v>1</v>
      </c>
    </row>
    <row r="8191" spans="1:5">
      <c r="A8191" s="64" t="s">
        <v>38</v>
      </c>
      <c r="B8191" s="65">
        <v>43515</v>
      </c>
      <c r="C8191" s="66" t="s">
        <v>217</v>
      </c>
      <c r="D8191" s="3" t="s">
        <v>41</v>
      </c>
      <c r="E8191" s="64">
        <v>1</v>
      </c>
    </row>
    <row r="8192" spans="1:5">
      <c r="A8192" s="64" t="s">
        <v>38</v>
      </c>
      <c r="B8192" s="65">
        <v>43516</v>
      </c>
      <c r="C8192" s="66" t="s">
        <v>218</v>
      </c>
      <c r="D8192" s="3" t="s">
        <v>41</v>
      </c>
      <c r="E8192" s="64">
        <v>1</v>
      </c>
    </row>
    <row r="8193" spans="1:5">
      <c r="A8193" s="64" t="s">
        <v>38</v>
      </c>
      <c r="B8193" s="65">
        <v>43517</v>
      </c>
      <c r="C8193" s="66" t="s">
        <v>219</v>
      </c>
      <c r="D8193" s="3" t="s">
        <v>41</v>
      </c>
      <c r="E8193" s="64">
        <v>1</v>
      </c>
    </row>
    <row r="8194" spans="1:5">
      <c r="A8194" s="64" t="s">
        <v>38</v>
      </c>
      <c r="B8194" s="65">
        <v>43518</v>
      </c>
      <c r="C8194" s="66" t="s">
        <v>220</v>
      </c>
      <c r="D8194" s="3" t="s">
        <v>41</v>
      </c>
      <c r="E8194" s="64">
        <v>1</v>
      </c>
    </row>
    <row r="8195" spans="1:5">
      <c r="A8195" s="64" t="s">
        <v>38</v>
      </c>
      <c r="B8195" s="65">
        <v>43519</v>
      </c>
      <c r="C8195" s="66" t="s">
        <v>221</v>
      </c>
      <c r="D8195" s="3" t="s">
        <v>41</v>
      </c>
      <c r="E8195" s="64">
        <v>1</v>
      </c>
    </row>
    <row r="8196" spans="1:5">
      <c r="A8196" s="64" t="s">
        <v>38</v>
      </c>
      <c r="B8196" s="65">
        <v>43520</v>
      </c>
      <c r="C8196" s="66" t="s">
        <v>222</v>
      </c>
      <c r="D8196" s="3" t="s">
        <v>41</v>
      </c>
      <c r="E8196" s="64">
        <v>1</v>
      </c>
    </row>
    <row r="8197" spans="1:5">
      <c r="A8197" s="64" t="s">
        <v>38</v>
      </c>
      <c r="B8197" s="65">
        <v>43521</v>
      </c>
      <c r="C8197" s="66" t="s">
        <v>216</v>
      </c>
      <c r="D8197" s="3" t="s">
        <v>41</v>
      </c>
      <c r="E8197" s="64">
        <v>1</v>
      </c>
    </row>
    <row r="8198" spans="1:5">
      <c r="A8198" s="64" t="s">
        <v>38</v>
      </c>
      <c r="B8198" s="65">
        <v>43522</v>
      </c>
      <c r="C8198" s="66" t="s">
        <v>217</v>
      </c>
      <c r="D8198" s="3" t="s">
        <v>41</v>
      </c>
      <c r="E8198" s="64">
        <v>1</v>
      </c>
    </row>
    <row r="8199" spans="1:5">
      <c r="A8199" s="64" t="s">
        <v>38</v>
      </c>
      <c r="B8199" s="65">
        <v>43523</v>
      </c>
      <c r="C8199" s="66" t="s">
        <v>218</v>
      </c>
      <c r="D8199" s="3" t="s">
        <v>41</v>
      </c>
      <c r="E8199" s="64">
        <v>1</v>
      </c>
    </row>
    <row r="8200" spans="1:5">
      <c r="A8200" s="64" t="s">
        <v>38</v>
      </c>
      <c r="B8200" s="65">
        <v>43524</v>
      </c>
      <c r="C8200" s="66" t="s">
        <v>219</v>
      </c>
      <c r="D8200" s="3" t="s">
        <v>41</v>
      </c>
      <c r="E8200" s="64">
        <v>1</v>
      </c>
    </row>
    <row r="8201" spans="1:5">
      <c r="A8201" s="64" t="s">
        <v>38</v>
      </c>
      <c r="B8201" s="65">
        <v>43525</v>
      </c>
      <c r="C8201" s="66" t="s">
        <v>220</v>
      </c>
      <c r="D8201" s="3" t="s">
        <v>41</v>
      </c>
      <c r="E8201" s="64">
        <v>1</v>
      </c>
    </row>
    <row r="8202" spans="1:5">
      <c r="A8202" s="64" t="s">
        <v>38</v>
      </c>
      <c r="B8202" s="65">
        <v>43526</v>
      </c>
      <c r="C8202" s="66" t="s">
        <v>221</v>
      </c>
      <c r="D8202" s="3" t="s">
        <v>41</v>
      </c>
      <c r="E8202" s="64">
        <v>1</v>
      </c>
    </row>
    <row r="8203" spans="1:5">
      <c r="A8203" s="64" t="s">
        <v>38</v>
      </c>
      <c r="B8203" s="65">
        <v>43527</v>
      </c>
      <c r="C8203" s="66" t="s">
        <v>222</v>
      </c>
      <c r="D8203" s="3" t="s">
        <v>41</v>
      </c>
      <c r="E8203" s="64">
        <v>1</v>
      </c>
    </row>
    <row r="8204" spans="1:5">
      <c r="A8204" s="64" t="s">
        <v>38</v>
      </c>
      <c r="B8204" s="65">
        <v>43528</v>
      </c>
      <c r="C8204" s="66" t="s">
        <v>216</v>
      </c>
      <c r="D8204" s="3" t="s">
        <v>41</v>
      </c>
      <c r="E8204" s="64">
        <v>1</v>
      </c>
    </row>
    <row r="8205" spans="1:5">
      <c r="A8205" s="64" t="s">
        <v>38</v>
      </c>
      <c r="B8205" s="65">
        <v>43529</v>
      </c>
      <c r="C8205" s="66" t="s">
        <v>217</v>
      </c>
      <c r="D8205" s="3" t="s">
        <v>41</v>
      </c>
      <c r="E8205" s="64">
        <v>1</v>
      </c>
    </row>
    <row r="8206" spans="1:5">
      <c r="A8206" s="64" t="s">
        <v>38</v>
      </c>
      <c r="B8206" s="65">
        <v>43530</v>
      </c>
      <c r="C8206" s="66" t="s">
        <v>218</v>
      </c>
      <c r="D8206" s="3" t="s">
        <v>41</v>
      </c>
      <c r="E8206" s="64">
        <v>1</v>
      </c>
    </row>
    <row r="8207" spans="1:5">
      <c r="A8207" s="64" t="s">
        <v>38</v>
      </c>
      <c r="B8207" s="65">
        <v>43531</v>
      </c>
      <c r="C8207" s="66" t="s">
        <v>219</v>
      </c>
      <c r="D8207" s="3" t="s">
        <v>41</v>
      </c>
      <c r="E8207" s="64">
        <v>1</v>
      </c>
    </row>
    <row r="8208" spans="1:5">
      <c r="A8208" s="64" t="s">
        <v>38</v>
      </c>
      <c r="B8208" s="65">
        <v>43532</v>
      </c>
      <c r="C8208" s="66" t="s">
        <v>220</v>
      </c>
      <c r="D8208" s="3" t="s">
        <v>41</v>
      </c>
      <c r="E8208" s="64">
        <v>1</v>
      </c>
    </row>
    <row r="8209" spans="1:5">
      <c r="A8209" s="64" t="s">
        <v>38</v>
      </c>
      <c r="B8209" s="65">
        <v>43533</v>
      </c>
      <c r="C8209" s="66" t="s">
        <v>221</v>
      </c>
      <c r="D8209" s="3" t="s">
        <v>41</v>
      </c>
      <c r="E8209" s="64">
        <v>1</v>
      </c>
    </row>
    <row r="8210" spans="1:5">
      <c r="A8210" s="64" t="s">
        <v>38</v>
      </c>
      <c r="B8210" s="65">
        <v>43534</v>
      </c>
      <c r="C8210" s="66" t="s">
        <v>222</v>
      </c>
      <c r="D8210" s="3" t="s">
        <v>41</v>
      </c>
      <c r="E8210" s="64">
        <v>1</v>
      </c>
    </row>
    <row r="8211" spans="1:5">
      <c r="A8211" s="64" t="s">
        <v>38</v>
      </c>
      <c r="B8211" s="65">
        <v>43535</v>
      </c>
      <c r="C8211" s="66" t="s">
        <v>216</v>
      </c>
      <c r="D8211" s="3" t="s">
        <v>41</v>
      </c>
      <c r="E8211" s="64">
        <v>1</v>
      </c>
    </row>
    <row r="8212" spans="1:5">
      <c r="A8212" s="64" t="s">
        <v>38</v>
      </c>
      <c r="B8212" s="65">
        <v>43536</v>
      </c>
      <c r="C8212" s="66" t="s">
        <v>217</v>
      </c>
      <c r="D8212" s="3" t="s">
        <v>41</v>
      </c>
      <c r="E8212" s="64">
        <v>1</v>
      </c>
    </row>
    <row r="8213" spans="1:5">
      <c r="A8213" s="64" t="s">
        <v>38</v>
      </c>
      <c r="B8213" s="65">
        <v>43537</v>
      </c>
      <c r="C8213" s="66" t="s">
        <v>218</v>
      </c>
      <c r="D8213" s="3" t="s">
        <v>41</v>
      </c>
      <c r="E8213" s="64">
        <v>1</v>
      </c>
    </row>
    <row r="8214" spans="1:5">
      <c r="A8214" s="64" t="s">
        <v>38</v>
      </c>
      <c r="B8214" s="65">
        <v>43538</v>
      </c>
      <c r="C8214" s="66" t="s">
        <v>219</v>
      </c>
      <c r="D8214" s="3" t="s">
        <v>41</v>
      </c>
      <c r="E8214" s="64">
        <v>1</v>
      </c>
    </row>
    <row r="8215" spans="1:5">
      <c r="A8215" s="64" t="s">
        <v>38</v>
      </c>
      <c r="B8215" s="65">
        <v>43539</v>
      </c>
      <c r="C8215" s="66" t="s">
        <v>220</v>
      </c>
      <c r="D8215" s="3" t="s">
        <v>41</v>
      </c>
      <c r="E8215" s="64">
        <v>1</v>
      </c>
    </row>
    <row r="8216" spans="1:5">
      <c r="A8216" s="64" t="s">
        <v>38</v>
      </c>
      <c r="B8216" s="65">
        <v>43540</v>
      </c>
      <c r="C8216" s="66" t="s">
        <v>221</v>
      </c>
      <c r="D8216" s="3" t="s">
        <v>41</v>
      </c>
      <c r="E8216" s="64">
        <v>1</v>
      </c>
    </row>
    <row r="8217" spans="1:5">
      <c r="A8217" s="64" t="s">
        <v>38</v>
      </c>
      <c r="B8217" s="65">
        <v>43541</v>
      </c>
      <c r="C8217" s="66" t="s">
        <v>222</v>
      </c>
      <c r="D8217" s="3" t="s">
        <v>41</v>
      </c>
      <c r="E8217" s="64">
        <v>1</v>
      </c>
    </row>
    <row r="8218" spans="1:5">
      <c r="A8218" s="64" t="s">
        <v>38</v>
      </c>
      <c r="B8218" s="65">
        <v>43542</v>
      </c>
      <c r="C8218" s="66" t="s">
        <v>216</v>
      </c>
      <c r="D8218" s="3" t="s">
        <v>41</v>
      </c>
      <c r="E8218" s="64">
        <v>1</v>
      </c>
    </row>
    <row r="8219" spans="1:5">
      <c r="A8219" s="64" t="s">
        <v>38</v>
      </c>
      <c r="B8219" s="65">
        <v>43543</v>
      </c>
      <c r="C8219" s="66" t="s">
        <v>217</v>
      </c>
      <c r="D8219" s="3" t="s">
        <v>41</v>
      </c>
      <c r="E8219" s="64">
        <v>1</v>
      </c>
    </row>
    <row r="8220" spans="1:5">
      <c r="A8220" s="64" t="s">
        <v>38</v>
      </c>
      <c r="B8220" s="65">
        <v>43544</v>
      </c>
      <c r="C8220" s="66" t="s">
        <v>218</v>
      </c>
      <c r="D8220" s="3" t="s">
        <v>41</v>
      </c>
      <c r="E8220" s="64">
        <v>1</v>
      </c>
    </row>
    <row r="8221" spans="1:5">
      <c r="A8221" s="64" t="s">
        <v>38</v>
      </c>
      <c r="B8221" s="65">
        <v>43545</v>
      </c>
      <c r="C8221" s="66" t="s">
        <v>219</v>
      </c>
      <c r="D8221" s="3" t="s">
        <v>41</v>
      </c>
      <c r="E8221" s="64">
        <v>1</v>
      </c>
    </row>
    <row r="8222" spans="1:5">
      <c r="A8222" s="64" t="s">
        <v>38</v>
      </c>
      <c r="B8222" s="65">
        <v>43546</v>
      </c>
      <c r="C8222" s="66" t="s">
        <v>220</v>
      </c>
      <c r="D8222" s="3" t="s">
        <v>41</v>
      </c>
      <c r="E8222" s="64">
        <v>1</v>
      </c>
    </row>
    <row r="8223" spans="1:5">
      <c r="A8223" s="64" t="s">
        <v>38</v>
      </c>
      <c r="B8223" s="65">
        <v>43547</v>
      </c>
      <c r="C8223" s="66" t="s">
        <v>221</v>
      </c>
      <c r="D8223" s="3" t="s">
        <v>41</v>
      </c>
      <c r="E8223" s="64">
        <v>1</v>
      </c>
    </row>
    <row r="8224" spans="1:5">
      <c r="A8224" s="64" t="s">
        <v>38</v>
      </c>
      <c r="B8224" s="65">
        <v>43548</v>
      </c>
      <c r="C8224" s="66" t="s">
        <v>222</v>
      </c>
      <c r="D8224" s="3" t="s">
        <v>41</v>
      </c>
      <c r="E8224" s="64">
        <v>1</v>
      </c>
    </row>
    <row r="8225" spans="1:5">
      <c r="A8225" s="64" t="s">
        <v>38</v>
      </c>
      <c r="B8225" s="65">
        <v>43549</v>
      </c>
      <c r="C8225" s="66" t="s">
        <v>216</v>
      </c>
      <c r="D8225" s="3" t="s">
        <v>41</v>
      </c>
      <c r="E8225" s="64">
        <v>1</v>
      </c>
    </row>
    <row r="8226" spans="1:5">
      <c r="A8226" s="64" t="s">
        <v>38</v>
      </c>
      <c r="B8226" s="65">
        <v>43550</v>
      </c>
      <c r="C8226" s="66" t="s">
        <v>217</v>
      </c>
      <c r="D8226" s="3" t="s">
        <v>41</v>
      </c>
      <c r="E8226" s="64">
        <v>1</v>
      </c>
    </row>
    <row r="8227" spans="1:5">
      <c r="A8227" s="64" t="s">
        <v>38</v>
      </c>
      <c r="B8227" s="65">
        <v>43551</v>
      </c>
      <c r="C8227" s="66" t="s">
        <v>218</v>
      </c>
      <c r="D8227" s="3" t="s">
        <v>41</v>
      </c>
      <c r="E8227" s="64">
        <v>1</v>
      </c>
    </row>
    <row r="8228" spans="1:5">
      <c r="A8228" s="64" t="s">
        <v>38</v>
      </c>
      <c r="B8228" s="65">
        <v>43552</v>
      </c>
      <c r="C8228" s="66" t="s">
        <v>219</v>
      </c>
      <c r="D8228" s="3" t="s">
        <v>41</v>
      </c>
      <c r="E8228" s="64">
        <v>1</v>
      </c>
    </row>
    <row r="8229" spans="1:5">
      <c r="A8229" s="64" t="s">
        <v>38</v>
      </c>
      <c r="B8229" s="65">
        <v>43553</v>
      </c>
      <c r="C8229" s="66" t="s">
        <v>220</v>
      </c>
      <c r="D8229" s="3" t="s">
        <v>41</v>
      </c>
      <c r="E8229" s="64">
        <v>1</v>
      </c>
    </row>
    <row r="8230" spans="1:5">
      <c r="A8230" s="64" t="s">
        <v>38</v>
      </c>
      <c r="B8230" s="65">
        <v>43554</v>
      </c>
      <c r="C8230" s="66" t="s">
        <v>221</v>
      </c>
      <c r="D8230" s="3" t="s">
        <v>41</v>
      </c>
      <c r="E8230" s="64">
        <v>1</v>
      </c>
    </row>
    <row r="8231" spans="1:5">
      <c r="A8231" s="64" t="s">
        <v>38</v>
      </c>
      <c r="B8231" s="65">
        <v>43555</v>
      </c>
      <c r="C8231" s="66" t="s">
        <v>222</v>
      </c>
      <c r="D8231" s="3" t="s">
        <v>41</v>
      </c>
      <c r="E8231" s="64">
        <v>1</v>
      </c>
    </row>
    <row r="8232" spans="1:5">
      <c r="A8232" s="64" t="s">
        <v>38</v>
      </c>
      <c r="B8232" s="65">
        <v>43556</v>
      </c>
      <c r="C8232" s="66" t="s">
        <v>216</v>
      </c>
      <c r="D8232" s="3" t="s">
        <v>41</v>
      </c>
      <c r="E8232" s="64">
        <v>1</v>
      </c>
    </row>
    <row r="8233" spans="1:5">
      <c r="A8233" s="64" t="s">
        <v>38</v>
      </c>
      <c r="B8233" s="65">
        <v>43557</v>
      </c>
      <c r="C8233" s="66" t="s">
        <v>217</v>
      </c>
      <c r="D8233" s="3" t="s">
        <v>41</v>
      </c>
      <c r="E8233" s="64">
        <v>1</v>
      </c>
    </row>
    <row r="8234" spans="1:5">
      <c r="A8234" s="64" t="s">
        <v>38</v>
      </c>
      <c r="B8234" s="65">
        <v>43558</v>
      </c>
      <c r="C8234" s="66" t="s">
        <v>218</v>
      </c>
      <c r="D8234" s="3" t="s">
        <v>41</v>
      </c>
      <c r="E8234" s="64">
        <v>1</v>
      </c>
    </row>
    <row r="8235" spans="1:5">
      <c r="A8235" s="64" t="s">
        <v>38</v>
      </c>
      <c r="B8235" s="65">
        <v>43559</v>
      </c>
      <c r="C8235" s="66" t="s">
        <v>219</v>
      </c>
      <c r="D8235" s="3" t="s">
        <v>41</v>
      </c>
      <c r="E8235" s="64">
        <v>1</v>
      </c>
    </row>
    <row r="8236" spans="1:5">
      <c r="A8236" s="64" t="s">
        <v>38</v>
      </c>
      <c r="B8236" s="65">
        <v>43560</v>
      </c>
      <c r="C8236" s="66" t="s">
        <v>220</v>
      </c>
      <c r="D8236" s="3" t="s">
        <v>41</v>
      </c>
      <c r="E8236" s="64">
        <v>1</v>
      </c>
    </row>
    <row r="8237" spans="1:5">
      <c r="A8237" s="64" t="s">
        <v>42</v>
      </c>
      <c r="B8237" s="65">
        <v>43405</v>
      </c>
      <c r="C8237" s="66" t="s">
        <v>219</v>
      </c>
      <c r="D8237" s="3" t="s">
        <v>43</v>
      </c>
      <c r="E8237" s="64">
        <v>1</v>
      </c>
    </row>
    <row r="8238" spans="1:5">
      <c r="A8238" s="64" t="s">
        <v>42</v>
      </c>
      <c r="B8238" s="65">
        <v>43406</v>
      </c>
      <c r="C8238" s="66" t="s">
        <v>220</v>
      </c>
      <c r="D8238" s="3" t="s">
        <v>43</v>
      </c>
      <c r="E8238" s="64">
        <v>1</v>
      </c>
    </row>
    <row r="8239" spans="1:5">
      <c r="A8239" s="64" t="s">
        <v>42</v>
      </c>
      <c r="B8239" s="65">
        <v>43409</v>
      </c>
      <c r="C8239" s="66" t="s">
        <v>216</v>
      </c>
      <c r="D8239" s="3" t="s">
        <v>43</v>
      </c>
      <c r="E8239" s="64">
        <v>1</v>
      </c>
    </row>
    <row r="8240" spans="1:5">
      <c r="A8240" s="64" t="s">
        <v>42</v>
      </c>
      <c r="B8240" s="65">
        <v>43410</v>
      </c>
      <c r="C8240" s="66" t="s">
        <v>217</v>
      </c>
      <c r="D8240" s="3" t="s">
        <v>43</v>
      </c>
      <c r="E8240" s="64">
        <v>1</v>
      </c>
    </row>
    <row r="8241" spans="1:5">
      <c r="A8241" s="64" t="s">
        <v>42</v>
      </c>
      <c r="B8241" s="65">
        <v>43411</v>
      </c>
      <c r="C8241" s="66" t="s">
        <v>218</v>
      </c>
      <c r="D8241" s="3" t="s">
        <v>43</v>
      </c>
      <c r="E8241" s="64">
        <v>1</v>
      </c>
    </row>
    <row r="8242" spans="1:5">
      <c r="A8242" s="64" t="s">
        <v>42</v>
      </c>
      <c r="B8242" s="65">
        <v>43412</v>
      </c>
      <c r="C8242" s="66" t="s">
        <v>219</v>
      </c>
      <c r="D8242" s="3" t="s">
        <v>43</v>
      </c>
      <c r="E8242" s="64">
        <v>1</v>
      </c>
    </row>
    <row r="8243" spans="1:5">
      <c r="A8243" s="64" t="s">
        <v>42</v>
      </c>
      <c r="B8243" s="65">
        <v>43413</v>
      </c>
      <c r="C8243" s="66" t="s">
        <v>220</v>
      </c>
      <c r="D8243" s="3" t="s">
        <v>43</v>
      </c>
      <c r="E8243" s="64">
        <v>1</v>
      </c>
    </row>
    <row r="8244" spans="1:5">
      <c r="A8244" s="64" t="s">
        <v>42</v>
      </c>
      <c r="B8244" s="65">
        <v>43416</v>
      </c>
      <c r="C8244" s="66" t="s">
        <v>216</v>
      </c>
      <c r="D8244" s="3" t="s">
        <v>43</v>
      </c>
      <c r="E8244" s="64">
        <v>1</v>
      </c>
    </row>
    <row r="8245" spans="1:5">
      <c r="A8245" s="64" t="s">
        <v>42</v>
      </c>
      <c r="B8245" s="65">
        <v>43417</v>
      </c>
      <c r="C8245" s="66" t="s">
        <v>217</v>
      </c>
      <c r="D8245" s="3" t="s">
        <v>43</v>
      </c>
      <c r="E8245" s="64">
        <v>1</v>
      </c>
    </row>
    <row r="8246" spans="1:5">
      <c r="A8246" s="64" t="s">
        <v>42</v>
      </c>
      <c r="B8246" s="65">
        <v>43418</v>
      </c>
      <c r="C8246" s="66" t="s">
        <v>218</v>
      </c>
      <c r="D8246" s="3" t="s">
        <v>43</v>
      </c>
      <c r="E8246" s="64">
        <v>1</v>
      </c>
    </row>
    <row r="8247" spans="1:5">
      <c r="A8247" s="64" t="s">
        <v>42</v>
      </c>
      <c r="B8247" s="65">
        <v>43419</v>
      </c>
      <c r="C8247" s="66" t="s">
        <v>219</v>
      </c>
      <c r="D8247" s="3" t="s">
        <v>43</v>
      </c>
      <c r="E8247" s="64">
        <v>1</v>
      </c>
    </row>
    <row r="8248" spans="1:5">
      <c r="A8248" s="64" t="s">
        <v>42</v>
      </c>
      <c r="B8248" s="65">
        <v>43420</v>
      </c>
      <c r="C8248" s="66" t="s">
        <v>220</v>
      </c>
      <c r="D8248" s="3" t="s">
        <v>43</v>
      </c>
      <c r="E8248" s="64">
        <v>1</v>
      </c>
    </row>
    <row r="8249" spans="1:5">
      <c r="A8249" s="64" t="s">
        <v>42</v>
      </c>
      <c r="B8249" s="65">
        <v>43423</v>
      </c>
      <c r="C8249" s="66" t="s">
        <v>216</v>
      </c>
      <c r="D8249" s="3" t="s">
        <v>43</v>
      </c>
      <c r="E8249" s="64">
        <v>1</v>
      </c>
    </row>
    <row r="8250" spans="1:5">
      <c r="A8250" s="64" t="s">
        <v>42</v>
      </c>
      <c r="B8250" s="65">
        <v>43424</v>
      </c>
      <c r="C8250" s="66" t="s">
        <v>217</v>
      </c>
      <c r="D8250" s="3" t="s">
        <v>43</v>
      </c>
      <c r="E8250" s="64">
        <v>1</v>
      </c>
    </row>
    <row r="8251" spans="1:5">
      <c r="A8251" s="64" t="s">
        <v>42</v>
      </c>
      <c r="B8251" s="65">
        <v>43425</v>
      </c>
      <c r="C8251" s="66" t="s">
        <v>218</v>
      </c>
      <c r="D8251" s="3" t="s">
        <v>43</v>
      </c>
      <c r="E8251" s="64">
        <v>1</v>
      </c>
    </row>
    <row r="8252" spans="1:5">
      <c r="A8252" s="64" t="s">
        <v>42</v>
      </c>
      <c r="B8252" s="65">
        <v>43426</v>
      </c>
      <c r="C8252" s="66" t="s">
        <v>219</v>
      </c>
      <c r="D8252" s="3" t="s">
        <v>43</v>
      </c>
      <c r="E8252" s="64">
        <v>1</v>
      </c>
    </row>
    <row r="8253" spans="1:5">
      <c r="A8253" s="64" t="s">
        <v>42</v>
      </c>
      <c r="B8253" s="65">
        <v>43427</v>
      </c>
      <c r="C8253" s="66" t="s">
        <v>220</v>
      </c>
      <c r="D8253" s="3" t="s">
        <v>43</v>
      </c>
      <c r="E8253" s="64">
        <v>1</v>
      </c>
    </row>
    <row r="8254" spans="1:5">
      <c r="A8254" s="64" t="s">
        <v>42</v>
      </c>
      <c r="B8254" s="65">
        <v>43430</v>
      </c>
      <c r="C8254" s="66" t="s">
        <v>216</v>
      </c>
      <c r="D8254" s="3" t="s">
        <v>43</v>
      </c>
      <c r="E8254" s="64">
        <v>1</v>
      </c>
    </row>
    <row r="8255" spans="1:5">
      <c r="A8255" s="64" t="s">
        <v>42</v>
      </c>
      <c r="B8255" s="65">
        <v>43431</v>
      </c>
      <c r="C8255" s="66" t="s">
        <v>217</v>
      </c>
      <c r="D8255" s="3" t="s">
        <v>43</v>
      </c>
      <c r="E8255" s="64">
        <v>1</v>
      </c>
    </row>
    <row r="8256" spans="1:5">
      <c r="A8256" s="64" t="s">
        <v>42</v>
      </c>
      <c r="B8256" s="65">
        <v>43432</v>
      </c>
      <c r="C8256" s="66" t="s">
        <v>218</v>
      </c>
      <c r="D8256" s="3" t="s">
        <v>43</v>
      </c>
      <c r="E8256" s="64">
        <v>1</v>
      </c>
    </row>
    <row r="8257" spans="1:5">
      <c r="A8257" s="64" t="s">
        <v>42</v>
      </c>
      <c r="B8257" s="65">
        <v>43433</v>
      </c>
      <c r="C8257" s="66" t="s">
        <v>219</v>
      </c>
      <c r="D8257" s="3" t="s">
        <v>43</v>
      </c>
      <c r="E8257" s="64">
        <v>1</v>
      </c>
    </row>
    <row r="8258" spans="1:5">
      <c r="A8258" s="64" t="s">
        <v>42</v>
      </c>
      <c r="B8258" s="65">
        <v>43434</v>
      </c>
      <c r="C8258" s="66" t="s">
        <v>220</v>
      </c>
      <c r="D8258" s="3" t="s">
        <v>43</v>
      </c>
      <c r="E8258" s="64">
        <v>1</v>
      </c>
    </row>
    <row r="8259" spans="1:5">
      <c r="A8259" s="64" t="s">
        <v>42</v>
      </c>
      <c r="B8259" s="65">
        <v>43437</v>
      </c>
      <c r="C8259" s="66" t="s">
        <v>216</v>
      </c>
      <c r="D8259" s="3" t="s">
        <v>43</v>
      </c>
      <c r="E8259" s="64">
        <v>1</v>
      </c>
    </row>
    <row r="8260" spans="1:5">
      <c r="A8260" s="64" t="s">
        <v>42</v>
      </c>
      <c r="B8260" s="65">
        <v>43438</v>
      </c>
      <c r="C8260" s="66" t="s">
        <v>217</v>
      </c>
      <c r="D8260" s="3" t="s">
        <v>43</v>
      </c>
      <c r="E8260" s="64">
        <v>1</v>
      </c>
    </row>
    <row r="8261" spans="1:5">
      <c r="A8261" s="64" t="s">
        <v>42</v>
      </c>
      <c r="B8261" s="65">
        <v>43439</v>
      </c>
      <c r="C8261" s="66" t="s">
        <v>218</v>
      </c>
      <c r="D8261" s="3" t="s">
        <v>43</v>
      </c>
      <c r="E8261" s="64">
        <v>1</v>
      </c>
    </row>
    <row r="8262" spans="1:5">
      <c r="A8262" s="64" t="s">
        <v>42</v>
      </c>
      <c r="B8262" s="65">
        <v>43440</v>
      </c>
      <c r="C8262" s="66" t="s">
        <v>219</v>
      </c>
      <c r="D8262" s="3" t="s">
        <v>43</v>
      </c>
      <c r="E8262" s="64">
        <v>1</v>
      </c>
    </row>
    <row r="8263" spans="1:5">
      <c r="A8263" s="64" t="s">
        <v>42</v>
      </c>
      <c r="B8263" s="65">
        <v>43441</v>
      </c>
      <c r="C8263" s="66" t="s">
        <v>220</v>
      </c>
      <c r="D8263" s="3" t="s">
        <v>43</v>
      </c>
      <c r="E8263" s="64">
        <v>1</v>
      </c>
    </row>
    <row r="8264" spans="1:5">
      <c r="A8264" s="64" t="s">
        <v>42</v>
      </c>
      <c r="B8264" s="65">
        <v>43444</v>
      </c>
      <c r="C8264" s="66" t="s">
        <v>216</v>
      </c>
      <c r="D8264" s="3" t="s">
        <v>43</v>
      </c>
      <c r="E8264" s="64">
        <v>1</v>
      </c>
    </row>
    <row r="8265" spans="1:5">
      <c r="A8265" s="64" t="s">
        <v>42</v>
      </c>
      <c r="B8265" s="65">
        <v>43445</v>
      </c>
      <c r="C8265" s="66" t="s">
        <v>217</v>
      </c>
      <c r="D8265" s="3" t="s">
        <v>43</v>
      </c>
      <c r="E8265" s="64">
        <v>1</v>
      </c>
    </row>
    <row r="8266" spans="1:5">
      <c r="A8266" s="64" t="s">
        <v>42</v>
      </c>
      <c r="B8266" s="65">
        <v>43446</v>
      </c>
      <c r="C8266" s="66" t="s">
        <v>218</v>
      </c>
      <c r="D8266" s="3" t="s">
        <v>43</v>
      </c>
      <c r="E8266" s="64">
        <v>1</v>
      </c>
    </row>
    <row r="8267" spans="1:5">
      <c r="A8267" s="64" t="s">
        <v>42</v>
      </c>
      <c r="B8267" s="65">
        <v>43447</v>
      </c>
      <c r="C8267" s="66" t="s">
        <v>219</v>
      </c>
      <c r="D8267" s="3" t="s">
        <v>43</v>
      </c>
      <c r="E8267" s="64">
        <v>1</v>
      </c>
    </row>
    <row r="8268" spans="1:5">
      <c r="A8268" s="64" t="s">
        <v>42</v>
      </c>
      <c r="B8268" s="65">
        <v>43448</v>
      </c>
      <c r="C8268" s="66" t="s">
        <v>220</v>
      </c>
      <c r="D8268" s="3" t="s">
        <v>43</v>
      </c>
      <c r="E8268" s="64">
        <v>1</v>
      </c>
    </row>
    <row r="8269" spans="1:5">
      <c r="A8269" s="64" t="s">
        <v>42</v>
      </c>
      <c r="B8269" s="65">
        <v>43451</v>
      </c>
      <c r="C8269" s="66" t="s">
        <v>216</v>
      </c>
      <c r="D8269" s="3" t="s">
        <v>43</v>
      </c>
      <c r="E8269" s="64">
        <v>1</v>
      </c>
    </row>
    <row r="8270" spans="1:5">
      <c r="A8270" s="64" t="s">
        <v>42</v>
      </c>
      <c r="B8270" s="65">
        <v>43452</v>
      </c>
      <c r="C8270" s="66" t="s">
        <v>217</v>
      </c>
      <c r="D8270" s="3" t="s">
        <v>43</v>
      </c>
      <c r="E8270" s="64">
        <v>1</v>
      </c>
    </row>
    <row r="8271" spans="1:5">
      <c r="A8271" s="64" t="s">
        <v>42</v>
      </c>
      <c r="B8271" s="65">
        <v>43453</v>
      </c>
      <c r="C8271" s="66" t="s">
        <v>218</v>
      </c>
      <c r="D8271" s="3" t="s">
        <v>43</v>
      </c>
      <c r="E8271" s="64">
        <v>1</v>
      </c>
    </row>
    <row r="8272" spans="1:5">
      <c r="A8272" s="64" t="s">
        <v>42</v>
      </c>
      <c r="B8272" s="65">
        <v>43454</v>
      </c>
      <c r="C8272" s="66" t="s">
        <v>219</v>
      </c>
      <c r="D8272" s="3" t="s">
        <v>43</v>
      </c>
      <c r="E8272" s="64">
        <v>1</v>
      </c>
    </row>
    <row r="8273" spans="1:5">
      <c r="A8273" s="64" t="s">
        <v>42</v>
      </c>
      <c r="B8273" s="65">
        <v>43455</v>
      </c>
      <c r="C8273" s="66" t="s">
        <v>220</v>
      </c>
      <c r="D8273" s="3" t="s">
        <v>43</v>
      </c>
      <c r="E8273" s="64">
        <v>1</v>
      </c>
    </row>
    <row r="8274" spans="1:5">
      <c r="A8274" s="64" t="s">
        <v>42</v>
      </c>
      <c r="B8274" s="65">
        <v>43458</v>
      </c>
      <c r="C8274" s="66" t="s">
        <v>216</v>
      </c>
      <c r="D8274" s="3" t="s">
        <v>43</v>
      </c>
      <c r="E8274" s="64">
        <v>1</v>
      </c>
    </row>
    <row r="8275" spans="1:5">
      <c r="A8275" s="64" t="s">
        <v>42</v>
      </c>
      <c r="B8275" s="65">
        <v>43459</v>
      </c>
      <c r="C8275" s="66" t="s">
        <v>217</v>
      </c>
      <c r="D8275" s="3" t="s">
        <v>43</v>
      </c>
      <c r="E8275" s="64">
        <v>1</v>
      </c>
    </row>
    <row r="8276" spans="1:5">
      <c r="A8276" s="64" t="s">
        <v>42</v>
      </c>
      <c r="B8276" s="65">
        <v>43460</v>
      </c>
      <c r="C8276" s="66" t="s">
        <v>218</v>
      </c>
      <c r="D8276" s="3" t="s">
        <v>43</v>
      </c>
      <c r="E8276" s="64">
        <v>1</v>
      </c>
    </row>
    <row r="8277" spans="1:5">
      <c r="A8277" s="64" t="s">
        <v>42</v>
      </c>
      <c r="B8277" s="65">
        <v>43461</v>
      </c>
      <c r="C8277" s="66" t="s">
        <v>219</v>
      </c>
      <c r="D8277" s="3" t="s">
        <v>43</v>
      </c>
      <c r="E8277" s="64">
        <v>1</v>
      </c>
    </row>
    <row r="8278" spans="1:5">
      <c r="A8278" s="64" t="s">
        <v>42</v>
      </c>
      <c r="B8278" s="65">
        <v>43462</v>
      </c>
      <c r="C8278" s="66" t="s">
        <v>220</v>
      </c>
      <c r="D8278" s="3" t="s">
        <v>43</v>
      </c>
      <c r="E8278" s="64">
        <v>1</v>
      </c>
    </row>
    <row r="8279" spans="1:5">
      <c r="A8279" s="64" t="s">
        <v>42</v>
      </c>
      <c r="B8279" s="65">
        <v>43465</v>
      </c>
      <c r="C8279" s="66" t="s">
        <v>216</v>
      </c>
      <c r="D8279" s="3" t="s">
        <v>43</v>
      </c>
      <c r="E8279" s="64">
        <v>1</v>
      </c>
    </row>
    <row r="8280" spans="1:5">
      <c r="A8280" s="64" t="s">
        <v>42</v>
      </c>
      <c r="B8280" s="65">
        <v>43466</v>
      </c>
      <c r="C8280" s="66" t="s">
        <v>217</v>
      </c>
      <c r="D8280" s="3" t="s">
        <v>43</v>
      </c>
      <c r="E8280" s="64">
        <v>1</v>
      </c>
    </row>
    <row r="8281" spans="1:5">
      <c r="A8281" s="64" t="s">
        <v>42</v>
      </c>
      <c r="B8281" s="65">
        <v>43467</v>
      </c>
      <c r="C8281" s="66" t="s">
        <v>218</v>
      </c>
      <c r="D8281" s="3" t="s">
        <v>43</v>
      </c>
      <c r="E8281" s="64">
        <v>1</v>
      </c>
    </row>
    <row r="8282" spans="1:5">
      <c r="A8282" s="64" t="s">
        <v>42</v>
      </c>
      <c r="B8282" s="65">
        <v>43468</v>
      </c>
      <c r="C8282" s="66" t="s">
        <v>219</v>
      </c>
      <c r="D8282" s="3" t="s">
        <v>43</v>
      </c>
      <c r="E8282" s="64">
        <v>1</v>
      </c>
    </row>
    <row r="8283" spans="1:5">
      <c r="A8283" s="64" t="s">
        <v>42</v>
      </c>
      <c r="B8283" s="65">
        <v>43469</v>
      </c>
      <c r="C8283" s="66" t="s">
        <v>220</v>
      </c>
      <c r="D8283" s="3" t="s">
        <v>43</v>
      </c>
      <c r="E8283" s="64">
        <v>1</v>
      </c>
    </row>
    <row r="8284" spans="1:5">
      <c r="A8284" s="64" t="s">
        <v>42</v>
      </c>
      <c r="B8284" s="65">
        <v>43472</v>
      </c>
      <c r="C8284" s="66" t="s">
        <v>216</v>
      </c>
      <c r="D8284" s="3" t="s">
        <v>43</v>
      </c>
      <c r="E8284" s="64">
        <v>1</v>
      </c>
    </row>
    <row r="8285" spans="1:5">
      <c r="A8285" s="64" t="s">
        <v>42</v>
      </c>
      <c r="B8285" s="65">
        <v>43473</v>
      </c>
      <c r="C8285" s="66" t="s">
        <v>217</v>
      </c>
      <c r="D8285" s="3" t="s">
        <v>43</v>
      </c>
      <c r="E8285" s="64">
        <v>1</v>
      </c>
    </row>
    <row r="8286" spans="1:5">
      <c r="A8286" s="64" t="s">
        <v>42</v>
      </c>
      <c r="B8286" s="65">
        <v>43474</v>
      </c>
      <c r="C8286" s="66" t="s">
        <v>218</v>
      </c>
      <c r="D8286" s="3" t="s">
        <v>43</v>
      </c>
      <c r="E8286" s="64">
        <v>1</v>
      </c>
    </row>
    <row r="8287" spans="1:5">
      <c r="A8287" s="64" t="s">
        <v>42</v>
      </c>
      <c r="B8287" s="65">
        <v>43475</v>
      </c>
      <c r="C8287" s="66" t="s">
        <v>219</v>
      </c>
      <c r="D8287" s="3" t="s">
        <v>43</v>
      </c>
      <c r="E8287" s="64">
        <v>1</v>
      </c>
    </row>
    <row r="8288" spans="1:5">
      <c r="A8288" s="64" t="s">
        <v>42</v>
      </c>
      <c r="B8288" s="65">
        <v>43476</v>
      </c>
      <c r="C8288" s="66" t="s">
        <v>220</v>
      </c>
      <c r="D8288" s="3" t="s">
        <v>43</v>
      </c>
      <c r="E8288" s="64">
        <v>1</v>
      </c>
    </row>
    <row r="8289" spans="1:5">
      <c r="A8289" s="64" t="s">
        <v>42</v>
      </c>
      <c r="B8289" s="65">
        <v>43479</v>
      </c>
      <c r="C8289" s="66" t="s">
        <v>216</v>
      </c>
      <c r="D8289" s="3" t="s">
        <v>43</v>
      </c>
      <c r="E8289" s="64">
        <v>1</v>
      </c>
    </row>
    <row r="8290" spans="1:5">
      <c r="A8290" s="64" t="s">
        <v>42</v>
      </c>
      <c r="B8290" s="65">
        <v>43480</v>
      </c>
      <c r="C8290" s="66" t="s">
        <v>217</v>
      </c>
      <c r="D8290" s="3" t="s">
        <v>43</v>
      </c>
      <c r="E8290" s="64">
        <v>1</v>
      </c>
    </row>
    <row r="8291" spans="1:5">
      <c r="A8291" s="64" t="s">
        <v>42</v>
      </c>
      <c r="B8291" s="65">
        <v>43481</v>
      </c>
      <c r="C8291" s="66" t="s">
        <v>218</v>
      </c>
      <c r="D8291" s="3" t="s">
        <v>43</v>
      </c>
      <c r="E8291" s="64">
        <v>1</v>
      </c>
    </row>
    <row r="8292" spans="1:5">
      <c r="A8292" s="64" t="s">
        <v>42</v>
      </c>
      <c r="B8292" s="65">
        <v>43482</v>
      </c>
      <c r="C8292" s="66" t="s">
        <v>219</v>
      </c>
      <c r="D8292" s="3" t="s">
        <v>43</v>
      </c>
      <c r="E8292" s="64">
        <v>1</v>
      </c>
    </row>
    <row r="8293" spans="1:5">
      <c r="A8293" s="64" t="s">
        <v>42</v>
      </c>
      <c r="B8293" s="65">
        <v>43483</v>
      </c>
      <c r="C8293" s="66" t="s">
        <v>220</v>
      </c>
      <c r="D8293" s="3" t="s">
        <v>43</v>
      </c>
      <c r="E8293" s="64">
        <v>1</v>
      </c>
    </row>
    <row r="8294" spans="1:5">
      <c r="A8294" s="64" t="s">
        <v>42</v>
      </c>
      <c r="B8294" s="65">
        <v>43486</v>
      </c>
      <c r="C8294" s="66" t="s">
        <v>216</v>
      </c>
      <c r="D8294" s="3" t="s">
        <v>43</v>
      </c>
      <c r="E8294" s="64">
        <v>1</v>
      </c>
    </row>
    <row r="8295" spans="1:5">
      <c r="A8295" s="64" t="s">
        <v>42</v>
      </c>
      <c r="B8295" s="65">
        <v>43487</v>
      </c>
      <c r="C8295" s="66" t="s">
        <v>217</v>
      </c>
      <c r="D8295" s="3" t="s">
        <v>43</v>
      </c>
      <c r="E8295" s="64">
        <v>1</v>
      </c>
    </row>
    <row r="8296" spans="1:5">
      <c r="A8296" s="64" t="s">
        <v>42</v>
      </c>
      <c r="B8296" s="65">
        <v>43488</v>
      </c>
      <c r="C8296" s="66" t="s">
        <v>218</v>
      </c>
      <c r="D8296" s="3" t="s">
        <v>43</v>
      </c>
      <c r="E8296" s="64">
        <v>1</v>
      </c>
    </row>
    <row r="8297" spans="1:5">
      <c r="A8297" s="64" t="s">
        <v>42</v>
      </c>
      <c r="B8297" s="65">
        <v>43489</v>
      </c>
      <c r="C8297" s="66" t="s">
        <v>219</v>
      </c>
      <c r="D8297" s="3" t="s">
        <v>43</v>
      </c>
      <c r="E8297" s="64">
        <v>1</v>
      </c>
    </row>
    <row r="8298" spans="1:5">
      <c r="A8298" s="64" t="s">
        <v>42</v>
      </c>
      <c r="B8298" s="65">
        <v>43490</v>
      </c>
      <c r="C8298" s="66" t="s">
        <v>220</v>
      </c>
      <c r="D8298" s="3" t="s">
        <v>43</v>
      </c>
      <c r="E8298" s="64">
        <v>1</v>
      </c>
    </row>
    <row r="8299" spans="1:5">
      <c r="A8299" s="64" t="s">
        <v>42</v>
      </c>
      <c r="B8299" s="65">
        <v>43493</v>
      </c>
      <c r="C8299" s="66" t="s">
        <v>216</v>
      </c>
      <c r="D8299" s="3" t="s">
        <v>43</v>
      </c>
      <c r="E8299" s="64">
        <v>1</v>
      </c>
    </row>
    <row r="8300" spans="1:5">
      <c r="A8300" s="64" t="s">
        <v>42</v>
      </c>
      <c r="B8300" s="65">
        <v>43494</v>
      </c>
      <c r="C8300" s="66" t="s">
        <v>217</v>
      </c>
      <c r="D8300" s="3" t="s">
        <v>43</v>
      </c>
      <c r="E8300" s="64">
        <v>1</v>
      </c>
    </row>
    <row r="8301" spans="1:5">
      <c r="A8301" s="64" t="s">
        <v>42</v>
      </c>
      <c r="B8301" s="65">
        <v>43495</v>
      </c>
      <c r="C8301" s="66" t="s">
        <v>218</v>
      </c>
      <c r="D8301" s="3" t="s">
        <v>43</v>
      </c>
      <c r="E8301" s="64">
        <v>1</v>
      </c>
    </row>
    <row r="8302" spans="1:5">
      <c r="A8302" s="64" t="s">
        <v>42</v>
      </c>
      <c r="B8302" s="65">
        <v>43496</v>
      </c>
      <c r="C8302" s="66" t="s">
        <v>219</v>
      </c>
      <c r="D8302" s="3" t="s">
        <v>43</v>
      </c>
      <c r="E8302" s="64">
        <v>1</v>
      </c>
    </row>
    <row r="8303" spans="1:5">
      <c r="A8303" s="64" t="s">
        <v>42</v>
      </c>
      <c r="B8303" s="65">
        <v>43497</v>
      </c>
      <c r="C8303" s="66" t="s">
        <v>220</v>
      </c>
      <c r="D8303" s="3" t="s">
        <v>43</v>
      </c>
      <c r="E8303" s="64">
        <v>1</v>
      </c>
    </row>
    <row r="8304" spans="1:5">
      <c r="A8304" s="64" t="s">
        <v>42</v>
      </c>
      <c r="B8304" s="65">
        <v>43500</v>
      </c>
      <c r="C8304" s="66" t="s">
        <v>216</v>
      </c>
      <c r="D8304" s="3" t="s">
        <v>43</v>
      </c>
      <c r="E8304" s="64">
        <v>1</v>
      </c>
    </row>
    <row r="8305" spans="1:5">
      <c r="A8305" s="64" t="s">
        <v>42</v>
      </c>
      <c r="B8305" s="65">
        <v>43501</v>
      </c>
      <c r="C8305" s="66" t="s">
        <v>217</v>
      </c>
      <c r="D8305" s="3" t="s">
        <v>43</v>
      </c>
      <c r="E8305" s="64">
        <v>1</v>
      </c>
    </row>
    <row r="8306" spans="1:5">
      <c r="A8306" s="64" t="s">
        <v>42</v>
      </c>
      <c r="B8306" s="65">
        <v>43502</v>
      </c>
      <c r="C8306" s="66" t="s">
        <v>218</v>
      </c>
      <c r="D8306" s="3" t="s">
        <v>43</v>
      </c>
      <c r="E8306" s="64">
        <v>1</v>
      </c>
    </row>
    <row r="8307" spans="1:5">
      <c r="A8307" s="64" t="s">
        <v>42</v>
      </c>
      <c r="B8307" s="65">
        <v>43503</v>
      </c>
      <c r="C8307" s="66" t="s">
        <v>219</v>
      </c>
      <c r="D8307" s="3" t="s">
        <v>43</v>
      </c>
      <c r="E8307" s="64">
        <v>1</v>
      </c>
    </row>
    <row r="8308" spans="1:5">
      <c r="A8308" s="64" t="s">
        <v>42</v>
      </c>
      <c r="B8308" s="65">
        <v>43504</v>
      </c>
      <c r="C8308" s="66" t="s">
        <v>220</v>
      </c>
      <c r="D8308" s="3" t="s">
        <v>43</v>
      </c>
      <c r="E8308" s="64">
        <v>1</v>
      </c>
    </row>
    <row r="8309" spans="1:5">
      <c r="A8309" s="64" t="s">
        <v>42</v>
      </c>
      <c r="B8309" s="65">
        <v>43507</v>
      </c>
      <c r="C8309" s="66" t="s">
        <v>216</v>
      </c>
      <c r="D8309" s="3" t="s">
        <v>43</v>
      </c>
      <c r="E8309" s="64">
        <v>1</v>
      </c>
    </row>
    <row r="8310" spans="1:5">
      <c r="A8310" s="64" t="s">
        <v>42</v>
      </c>
      <c r="B8310" s="65">
        <v>43508</v>
      </c>
      <c r="C8310" s="66" t="s">
        <v>217</v>
      </c>
      <c r="D8310" s="3" t="s">
        <v>43</v>
      </c>
      <c r="E8310" s="64">
        <v>1</v>
      </c>
    </row>
    <row r="8311" spans="1:5">
      <c r="A8311" s="64" t="s">
        <v>42</v>
      </c>
      <c r="B8311" s="65">
        <v>43509</v>
      </c>
      <c r="C8311" s="66" t="s">
        <v>218</v>
      </c>
      <c r="D8311" s="3" t="s">
        <v>43</v>
      </c>
      <c r="E8311" s="64">
        <v>1</v>
      </c>
    </row>
    <row r="8312" spans="1:5">
      <c r="A8312" s="64" t="s">
        <v>42</v>
      </c>
      <c r="B8312" s="65">
        <v>43510</v>
      </c>
      <c r="C8312" s="66" t="s">
        <v>219</v>
      </c>
      <c r="D8312" s="3" t="s">
        <v>43</v>
      </c>
      <c r="E8312" s="64">
        <v>1</v>
      </c>
    </row>
    <row r="8313" spans="1:5">
      <c r="A8313" s="64" t="s">
        <v>42</v>
      </c>
      <c r="B8313" s="65">
        <v>43511</v>
      </c>
      <c r="C8313" s="66" t="s">
        <v>220</v>
      </c>
      <c r="D8313" s="3" t="s">
        <v>43</v>
      </c>
      <c r="E8313" s="64">
        <v>1</v>
      </c>
    </row>
    <row r="8314" spans="1:5">
      <c r="A8314" s="64" t="s">
        <v>42</v>
      </c>
      <c r="B8314" s="65">
        <v>43514</v>
      </c>
      <c r="C8314" s="66" t="s">
        <v>216</v>
      </c>
      <c r="D8314" s="3" t="s">
        <v>43</v>
      </c>
      <c r="E8314" s="64">
        <v>1</v>
      </c>
    </row>
    <row r="8315" spans="1:5">
      <c r="A8315" s="64" t="s">
        <v>42</v>
      </c>
      <c r="B8315" s="65">
        <v>43515</v>
      </c>
      <c r="C8315" s="66" t="s">
        <v>217</v>
      </c>
      <c r="D8315" s="3" t="s">
        <v>43</v>
      </c>
      <c r="E8315" s="64">
        <v>1</v>
      </c>
    </row>
    <row r="8316" spans="1:5">
      <c r="A8316" s="64" t="s">
        <v>42</v>
      </c>
      <c r="B8316" s="65">
        <v>43516</v>
      </c>
      <c r="C8316" s="66" t="s">
        <v>218</v>
      </c>
      <c r="D8316" s="3" t="s">
        <v>43</v>
      </c>
      <c r="E8316" s="64">
        <v>1</v>
      </c>
    </row>
    <row r="8317" spans="1:5">
      <c r="A8317" s="64" t="s">
        <v>42</v>
      </c>
      <c r="B8317" s="65">
        <v>43517</v>
      </c>
      <c r="C8317" s="66" t="s">
        <v>219</v>
      </c>
      <c r="D8317" s="3" t="s">
        <v>43</v>
      </c>
      <c r="E8317" s="64">
        <v>1</v>
      </c>
    </row>
    <row r="8318" spans="1:5">
      <c r="A8318" s="64" t="s">
        <v>42</v>
      </c>
      <c r="B8318" s="65">
        <v>43518</v>
      </c>
      <c r="C8318" s="66" t="s">
        <v>220</v>
      </c>
      <c r="D8318" s="3" t="s">
        <v>43</v>
      </c>
      <c r="E8318" s="64">
        <v>1</v>
      </c>
    </row>
    <row r="8319" spans="1:5">
      <c r="A8319" s="64" t="s">
        <v>42</v>
      </c>
      <c r="B8319" s="65">
        <v>43521</v>
      </c>
      <c r="C8319" s="66" t="s">
        <v>216</v>
      </c>
      <c r="D8319" s="3" t="s">
        <v>43</v>
      </c>
      <c r="E8319" s="64">
        <v>1</v>
      </c>
    </row>
    <row r="8320" spans="1:5">
      <c r="A8320" s="64" t="s">
        <v>42</v>
      </c>
      <c r="B8320" s="65">
        <v>43522</v>
      </c>
      <c r="C8320" s="66" t="s">
        <v>217</v>
      </c>
      <c r="D8320" s="3" t="s">
        <v>43</v>
      </c>
      <c r="E8320" s="64">
        <v>1</v>
      </c>
    </row>
    <row r="8321" spans="1:5">
      <c r="A8321" s="64" t="s">
        <v>42</v>
      </c>
      <c r="B8321" s="65">
        <v>43523</v>
      </c>
      <c r="C8321" s="66" t="s">
        <v>218</v>
      </c>
      <c r="D8321" s="3" t="s">
        <v>43</v>
      </c>
      <c r="E8321" s="64">
        <v>1</v>
      </c>
    </row>
    <row r="8322" spans="1:5">
      <c r="A8322" s="64" t="s">
        <v>42</v>
      </c>
      <c r="B8322" s="65">
        <v>43524</v>
      </c>
      <c r="C8322" s="66" t="s">
        <v>219</v>
      </c>
      <c r="D8322" s="3" t="s">
        <v>43</v>
      </c>
      <c r="E8322" s="64">
        <v>1</v>
      </c>
    </row>
    <row r="8323" spans="1:5">
      <c r="A8323" s="64" t="s">
        <v>42</v>
      </c>
      <c r="B8323" s="65">
        <v>43525</v>
      </c>
      <c r="C8323" s="66" t="s">
        <v>220</v>
      </c>
      <c r="D8323" s="3" t="s">
        <v>43</v>
      </c>
      <c r="E8323" s="64">
        <v>1</v>
      </c>
    </row>
    <row r="8324" spans="1:5">
      <c r="A8324" s="64" t="s">
        <v>42</v>
      </c>
      <c r="B8324" s="65">
        <v>43528</v>
      </c>
      <c r="C8324" s="66" t="s">
        <v>216</v>
      </c>
      <c r="D8324" s="3" t="s">
        <v>43</v>
      </c>
      <c r="E8324" s="64">
        <v>1</v>
      </c>
    </row>
    <row r="8325" spans="1:5">
      <c r="A8325" s="64" t="s">
        <v>42</v>
      </c>
      <c r="B8325" s="65">
        <v>43529</v>
      </c>
      <c r="C8325" s="66" t="s">
        <v>217</v>
      </c>
      <c r="D8325" s="3" t="s">
        <v>43</v>
      </c>
      <c r="E8325" s="64">
        <v>1</v>
      </c>
    </row>
    <row r="8326" spans="1:5">
      <c r="A8326" s="64" t="s">
        <v>42</v>
      </c>
      <c r="B8326" s="65">
        <v>43530</v>
      </c>
      <c r="C8326" s="66" t="s">
        <v>218</v>
      </c>
      <c r="D8326" s="3" t="s">
        <v>43</v>
      </c>
      <c r="E8326" s="64">
        <v>1</v>
      </c>
    </row>
    <row r="8327" spans="1:5">
      <c r="A8327" s="64" t="s">
        <v>42</v>
      </c>
      <c r="B8327" s="65">
        <v>43531</v>
      </c>
      <c r="C8327" s="66" t="s">
        <v>219</v>
      </c>
      <c r="D8327" s="3" t="s">
        <v>43</v>
      </c>
      <c r="E8327" s="64">
        <v>1</v>
      </c>
    </row>
    <row r="8328" spans="1:5">
      <c r="A8328" s="64" t="s">
        <v>42</v>
      </c>
      <c r="B8328" s="65">
        <v>43532</v>
      </c>
      <c r="C8328" s="66" t="s">
        <v>220</v>
      </c>
      <c r="D8328" s="3" t="s">
        <v>43</v>
      </c>
      <c r="E8328" s="64">
        <v>1</v>
      </c>
    </row>
    <row r="8329" spans="1:5">
      <c r="A8329" s="64" t="s">
        <v>42</v>
      </c>
      <c r="B8329" s="65">
        <v>43535</v>
      </c>
      <c r="C8329" s="66" t="s">
        <v>216</v>
      </c>
      <c r="D8329" s="3" t="s">
        <v>43</v>
      </c>
      <c r="E8329" s="64">
        <v>1</v>
      </c>
    </row>
    <row r="8330" spans="1:5">
      <c r="A8330" s="64" t="s">
        <v>42</v>
      </c>
      <c r="B8330" s="65">
        <v>43536</v>
      </c>
      <c r="C8330" s="66" t="s">
        <v>217</v>
      </c>
      <c r="D8330" s="3" t="s">
        <v>43</v>
      </c>
      <c r="E8330" s="64">
        <v>1</v>
      </c>
    </row>
    <row r="8331" spans="1:5">
      <c r="A8331" s="64" t="s">
        <v>42</v>
      </c>
      <c r="B8331" s="65">
        <v>43537</v>
      </c>
      <c r="C8331" s="66" t="s">
        <v>218</v>
      </c>
      <c r="D8331" s="3" t="s">
        <v>43</v>
      </c>
      <c r="E8331" s="64">
        <v>1</v>
      </c>
    </row>
    <row r="8332" spans="1:5">
      <c r="A8332" s="64" t="s">
        <v>42</v>
      </c>
      <c r="B8332" s="65">
        <v>43538</v>
      </c>
      <c r="C8332" s="66" t="s">
        <v>219</v>
      </c>
      <c r="D8332" s="3" t="s">
        <v>43</v>
      </c>
      <c r="E8332" s="64">
        <v>1</v>
      </c>
    </row>
    <row r="8333" spans="1:5">
      <c r="A8333" s="64" t="s">
        <v>42</v>
      </c>
      <c r="B8333" s="65">
        <v>43539</v>
      </c>
      <c r="C8333" s="66" t="s">
        <v>220</v>
      </c>
      <c r="D8333" s="3" t="s">
        <v>43</v>
      </c>
      <c r="E8333" s="64">
        <v>1</v>
      </c>
    </row>
    <row r="8334" spans="1:5">
      <c r="A8334" s="64" t="s">
        <v>42</v>
      </c>
      <c r="B8334" s="65">
        <v>43542</v>
      </c>
      <c r="C8334" s="66" t="s">
        <v>216</v>
      </c>
      <c r="D8334" s="3" t="s">
        <v>43</v>
      </c>
      <c r="E8334" s="64">
        <v>1</v>
      </c>
    </row>
    <row r="8335" spans="1:5">
      <c r="A8335" s="64" t="s">
        <v>42</v>
      </c>
      <c r="B8335" s="65">
        <v>43543</v>
      </c>
      <c r="C8335" s="66" t="s">
        <v>217</v>
      </c>
      <c r="D8335" s="3" t="s">
        <v>43</v>
      </c>
      <c r="E8335" s="64">
        <v>1</v>
      </c>
    </row>
    <row r="8336" spans="1:5">
      <c r="A8336" s="64" t="s">
        <v>42</v>
      </c>
      <c r="B8336" s="65">
        <v>43544</v>
      </c>
      <c r="C8336" s="66" t="s">
        <v>218</v>
      </c>
      <c r="D8336" s="3" t="s">
        <v>43</v>
      </c>
      <c r="E8336" s="64">
        <v>1</v>
      </c>
    </row>
    <row r="8337" spans="1:5">
      <c r="A8337" s="64" t="s">
        <v>42</v>
      </c>
      <c r="B8337" s="65">
        <v>43545</v>
      </c>
      <c r="C8337" s="66" t="s">
        <v>219</v>
      </c>
      <c r="D8337" s="3" t="s">
        <v>43</v>
      </c>
      <c r="E8337" s="64">
        <v>1</v>
      </c>
    </row>
    <row r="8338" spans="1:5">
      <c r="A8338" s="64" t="s">
        <v>42</v>
      </c>
      <c r="B8338" s="65">
        <v>43546</v>
      </c>
      <c r="C8338" s="66" t="s">
        <v>220</v>
      </c>
      <c r="D8338" s="3" t="s">
        <v>43</v>
      </c>
      <c r="E8338" s="64">
        <v>1</v>
      </c>
    </row>
    <row r="8339" spans="1:5">
      <c r="A8339" s="64" t="s">
        <v>42</v>
      </c>
      <c r="B8339" s="65">
        <v>43549</v>
      </c>
      <c r="C8339" s="66" t="s">
        <v>216</v>
      </c>
      <c r="D8339" s="3" t="s">
        <v>43</v>
      </c>
      <c r="E8339" s="64">
        <v>1</v>
      </c>
    </row>
    <row r="8340" spans="1:5">
      <c r="A8340" s="64" t="s">
        <v>42</v>
      </c>
      <c r="B8340" s="65">
        <v>43550</v>
      </c>
      <c r="C8340" s="66" t="s">
        <v>217</v>
      </c>
      <c r="D8340" s="3" t="s">
        <v>43</v>
      </c>
      <c r="E8340" s="64">
        <v>1</v>
      </c>
    </row>
    <row r="8341" spans="1:5">
      <c r="A8341" s="64" t="s">
        <v>42</v>
      </c>
      <c r="B8341" s="65">
        <v>43551</v>
      </c>
      <c r="C8341" s="66" t="s">
        <v>218</v>
      </c>
      <c r="D8341" s="3" t="s">
        <v>43</v>
      </c>
      <c r="E8341" s="64">
        <v>1</v>
      </c>
    </row>
    <row r="8342" spans="1:5">
      <c r="A8342" s="64" t="s">
        <v>42</v>
      </c>
      <c r="B8342" s="65">
        <v>43552</v>
      </c>
      <c r="C8342" s="66" t="s">
        <v>219</v>
      </c>
      <c r="D8342" s="3" t="s">
        <v>43</v>
      </c>
      <c r="E8342" s="64">
        <v>1</v>
      </c>
    </row>
    <row r="8343" spans="1:5">
      <c r="A8343" s="64" t="s">
        <v>42</v>
      </c>
      <c r="B8343" s="65">
        <v>43553</v>
      </c>
      <c r="C8343" s="66" t="s">
        <v>220</v>
      </c>
      <c r="D8343" s="3" t="s">
        <v>43</v>
      </c>
      <c r="E8343" s="64">
        <v>1</v>
      </c>
    </row>
    <row r="8344" spans="1:5">
      <c r="A8344" s="64" t="s">
        <v>42</v>
      </c>
      <c r="B8344" s="65">
        <v>43556</v>
      </c>
      <c r="C8344" s="66" t="s">
        <v>216</v>
      </c>
      <c r="D8344" s="3" t="s">
        <v>43</v>
      </c>
      <c r="E8344" s="64">
        <v>1</v>
      </c>
    </row>
    <row r="8345" spans="1:5">
      <c r="A8345" s="64" t="s">
        <v>42</v>
      </c>
      <c r="B8345" s="65">
        <v>43557</v>
      </c>
      <c r="C8345" s="66" t="s">
        <v>217</v>
      </c>
      <c r="D8345" s="3" t="s">
        <v>43</v>
      </c>
      <c r="E8345" s="64">
        <v>1</v>
      </c>
    </row>
    <row r="8346" spans="1:5">
      <c r="A8346" s="64" t="s">
        <v>42</v>
      </c>
      <c r="B8346" s="65">
        <v>43558</v>
      </c>
      <c r="C8346" s="66" t="s">
        <v>218</v>
      </c>
      <c r="D8346" s="3" t="s">
        <v>43</v>
      </c>
      <c r="E8346" s="64">
        <v>1</v>
      </c>
    </row>
    <row r="8347" spans="1:5">
      <c r="A8347" s="64" t="s">
        <v>42</v>
      </c>
      <c r="B8347" s="65">
        <v>43559</v>
      </c>
      <c r="C8347" s="66" t="s">
        <v>219</v>
      </c>
      <c r="D8347" s="3" t="s">
        <v>43</v>
      </c>
      <c r="E8347" s="64">
        <v>1</v>
      </c>
    </row>
    <row r="8348" spans="1:5">
      <c r="A8348" s="64" t="s">
        <v>42</v>
      </c>
      <c r="B8348" s="65">
        <v>43560</v>
      </c>
      <c r="C8348" s="66" t="s">
        <v>220</v>
      </c>
      <c r="D8348" s="3" t="s">
        <v>43</v>
      </c>
      <c r="E8348" s="64">
        <v>1</v>
      </c>
    </row>
    <row r="8349" spans="1:5">
      <c r="A8349" s="64" t="s">
        <v>42</v>
      </c>
      <c r="B8349" s="65">
        <v>43563</v>
      </c>
      <c r="C8349" s="66" t="s">
        <v>216</v>
      </c>
      <c r="D8349" s="3" t="s">
        <v>43</v>
      </c>
      <c r="E8349" s="64">
        <v>1</v>
      </c>
    </row>
    <row r="8350" spans="1:5">
      <c r="A8350" s="64" t="s">
        <v>42</v>
      </c>
      <c r="B8350" s="65">
        <v>43564</v>
      </c>
      <c r="C8350" s="66" t="s">
        <v>217</v>
      </c>
      <c r="D8350" s="3" t="s">
        <v>43</v>
      </c>
      <c r="E8350" s="64">
        <v>1</v>
      </c>
    </row>
    <row r="8351" spans="1:5">
      <c r="A8351" s="64" t="s">
        <v>42</v>
      </c>
      <c r="B8351" s="65">
        <v>43565</v>
      </c>
      <c r="C8351" s="66" t="s">
        <v>218</v>
      </c>
      <c r="D8351" s="3" t="s">
        <v>43</v>
      </c>
      <c r="E8351" s="64">
        <v>1</v>
      </c>
    </row>
    <row r="8352" spans="1:5">
      <c r="A8352" s="64" t="s">
        <v>42</v>
      </c>
      <c r="B8352" s="65">
        <v>43566</v>
      </c>
      <c r="C8352" s="66" t="s">
        <v>219</v>
      </c>
      <c r="D8352" s="3" t="s">
        <v>43</v>
      </c>
      <c r="E8352" s="64">
        <v>1</v>
      </c>
    </row>
    <row r="8353" spans="1:5">
      <c r="A8353" s="64" t="s">
        <v>42</v>
      </c>
      <c r="B8353" s="65">
        <v>43567</v>
      </c>
      <c r="C8353" s="66" t="s">
        <v>220</v>
      </c>
      <c r="D8353" s="3" t="s">
        <v>43</v>
      </c>
      <c r="E8353" s="64">
        <v>1</v>
      </c>
    </row>
    <row r="8354" spans="1:5">
      <c r="A8354" s="64" t="s">
        <v>42</v>
      </c>
      <c r="B8354" s="65">
        <v>43570</v>
      </c>
      <c r="C8354" s="66" t="s">
        <v>216</v>
      </c>
      <c r="D8354" s="3" t="s">
        <v>43</v>
      </c>
      <c r="E8354" s="64">
        <v>1</v>
      </c>
    </row>
    <row r="8355" spans="1:5">
      <c r="A8355" s="64" t="s">
        <v>42</v>
      </c>
      <c r="B8355" s="65">
        <v>43571</v>
      </c>
      <c r="C8355" s="66" t="s">
        <v>217</v>
      </c>
      <c r="D8355" s="3" t="s">
        <v>43</v>
      </c>
      <c r="E8355" s="64">
        <v>1</v>
      </c>
    </row>
    <row r="8356" spans="1:5">
      <c r="A8356" s="64" t="s">
        <v>42</v>
      </c>
      <c r="B8356" s="65">
        <v>43572</v>
      </c>
      <c r="C8356" s="66" t="s">
        <v>218</v>
      </c>
      <c r="D8356" s="3" t="s">
        <v>43</v>
      </c>
      <c r="E8356" s="64">
        <v>1</v>
      </c>
    </row>
    <row r="8357" spans="1:5">
      <c r="A8357" s="64" t="s">
        <v>42</v>
      </c>
      <c r="B8357" s="65">
        <v>43573</v>
      </c>
      <c r="C8357" s="66" t="s">
        <v>219</v>
      </c>
      <c r="D8357" s="3" t="s">
        <v>43</v>
      </c>
      <c r="E8357" s="64">
        <v>1</v>
      </c>
    </row>
    <row r="8358" spans="1:5">
      <c r="A8358" s="64" t="s">
        <v>42</v>
      </c>
      <c r="B8358" s="65">
        <v>43574</v>
      </c>
      <c r="C8358" s="66" t="s">
        <v>220</v>
      </c>
      <c r="D8358" s="3" t="s">
        <v>43</v>
      </c>
      <c r="E8358" s="64">
        <v>1</v>
      </c>
    </row>
    <row r="8359" spans="1:5">
      <c r="A8359" s="64" t="s">
        <v>42</v>
      </c>
      <c r="B8359" s="65">
        <v>43577</v>
      </c>
      <c r="C8359" s="66" t="s">
        <v>216</v>
      </c>
      <c r="D8359" s="3" t="s">
        <v>43</v>
      </c>
      <c r="E8359" s="64">
        <v>1</v>
      </c>
    </row>
    <row r="8360" spans="1:5">
      <c r="A8360" s="64" t="s">
        <v>42</v>
      </c>
      <c r="B8360" s="65">
        <v>43578</v>
      </c>
      <c r="C8360" s="66" t="s">
        <v>217</v>
      </c>
      <c r="D8360" s="3" t="s">
        <v>43</v>
      </c>
      <c r="E8360" s="64">
        <v>1</v>
      </c>
    </row>
    <row r="8361" spans="1:5">
      <c r="A8361" s="64" t="s">
        <v>42</v>
      </c>
      <c r="B8361" s="65">
        <v>43579</v>
      </c>
      <c r="C8361" s="66" t="s">
        <v>218</v>
      </c>
      <c r="D8361" s="3" t="s">
        <v>43</v>
      </c>
      <c r="E8361" s="64">
        <v>1</v>
      </c>
    </row>
    <row r="8362" spans="1:5">
      <c r="A8362" s="64" t="s">
        <v>42</v>
      </c>
      <c r="B8362" s="65">
        <v>43580</v>
      </c>
      <c r="C8362" s="66" t="s">
        <v>219</v>
      </c>
      <c r="D8362" s="3" t="s">
        <v>43</v>
      </c>
      <c r="E8362" s="64">
        <v>1</v>
      </c>
    </row>
    <row r="8363" spans="1:5">
      <c r="A8363" s="64" t="s">
        <v>42</v>
      </c>
      <c r="B8363" s="65">
        <v>43581</v>
      </c>
      <c r="C8363" s="66" t="s">
        <v>220</v>
      </c>
      <c r="D8363" s="3" t="s">
        <v>43</v>
      </c>
      <c r="E8363" s="64">
        <v>1</v>
      </c>
    </row>
    <row r="8364" spans="1:5">
      <c r="A8364" s="64" t="s">
        <v>42</v>
      </c>
      <c r="B8364" s="65">
        <v>43584</v>
      </c>
      <c r="C8364" s="66" t="s">
        <v>216</v>
      </c>
      <c r="D8364" s="3" t="s">
        <v>43</v>
      </c>
      <c r="E8364" s="64">
        <v>1</v>
      </c>
    </row>
    <row r="8365" spans="1:5">
      <c r="A8365" s="64" t="s">
        <v>42</v>
      </c>
      <c r="B8365" s="65">
        <v>43585</v>
      </c>
      <c r="C8365" s="66" t="s">
        <v>217</v>
      </c>
      <c r="D8365" s="3" t="s">
        <v>43</v>
      </c>
      <c r="E8365" s="64">
        <v>1</v>
      </c>
    </row>
    <row r="8366" spans="1:5">
      <c r="A8366" s="64" t="s">
        <v>42</v>
      </c>
      <c r="B8366" s="65">
        <v>43586</v>
      </c>
      <c r="C8366" s="66" t="s">
        <v>218</v>
      </c>
      <c r="D8366" s="3" t="s">
        <v>43</v>
      </c>
      <c r="E8366" s="64">
        <v>1</v>
      </c>
    </row>
    <row r="8367" spans="1:5">
      <c r="A8367" s="64" t="s">
        <v>42</v>
      </c>
      <c r="B8367" s="65">
        <v>43587</v>
      </c>
      <c r="C8367" s="66" t="s">
        <v>219</v>
      </c>
      <c r="D8367" s="3" t="s">
        <v>43</v>
      </c>
      <c r="E8367" s="64">
        <v>1</v>
      </c>
    </row>
    <row r="8368" spans="1:5">
      <c r="A8368" s="64" t="s">
        <v>42</v>
      </c>
      <c r="B8368" s="65">
        <v>43588</v>
      </c>
      <c r="C8368" s="66" t="s">
        <v>220</v>
      </c>
      <c r="D8368" s="3" t="s">
        <v>43</v>
      </c>
      <c r="E8368" s="64">
        <v>1</v>
      </c>
    </row>
    <row r="8369" spans="1:5">
      <c r="A8369" s="64" t="s">
        <v>42</v>
      </c>
      <c r="B8369" s="65">
        <v>43591</v>
      </c>
      <c r="C8369" s="66" t="s">
        <v>216</v>
      </c>
      <c r="D8369" s="3" t="s">
        <v>43</v>
      </c>
      <c r="E8369" s="64">
        <v>1</v>
      </c>
    </row>
    <row r="8370" spans="1:5">
      <c r="A8370" s="64" t="s">
        <v>42</v>
      </c>
      <c r="B8370" s="65">
        <v>43592</v>
      </c>
      <c r="C8370" s="66" t="s">
        <v>217</v>
      </c>
      <c r="D8370" s="3" t="s">
        <v>43</v>
      </c>
      <c r="E8370" s="64">
        <v>1</v>
      </c>
    </row>
    <row r="8371" spans="1:5">
      <c r="A8371" s="64" t="s">
        <v>42</v>
      </c>
      <c r="B8371" s="65">
        <v>43593</v>
      </c>
      <c r="C8371" s="66" t="s">
        <v>218</v>
      </c>
      <c r="D8371" s="3" t="s">
        <v>43</v>
      </c>
      <c r="E8371" s="64">
        <v>1</v>
      </c>
    </row>
    <row r="8372" spans="1:5">
      <c r="A8372" s="64" t="s">
        <v>42</v>
      </c>
      <c r="B8372" s="65">
        <v>43594</v>
      </c>
      <c r="C8372" s="66" t="s">
        <v>219</v>
      </c>
      <c r="D8372" s="3" t="s">
        <v>43</v>
      </c>
      <c r="E8372" s="64">
        <v>1</v>
      </c>
    </row>
    <row r="8373" spans="1:5">
      <c r="A8373" s="64" t="s">
        <v>42</v>
      </c>
      <c r="B8373" s="65">
        <v>43595</v>
      </c>
      <c r="C8373" s="66" t="s">
        <v>220</v>
      </c>
      <c r="D8373" s="3" t="s">
        <v>43</v>
      </c>
      <c r="E8373" s="64">
        <v>1</v>
      </c>
    </row>
    <row r="8374" spans="1:5">
      <c r="A8374" s="64" t="s">
        <v>42</v>
      </c>
      <c r="B8374" s="65">
        <v>43598</v>
      </c>
      <c r="C8374" s="66" t="s">
        <v>216</v>
      </c>
      <c r="D8374" s="3" t="s">
        <v>43</v>
      </c>
      <c r="E8374" s="64">
        <v>1</v>
      </c>
    </row>
    <row r="8375" spans="1:5">
      <c r="A8375" s="64" t="s">
        <v>42</v>
      </c>
      <c r="B8375" s="65">
        <v>43599</v>
      </c>
      <c r="C8375" s="66" t="s">
        <v>217</v>
      </c>
      <c r="D8375" s="3" t="s">
        <v>43</v>
      </c>
      <c r="E8375" s="64">
        <v>1</v>
      </c>
    </row>
    <row r="8376" spans="1:5">
      <c r="A8376" s="64" t="s">
        <v>42</v>
      </c>
      <c r="B8376" s="65">
        <v>43600</v>
      </c>
      <c r="C8376" s="66" t="s">
        <v>218</v>
      </c>
      <c r="D8376" s="3" t="s">
        <v>43</v>
      </c>
      <c r="E8376" s="64">
        <v>1</v>
      </c>
    </row>
    <row r="8377" spans="1:5">
      <c r="A8377" s="64" t="s">
        <v>42</v>
      </c>
      <c r="B8377" s="65">
        <v>43601</v>
      </c>
      <c r="C8377" s="66" t="s">
        <v>219</v>
      </c>
      <c r="D8377" s="3" t="s">
        <v>43</v>
      </c>
      <c r="E8377" s="64">
        <v>1</v>
      </c>
    </row>
    <row r="8378" spans="1:5">
      <c r="A8378" s="64" t="s">
        <v>42</v>
      </c>
      <c r="B8378" s="65">
        <v>43602</v>
      </c>
      <c r="C8378" s="66" t="s">
        <v>220</v>
      </c>
      <c r="D8378" s="3" t="s">
        <v>43</v>
      </c>
      <c r="E8378" s="64">
        <v>1</v>
      </c>
    </row>
    <row r="8379" spans="1:5">
      <c r="A8379" s="64" t="s">
        <v>42</v>
      </c>
      <c r="B8379" s="65">
        <v>43605</v>
      </c>
      <c r="C8379" s="66" t="s">
        <v>216</v>
      </c>
      <c r="D8379" s="3" t="s">
        <v>43</v>
      </c>
      <c r="E8379" s="64">
        <v>1</v>
      </c>
    </row>
    <row r="8380" spans="1:5">
      <c r="A8380" s="64" t="s">
        <v>42</v>
      </c>
      <c r="B8380" s="65">
        <v>43606</v>
      </c>
      <c r="C8380" s="66" t="s">
        <v>217</v>
      </c>
      <c r="D8380" s="3" t="s">
        <v>43</v>
      </c>
      <c r="E8380" s="64">
        <v>1</v>
      </c>
    </row>
    <row r="8381" spans="1:5">
      <c r="A8381" s="64" t="s">
        <v>42</v>
      </c>
      <c r="B8381" s="65">
        <v>43607</v>
      </c>
      <c r="C8381" s="66" t="s">
        <v>218</v>
      </c>
      <c r="D8381" s="3" t="s">
        <v>43</v>
      </c>
      <c r="E8381" s="64">
        <v>1</v>
      </c>
    </row>
    <row r="8382" spans="1:5">
      <c r="A8382" s="64" t="s">
        <v>42</v>
      </c>
      <c r="B8382" s="65">
        <v>43608</v>
      </c>
      <c r="C8382" s="66" t="s">
        <v>219</v>
      </c>
      <c r="D8382" s="3" t="s">
        <v>43</v>
      </c>
      <c r="E8382" s="64">
        <v>1</v>
      </c>
    </row>
    <row r="8383" spans="1:5">
      <c r="A8383" s="64" t="s">
        <v>42</v>
      </c>
      <c r="B8383" s="65">
        <v>43609</v>
      </c>
      <c r="C8383" s="66" t="s">
        <v>220</v>
      </c>
      <c r="D8383" s="3" t="s">
        <v>43</v>
      </c>
      <c r="E8383" s="64">
        <v>1</v>
      </c>
    </row>
    <row r="8384" spans="1:5">
      <c r="A8384" s="64" t="s">
        <v>42</v>
      </c>
      <c r="B8384" s="65">
        <v>43612</v>
      </c>
      <c r="C8384" s="66" t="s">
        <v>216</v>
      </c>
      <c r="D8384" s="3" t="s">
        <v>43</v>
      </c>
      <c r="E8384" s="64">
        <v>1</v>
      </c>
    </row>
    <row r="8385" spans="1:5">
      <c r="A8385" s="64" t="s">
        <v>42</v>
      </c>
      <c r="B8385" s="65">
        <v>43613</v>
      </c>
      <c r="C8385" s="66" t="s">
        <v>217</v>
      </c>
      <c r="D8385" s="3" t="s">
        <v>43</v>
      </c>
      <c r="E8385" s="64">
        <v>1</v>
      </c>
    </row>
    <row r="8386" spans="1:5">
      <c r="A8386" s="64" t="s">
        <v>42</v>
      </c>
      <c r="B8386" s="65">
        <v>43614</v>
      </c>
      <c r="C8386" s="66" t="s">
        <v>218</v>
      </c>
      <c r="D8386" s="3" t="s">
        <v>43</v>
      </c>
      <c r="E8386" s="64">
        <v>1</v>
      </c>
    </row>
    <row r="8387" spans="1:5">
      <c r="A8387" s="64" t="s">
        <v>42</v>
      </c>
      <c r="B8387" s="65">
        <v>43615</v>
      </c>
      <c r="C8387" s="66" t="s">
        <v>219</v>
      </c>
      <c r="D8387" s="3" t="s">
        <v>43</v>
      </c>
      <c r="E8387" s="64">
        <v>1</v>
      </c>
    </row>
    <row r="8388" spans="1:5">
      <c r="A8388" s="64" t="s">
        <v>42</v>
      </c>
      <c r="B8388" s="65">
        <v>43616</v>
      </c>
      <c r="C8388" s="66" t="s">
        <v>220</v>
      </c>
      <c r="D8388" s="3" t="s">
        <v>43</v>
      </c>
      <c r="E8388" s="64">
        <v>1</v>
      </c>
    </row>
    <row r="8389" spans="1:5">
      <c r="A8389" s="64" t="s">
        <v>42</v>
      </c>
      <c r="B8389" s="65">
        <v>43619</v>
      </c>
      <c r="C8389" s="66" t="s">
        <v>216</v>
      </c>
      <c r="D8389" s="3" t="s">
        <v>43</v>
      </c>
      <c r="E8389" s="64">
        <v>1</v>
      </c>
    </row>
    <row r="8390" spans="1:5">
      <c r="A8390" s="64" t="s">
        <v>42</v>
      </c>
      <c r="B8390" s="65">
        <v>43620</v>
      </c>
      <c r="C8390" s="66" t="s">
        <v>217</v>
      </c>
      <c r="D8390" s="3" t="s">
        <v>43</v>
      </c>
      <c r="E8390" s="64">
        <v>1</v>
      </c>
    </row>
    <row r="8391" spans="1:5">
      <c r="A8391" s="64" t="s">
        <v>42</v>
      </c>
      <c r="B8391" s="65">
        <v>43621</v>
      </c>
      <c r="C8391" s="66" t="s">
        <v>218</v>
      </c>
      <c r="D8391" s="3" t="s">
        <v>43</v>
      </c>
      <c r="E8391" s="64">
        <v>1</v>
      </c>
    </row>
    <row r="8392" spans="1:5">
      <c r="A8392" s="64" t="s">
        <v>42</v>
      </c>
      <c r="B8392" s="65">
        <v>43622</v>
      </c>
      <c r="C8392" s="66" t="s">
        <v>219</v>
      </c>
      <c r="D8392" s="3" t="s">
        <v>43</v>
      </c>
      <c r="E8392" s="64">
        <v>1</v>
      </c>
    </row>
    <row r="8393" spans="1:5">
      <c r="A8393" s="64" t="s">
        <v>42</v>
      </c>
      <c r="B8393" s="65">
        <v>43623</v>
      </c>
      <c r="C8393" s="66" t="s">
        <v>220</v>
      </c>
      <c r="D8393" s="3" t="s">
        <v>43</v>
      </c>
      <c r="E8393" s="64">
        <v>1</v>
      </c>
    </row>
    <row r="8394" spans="1:5">
      <c r="A8394" s="64" t="s">
        <v>42</v>
      </c>
      <c r="B8394" s="65">
        <v>43626</v>
      </c>
      <c r="C8394" s="66" t="s">
        <v>216</v>
      </c>
      <c r="D8394" s="3" t="s">
        <v>43</v>
      </c>
      <c r="E8394" s="64">
        <v>1</v>
      </c>
    </row>
    <row r="8395" spans="1:5">
      <c r="A8395" s="64" t="s">
        <v>42</v>
      </c>
      <c r="B8395" s="65">
        <v>43627</v>
      </c>
      <c r="C8395" s="66" t="s">
        <v>217</v>
      </c>
      <c r="D8395" s="3" t="s">
        <v>43</v>
      </c>
      <c r="E8395" s="64">
        <v>1</v>
      </c>
    </row>
    <row r="8396" spans="1:5">
      <c r="A8396" s="64" t="s">
        <v>42</v>
      </c>
      <c r="B8396" s="65">
        <v>43628</v>
      </c>
      <c r="C8396" s="66" t="s">
        <v>218</v>
      </c>
      <c r="D8396" s="3" t="s">
        <v>43</v>
      </c>
      <c r="E8396" s="64">
        <v>1</v>
      </c>
    </row>
    <row r="8397" spans="1:5">
      <c r="A8397" s="64" t="s">
        <v>42</v>
      </c>
      <c r="B8397" s="65">
        <v>43629</v>
      </c>
      <c r="C8397" s="66" t="s">
        <v>219</v>
      </c>
      <c r="D8397" s="3" t="s">
        <v>43</v>
      </c>
      <c r="E8397" s="64">
        <v>1</v>
      </c>
    </row>
    <row r="8398" spans="1:5">
      <c r="A8398" s="64" t="s">
        <v>42</v>
      </c>
      <c r="B8398" s="65">
        <v>43630</v>
      </c>
      <c r="C8398" s="66" t="s">
        <v>220</v>
      </c>
      <c r="D8398" s="3" t="s">
        <v>43</v>
      </c>
      <c r="E8398" s="64">
        <v>1</v>
      </c>
    </row>
    <row r="8399" spans="1:5">
      <c r="A8399" s="64" t="s">
        <v>42</v>
      </c>
      <c r="B8399" s="65">
        <v>43633</v>
      </c>
      <c r="C8399" s="66" t="s">
        <v>216</v>
      </c>
      <c r="D8399" s="3" t="s">
        <v>43</v>
      </c>
      <c r="E8399" s="64">
        <v>1</v>
      </c>
    </row>
    <row r="8400" spans="1:5">
      <c r="A8400" s="64" t="s">
        <v>42</v>
      </c>
      <c r="B8400" s="65">
        <v>43634</v>
      </c>
      <c r="C8400" s="66" t="s">
        <v>217</v>
      </c>
      <c r="D8400" s="3" t="s">
        <v>43</v>
      </c>
      <c r="E8400" s="64">
        <v>1</v>
      </c>
    </row>
    <row r="8401" spans="1:5">
      <c r="A8401" s="64" t="s">
        <v>42</v>
      </c>
      <c r="B8401" s="65">
        <v>43635</v>
      </c>
      <c r="C8401" s="66" t="s">
        <v>218</v>
      </c>
      <c r="D8401" s="3" t="s">
        <v>43</v>
      </c>
      <c r="E8401" s="64">
        <v>1</v>
      </c>
    </row>
    <row r="8402" spans="1:5">
      <c r="A8402" s="64" t="s">
        <v>42</v>
      </c>
      <c r="B8402" s="65">
        <v>43636</v>
      </c>
      <c r="C8402" s="66" t="s">
        <v>219</v>
      </c>
      <c r="D8402" s="3" t="s">
        <v>43</v>
      </c>
      <c r="E8402" s="64">
        <v>1</v>
      </c>
    </row>
    <row r="8403" spans="1:5">
      <c r="A8403" s="64" t="s">
        <v>42</v>
      </c>
      <c r="B8403" s="65">
        <v>43637</v>
      </c>
      <c r="C8403" s="66" t="s">
        <v>220</v>
      </c>
      <c r="D8403" s="3" t="s">
        <v>43</v>
      </c>
      <c r="E8403" s="64">
        <v>1</v>
      </c>
    </row>
    <row r="8404" spans="1:5">
      <c r="A8404" s="64" t="s">
        <v>42</v>
      </c>
      <c r="B8404" s="65">
        <v>43640</v>
      </c>
      <c r="C8404" s="66" t="s">
        <v>216</v>
      </c>
      <c r="D8404" s="3" t="s">
        <v>43</v>
      </c>
      <c r="E8404" s="64">
        <v>1</v>
      </c>
    </row>
    <row r="8405" spans="1:5">
      <c r="A8405" s="64" t="s">
        <v>42</v>
      </c>
      <c r="B8405" s="65">
        <v>43641</v>
      </c>
      <c r="C8405" s="66" t="s">
        <v>217</v>
      </c>
      <c r="D8405" s="3" t="s">
        <v>43</v>
      </c>
      <c r="E8405" s="64">
        <v>1</v>
      </c>
    </row>
    <row r="8406" spans="1:5">
      <c r="A8406" s="64" t="s">
        <v>42</v>
      </c>
      <c r="B8406" s="65">
        <v>43642</v>
      </c>
      <c r="C8406" s="66" t="s">
        <v>218</v>
      </c>
      <c r="D8406" s="3" t="s">
        <v>43</v>
      </c>
      <c r="E8406" s="64">
        <v>1</v>
      </c>
    </row>
    <row r="8407" spans="1:5">
      <c r="A8407" s="64" t="s">
        <v>42</v>
      </c>
      <c r="B8407" s="65">
        <v>43643</v>
      </c>
      <c r="C8407" s="66" t="s">
        <v>219</v>
      </c>
      <c r="D8407" s="3" t="s">
        <v>43</v>
      </c>
      <c r="E8407" s="64">
        <v>1</v>
      </c>
    </row>
    <row r="8408" spans="1:5">
      <c r="A8408" s="64" t="s">
        <v>42</v>
      </c>
      <c r="B8408" s="65">
        <v>43644</v>
      </c>
      <c r="C8408" s="66" t="s">
        <v>220</v>
      </c>
      <c r="D8408" s="3" t="s">
        <v>43</v>
      </c>
      <c r="E8408" s="64">
        <v>1</v>
      </c>
    </row>
    <row r="8409" spans="1:5">
      <c r="A8409" s="64" t="s">
        <v>42</v>
      </c>
      <c r="B8409" s="65">
        <v>43349</v>
      </c>
      <c r="C8409" s="66" t="s">
        <v>219</v>
      </c>
      <c r="D8409" s="3" t="s">
        <v>44</v>
      </c>
      <c r="E8409" s="64">
        <v>1</v>
      </c>
    </row>
    <row r="8410" spans="1:5">
      <c r="A8410" s="64" t="s">
        <v>42</v>
      </c>
      <c r="B8410" s="65">
        <v>43350</v>
      </c>
      <c r="C8410" s="66" t="s">
        <v>220</v>
      </c>
      <c r="D8410" s="3" t="s">
        <v>44</v>
      </c>
      <c r="E8410" s="64">
        <v>1</v>
      </c>
    </row>
    <row r="8411" spans="1:5">
      <c r="A8411" s="64" t="s">
        <v>42</v>
      </c>
      <c r="B8411" s="65">
        <v>43351</v>
      </c>
      <c r="C8411" s="66" t="s">
        <v>221</v>
      </c>
      <c r="D8411" s="3" t="s">
        <v>44</v>
      </c>
      <c r="E8411" s="64">
        <v>1</v>
      </c>
    </row>
    <row r="8412" spans="1:5">
      <c r="A8412" s="64" t="s">
        <v>42</v>
      </c>
      <c r="B8412" s="65">
        <v>43352</v>
      </c>
      <c r="C8412" s="66" t="s">
        <v>222</v>
      </c>
      <c r="D8412" s="3" t="s">
        <v>44</v>
      </c>
      <c r="E8412" s="64">
        <v>1</v>
      </c>
    </row>
    <row r="8413" spans="1:5">
      <c r="A8413" s="64" t="s">
        <v>42</v>
      </c>
      <c r="B8413" s="65">
        <v>43353</v>
      </c>
      <c r="C8413" s="66" t="s">
        <v>216</v>
      </c>
      <c r="D8413" s="3" t="s">
        <v>44</v>
      </c>
      <c r="E8413" s="64">
        <v>1</v>
      </c>
    </row>
    <row r="8414" spans="1:5">
      <c r="A8414" s="64" t="s">
        <v>42</v>
      </c>
      <c r="B8414" s="65">
        <v>43354</v>
      </c>
      <c r="C8414" s="66" t="s">
        <v>217</v>
      </c>
      <c r="D8414" s="3" t="s">
        <v>44</v>
      </c>
      <c r="E8414" s="64">
        <v>1</v>
      </c>
    </row>
    <row r="8415" spans="1:5">
      <c r="A8415" s="64" t="s">
        <v>42</v>
      </c>
      <c r="B8415" s="65">
        <v>43355</v>
      </c>
      <c r="C8415" s="66" t="s">
        <v>218</v>
      </c>
      <c r="D8415" s="3" t="s">
        <v>44</v>
      </c>
      <c r="E8415" s="64">
        <v>1</v>
      </c>
    </row>
    <row r="8416" spans="1:5">
      <c r="A8416" s="64" t="s">
        <v>42</v>
      </c>
      <c r="B8416" s="65">
        <v>43356</v>
      </c>
      <c r="C8416" s="66" t="s">
        <v>219</v>
      </c>
      <c r="D8416" s="3" t="s">
        <v>44</v>
      </c>
      <c r="E8416" s="64">
        <v>1</v>
      </c>
    </row>
    <row r="8417" spans="1:5">
      <c r="A8417" s="64" t="s">
        <v>42</v>
      </c>
      <c r="B8417" s="65">
        <v>43357</v>
      </c>
      <c r="C8417" s="66" t="s">
        <v>220</v>
      </c>
      <c r="D8417" s="3" t="s">
        <v>44</v>
      </c>
      <c r="E8417" s="64">
        <v>1</v>
      </c>
    </row>
    <row r="8418" spans="1:5">
      <c r="A8418" s="64" t="s">
        <v>42</v>
      </c>
      <c r="B8418" s="65">
        <v>43358</v>
      </c>
      <c r="C8418" s="66" t="s">
        <v>221</v>
      </c>
      <c r="D8418" s="3" t="s">
        <v>44</v>
      </c>
      <c r="E8418" s="64">
        <v>1</v>
      </c>
    </row>
    <row r="8419" spans="1:5">
      <c r="A8419" s="64" t="s">
        <v>42</v>
      </c>
      <c r="B8419" s="65">
        <v>43359</v>
      </c>
      <c r="C8419" s="66" t="s">
        <v>222</v>
      </c>
      <c r="D8419" s="3" t="s">
        <v>44</v>
      </c>
      <c r="E8419" s="64">
        <v>1</v>
      </c>
    </row>
    <row r="8420" spans="1:5">
      <c r="A8420" s="64" t="s">
        <v>42</v>
      </c>
      <c r="B8420" s="65">
        <v>43360</v>
      </c>
      <c r="C8420" s="66" t="s">
        <v>216</v>
      </c>
      <c r="D8420" s="3" t="s">
        <v>44</v>
      </c>
      <c r="E8420" s="64">
        <v>1</v>
      </c>
    </row>
    <row r="8421" spans="1:5">
      <c r="A8421" s="64" t="s">
        <v>42</v>
      </c>
      <c r="B8421" s="65">
        <v>43361</v>
      </c>
      <c r="C8421" s="66" t="s">
        <v>217</v>
      </c>
      <c r="D8421" s="3" t="s">
        <v>44</v>
      </c>
      <c r="E8421" s="64">
        <v>1</v>
      </c>
    </row>
    <row r="8422" spans="1:5">
      <c r="A8422" s="64" t="s">
        <v>42</v>
      </c>
      <c r="B8422" s="65">
        <v>43362</v>
      </c>
      <c r="C8422" s="66" t="s">
        <v>218</v>
      </c>
      <c r="D8422" s="3" t="s">
        <v>44</v>
      </c>
      <c r="E8422" s="64">
        <v>1</v>
      </c>
    </row>
    <row r="8423" spans="1:5">
      <c r="A8423" s="64" t="s">
        <v>42</v>
      </c>
      <c r="B8423" s="65">
        <v>43363</v>
      </c>
      <c r="C8423" s="66" t="s">
        <v>219</v>
      </c>
      <c r="D8423" s="3" t="s">
        <v>44</v>
      </c>
      <c r="E8423" s="64">
        <v>1</v>
      </c>
    </row>
    <row r="8424" spans="1:5">
      <c r="A8424" s="64" t="s">
        <v>42</v>
      </c>
      <c r="B8424" s="65">
        <v>43364</v>
      </c>
      <c r="C8424" s="66" t="s">
        <v>220</v>
      </c>
      <c r="D8424" s="3" t="s">
        <v>44</v>
      </c>
      <c r="E8424" s="64">
        <v>1</v>
      </c>
    </row>
    <row r="8425" spans="1:5">
      <c r="A8425" s="64" t="s">
        <v>42</v>
      </c>
      <c r="B8425" s="65">
        <v>43365</v>
      </c>
      <c r="C8425" s="66" t="s">
        <v>221</v>
      </c>
      <c r="D8425" s="3" t="s">
        <v>44</v>
      </c>
      <c r="E8425" s="64">
        <v>1</v>
      </c>
    </row>
    <row r="8426" spans="1:5">
      <c r="A8426" s="64" t="s">
        <v>42</v>
      </c>
      <c r="B8426" s="65">
        <v>43366</v>
      </c>
      <c r="C8426" s="66" t="s">
        <v>222</v>
      </c>
      <c r="D8426" s="3" t="s">
        <v>44</v>
      </c>
      <c r="E8426" s="64">
        <v>1</v>
      </c>
    </row>
    <row r="8427" spans="1:5">
      <c r="A8427" s="64" t="s">
        <v>42</v>
      </c>
      <c r="B8427" s="65">
        <v>43367</v>
      </c>
      <c r="C8427" s="66" t="s">
        <v>216</v>
      </c>
      <c r="D8427" s="3" t="s">
        <v>44</v>
      </c>
      <c r="E8427" s="64">
        <v>1</v>
      </c>
    </row>
    <row r="8428" spans="1:5">
      <c r="A8428" s="64" t="s">
        <v>42</v>
      </c>
      <c r="B8428" s="65">
        <v>43368</v>
      </c>
      <c r="C8428" s="66" t="s">
        <v>217</v>
      </c>
      <c r="D8428" s="3" t="s">
        <v>44</v>
      </c>
      <c r="E8428" s="64">
        <v>1</v>
      </c>
    </row>
    <row r="8429" spans="1:5">
      <c r="A8429" s="64" t="s">
        <v>42</v>
      </c>
      <c r="B8429" s="65">
        <v>43369</v>
      </c>
      <c r="C8429" s="66" t="s">
        <v>218</v>
      </c>
      <c r="D8429" s="3" t="s">
        <v>44</v>
      </c>
      <c r="E8429" s="64">
        <v>1</v>
      </c>
    </row>
    <row r="8430" spans="1:5">
      <c r="A8430" s="64" t="s">
        <v>42</v>
      </c>
      <c r="B8430" s="65">
        <v>43370</v>
      </c>
      <c r="C8430" s="66" t="s">
        <v>219</v>
      </c>
      <c r="D8430" s="3" t="s">
        <v>44</v>
      </c>
      <c r="E8430" s="64">
        <v>1</v>
      </c>
    </row>
    <row r="8431" spans="1:5">
      <c r="A8431" s="64" t="s">
        <v>42</v>
      </c>
      <c r="B8431" s="65">
        <v>43371</v>
      </c>
      <c r="C8431" s="66" t="s">
        <v>220</v>
      </c>
      <c r="D8431" s="3" t="s">
        <v>44</v>
      </c>
      <c r="E8431" s="64">
        <v>1</v>
      </c>
    </row>
    <row r="8432" spans="1:5">
      <c r="A8432" s="64" t="s">
        <v>42</v>
      </c>
      <c r="B8432" s="65">
        <v>43372</v>
      </c>
      <c r="C8432" s="66" t="s">
        <v>221</v>
      </c>
      <c r="D8432" s="3" t="s">
        <v>44</v>
      </c>
      <c r="E8432" s="64">
        <v>1</v>
      </c>
    </row>
    <row r="8433" spans="1:5">
      <c r="A8433" s="64" t="s">
        <v>42</v>
      </c>
      <c r="B8433" s="65">
        <v>43373</v>
      </c>
      <c r="C8433" s="66" t="s">
        <v>222</v>
      </c>
      <c r="D8433" s="3" t="s">
        <v>44</v>
      </c>
      <c r="E8433" s="64">
        <v>1</v>
      </c>
    </row>
    <row r="8434" spans="1:5">
      <c r="A8434" s="64" t="s">
        <v>42</v>
      </c>
      <c r="B8434" s="65">
        <v>43374</v>
      </c>
      <c r="C8434" s="66" t="s">
        <v>216</v>
      </c>
      <c r="D8434" s="3" t="s">
        <v>44</v>
      </c>
      <c r="E8434" s="64">
        <v>1</v>
      </c>
    </row>
    <row r="8435" spans="1:5">
      <c r="A8435" s="64" t="s">
        <v>42</v>
      </c>
      <c r="B8435" s="65">
        <v>43375</v>
      </c>
      <c r="C8435" s="66" t="s">
        <v>217</v>
      </c>
      <c r="D8435" s="3" t="s">
        <v>44</v>
      </c>
      <c r="E8435" s="64">
        <v>1</v>
      </c>
    </row>
    <row r="8436" spans="1:5">
      <c r="A8436" s="64" t="s">
        <v>42</v>
      </c>
      <c r="B8436" s="65">
        <v>43376</v>
      </c>
      <c r="C8436" s="66" t="s">
        <v>218</v>
      </c>
      <c r="D8436" s="3" t="s">
        <v>44</v>
      </c>
      <c r="E8436" s="64">
        <v>1</v>
      </c>
    </row>
    <row r="8437" spans="1:5">
      <c r="A8437" s="64" t="s">
        <v>42</v>
      </c>
      <c r="B8437" s="65">
        <v>43377</v>
      </c>
      <c r="C8437" s="66" t="s">
        <v>219</v>
      </c>
      <c r="D8437" s="3" t="s">
        <v>44</v>
      </c>
      <c r="E8437" s="64">
        <v>1</v>
      </c>
    </row>
    <row r="8438" spans="1:5">
      <c r="A8438" s="64" t="s">
        <v>42</v>
      </c>
      <c r="B8438" s="65">
        <v>43378</v>
      </c>
      <c r="C8438" s="66" t="s">
        <v>220</v>
      </c>
      <c r="D8438" s="3" t="s">
        <v>44</v>
      </c>
      <c r="E8438" s="64">
        <v>1</v>
      </c>
    </row>
    <row r="8439" spans="1:5">
      <c r="A8439" s="64" t="s">
        <v>42</v>
      </c>
      <c r="B8439" s="65">
        <v>43379</v>
      </c>
      <c r="C8439" s="66" t="s">
        <v>221</v>
      </c>
      <c r="D8439" s="3" t="s">
        <v>44</v>
      </c>
      <c r="E8439" s="64">
        <v>1</v>
      </c>
    </row>
    <row r="8440" spans="1:5">
      <c r="A8440" s="64" t="s">
        <v>42</v>
      </c>
      <c r="B8440" s="65">
        <v>43380</v>
      </c>
      <c r="C8440" s="66" t="s">
        <v>222</v>
      </c>
      <c r="D8440" s="3" t="s">
        <v>44</v>
      </c>
      <c r="E8440" s="64">
        <v>1</v>
      </c>
    </row>
    <row r="8441" spans="1:5">
      <c r="A8441" s="64" t="s">
        <v>42</v>
      </c>
      <c r="B8441" s="65">
        <v>43381</v>
      </c>
      <c r="C8441" s="66" t="s">
        <v>216</v>
      </c>
      <c r="D8441" s="3" t="s">
        <v>44</v>
      </c>
      <c r="E8441" s="64">
        <v>1</v>
      </c>
    </row>
    <row r="8442" spans="1:5">
      <c r="A8442" s="64" t="s">
        <v>42</v>
      </c>
      <c r="B8442" s="65">
        <v>43382</v>
      </c>
      <c r="C8442" s="66" t="s">
        <v>217</v>
      </c>
      <c r="D8442" s="3" t="s">
        <v>44</v>
      </c>
      <c r="E8442" s="64">
        <v>1</v>
      </c>
    </row>
    <row r="8443" spans="1:5">
      <c r="A8443" s="64" t="s">
        <v>42</v>
      </c>
      <c r="B8443" s="65">
        <v>43383</v>
      </c>
      <c r="C8443" s="66" t="s">
        <v>218</v>
      </c>
      <c r="D8443" s="3" t="s">
        <v>44</v>
      </c>
      <c r="E8443" s="64">
        <v>1</v>
      </c>
    </row>
    <row r="8444" spans="1:5">
      <c r="A8444" s="64" t="s">
        <v>42</v>
      </c>
      <c r="B8444" s="65">
        <v>43384</v>
      </c>
      <c r="C8444" s="66" t="s">
        <v>219</v>
      </c>
      <c r="D8444" s="3" t="s">
        <v>44</v>
      </c>
      <c r="E8444" s="64">
        <v>1</v>
      </c>
    </row>
    <row r="8445" spans="1:5">
      <c r="A8445" s="64" t="s">
        <v>42</v>
      </c>
      <c r="B8445" s="65">
        <v>43385</v>
      </c>
      <c r="C8445" s="66" t="s">
        <v>220</v>
      </c>
      <c r="D8445" s="3" t="s">
        <v>44</v>
      </c>
      <c r="E8445" s="64">
        <v>1</v>
      </c>
    </row>
    <row r="8446" spans="1:5">
      <c r="A8446" s="64" t="s">
        <v>42</v>
      </c>
      <c r="B8446" s="65">
        <v>43386</v>
      </c>
      <c r="C8446" s="66" t="s">
        <v>221</v>
      </c>
      <c r="D8446" s="3" t="s">
        <v>44</v>
      </c>
      <c r="E8446" s="64">
        <v>1</v>
      </c>
    </row>
    <row r="8447" spans="1:5">
      <c r="A8447" s="64" t="s">
        <v>42</v>
      </c>
      <c r="B8447" s="65">
        <v>43387</v>
      </c>
      <c r="C8447" s="66" t="s">
        <v>222</v>
      </c>
      <c r="D8447" s="3" t="s">
        <v>44</v>
      </c>
      <c r="E8447" s="64">
        <v>1</v>
      </c>
    </row>
    <row r="8448" spans="1:5">
      <c r="A8448" s="64" t="s">
        <v>42</v>
      </c>
      <c r="B8448" s="65">
        <v>43388</v>
      </c>
      <c r="C8448" s="66" t="s">
        <v>216</v>
      </c>
      <c r="D8448" s="3" t="s">
        <v>44</v>
      </c>
      <c r="E8448" s="64">
        <v>1</v>
      </c>
    </row>
    <row r="8449" spans="1:5">
      <c r="A8449" s="64" t="s">
        <v>42</v>
      </c>
      <c r="B8449" s="65">
        <v>43389</v>
      </c>
      <c r="C8449" s="66" t="s">
        <v>217</v>
      </c>
      <c r="D8449" s="3" t="s">
        <v>44</v>
      </c>
      <c r="E8449" s="64">
        <v>1</v>
      </c>
    </row>
    <row r="8450" spans="1:5">
      <c r="A8450" s="64" t="s">
        <v>42</v>
      </c>
      <c r="B8450" s="65">
        <v>43390</v>
      </c>
      <c r="C8450" s="66" t="s">
        <v>218</v>
      </c>
      <c r="D8450" s="3" t="s">
        <v>44</v>
      </c>
      <c r="E8450" s="64">
        <v>1</v>
      </c>
    </row>
    <row r="8451" spans="1:5">
      <c r="A8451" s="64" t="s">
        <v>42</v>
      </c>
      <c r="B8451" s="65">
        <v>43391</v>
      </c>
      <c r="C8451" s="66" t="s">
        <v>219</v>
      </c>
      <c r="D8451" s="3" t="s">
        <v>44</v>
      </c>
      <c r="E8451" s="64">
        <v>1</v>
      </c>
    </row>
    <row r="8452" spans="1:5">
      <c r="A8452" s="64" t="s">
        <v>42</v>
      </c>
      <c r="B8452" s="65">
        <v>43392</v>
      </c>
      <c r="C8452" s="66" t="s">
        <v>220</v>
      </c>
      <c r="D8452" s="3" t="s">
        <v>44</v>
      </c>
      <c r="E8452" s="64">
        <v>1</v>
      </c>
    </row>
    <row r="8453" spans="1:5">
      <c r="A8453" s="64" t="s">
        <v>42</v>
      </c>
      <c r="B8453" s="65">
        <v>43393</v>
      </c>
      <c r="C8453" s="66" t="s">
        <v>221</v>
      </c>
      <c r="D8453" s="3" t="s">
        <v>44</v>
      </c>
      <c r="E8453" s="64">
        <v>1</v>
      </c>
    </row>
    <row r="8454" spans="1:5">
      <c r="A8454" s="64" t="s">
        <v>42</v>
      </c>
      <c r="B8454" s="65">
        <v>43394</v>
      </c>
      <c r="C8454" s="66" t="s">
        <v>222</v>
      </c>
      <c r="D8454" s="3" t="s">
        <v>44</v>
      </c>
      <c r="E8454" s="64">
        <v>1</v>
      </c>
    </row>
    <row r="8455" spans="1:5">
      <c r="A8455" s="64" t="s">
        <v>42</v>
      </c>
      <c r="B8455" s="65">
        <v>43395</v>
      </c>
      <c r="C8455" s="66" t="s">
        <v>216</v>
      </c>
      <c r="D8455" s="3" t="s">
        <v>44</v>
      </c>
      <c r="E8455" s="64">
        <v>1</v>
      </c>
    </row>
    <row r="8456" spans="1:5">
      <c r="A8456" s="64" t="s">
        <v>42</v>
      </c>
      <c r="B8456" s="65">
        <v>43396</v>
      </c>
      <c r="C8456" s="66" t="s">
        <v>217</v>
      </c>
      <c r="D8456" s="3" t="s">
        <v>44</v>
      </c>
      <c r="E8456" s="64">
        <v>1</v>
      </c>
    </row>
    <row r="8457" spans="1:5">
      <c r="A8457" s="64" t="s">
        <v>42</v>
      </c>
      <c r="B8457" s="65">
        <v>43397</v>
      </c>
      <c r="C8457" s="66" t="s">
        <v>218</v>
      </c>
      <c r="D8457" s="3" t="s">
        <v>44</v>
      </c>
      <c r="E8457" s="64">
        <v>1</v>
      </c>
    </row>
    <row r="8458" spans="1:5">
      <c r="A8458" s="64" t="s">
        <v>42</v>
      </c>
      <c r="B8458" s="65">
        <v>43398</v>
      </c>
      <c r="C8458" s="66" t="s">
        <v>219</v>
      </c>
      <c r="D8458" s="3" t="s">
        <v>44</v>
      </c>
      <c r="E8458" s="64">
        <v>1</v>
      </c>
    </row>
    <row r="8459" spans="1:5">
      <c r="A8459" s="64" t="s">
        <v>42</v>
      </c>
      <c r="B8459" s="65">
        <v>43399</v>
      </c>
      <c r="C8459" s="66" t="s">
        <v>220</v>
      </c>
      <c r="D8459" s="3" t="s">
        <v>44</v>
      </c>
      <c r="E8459" s="64">
        <v>1</v>
      </c>
    </row>
    <row r="8460" spans="1:5">
      <c r="A8460" s="64" t="s">
        <v>42</v>
      </c>
      <c r="B8460" s="65">
        <v>43400</v>
      </c>
      <c r="C8460" s="66" t="s">
        <v>221</v>
      </c>
      <c r="D8460" s="3" t="s">
        <v>44</v>
      </c>
      <c r="E8460" s="64">
        <v>1</v>
      </c>
    </row>
    <row r="8461" spans="1:5">
      <c r="A8461" s="64" t="s">
        <v>42</v>
      </c>
      <c r="B8461" s="65">
        <v>43401</v>
      </c>
      <c r="C8461" s="66" t="s">
        <v>222</v>
      </c>
      <c r="D8461" s="3" t="s">
        <v>44</v>
      </c>
      <c r="E8461" s="64">
        <v>1</v>
      </c>
    </row>
    <row r="8462" spans="1:5">
      <c r="A8462" s="64" t="s">
        <v>42</v>
      </c>
      <c r="B8462" s="65">
        <v>43402</v>
      </c>
      <c r="C8462" s="66" t="s">
        <v>216</v>
      </c>
      <c r="D8462" s="3" t="s">
        <v>44</v>
      </c>
      <c r="E8462" s="64">
        <v>1</v>
      </c>
    </row>
    <row r="8463" spans="1:5">
      <c r="A8463" s="64" t="s">
        <v>42</v>
      </c>
      <c r="B8463" s="65">
        <v>43403</v>
      </c>
      <c r="C8463" s="66" t="s">
        <v>217</v>
      </c>
      <c r="D8463" s="3" t="s">
        <v>44</v>
      </c>
      <c r="E8463" s="64">
        <v>1</v>
      </c>
    </row>
    <row r="8464" spans="1:5">
      <c r="A8464" s="64" t="s">
        <v>42</v>
      </c>
      <c r="B8464" s="65">
        <v>43404</v>
      </c>
      <c r="C8464" s="66" t="s">
        <v>218</v>
      </c>
      <c r="D8464" s="3" t="s">
        <v>44</v>
      </c>
      <c r="E8464" s="64">
        <v>1</v>
      </c>
    </row>
    <row r="8465" spans="1:5">
      <c r="A8465" s="64" t="s">
        <v>42</v>
      </c>
      <c r="B8465" s="65">
        <v>43405</v>
      </c>
      <c r="C8465" s="66" t="s">
        <v>219</v>
      </c>
      <c r="D8465" s="3" t="s">
        <v>44</v>
      </c>
      <c r="E8465" s="64">
        <v>1</v>
      </c>
    </row>
    <row r="8466" spans="1:5">
      <c r="A8466" s="64" t="s">
        <v>42</v>
      </c>
      <c r="B8466" s="65">
        <v>43406</v>
      </c>
      <c r="C8466" s="66" t="s">
        <v>220</v>
      </c>
      <c r="D8466" s="3" t="s">
        <v>44</v>
      </c>
      <c r="E8466" s="64">
        <v>1</v>
      </c>
    </row>
    <row r="8467" spans="1:5">
      <c r="A8467" s="64" t="s">
        <v>42</v>
      </c>
      <c r="B8467" s="65">
        <v>43407</v>
      </c>
      <c r="C8467" s="66" t="s">
        <v>221</v>
      </c>
      <c r="D8467" s="3" t="s">
        <v>44</v>
      </c>
      <c r="E8467" s="64">
        <v>1</v>
      </c>
    </row>
    <row r="8468" spans="1:5">
      <c r="A8468" s="64" t="s">
        <v>42</v>
      </c>
      <c r="B8468" s="65">
        <v>43408</v>
      </c>
      <c r="C8468" s="66" t="s">
        <v>222</v>
      </c>
      <c r="D8468" s="3" t="s">
        <v>44</v>
      </c>
      <c r="E8468" s="64">
        <v>1</v>
      </c>
    </row>
    <row r="8469" spans="1:5">
      <c r="A8469" s="64" t="s">
        <v>42</v>
      </c>
      <c r="B8469" s="65">
        <v>43409</v>
      </c>
      <c r="C8469" s="66" t="s">
        <v>216</v>
      </c>
      <c r="D8469" s="3" t="s">
        <v>44</v>
      </c>
      <c r="E8469" s="64">
        <v>1</v>
      </c>
    </row>
    <row r="8470" spans="1:5">
      <c r="A8470" s="64" t="s">
        <v>42</v>
      </c>
      <c r="B8470" s="65">
        <v>43410</v>
      </c>
      <c r="C8470" s="66" t="s">
        <v>217</v>
      </c>
      <c r="D8470" s="3" t="s">
        <v>44</v>
      </c>
      <c r="E8470" s="64">
        <v>1</v>
      </c>
    </row>
    <row r="8471" spans="1:5">
      <c r="A8471" s="64" t="s">
        <v>42</v>
      </c>
      <c r="B8471" s="65">
        <v>43411</v>
      </c>
      <c r="C8471" s="66" t="s">
        <v>218</v>
      </c>
      <c r="D8471" s="3" t="s">
        <v>44</v>
      </c>
      <c r="E8471" s="64">
        <v>1</v>
      </c>
    </row>
    <row r="8472" spans="1:5">
      <c r="A8472" s="64" t="s">
        <v>42</v>
      </c>
      <c r="B8472" s="65">
        <v>43412</v>
      </c>
      <c r="C8472" s="66" t="s">
        <v>219</v>
      </c>
      <c r="D8472" s="3" t="s">
        <v>44</v>
      </c>
      <c r="E8472" s="64">
        <v>1</v>
      </c>
    </row>
    <row r="8473" spans="1:5">
      <c r="A8473" s="64" t="s">
        <v>42</v>
      </c>
      <c r="B8473" s="65">
        <v>43413</v>
      </c>
      <c r="C8473" s="66" t="s">
        <v>220</v>
      </c>
      <c r="D8473" s="3" t="s">
        <v>44</v>
      </c>
      <c r="E8473" s="64">
        <v>1</v>
      </c>
    </row>
    <row r="8474" spans="1:5">
      <c r="A8474" s="64" t="s">
        <v>42</v>
      </c>
      <c r="B8474" s="65">
        <v>43414</v>
      </c>
      <c r="C8474" s="66" t="s">
        <v>221</v>
      </c>
      <c r="D8474" s="3" t="s">
        <v>44</v>
      </c>
      <c r="E8474" s="64">
        <v>1</v>
      </c>
    </row>
    <row r="8475" spans="1:5">
      <c r="A8475" s="64" t="s">
        <v>42</v>
      </c>
      <c r="B8475" s="65">
        <v>43415</v>
      </c>
      <c r="C8475" s="66" t="s">
        <v>222</v>
      </c>
      <c r="D8475" s="3" t="s">
        <v>44</v>
      </c>
      <c r="E8475" s="64">
        <v>1</v>
      </c>
    </row>
    <row r="8476" spans="1:5">
      <c r="A8476" s="64" t="s">
        <v>42</v>
      </c>
      <c r="B8476" s="65">
        <v>43416</v>
      </c>
      <c r="C8476" s="66" t="s">
        <v>216</v>
      </c>
      <c r="D8476" s="3" t="s">
        <v>44</v>
      </c>
      <c r="E8476" s="64">
        <v>1</v>
      </c>
    </row>
    <row r="8477" spans="1:5">
      <c r="A8477" s="64" t="s">
        <v>42</v>
      </c>
      <c r="B8477" s="65">
        <v>43417</v>
      </c>
      <c r="C8477" s="66" t="s">
        <v>217</v>
      </c>
      <c r="D8477" s="3" t="s">
        <v>44</v>
      </c>
      <c r="E8477" s="64">
        <v>1</v>
      </c>
    </row>
    <row r="8478" spans="1:5">
      <c r="A8478" s="64" t="s">
        <v>42</v>
      </c>
      <c r="B8478" s="65">
        <v>43418</v>
      </c>
      <c r="C8478" s="66" t="s">
        <v>218</v>
      </c>
      <c r="D8478" s="3" t="s">
        <v>44</v>
      </c>
      <c r="E8478" s="64">
        <v>1</v>
      </c>
    </row>
    <row r="8479" spans="1:5">
      <c r="A8479" s="64" t="s">
        <v>42</v>
      </c>
      <c r="B8479" s="65">
        <v>43419</v>
      </c>
      <c r="C8479" s="66" t="s">
        <v>219</v>
      </c>
      <c r="D8479" s="3" t="s">
        <v>44</v>
      </c>
      <c r="E8479" s="64">
        <v>1</v>
      </c>
    </row>
    <row r="8480" spans="1:5">
      <c r="A8480" s="64" t="s">
        <v>42</v>
      </c>
      <c r="B8480" s="65">
        <v>43420</v>
      </c>
      <c r="C8480" s="66" t="s">
        <v>220</v>
      </c>
      <c r="D8480" s="3" t="s">
        <v>44</v>
      </c>
      <c r="E8480" s="64">
        <v>1</v>
      </c>
    </row>
    <row r="8481" spans="1:5">
      <c r="A8481" s="64" t="s">
        <v>42</v>
      </c>
      <c r="B8481" s="65">
        <v>43421</v>
      </c>
      <c r="C8481" s="66" t="s">
        <v>221</v>
      </c>
      <c r="D8481" s="3" t="s">
        <v>44</v>
      </c>
      <c r="E8481" s="64">
        <v>1</v>
      </c>
    </row>
    <row r="8482" spans="1:5">
      <c r="A8482" s="64" t="s">
        <v>42</v>
      </c>
      <c r="B8482" s="65">
        <v>43422</v>
      </c>
      <c r="C8482" s="66" t="s">
        <v>222</v>
      </c>
      <c r="D8482" s="3" t="s">
        <v>44</v>
      </c>
      <c r="E8482" s="64">
        <v>1</v>
      </c>
    </row>
    <row r="8483" spans="1:5">
      <c r="A8483" s="64" t="s">
        <v>42</v>
      </c>
      <c r="B8483" s="65">
        <v>43423</v>
      </c>
      <c r="C8483" s="66" t="s">
        <v>216</v>
      </c>
      <c r="D8483" s="3" t="s">
        <v>44</v>
      </c>
      <c r="E8483" s="64">
        <v>1</v>
      </c>
    </row>
    <row r="8484" spans="1:5">
      <c r="A8484" s="64" t="s">
        <v>42</v>
      </c>
      <c r="B8484" s="65">
        <v>43424</v>
      </c>
      <c r="C8484" s="66" t="s">
        <v>217</v>
      </c>
      <c r="D8484" s="3" t="s">
        <v>44</v>
      </c>
      <c r="E8484" s="64">
        <v>1</v>
      </c>
    </row>
    <row r="8485" spans="1:5">
      <c r="A8485" s="64" t="s">
        <v>42</v>
      </c>
      <c r="B8485" s="65">
        <v>43425</v>
      </c>
      <c r="C8485" s="66" t="s">
        <v>218</v>
      </c>
      <c r="D8485" s="3" t="s">
        <v>44</v>
      </c>
      <c r="E8485" s="64">
        <v>1</v>
      </c>
    </row>
    <row r="8486" spans="1:5">
      <c r="A8486" s="64" t="s">
        <v>42</v>
      </c>
      <c r="B8486" s="65">
        <v>43426</v>
      </c>
      <c r="C8486" s="66" t="s">
        <v>219</v>
      </c>
      <c r="D8486" s="3" t="s">
        <v>44</v>
      </c>
      <c r="E8486" s="64">
        <v>1</v>
      </c>
    </row>
    <row r="8487" spans="1:5">
      <c r="A8487" s="64" t="s">
        <v>42</v>
      </c>
      <c r="B8487" s="65">
        <v>43427</v>
      </c>
      <c r="C8487" s="66" t="s">
        <v>220</v>
      </c>
      <c r="D8487" s="3" t="s">
        <v>44</v>
      </c>
      <c r="E8487" s="64">
        <v>1</v>
      </c>
    </row>
    <row r="8488" spans="1:5">
      <c r="A8488" s="64" t="s">
        <v>42</v>
      </c>
      <c r="B8488" s="65">
        <v>43428</v>
      </c>
      <c r="C8488" s="66" t="s">
        <v>221</v>
      </c>
      <c r="D8488" s="3" t="s">
        <v>44</v>
      </c>
      <c r="E8488" s="64">
        <v>1</v>
      </c>
    </row>
    <row r="8489" spans="1:5">
      <c r="A8489" s="64" t="s">
        <v>42</v>
      </c>
      <c r="B8489" s="65">
        <v>43429</v>
      </c>
      <c r="C8489" s="66" t="s">
        <v>222</v>
      </c>
      <c r="D8489" s="3" t="s">
        <v>44</v>
      </c>
      <c r="E8489" s="64">
        <v>1</v>
      </c>
    </row>
    <row r="8490" spans="1:5">
      <c r="A8490" s="64" t="s">
        <v>42</v>
      </c>
      <c r="B8490" s="65">
        <v>43430</v>
      </c>
      <c r="C8490" s="66" t="s">
        <v>216</v>
      </c>
      <c r="D8490" s="3" t="s">
        <v>44</v>
      </c>
      <c r="E8490" s="64">
        <v>1</v>
      </c>
    </row>
    <row r="8491" spans="1:5">
      <c r="A8491" s="64" t="s">
        <v>42</v>
      </c>
      <c r="B8491" s="65">
        <v>43431</v>
      </c>
      <c r="C8491" s="66" t="s">
        <v>217</v>
      </c>
      <c r="D8491" s="3" t="s">
        <v>44</v>
      </c>
      <c r="E8491" s="64">
        <v>1</v>
      </c>
    </row>
    <row r="8492" spans="1:5">
      <c r="A8492" s="64" t="s">
        <v>42</v>
      </c>
      <c r="B8492" s="65">
        <v>43432</v>
      </c>
      <c r="C8492" s="66" t="s">
        <v>218</v>
      </c>
      <c r="D8492" s="3" t="s">
        <v>44</v>
      </c>
      <c r="E8492" s="64">
        <v>1</v>
      </c>
    </row>
    <row r="8493" spans="1:5">
      <c r="A8493" s="64" t="s">
        <v>42</v>
      </c>
      <c r="B8493" s="65">
        <v>43433</v>
      </c>
      <c r="C8493" s="66" t="s">
        <v>219</v>
      </c>
      <c r="D8493" s="3" t="s">
        <v>44</v>
      </c>
      <c r="E8493" s="64">
        <v>1</v>
      </c>
    </row>
    <row r="8494" spans="1:5">
      <c r="A8494" s="64" t="s">
        <v>42</v>
      </c>
      <c r="B8494" s="65">
        <v>43434</v>
      </c>
      <c r="C8494" s="66" t="s">
        <v>220</v>
      </c>
      <c r="D8494" s="3" t="s">
        <v>44</v>
      </c>
      <c r="E8494" s="64">
        <v>1</v>
      </c>
    </row>
    <row r="8495" spans="1:5">
      <c r="A8495" s="64" t="s">
        <v>42</v>
      </c>
      <c r="B8495" s="65">
        <v>43435</v>
      </c>
      <c r="C8495" s="66" t="s">
        <v>221</v>
      </c>
      <c r="D8495" s="3" t="s">
        <v>44</v>
      </c>
      <c r="E8495" s="64">
        <v>1</v>
      </c>
    </row>
    <row r="8496" spans="1:5">
      <c r="A8496" s="64" t="s">
        <v>42</v>
      </c>
      <c r="B8496" s="65">
        <v>43436</v>
      </c>
      <c r="C8496" s="66" t="s">
        <v>222</v>
      </c>
      <c r="D8496" s="3" t="s">
        <v>44</v>
      </c>
      <c r="E8496" s="64">
        <v>1</v>
      </c>
    </row>
    <row r="8497" spans="1:5">
      <c r="A8497" s="64" t="s">
        <v>42</v>
      </c>
      <c r="B8497" s="65">
        <v>43437</v>
      </c>
      <c r="C8497" s="66" t="s">
        <v>216</v>
      </c>
      <c r="D8497" s="3" t="s">
        <v>44</v>
      </c>
      <c r="E8497" s="64">
        <v>1</v>
      </c>
    </row>
    <row r="8498" spans="1:5">
      <c r="A8498" s="64" t="s">
        <v>42</v>
      </c>
      <c r="B8498" s="65">
        <v>43438</v>
      </c>
      <c r="C8498" s="66" t="s">
        <v>217</v>
      </c>
      <c r="D8498" s="3" t="s">
        <v>44</v>
      </c>
      <c r="E8498" s="64">
        <v>1</v>
      </c>
    </row>
    <row r="8499" spans="1:5">
      <c r="A8499" s="64" t="s">
        <v>42</v>
      </c>
      <c r="B8499" s="65">
        <v>43439</v>
      </c>
      <c r="C8499" s="66" t="s">
        <v>218</v>
      </c>
      <c r="D8499" s="3" t="s">
        <v>44</v>
      </c>
      <c r="E8499" s="64">
        <v>1</v>
      </c>
    </row>
    <row r="8500" spans="1:5">
      <c r="A8500" s="64" t="s">
        <v>42</v>
      </c>
      <c r="B8500" s="65">
        <v>43440</v>
      </c>
      <c r="C8500" s="66" t="s">
        <v>219</v>
      </c>
      <c r="D8500" s="3" t="s">
        <v>44</v>
      </c>
      <c r="E8500" s="64">
        <v>1</v>
      </c>
    </row>
    <row r="8501" spans="1:5">
      <c r="A8501" s="64" t="s">
        <v>42</v>
      </c>
      <c r="B8501" s="65">
        <v>43441</v>
      </c>
      <c r="C8501" s="66" t="s">
        <v>220</v>
      </c>
      <c r="D8501" s="3" t="s">
        <v>44</v>
      </c>
      <c r="E8501" s="64">
        <v>1</v>
      </c>
    </row>
    <row r="8502" spans="1:5">
      <c r="A8502" s="64" t="s">
        <v>42</v>
      </c>
      <c r="B8502" s="65">
        <v>43442</v>
      </c>
      <c r="C8502" s="66" t="s">
        <v>221</v>
      </c>
      <c r="D8502" s="3" t="s">
        <v>44</v>
      </c>
      <c r="E8502" s="64">
        <v>1</v>
      </c>
    </row>
    <row r="8503" spans="1:5">
      <c r="A8503" s="64" t="s">
        <v>42</v>
      </c>
      <c r="B8503" s="65">
        <v>43443</v>
      </c>
      <c r="C8503" s="66" t="s">
        <v>222</v>
      </c>
      <c r="D8503" s="3" t="s">
        <v>44</v>
      </c>
      <c r="E8503" s="64">
        <v>1</v>
      </c>
    </row>
    <row r="8504" spans="1:5">
      <c r="A8504" s="64" t="s">
        <v>42</v>
      </c>
      <c r="B8504" s="65">
        <v>43444</v>
      </c>
      <c r="C8504" s="66" t="s">
        <v>216</v>
      </c>
      <c r="D8504" s="3" t="s">
        <v>44</v>
      </c>
      <c r="E8504" s="64">
        <v>1</v>
      </c>
    </row>
    <row r="8505" spans="1:5">
      <c r="A8505" s="64" t="s">
        <v>42</v>
      </c>
      <c r="B8505" s="65">
        <v>43445</v>
      </c>
      <c r="C8505" s="66" t="s">
        <v>217</v>
      </c>
      <c r="D8505" s="3" t="s">
        <v>44</v>
      </c>
      <c r="E8505" s="64">
        <v>1</v>
      </c>
    </row>
    <row r="8506" spans="1:5">
      <c r="A8506" s="64" t="s">
        <v>42</v>
      </c>
      <c r="B8506" s="65">
        <v>43446</v>
      </c>
      <c r="C8506" s="66" t="s">
        <v>218</v>
      </c>
      <c r="D8506" s="3" t="s">
        <v>44</v>
      </c>
      <c r="E8506" s="64">
        <v>1</v>
      </c>
    </row>
    <row r="8507" spans="1:5">
      <c r="A8507" s="64" t="s">
        <v>42</v>
      </c>
      <c r="B8507" s="65">
        <v>43447</v>
      </c>
      <c r="C8507" s="66" t="s">
        <v>219</v>
      </c>
      <c r="D8507" s="3" t="s">
        <v>44</v>
      </c>
      <c r="E8507" s="64">
        <v>1</v>
      </c>
    </row>
    <row r="8508" spans="1:5">
      <c r="A8508" s="64" t="s">
        <v>42</v>
      </c>
      <c r="B8508" s="65">
        <v>43448</v>
      </c>
      <c r="C8508" s="66" t="s">
        <v>220</v>
      </c>
      <c r="D8508" s="3" t="s">
        <v>44</v>
      </c>
      <c r="E8508" s="64">
        <v>1</v>
      </c>
    </row>
    <row r="8509" spans="1:5">
      <c r="A8509" s="64" t="s">
        <v>42</v>
      </c>
      <c r="B8509" s="65">
        <v>43449</v>
      </c>
      <c r="C8509" s="66" t="s">
        <v>221</v>
      </c>
      <c r="D8509" s="3" t="s">
        <v>44</v>
      </c>
      <c r="E8509" s="64">
        <v>1</v>
      </c>
    </row>
    <row r="8510" spans="1:5">
      <c r="A8510" s="64" t="s">
        <v>42</v>
      </c>
      <c r="B8510" s="65">
        <v>43450</v>
      </c>
      <c r="C8510" s="66" t="s">
        <v>222</v>
      </c>
      <c r="D8510" s="3" t="s">
        <v>44</v>
      </c>
      <c r="E8510" s="64">
        <v>1</v>
      </c>
    </row>
    <row r="8511" spans="1:5">
      <c r="A8511" s="64" t="s">
        <v>42</v>
      </c>
      <c r="B8511" s="65">
        <v>43451</v>
      </c>
      <c r="C8511" s="66" t="s">
        <v>216</v>
      </c>
      <c r="D8511" s="3" t="s">
        <v>44</v>
      </c>
      <c r="E8511" s="64">
        <v>1</v>
      </c>
    </row>
    <row r="8512" spans="1:5">
      <c r="A8512" s="64" t="s">
        <v>42</v>
      </c>
      <c r="B8512" s="65">
        <v>43452</v>
      </c>
      <c r="C8512" s="66" t="s">
        <v>217</v>
      </c>
      <c r="D8512" s="3" t="s">
        <v>44</v>
      </c>
      <c r="E8512" s="64">
        <v>1</v>
      </c>
    </row>
    <row r="8513" spans="1:5">
      <c r="A8513" s="64" t="s">
        <v>42</v>
      </c>
      <c r="B8513" s="65">
        <v>43453</v>
      </c>
      <c r="C8513" s="66" t="s">
        <v>218</v>
      </c>
      <c r="D8513" s="3" t="s">
        <v>44</v>
      </c>
      <c r="E8513" s="64">
        <v>1</v>
      </c>
    </row>
    <row r="8514" spans="1:5">
      <c r="A8514" s="64" t="s">
        <v>42</v>
      </c>
      <c r="B8514" s="65">
        <v>43454</v>
      </c>
      <c r="C8514" s="66" t="s">
        <v>219</v>
      </c>
      <c r="D8514" s="3" t="s">
        <v>44</v>
      </c>
      <c r="E8514" s="64">
        <v>1</v>
      </c>
    </row>
    <row r="8515" spans="1:5">
      <c r="A8515" s="64" t="s">
        <v>42</v>
      </c>
      <c r="B8515" s="65">
        <v>43455</v>
      </c>
      <c r="C8515" s="66" t="s">
        <v>220</v>
      </c>
      <c r="D8515" s="3" t="s">
        <v>44</v>
      </c>
      <c r="E8515" s="64">
        <v>1</v>
      </c>
    </row>
    <row r="8516" spans="1:5">
      <c r="A8516" s="64" t="s">
        <v>42</v>
      </c>
      <c r="B8516" s="65">
        <v>43456</v>
      </c>
      <c r="C8516" s="66" t="s">
        <v>221</v>
      </c>
      <c r="D8516" s="3" t="s">
        <v>44</v>
      </c>
      <c r="E8516" s="64">
        <v>1</v>
      </c>
    </row>
    <row r="8517" spans="1:5">
      <c r="A8517" s="64" t="s">
        <v>42</v>
      </c>
      <c r="B8517" s="65">
        <v>43457</v>
      </c>
      <c r="C8517" s="66" t="s">
        <v>222</v>
      </c>
      <c r="D8517" s="3" t="s">
        <v>44</v>
      </c>
      <c r="E8517" s="64">
        <v>1</v>
      </c>
    </row>
    <row r="8518" spans="1:5">
      <c r="A8518" s="64" t="s">
        <v>42</v>
      </c>
      <c r="B8518" s="65">
        <v>43458</v>
      </c>
      <c r="C8518" s="66" t="s">
        <v>216</v>
      </c>
      <c r="D8518" s="3" t="s">
        <v>44</v>
      </c>
      <c r="E8518" s="64">
        <v>1</v>
      </c>
    </row>
    <row r="8519" spans="1:5">
      <c r="A8519" s="64" t="s">
        <v>42</v>
      </c>
      <c r="B8519" s="65">
        <v>43459</v>
      </c>
      <c r="C8519" s="66" t="s">
        <v>217</v>
      </c>
      <c r="D8519" s="3" t="s">
        <v>44</v>
      </c>
      <c r="E8519" s="64">
        <v>1</v>
      </c>
    </row>
    <row r="8520" spans="1:5">
      <c r="A8520" s="64" t="s">
        <v>42</v>
      </c>
      <c r="B8520" s="65">
        <v>43460</v>
      </c>
      <c r="C8520" s="66" t="s">
        <v>218</v>
      </c>
      <c r="D8520" s="3" t="s">
        <v>44</v>
      </c>
      <c r="E8520" s="64">
        <v>1</v>
      </c>
    </row>
    <row r="8521" spans="1:5">
      <c r="A8521" s="64" t="s">
        <v>42</v>
      </c>
      <c r="B8521" s="65">
        <v>43461</v>
      </c>
      <c r="C8521" s="66" t="s">
        <v>219</v>
      </c>
      <c r="D8521" s="3" t="s">
        <v>44</v>
      </c>
      <c r="E8521" s="64">
        <v>1</v>
      </c>
    </row>
    <row r="8522" spans="1:5">
      <c r="A8522" s="64" t="s">
        <v>42</v>
      </c>
      <c r="B8522" s="65">
        <v>43462</v>
      </c>
      <c r="C8522" s="66" t="s">
        <v>220</v>
      </c>
      <c r="D8522" s="3" t="s">
        <v>44</v>
      </c>
      <c r="E8522" s="64">
        <v>1</v>
      </c>
    </row>
    <row r="8523" spans="1:5">
      <c r="A8523" s="64" t="s">
        <v>42</v>
      </c>
      <c r="B8523" s="65">
        <v>43463</v>
      </c>
      <c r="C8523" s="66" t="s">
        <v>221</v>
      </c>
      <c r="D8523" s="3" t="s">
        <v>44</v>
      </c>
      <c r="E8523" s="64">
        <v>1</v>
      </c>
    </row>
    <row r="8524" spans="1:5">
      <c r="A8524" s="64" t="s">
        <v>42</v>
      </c>
      <c r="B8524" s="65">
        <v>43464</v>
      </c>
      <c r="C8524" s="66" t="s">
        <v>222</v>
      </c>
      <c r="D8524" s="3" t="s">
        <v>44</v>
      </c>
      <c r="E8524" s="64">
        <v>1</v>
      </c>
    </row>
    <row r="8525" spans="1:5">
      <c r="A8525" s="64" t="s">
        <v>42</v>
      </c>
      <c r="B8525" s="65">
        <v>43465</v>
      </c>
      <c r="C8525" s="66" t="s">
        <v>216</v>
      </c>
      <c r="D8525" s="3" t="s">
        <v>44</v>
      </c>
      <c r="E8525" s="64">
        <v>1</v>
      </c>
    </row>
    <row r="8526" spans="1:5">
      <c r="A8526" s="64" t="s">
        <v>42</v>
      </c>
      <c r="B8526" s="65">
        <v>43466</v>
      </c>
      <c r="C8526" s="66" t="s">
        <v>217</v>
      </c>
      <c r="D8526" s="3" t="s">
        <v>44</v>
      </c>
      <c r="E8526" s="64">
        <v>1</v>
      </c>
    </row>
    <row r="8527" spans="1:5">
      <c r="A8527" s="64" t="s">
        <v>42</v>
      </c>
      <c r="B8527" s="65">
        <v>43467</v>
      </c>
      <c r="C8527" s="66" t="s">
        <v>218</v>
      </c>
      <c r="D8527" s="3" t="s">
        <v>44</v>
      </c>
      <c r="E8527" s="64">
        <v>1</v>
      </c>
    </row>
    <row r="8528" spans="1:5">
      <c r="A8528" s="64" t="s">
        <v>42</v>
      </c>
      <c r="B8528" s="65">
        <v>43468</v>
      </c>
      <c r="C8528" s="66" t="s">
        <v>219</v>
      </c>
      <c r="D8528" s="3" t="s">
        <v>44</v>
      </c>
      <c r="E8528" s="64">
        <v>1</v>
      </c>
    </row>
    <row r="8529" spans="1:5">
      <c r="A8529" s="64" t="s">
        <v>42</v>
      </c>
      <c r="B8529" s="65">
        <v>43469</v>
      </c>
      <c r="C8529" s="66" t="s">
        <v>220</v>
      </c>
      <c r="D8529" s="3" t="s">
        <v>44</v>
      </c>
      <c r="E8529" s="64">
        <v>1</v>
      </c>
    </row>
    <row r="8530" spans="1:5">
      <c r="A8530" s="64" t="s">
        <v>42</v>
      </c>
      <c r="B8530" s="65">
        <v>43470</v>
      </c>
      <c r="C8530" s="66" t="s">
        <v>221</v>
      </c>
      <c r="D8530" s="3" t="s">
        <v>44</v>
      </c>
      <c r="E8530" s="64">
        <v>1</v>
      </c>
    </row>
    <row r="8531" spans="1:5">
      <c r="A8531" s="64" t="s">
        <v>42</v>
      </c>
      <c r="B8531" s="65">
        <v>43471</v>
      </c>
      <c r="C8531" s="66" t="s">
        <v>222</v>
      </c>
      <c r="D8531" s="3" t="s">
        <v>44</v>
      </c>
      <c r="E8531" s="64">
        <v>1</v>
      </c>
    </row>
    <row r="8532" spans="1:5">
      <c r="A8532" s="64" t="s">
        <v>42</v>
      </c>
      <c r="B8532" s="65">
        <v>43472</v>
      </c>
      <c r="C8532" s="66" t="s">
        <v>216</v>
      </c>
      <c r="D8532" s="3" t="s">
        <v>44</v>
      </c>
      <c r="E8532" s="64">
        <v>1</v>
      </c>
    </row>
    <row r="8533" spans="1:5">
      <c r="A8533" s="64" t="s">
        <v>42</v>
      </c>
      <c r="B8533" s="65">
        <v>43473</v>
      </c>
      <c r="C8533" s="66" t="s">
        <v>217</v>
      </c>
      <c r="D8533" s="3" t="s">
        <v>44</v>
      </c>
      <c r="E8533" s="64">
        <v>1</v>
      </c>
    </row>
    <row r="8534" spans="1:5">
      <c r="A8534" s="64" t="s">
        <v>42</v>
      </c>
      <c r="B8534" s="65">
        <v>43474</v>
      </c>
      <c r="C8534" s="66" t="s">
        <v>218</v>
      </c>
      <c r="D8534" s="3" t="s">
        <v>44</v>
      </c>
      <c r="E8534" s="64">
        <v>1</v>
      </c>
    </row>
    <row r="8535" spans="1:5">
      <c r="A8535" s="64" t="s">
        <v>42</v>
      </c>
      <c r="B8535" s="65">
        <v>43475</v>
      </c>
      <c r="C8535" s="66" t="s">
        <v>219</v>
      </c>
      <c r="D8535" s="3" t="s">
        <v>44</v>
      </c>
      <c r="E8535" s="64">
        <v>1</v>
      </c>
    </row>
    <row r="8536" spans="1:5">
      <c r="A8536" s="64" t="s">
        <v>42</v>
      </c>
      <c r="B8536" s="65">
        <v>43476</v>
      </c>
      <c r="C8536" s="66" t="s">
        <v>220</v>
      </c>
      <c r="D8536" s="3" t="s">
        <v>44</v>
      </c>
      <c r="E8536" s="64">
        <v>1</v>
      </c>
    </row>
    <row r="8537" spans="1:5">
      <c r="A8537" s="64" t="s">
        <v>42</v>
      </c>
      <c r="B8537" s="65">
        <v>43477</v>
      </c>
      <c r="C8537" s="66" t="s">
        <v>221</v>
      </c>
      <c r="D8537" s="3" t="s">
        <v>44</v>
      </c>
      <c r="E8537" s="64">
        <v>1</v>
      </c>
    </row>
    <row r="8538" spans="1:5">
      <c r="A8538" s="64" t="s">
        <v>42</v>
      </c>
      <c r="B8538" s="65">
        <v>43478</v>
      </c>
      <c r="C8538" s="66" t="s">
        <v>222</v>
      </c>
      <c r="D8538" s="3" t="s">
        <v>44</v>
      </c>
      <c r="E8538" s="64">
        <v>1</v>
      </c>
    </row>
    <row r="8539" spans="1:5">
      <c r="A8539" s="64" t="s">
        <v>42</v>
      </c>
      <c r="B8539" s="65">
        <v>43479</v>
      </c>
      <c r="C8539" s="66" t="s">
        <v>216</v>
      </c>
      <c r="D8539" s="3" t="s">
        <v>44</v>
      </c>
      <c r="E8539" s="64">
        <v>1</v>
      </c>
    </row>
    <row r="8540" spans="1:5">
      <c r="A8540" s="64" t="s">
        <v>42</v>
      </c>
      <c r="B8540" s="65">
        <v>43480</v>
      </c>
      <c r="C8540" s="66" t="s">
        <v>217</v>
      </c>
      <c r="D8540" s="3" t="s">
        <v>44</v>
      </c>
      <c r="E8540" s="64">
        <v>1</v>
      </c>
    </row>
    <row r="8541" spans="1:5">
      <c r="A8541" s="64" t="s">
        <v>42</v>
      </c>
      <c r="B8541" s="65">
        <v>43481</v>
      </c>
      <c r="C8541" s="66" t="s">
        <v>218</v>
      </c>
      <c r="D8541" s="3" t="s">
        <v>44</v>
      </c>
      <c r="E8541" s="64">
        <v>1</v>
      </c>
    </row>
    <row r="8542" spans="1:5">
      <c r="A8542" s="64" t="s">
        <v>42</v>
      </c>
      <c r="B8542" s="65">
        <v>43482</v>
      </c>
      <c r="C8542" s="66" t="s">
        <v>219</v>
      </c>
      <c r="D8542" s="3" t="s">
        <v>44</v>
      </c>
      <c r="E8542" s="64">
        <v>1</v>
      </c>
    </row>
    <row r="8543" spans="1:5">
      <c r="A8543" s="64" t="s">
        <v>42</v>
      </c>
      <c r="B8543" s="65">
        <v>43483</v>
      </c>
      <c r="C8543" s="66" t="s">
        <v>220</v>
      </c>
      <c r="D8543" s="3" t="s">
        <v>44</v>
      </c>
      <c r="E8543" s="64">
        <v>1</v>
      </c>
    </row>
    <row r="8544" spans="1:5">
      <c r="A8544" s="64" t="s">
        <v>42</v>
      </c>
      <c r="B8544" s="65">
        <v>43484</v>
      </c>
      <c r="C8544" s="66" t="s">
        <v>221</v>
      </c>
      <c r="D8544" s="3" t="s">
        <v>44</v>
      </c>
      <c r="E8544" s="64">
        <v>1</v>
      </c>
    </row>
    <row r="8545" spans="1:5">
      <c r="A8545" s="64" t="s">
        <v>42</v>
      </c>
      <c r="B8545" s="65">
        <v>43485</v>
      </c>
      <c r="C8545" s="66" t="s">
        <v>222</v>
      </c>
      <c r="D8545" s="3" t="s">
        <v>44</v>
      </c>
      <c r="E8545" s="64">
        <v>1</v>
      </c>
    </row>
    <row r="8546" spans="1:5">
      <c r="A8546" s="64" t="s">
        <v>42</v>
      </c>
      <c r="B8546" s="65">
        <v>43486</v>
      </c>
      <c r="C8546" s="66" t="s">
        <v>216</v>
      </c>
      <c r="D8546" s="3" t="s">
        <v>44</v>
      </c>
      <c r="E8546" s="64">
        <v>1</v>
      </c>
    </row>
    <row r="8547" spans="1:5">
      <c r="A8547" s="64" t="s">
        <v>42</v>
      </c>
      <c r="B8547" s="65">
        <v>43487</v>
      </c>
      <c r="C8547" s="66" t="s">
        <v>217</v>
      </c>
      <c r="D8547" s="3" t="s">
        <v>44</v>
      </c>
      <c r="E8547" s="64">
        <v>1</v>
      </c>
    </row>
    <row r="8548" spans="1:5">
      <c r="A8548" s="64" t="s">
        <v>42</v>
      </c>
      <c r="B8548" s="65">
        <v>43488</v>
      </c>
      <c r="C8548" s="66" t="s">
        <v>218</v>
      </c>
      <c r="D8548" s="3" t="s">
        <v>44</v>
      </c>
      <c r="E8548" s="64">
        <v>1</v>
      </c>
    </row>
    <row r="8549" spans="1:5">
      <c r="A8549" s="64" t="s">
        <v>42</v>
      </c>
      <c r="B8549" s="65">
        <v>43489</v>
      </c>
      <c r="C8549" s="66" t="s">
        <v>219</v>
      </c>
      <c r="D8549" s="3" t="s">
        <v>44</v>
      </c>
      <c r="E8549" s="64">
        <v>1</v>
      </c>
    </row>
    <row r="8550" spans="1:5">
      <c r="A8550" s="64" t="s">
        <v>42</v>
      </c>
      <c r="B8550" s="65">
        <v>43490</v>
      </c>
      <c r="C8550" s="66" t="s">
        <v>220</v>
      </c>
      <c r="D8550" s="3" t="s">
        <v>44</v>
      </c>
      <c r="E8550" s="64">
        <v>1</v>
      </c>
    </row>
    <row r="8551" spans="1:5">
      <c r="A8551" s="64" t="s">
        <v>42</v>
      </c>
      <c r="B8551" s="65">
        <v>43491</v>
      </c>
      <c r="C8551" s="66" t="s">
        <v>221</v>
      </c>
      <c r="D8551" s="3" t="s">
        <v>44</v>
      </c>
      <c r="E8551" s="64">
        <v>1</v>
      </c>
    </row>
    <row r="8552" spans="1:5">
      <c r="A8552" s="64" t="s">
        <v>42</v>
      </c>
      <c r="B8552" s="65">
        <v>43492</v>
      </c>
      <c r="C8552" s="66" t="s">
        <v>222</v>
      </c>
      <c r="D8552" s="3" t="s">
        <v>44</v>
      </c>
      <c r="E8552" s="64">
        <v>1</v>
      </c>
    </row>
    <row r="8553" spans="1:5">
      <c r="A8553" s="64" t="s">
        <v>42</v>
      </c>
      <c r="B8553" s="65">
        <v>43493</v>
      </c>
      <c r="C8553" s="66" t="s">
        <v>216</v>
      </c>
      <c r="D8553" s="3" t="s">
        <v>44</v>
      </c>
      <c r="E8553" s="64">
        <v>1</v>
      </c>
    </row>
    <row r="8554" spans="1:5">
      <c r="A8554" s="64" t="s">
        <v>42</v>
      </c>
      <c r="B8554" s="65">
        <v>43494</v>
      </c>
      <c r="C8554" s="66" t="s">
        <v>217</v>
      </c>
      <c r="D8554" s="3" t="s">
        <v>44</v>
      </c>
      <c r="E8554" s="64">
        <v>1</v>
      </c>
    </row>
    <row r="8555" spans="1:5">
      <c r="A8555" s="64" t="s">
        <v>42</v>
      </c>
      <c r="B8555" s="65">
        <v>43495</v>
      </c>
      <c r="C8555" s="66" t="s">
        <v>218</v>
      </c>
      <c r="D8555" s="3" t="s">
        <v>44</v>
      </c>
      <c r="E8555" s="64">
        <v>1</v>
      </c>
    </row>
    <row r="8556" spans="1:5">
      <c r="A8556" s="64" t="s">
        <v>42</v>
      </c>
      <c r="B8556" s="65">
        <v>43496</v>
      </c>
      <c r="C8556" s="66" t="s">
        <v>219</v>
      </c>
      <c r="D8556" s="3" t="s">
        <v>44</v>
      </c>
      <c r="E8556" s="64">
        <v>1</v>
      </c>
    </row>
    <row r="8557" spans="1:5">
      <c r="A8557" s="64" t="s">
        <v>42</v>
      </c>
      <c r="B8557" s="65">
        <v>43497</v>
      </c>
      <c r="C8557" s="66" t="s">
        <v>220</v>
      </c>
      <c r="D8557" s="3" t="s">
        <v>44</v>
      </c>
      <c r="E8557" s="64">
        <v>1</v>
      </c>
    </row>
    <row r="8558" spans="1:5">
      <c r="A8558" s="64" t="s">
        <v>42</v>
      </c>
      <c r="B8558" s="65">
        <v>43498</v>
      </c>
      <c r="C8558" s="66" t="s">
        <v>221</v>
      </c>
      <c r="D8558" s="3" t="s">
        <v>44</v>
      </c>
      <c r="E8558" s="64">
        <v>1</v>
      </c>
    </row>
    <row r="8559" spans="1:5">
      <c r="A8559" s="64" t="s">
        <v>42</v>
      </c>
      <c r="B8559" s="65">
        <v>43499</v>
      </c>
      <c r="C8559" s="66" t="s">
        <v>222</v>
      </c>
      <c r="D8559" s="3" t="s">
        <v>44</v>
      </c>
      <c r="E8559" s="64">
        <v>1</v>
      </c>
    </row>
    <row r="8560" spans="1:5">
      <c r="A8560" s="64" t="s">
        <v>42</v>
      </c>
      <c r="B8560" s="65">
        <v>43500</v>
      </c>
      <c r="C8560" s="66" t="s">
        <v>216</v>
      </c>
      <c r="D8560" s="3" t="s">
        <v>44</v>
      </c>
      <c r="E8560" s="64">
        <v>1</v>
      </c>
    </row>
    <row r="8561" spans="1:5">
      <c r="A8561" s="64" t="s">
        <v>42</v>
      </c>
      <c r="B8561" s="65">
        <v>43501</v>
      </c>
      <c r="C8561" s="66" t="s">
        <v>217</v>
      </c>
      <c r="D8561" s="3" t="s">
        <v>44</v>
      </c>
      <c r="E8561" s="64">
        <v>1</v>
      </c>
    </row>
    <row r="8562" spans="1:5">
      <c r="A8562" s="64" t="s">
        <v>42</v>
      </c>
      <c r="B8562" s="65">
        <v>43502</v>
      </c>
      <c r="C8562" s="66" t="s">
        <v>218</v>
      </c>
      <c r="D8562" s="3" t="s">
        <v>44</v>
      </c>
      <c r="E8562" s="64">
        <v>1</v>
      </c>
    </row>
    <row r="8563" spans="1:5">
      <c r="A8563" s="64" t="s">
        <v>42</v>
      </c>
      <c r="B8563" s="65">
        <v>43503</v>
      </c>
      <c r="C8563" s="66" t="s">
        <v>219</v>
      </c>
      <c r="D8563" s="3" t="s">
        <v>44</v>
      </c>
      <c r="E8563" s="64">
        <v>1</v>
      </c>
    </row>
    <row r="8564" spans="1:5">
      <c r="A8564" s="64" t="s">
        <v>42</v>
      </c>
      <c r="B8564" s="65">
        <v>43504</v>
      </c>
      <c r="C8564" s="66" t="s">
        <v>220</v>
      </c>
      <c r="D8564" s="3" t="s">
        <v>44</v>
      </c>
      <c r="E8564" s="64">
        <v>1</v>
      </c>
    </row>
    <row r="8565" spans="1:5">
      <c r="A8565" s="64" t="s">
        <v>42</v>
      </c>
      <c r="B8565" s="65">
        <v>43505</v>
      </c>
      <c r="C8565" s="66" t="s">
        <v>221</v>
      </c>
      <c r="D8565" s="3" t="s">
        <v>44</v>
      </c>
      <c r="E8565" s="64">
        <v>1</v>
      </c>
    </row>
    <row r="8566" spans="1:5">
      <c r="A8566" s="64" t="s">
        <v>42</v>
      </c>
      <c r="B8566" s="65">
        <v>43506</v>
      </c>
      <c r="C8566" s="66" t="s">
        <v>222</v>
      </c>
      <c r="D8566" s="3" t="s">
        <v>44</v>
      </c>
      <c r="E8566" s="64">
        <v>1</v>
      </c>
    </row>
    <row r="8567" spans="1:5">
      <c r="A8567" s="64" t="s">
        <v>42</v>
      </c>
      <c r="B8567" s="65">
        <v>43507</v>
      </c>
      <c r="C8567" s="66" t="s">
        <v>216</v>
      </c>
      <c r="D8567" s="3" t="s">
        <v>44</v>
      </c>
      <c r="E8567" s="64">
        <v>1</v>
      </c>
    </row>
    <row r="8568" spans="1:5">
      <c r="A8568" s="64" t="s">
        <v>42</v>
      </c>
      <c r="B8568" s="65">
        <v>43508</v>
      </c>
      <c r="C8568" s="66" t="s">
        <v>217</v>
      </c>
      <c r="D8568" s="3" t="s">
        <v>44</v>
      </c>
      <c r="E8568" s="64">
        <v>1</v>
      </c>
    </row>
    <row r="8569" spans="1:5">
      <c r="A8569" s="64" t="s">
        <v>42</v>
      </c>
      <c r="B8569" s="65">
        <v>43509</v>
      </c>
      <c r="C8569" s="66" t="s">
        <v>218</v>
      </c>
      <c r="D8569" s="3" t="s">
        <v>44</v>
      </c>
      <c r="E8569" s="64">
        <v>1</v>
      </c>
    </row>
    <row r="8570" spans="1:5">
      <c r="A8570" s="64" t="s">
        <v>42</v>
      </c>
      <c r="B8570" s="65">
        <v>43510</v>
      </c>
      <c r="C8570" s="66" t="s">
        <v>219</v>
      </c>
      <c r="D8570" s="3" t="s">
        <v>44</v>
      </c>
      <c r="E8570" s="64">
        <v>1</v>
      </c>
    </row>
    <row r="8571" spans="1:5">
      <c r="A8571" s="64" t="s">
        <v>42</v>
      </c>
      <c r="B8571" s="65">
        <v>43511</v>
      </c>
      <c r="C8571" s="66" t="s">
        <v>220</v>
      </c>
      <c r="D8571" s="3" t="s">
        <v>44</v>
      </c>
      <c r="E8571" s="64">
        <v>1</v>
      </c>
    </row>
    <row r="8572" spans="1:5">
      <c r="A8572" s="64" t="s">
        <v>42</v>
      </c>
      <c r="B8572" s="65">
        <v>43512</v>
      </c>
      <c r="C8572" s="66" t="s">
        <v>221</v>
      </c>
      <c r="D8572" s="3" t="s">
        <v>44</v>
      </c>
      <c r="E8572" s="64">
        <v>1</v>
      </c>
    </row>
    <row r="8573" spans="1:5">
      <c r="A8573" s="64" t="s">
        <v>42</v>
      </c>
      <c r="B8573" s="65">
        <v>43513</v>
      </c>
      <c r="C8573" s="66" t="s">
        <v>222</v>
      </c>
      <c r="D8573" s="3" t="s">
        <v>44</v>
      </c>
      <c r="E8573" s="64">
        <v>1</v>
      </c>
    </row>
    <row r="8574" spans="1:5">
      <c r="A8574" s="64" t="s">
        <v>42</v>
      </c>
      <c r="B8574" s="65">
        <v>43514</v>
      </c>
      <c r="C8574" s="66" t="s">
        <v>216</v>
      </c>
      <c r="D8574" s="3" t="s">
        <v>44</v>
      </c>
      <c r="E8574" s="64">
        <v>1</v>
      </c>
    </row>
    <row r="8575" spans="1:5">
      <c r="A8575" s="64" t="s">
        <v>42</v>
      </c>
      <c r="B8575" s="65">
        <v>43515</v>
      </c>
      <c r="C8575" s="66" t="s">
        <v>217</v>
      </c>
      <c r="D8575" s="3" t="s">
        <v>44</v>
      </c>
      <c r="E8575" s="64">
        <v>1</v>
      </c>
    </row>
    <row r="8576" spans="1:5">
      <c r="A8576" s="64" t="s">
        <v>42</v>
      </c>
      <c r="B8576" s="65">
        <v>43516</v>
      </c>
      <c r="C8576" s="66" t="s">
        <v>218</v>
      </c>
      <c r="D8576" s="3" t="s">
        <v>44</v>
      </c>
      <c r="E8576" s="64">
        <v>1</v>
      </c>
    </row>
    <row r="8577" spans="1:5">
      <c r="A8577" s="64" t="s">
        <v>42</v>
      </c>
      <c r="B8577" s="65">
        <v>43517</v>
      </c>
      <c r="C8577" s="66" t="s">
        <v>219</v>
      </c>
      <c r="D8577" s="3" t="s">
        <v>44</v>
      </c>
      <c r="E8577" s="64">
        <v>1</v>
      </c>
    </row>
    <row r="8578" spans="1:5">
      <c r="A8578" s="64" t="s">
        <v>42</v>
      </c>
      <c r="B8578" s="65">
        <v>43518</v>
      </c>
      <c r="C8578" s="66" t="s">
        <v>220</v>
      </c>
      <c r="D8578" s="3" t="s">
        <v>44</v>
      </c>
      <c r="E8578" s="64">
        <v>1</v>
      </c>
    </row>
    <row r="8579" spans="1:5">
      <c r="A8579" s="64" t="s">
        <v>42</v>
      </c>
      <c r="B8579" s="65">
        <v>43519</v>
      </c>
      <c r="C8579" s="66" t="s">
        <v>221</v>
      </c>
      <c r="D8579" s="3" t="s">
        <v>44</v>
      </c>
      <c r="E8579" s="64">
        <v>1</v>
      </c>
    </row>
    <row r="8580" spans="1:5">
      <c r="A8580" s="64" t="s">
        <v>42</v>
      </c>
      <c r="B8580" s="65">
        <v>43520</v>
      </c>
      <c r="C8580" s="66" t="s">
        <v>222</v>
      </c>
      <c r="D8580" s="3" t="s">
        <v>44</v>
      </c>
      <c r="E8580" s="64">
        <v>1</v>
      </c>
    </row>
    <row r="8581" spans="1:5">
      <c r="A8581" s="64" t="s">
        <v>42</v>
      </c>
      <c r="B8581" s="65">
        <v>43521</v>
      </c>
      <c r="C8581" s="66" t="s">
        <v>216</v>
      </c>
      <c r="D8581" s="3" t="s">
        <v>44</v>
      </c>
      <c r="E8581" s="64">
        <v>1</v>
      </c>
    </row>
    <row r="8582" spans="1:5">
      <c r="A8582" s="64" t="s">
        <v>42</v>
      </c>
      <c r="B8582" s="65">
        <v>43522</v>
      </c>
      <c r="C8582" s="66" t="s">
        <v>217</v>
      </c>
      <c r="D8582" s="3" t="s">
        <v>44</v>
      </c>
      <c r="E8582" s="64">
        <v>1</v>
      </c>
    </row>
    <row r="8583" spans="1:5">
      <c r="A8583" s="64" t="s">
        <v>42</v>
      </c>
      <c r="B8583" s="65">
        <v>43523</v>
      </c>
      <c r="C8583" s="66" t="s">
        <v>218</v>
      </c>
      <c r="D8583" s="3" t="s">
        <v>44</v>
      </c>
      <c r="E8583" s="64">
        <v>1</v>
      </c>
    </row>
    <row r="8584" spans="1:5">
      <c r="A8584" s="64" t="s">
        <v>42</v>
      </c>
      <c r="B8584" s="65">
        <v>43524</v>
      </c>
      <c r="C8584" s="66" t="s">
        <v>219</v>
      </c>
      <c r="D8584" s="3" t="s">
        <v>44</v>
      </c>
      <c r="E8584" s="64">
        <v>1</v>
      </c>
    </row>
    <row r="8585" spans="1:5">
      <c r="A8585" s="64" t="s">
        <v>42</v>
      </c>
      <c r="B8585" s="65">
        <v>43525</v>
      </c>
      <c r="C8585" s="66" t="s">
        <v>220</v>
      </c>
      <c r="D8585" s="3" t="s">
        <v>44</v>
      </c>
      <c r="E8585" s="64">
        <v>1</v>
      </c>
    </row>
    <row r="8586" spans="1:5">
      <c r="A8586" s="64" t="s">
        <v>42</v>
      </c>
      <c r="B8586" s="65">
        <v>43526</v>
      </c>
      <c r="C8586" s="66" t="s">
        <v>221</v>
      </c>
      <c r="D8586" s="3" t="s">
        <v>44</v>
      </c>
      <c r="E8586" s="64">
        <v>1</v>
      </c>
    </row>
    <row r="8587" spans="1:5">
      <c r="A8587" s="64" t="s">
        <v>42</v>
      </c>
      <c r="B8587" s="65">
        <v>43527</v>
      </c>
      <c r="C8587" s="66" t="s">
        <v>222</v>
      </c>
      <c r="D8587" s="3" t="s">
        <v>44</v>
      </c>
      <c r="E8587" s="64">
        <v>1</v>
      </c>
    </row>
    <row r="8588" spans="1:5">
      <c r="A8588" s="64" t="s">
        <v>42</v>
      </c>
      <c r="B8588" s="65">
        <v>43528</v>
      </c>
      <c r="C8588" s="66" t="s">
        <v>216</v>
      </c>
      <c r="D8588" s="3" t="s">
        <v>44</v>
      </c>
      <c r="E8588" s="64">
        <v>1</v>
      </c>
    </row>
    <row r="8589" spans="1:5">
      <c r="A8589" s="64" t="s">
        <v>42</v>
      </c>
      <c r="B8589" s="65">
        <v>43529</v>
      </c>
      <c r="C8589" s="66" t="s">
        <v>217</v>
      </c>
      <c r="D8589" s="3" t="s">
        <v>44</v>
      </c>
      <c r="E8589" s="64">
        <v>1</v>
      </c>
    </row>
    <row r="8590" spans="1:5">
      <c r="A8590" s="64" t="s">
        <v>42</v>
      </c>
      <c r="B8590" s="65">
        <v>43530</v>
      </c>
      <c r="C8590" s="66" t="s">
        <v>218</v>
      </c>
      <c r="D8590" s="3" t="s">
        <v>44</v>
      </c>
      <c r="E8590" s="64">
        <v>1</v>
      </c>
    </row>
    <row r="8591" spans="1:5">
      <c r="A8591" s="64" t="s">
        <v>42</v>
      </c>
      <c r="B8591" s="65">
        <v>43531</v>
      </c>
      <c r="C8591" s="66" t="s">
        <v>219</v>
      </c>
      <c r="D8591" s="3" t="s">
        <v>44</v>
      </c>
      <c r="E8591" s="64">
        <v>1</v>
      </c>
    </row>
    <row r="8592" spans="1:5">
      <c r="A8592" s="64" t="s">
        <v>42</v>
      </c>
      <c r="B8592" s="65">
        <v>43532</v>
      </c>
      <c r="C8592" s="66" t="s">
        <v>220</v>
      </c>
      <c r="D8592" s="3" t="s">
        <v>44</v>
      </c>
      <c r="E8592" s="64">
        <v>1</v>
      </c>
    </row>
    <row r="8593" spans="1:5">
      <c r="A8593" s="64" t="s">
        <v>42</v>
      </c>
      <c r="B8593" s="65">
        <v>43533</v>
      </c>
      <c r="C8593" s="66" t="s">
        <v>221</v>
      </c>
      <c r="D8593" s="3" t="s">
        <v>44</v>
      </c>
      <c r="E8593" s="64">
        <v>1</v>
      </c>
    </row>
    <row r="8594" spans="1:5">
      <c r="A8594" s="64" t="s">
        <v>42</v>
      </c>
      <c r="B8594" s="65">
        <v>43534</v>
      </c>
      <c r="C8594" s="66" t="s">
        <v>222</v>
      </c>
      <c r="D8594" s="3" t="s">
        <v>44</v>
      </c>
      <c r="E8594" s="64">
        <v>1</v>
      </c>
    </row>
    <row r="8595" spans="1:5">
      <c r="A8595" s="64" t="s">
        <v>42</v>
      </c>
      <c r="B8595" s="65">
        <v>43535</v>
      </c>
      <c r="C8595" s="66" t="s">
        <v>216</v>
      </c>
      <c r="D8595" s="3" t="s">
        <v>44</v>
      </c>
      <c r="E8595" s="64">
        <v>1</v>
      </c>
    </row>
    <row r="8596" spans="1:5">
      <c r="A8596" s="64" t="s">
        <v>42</v>
      </c>
      <c r="B8596" s="65">
        <v>43536</v>
      </c>
      <c r="C8596" s="66" t="s">
        <v>217</v>
      </c>
      <c r="D8596" s="3" t="s">
        <v>44</v>
      </c>
      <c r="E8596" s="64">
        <v>1</v>
      </c>
    </row>
    <row r="8597" spans="1:5">
      <c r="A8597" s="64" t="s">
        <v>42</v>
      </c>
      <c r="B8597" s="65">
        <v>43537</v>
      </c>
      <c r="C8597" s="66" t="s">
        <v>218</v>
      </c>
      <c r="D8597" s="3" t="s">
        <v>44</v>
      </c>
      <c r="E8597" s="64">
        <v>1</v>
      </c>
    </row>
    <row r="8598" spans="1:5">
      <c r="A8598" s="64" t="s">
        <v>42</v>
      </c>
      <c r="B8598" s="65">
        <v>43538</v>
      </c>
      <c r="C8598" s="66" t="s">
        <v>219</v>
      </c>
      <c r="D8598" s="3" t="s">
        <v>44</v>
      </c>
      <c r="E8598" s="64">
        <v>1</v>
      </c>
    </row>
    <row r="8599" spans="1:5">
      <c r="A8599" s="64" t="s">
        <v>42</v>
      </c>
      <c r="B8599" s="65">
        <v>43539</v>
      </c>
      <c r="C8599" s="66" t="s">
        <v>220</v>
      </c>
      <c r="D8599" s="3" t="s">
        <v>44</v>
      </c>
      <c r="E8599" s="64">
        <v>1</v>
      </c>
    </row>
    <row r="8600" spans="1:5">
      <c r="A8600" s="64" t="s">
        <v>42</v>
      </c>
      <c r="B8600" s="65">
        <v>43540</v>
      </c>
      <c r="C8600" s="66" t="s">
        <v>221</v>
      </c>
      <c r="D8600" s="3" t="s">
        <v>44</v>
      </c>
      <c r="E8600" s="64">
        <v>1</v>
      </c>
    </row>
    <row r="8601" spans="1:5">
      <c r="A8601" s="64" t="s">
        <v>42</v>
      </c>
      <c r="B8601" s="65">
        <v>43541</v>
      </c>
      <c r="C8601" s="66" t="s">
        <v>222</v>
      </c>
      <c r="D8601" s="3" t="s">
        <v>44</v>
      </c>
      <c r="E8601" s="64">
        <v>1</v>
      </c>
    </row>
    <row r="8602" spans="1:5">
      <c r="A8602" s="64" t="s">
        <v>42</v>
      </c>
      <c r="B8602" s="65">
        <v>43542</v>
      </c>
      <c r="C8602" s="66" t="s">
        <v>216</v>
      </c>
      <c r="D8602" s="3" t="s">
        <v>44</v>
      </c>
      <c r="E8602" s="64">
        <v>1</v>
      </c>
    </row>
    <row r="8603" spans="1:5">
      <c r="A8603" s="64" t="s">
        <v>42</v>
      </c>
      <c r="B8603" s="65">
        <v>43543</v>
      </c>
      <c r="C8603" s="66" t="s">
        <v>217</v>
      </c>
      <c r="D8603" s="3" t="s">
        <v>44</v>
      </c>
      <c r="E8603" s="64">
        <v>1</v>
      </c>
    </row>
    <row r="8604" spans="1:5">
      <c r="A8604" s="64" t="s">
        <v>42</v>
      </c>
      <c r="B8604" s="65">
        <v>43544</v>
      </c>
      <c r="C8604" s="66" t="s">
        <v>218</v>
      </c>
      <c r="D8604" s="3" t="s">
        <v>44</v>
      </c>
      <c r="E8604" s="64">
        <v>1</v>
      </c>
    </row>
    <row r="8605" spans="1:5">
      <c r="A8605" s="64" t="s">
        <v>42</v>
      </c>
      <c r="B8605" s="65">
        <v>43545</v>
      </c>
      <c r="C8605" s="66" t="s">
        <v>219</v>
      </c>
      <c r="D8605" s="3" t="s">
        <v>44</v>
      </c>
      <c r="E8605" s="64">
        <v>1</v>
      </c>
    </row>
    <row r="8606" spans="1:5">
      <c r="A8606" s="64" t="s">
        <v>42</v>
      </c>
      <c r="B8606" s="65">
        <v>43546</v>
      </c>
      <c r="C8606" s="66" t="s">
        <v>220</v>
      </c>
      <c r="D8606" s="3" t="s">
        <v>44</v>
      </c>
      <c r="E8606" s="64">
        <v>1</v>
      </c>
    </row>
    <row r="8607" spans="1:5">
      <c r="A8607" s="64" t="s">
        <v>42</v>
      </c>
      <c r="B8607" s="65">
        <v>43547</v>
      </c>
      <c r="C8607" s="66" t="s">
        <v>221</v>
      </c>
      <c r="D8607" s="3" t="s">
        <v>44</v>
      </c>
      <c r="E8607" s="64">
        <v>1</v>
      </c>
    </row>
    <row r="8608" spans="1:5">
      <c r="A8608" s="64" t="s">
        <v>42</v>
      </c>
      <c r="B8608" s="65">
        <v>43548</v>
      </c>
      <c r="C8608" s="66" t="s">
        <v>222</v>
      </c>
      <c r="D8608" s="3" t="s">
        <v>44</v>
      </c>
      <c r="E8608" s="64">
        <v>1</v>
      </c>
    </row>
    <row r="8609" spans="1:5">
      <c r="A8609" s="64" t="s">
        <v>42</v>
      </c>
      <c r="B8609" s="65">
        <v>43549</v>
      </c>
      <c r="C8609" s="66" t="s">
        <v>216</v>
      </c>
      <c r="D8609" s="3" t="s">
        <v>44</v>
      </c>
      <c r="E8609" s="64">
        <v>1</v>
      </c>
    </row>
    <row r="8610" spans="1:5">
      <c r="A8610" s="64" t="s">
        <v>42</v>
      </c>
      <c r="B8610" s="65">
        <v>43550</v>
      </c>
      <c r="C8610" s="66" t="s">
        <v>217</v>
      </c>
      <c r="D8610" s="3" t="s">
        <v>44</v>
      </c>
      <c r="E8610" s="64">
        <v>1</v>
      </c>
    </row>
    <row r="8611" spans="1:5">
      <c r="A8611" s="64" t="s">
        <v>42</v>
      </c>
      <c r="B8611" s="65">
        <v>43551</v>
      </c>
      <c r="C8611" s="66" t="s">
        <v>218</v>
      </c>
      <c r="D8611" s="3" t="s">
        <v>44</v>
      </c>
      <c r="E8611" s="64">
        <v>1</v>
      </c>
    </row>
    <row r="8612" spans="1:5">
      <c r="A8612" s="64" t="s">
        <v>42</v>
      </c>
      <c r="B8612" s="65">
        <v>43552</v>
      </c>
      <c r="C8612" s="66" t="s">
        <v>219</v>
      </c>
      <c r="D8612" s="3" t="s">
        <v>44</v>
      </c>
      <c r="E8612" s="64">
        <v>1</v>
      </c>
    </row>
    <row r="8613" spans="1:5">
      <c r="A8613" s="64" t="s">
        <v>42</v>
      </c>
      <c r="B8613" s="65">
        <v>43553</v>
      </c>
      <c r="C8613" s="66" t="s">
        <v>220</v>
      </c>
      <c r="D8613" s="3" t="s">
        <v>44</v>
      </c>
      <c r="E8613" s="64">
        <v>1</v>
      </c>
    </row>
    <row r="8614" spans="1:5">
      <c r="A8614" s="64" t="s">
        <v>42</v>
      </c>
      <c r="B8614" s="65">
        <v>43554</v>
      </c>
      <c r="C8614" s="66" t="s">
        <v>221</v>
      </c>
      <c r="D8614" s="3" t="s">
        <v>44</v>
      </c>
      <c r="E8614" s="64">
        <v>1</v>
      </c>
    </row>
    <row r="8615" spans="1:5">
      <c r="A8615" s="64" t="s">
        <v>42</v>
      </c>
      <c r="B8615" s="65">
        <v>43555</v>
      </c>
      <c r="C8615" s="66" t="s">
        <v>222</v>
      </c>
      <c r="D8615" s="3" t="s">
        <v>44</v>
      </c>
      <c r="E8615" s="64">
        <v>1</v>
      </c>
    </row>
    <row r="8616" spans="1:5">
      <c r="A8616" s="64" t="s">
        <v>42</v>
      </c>
      <c r="B8616" s="65">
        <v>43556</v>
      </c>
      <c r="C8616" s="66" t="s">
        <v>216</v>
      </c>
      <c r="D8616" s="3" t="s">
        <v>44</v>
      </c>
      <c r="E8616" s="64">
        <v>1</v>
      </c>
    </row>
    <row r="8617" spans="1:5">
      <c r="A8617" s="64" t="s">
        <v>42</v>
      </c>
      <c r="B8617" s="65">
        <v>43557</v>
      </c>
      <c r="C8617" s="66" t="s">
        <v>217</v>
      </c>
      <c r="D8617" s="3" t="s">
        <v>44</v>
      </c>
      <c r="E8617" s="64">
        <v>1</v>
      </c>
    </row>
    <row r="8618" spans="1:5">
      <c r="A8618" s="64" t="s">
        <v>42</v>
      </c>
      <c r="B8618" s="65">
        <v>43558</v>
      </c>
      <c r="C8618" s="66" t="s">
        <v>218</v>
      </c>
      <c r="D8618" s="3" t="s">
        <v>44</v>
      </c>
      <c r="E8618" s="64">
        <v>1</v>
      </c>
    </row>
    <row r="8619" spans="1:5">
      <c r="A8619" s="64" t="s">
        <v>42</v>
      </c>
      <c r="B8619" s="65">
        <v>43559</v>
      </c>
      <c r="C8619" s="66" t="s">
        <v>219</v>
      </c>
      <c r="D8619" s="3" t="s">
        <v>44</v>
      </c>
      <c r="E8619" s="64">
        <v>1</v>
      </c>
    </row>
    <row r="8620" spans="1:5">
      <c r="A8620" s="64" t="s">
        <v>42</v>
      </c>
      <c r="B8620" s="65">
        <v>43560</v>
      </c>
      <c r="C8620" s="66" t="s">
        <v>220</v>
      </c>
      <c r="D8620" s="3" t="s">
        <v>44</v>
      </c>
      <c r="E8620" s="64">
        <v>1</v>
      </c>
    </row>
    <row r="8621" spans="1:5">
      <c r="A8621" s="64" t="s">
        <v>42</v>
      </c>
      <c r="B8621" s="65">
        <v>43561</v>
      </c>
      <c r="C8621" s="66" t="s">
        <v>221</v>
      </c>
      <c r="D8621" s="3" t="s">
        <v>44</v>
      </c>
      <c r="E8621" s="64">
        <v>1</v>
      </c>
    </row>
    <row r="8622" spans="1:5">
      <c r="A8622" s="64" t="s">
        <v>42</v>
      </c>
      <c r="B8622" s="65">
        <v>43562</v>
      </c>
      <c r="C8622" s="66" t="s">
        <v>222</v>
      </c>
      <c r="D8622" s="3" t="s">
        <v>44</v>
      </c>
      <c r="E8622" s="64">
        <v>1</v>
      </c>
    </row>
    <row r="8623" spans="1:5">
      <c r="A8623" s="64" t="s">
        <v>42</v>
      </c>
      <c r="B8623" s="65">
        <v>43563</v>
      </c>
      <c r="C8623" s="66" t="s">
        <v>216</v>
      </c>
      <c r="D8623" s="3" t="s">
        <v>44</v>
      </c>
      <c r="E8623" s="64">
        <v>1</v>
      </c>
    </row>
    <row r="8624" spans="1:5">
      <c r="A8624" s="64" t="s">
        <v>42</v>
      </c>
      <c r="B8624" s="65">
        <v>43564</v>
      </c>
      <c r="C8624" s="66" t="s">
        <v>217</v>
      </c>
      <c r="D8624" s="3" t="s">
        <v>44</v>
      </c>
      <c r="E8624" s="64">
        <v>1</v>
      </c>
    </row>
    <row r="8625" spans="1:5">
      <c r="A8625" s="64" t="s">
        <v>42</v>
      </c>
      <c r="B8625" s="65">
        <v>43565</v>
      </c>
      <c r="C8625" s="66" t="s">
        <v>218</v>
      </c>
      <c r="D8625" s="3" t="s">
        <v>44</v>
      </c>
      <c r="E8625" s="64">
        <v>1</v>
      </c>
    </row>
    <row r="8626" spans="1:5">
      <c r="A8626" s="64" t="s">
        <v>42</v>
      </c>
      <c r="B8626" s="65">
        <v>43566</v>
      </c>
      <c r="C8626" s="66" t="s">
        <v>219</v>
      </c>
      <c r="D8626" s="3" t="s">
        <v>44</v>
      </c>
      <c r="E8626" s="64">
        <v>1</v>
      </c>
    </row>
    <row r="8627" spans="1:5">
      <c r="A8627" s="64" t="s">
        <v>42</v>
      </c>
      <c r="B8627" s="65">
        <v>43567</v>
      </c>
      <c r="C8627" s="66" t="s">
        <v>220</v>
      </c>
      <c r="D8627" s="3" t="s">
        <v>44</v>
      </c>
      <c r="E8627" s="64">
        <v>1</v>
      </c>
    </row>
    <row r="8628" spans="1:5">
      <c r="A8628" s="64" t="s">
        <v>42</v>
      </c>
      <c r="B8628" s="65">
        <v>43568</v>
      </c>
      <c r="C8628" s="66" t="s">
        <v>221</v>
      </c>
      <c r="D8628" s="3" t="s">
        <v>44</v>
      </c>
      <c r="E8628" s="64">
        <v>1</v>
      </c>
    </row>
    <row r="8629" spans="1:5">
      <c r="A8629" s="64" t="s">
        <v>42</v>
      </c>
      <c r="B8629" s="65">
        <v>43569</v>
      </c>
      <c r="C8629" s="66" t="s">
        <v>222</v>
      </c>
      <c r="D8629" s="3" t="s">
        <v>44</v>
      </c>
      <c r="E8629" s="64">
        <v>1</v>
      </c>
    </row>
    <row r="8630" spans="1:5">
      <c r="A8630" s="64" t="s">
        <v>42</v>
      </c>
      <c r="B8630" s="65">
        <v>43570</v>
      </c>
      <c r="C8630" s="66" t="s">
        <v>216</v>
      </c>
      <c r="D8630" s="3" t="s">
        <v>44</v>
      </c>
      <c r="E8630" s="64">
        <v>1</v>
      </c>
    </row>
    <row r="8631" spans="1:5">
      <c r="A8631" s="64" t="s">
        <v>42</v>
      </c>
      <c r="B8631" s="65">
        <v>43571</v>
      </c>
      <c r="C8631" s="66" t="s">
        <v>217</v>
      </c>
      <c r="D8631" s="3" t="s">
        <v>44</v>
      </c>
      <c r="E8631" s="64">
        <v>1</v>
      </c>
    </row>
    <row r="8632" spans="1:5">
      <c r="A8632" s="64" t="s">
        <v>42</v>
      </c>
      <c r="B8632" s="65">
        <v>43572</v>
      </c>
      <c r="C8632" s="66" t="s">
        <v>218</v>
      </c>
      <c r="D8632" s="3" t="s">
        <v>44</v>
      </c>
      <c r="E8632" s="64">
        <v>1</v>
      </c>
    </row>
    <row r="8633" spans="1:5">
      <c r="A8633" s="64" t="s">
        <v>42</v>
      </c>
      <c r="B8633" s="65">
        <v>43573</v>
      </c>
      <c r="C8633" s="66" t="s">
        <v>219</v>
      </c>
      <c r="D8633" s="3" t="s">
        <v>44</v>
      </c>
      <c r="E8633" s="64">
        <v>1</v>
      </c>
    </row>
    <row r="8634" spans="1:5">
      <c r="A8634" s="64" t="s">
        <v>42</v>
      </c>
      <c r="B8634" s="65">
        <v>43574</v>
      </c>
      <c r="C8634" s="66" t="s">
        <v>220</v>
      </c>
      <c r="D8634" s="3" t="s">
        <v>44</v>
      </c>
      <c r="E8634" s="64">
        <v>1</v>
      </c>
    </row>
    <row r="8635" spans="1:5">
      <c r="A8635" s="64" t="s">
        <v>42</v>
      </c>
      <c r="B8635" s="65">
        <v>43575</v>
      </c>
      <c r="C8635" s="66" t="s">
        <v>221</v>
      </c>
      <c r="D8635" s="3" t="s">
        <v>44</v>
      </c>
      <c r="E8635" s="64">
        <v>1</v>
      </c>
    </row>
    <row r="8636" spans="1:5">
      <c r="A8636" s="64" t="s">
        <v>42</v>
      </c>
      <c r="B8636" s="65">
        <v>43576</v>
      </c>
      <c r="C8636" s="66" t="s">
        <v>222</v>
      </c>
      <c r="D8636" s="3" t="s">
        <v>44</v>
      </c>
      <c r="E8636" s="64">
        <v>1</v>
      </c>
    </row>
    <row r="8637" spans="1:5">
      <c r="A8637" s="64" t="s">
        <v>42</v>
      </c>
      <c r="B8637" s="65">
        <v>43577</v>
      </c>
      <c r="C8637" s="66" t="s">
        <v>216</v>
      </c>
      <c r="D8637" s="3" t="s">
        <v>44</v>
      </c>
      <c r="E8637" s="64">
        <v>1</v>
      </c>
    </row>
    <row r="8638" spans="1:5">
      <c r="A8638" s="64" t="s">
        <v>42</v>
      </c>
      <c r="B8638" s="65">
        <v>43578</v>
      </c>
      <c r="C8638" s="66" t="s">
        <v>217</v>
      </c>
      <c r="D8638" s="3" t="s">
        <v>44</v>
      </c>
      <c r="E8638" s="64">
        <v>1</v>
      </c>
    </row>
    <row r="8639" spans="1:5">
      <c r="A8639" s="64" t="s">
        <v>42</v>
      </c>
      <c r="B8639" s="65">
        <v>43579</v>
      </c>
      <c r="C8639" s="66" t="s">
        <v>218</v>
      </c>
      <c r="D8639" s="3" t="s">
        <v>44</v>
      </c>
      <c r="E8639" s="64">
        <v>1</v>
      </c>
    </row>
    <row r="8640" spans="1:5">
      <c r="A8640" s="64" t="s">
        <v>42</v>
      </c>
      <c r="B8640" s="65">
        <v>43580</v>
      </c>
      <c r="C8640" s="66" t="s">
        <v>219</v>
      </c>
      <c r="D8640" s="3" t="s">
        <v>44</v>
      </c>
      <c r="E8640" s="64">
        <v>1</v>
      </c>
    </row>
    <row r="8641" spans="1:5">
      <c r="A8641" s="64" t="s">
        <v>42</v>
      </c>
      <c r="B8641" s="65">
        <v>43581</v>
      </c>
      <c r="C8641" s="66" t="s">
        <v>220</v>
      </c>
      <c r="D8641" s="3" t="s">
        <v>44</v>
      </c>
      <c r="E8641" s="64">
        <v>1</v>
      </c>
    </row>
    <row r="8642" spans="1:5">
      <c r="A8642" s="64" t="s">
        <v>42</v>
      </c>
      <c r="B8642" s="65">
        <v>43582</v>
      </c>
      <c r="C8642" s="66" t="s">
        <v>221</v>
      </c>
      <c r="D8642" s="3" t="s">
        <v>44</v>
      </c>
      <c r="E8642" s="64">
        <v>1</v>
      </c>
    </row>
    <row r="8643" spans="1:5">
      <c r="A8643" s="64" t="s">
        <v>42</v>
      </c>
      <c r="B8643" s="65">
        <v>43583</v>
      </c>
      <c r="C8643" s="66" t="s">
        <v>222</v>
      </c>
      <c r="D8643" s="3" t="s">
        <v>44</v>
      </c>
      <c r="E8643" s="64">
        <v>1</v>
      </c>
    </row>
    <row r="8644" spans="1:5">
      <c r="A8644" s="64" t="s">
        <v>42</v>
      </c>
      <c r="B8644" s="65">
        <v>43584</v>
      </c>
      <c r="C8644" s="66" t="s">
        <v>216</v>
      </c>
      <c r="D8644" s="3" t="s">
        <v>44</v>
      </c>
      <c r="E8644" s="64">
        <v>1</v>
      </c>
    </row>
    <row r="8645" spans="1:5">
      <c r="A8645" s="64" t="s">
        <v>42</v>
      </c>
      <c r="B8645" s="65">
        <v>43585</v>
      </c>
      <c r="C8645" s="66" t="s">
        <v>217</v>
      </c>
      <c r="D8645" s="3" t="s">
        <v>44</v>
      </c>
      <c r="E8645" s="64">
        <v>1</v>
      </c>
    </row>
    <row r="8646" spans="1:5">
      <c r="A8646" s="64" t="s">
        <v>42</v>
      </c>
      <c r="B8646" s="65">
        <v>43586</v>
      </c>
      <c r="C8646" s="66" t="s">
        <v>218</v>
      </c>
      <c r="D8646" s="3" t="s">
        <v>44</v>
      </c>
      <c r="E8646" s="64">
        <v>1</v>
      </c>
    </row>
    <row r="8647" spans="1:5">
      <c r="A8647" s="64" t="s">
        <v>42</v>
      </c>
      <c r="B8647" s="65">
        <v>43587</v>
      </c>
      <c r="C8647" s="66" t="s">
        <v>219</v>
      </c>
      <c r="D8647" s="3" t="s">
        <v>44</v>
      </c>
      <c r="E8647" s="64">
        <v>1</v>
      </c>
    </row>
    <row r="8648" spans="1:5">
      <c r="A8648" s="64" t="s">
        <v>42</v>
      </c>
      <c r="B8648" s="65">
        <v>43588</v>
      </c>
      <c r="C8648" s="66" t="s">
        <v>220</v>
      </c>
      <c r="D8648" s="3" t="s">
        <v>44</v>
      </c>
      <c r="E8648" s="64">
        <v>1</v>
      </c>
    </row>
    <row r="8649" spans="1:5">
      <c r="A8649" s="64" t="s">
        <v>42</v>
      </c>
      <c r="B8649" s="65">
        <v>43589</v>
      </c>
      <c r="C8649" s="66" t="s">
        <v>221</v>
      </c>
      <c r="D8649" s="3" t="s">
        <v>44</v>
      </c>
      <c r="E8649" s="64">
        <v>1</v>
      </c>
    </row>
    <row r="8650" spans="1:5">
      <c r="A8650" s="64" t="s">
        <v>42</v>
      </c>
      <c r="B8650" s="65">
        <v>43590</v>
      </c>
      <c r="C8650" s="66" t="s">
        <v>222</v>
      </c>
      <c r="D8650" s="3" t="s">
        <v>44</v>
      </c>
      <c r="E8650" s="64">
        <v>1</v>
      </c>
    </row>
    <row r="8651" spans="1:5">
      <c r="A8651" s="64" t="s">
        <v>42</v>
      </c>
      <c r="B8651" s="65">
        <v>43591</v>
      </c>
      <c r="C8651" s="66" t="s">
        <v>216</v>
      </c>
      <c r="D8651" s="3" t="s">
        <v>44</v>
      </c>
      <c r="E8651" s="64">
        <v>1</v>
      </c>
    </row>
    <row r="8652" spans="1:5">
      <c r="A8652" s="64" t="s">
        <v>42</v>
      </c>
      <c r="B8652" s="65">
        <v>43592</v>
      </c>
      <c r="C8652" s="66" t="s">
        <v>217</v>
      </c>
      <c r="D8652" s="3" t="s">
        <v>44</v>
      </c>
      <c r="E8652" s="64">
        <v>1</v>
      </c>
    </row>
    <row r="8653" spans="1:5">
      <c r="A8653" s="64" t="s">
        <v>42</v>
      </c>
      <c r="B8653" s="65">
        <v>43593</v>
      </c>
      <c r="C8653" s="66" t="s">
        <v>218</v>
      </c>
      <c r="D8653" s="3" t="s">
        <v>44</v>
      </c>
      <c r="E8653" s="64">
        <v>1</v>
      </c>
    </row>
    <row r="8654" spans="1:5">
      <c r="A8654" s="64" t="s">
        <v>42</v>
      </c>
      <c r="B8654" s="65">
        <v>43594</v>
      </c>
      <c r="C8654" s="66" t="s">
        <v>219</v>
      </c>
      <c r="D8654" s="3" t="s">
        <v>44</v>
      </c>
      <c r="E8654" s="64">
        <v>1</v>
      </c>
    </row>
    <row r="8655" spans="1:5">
      <c r="A8655" s="64" t="s">
        <v>42</v>
      </c>
      <c r="B8655" s="65">
        <v>43595</v>
      </c>
      <c r="C8655" s="66" t="s">
        <v>220</v>
      </c>
      <c r="D8655" s="3" t="s">
        <v>44</v>
      </c>
      <c r="E8655" s="64">
        <v>1</v>
      </c>
    </row>
    <row r="8656" spans="1:5">
      <c r="A8656" s="64" t="s">
        <v>42</v>
      </c>
      <c r="B8656" s="65">
        <v>43596</v>
      </c>
      <c r="C8656" s="66" t="s">
        <v>221</v>
      </c>
      <c r="D8656" s="3" t="s">
        <v>44</v>
      </c>
      <c r="E8656" s="64">
        <v>1</v>
      </c>
    </row>
    <row r="8657" spans="1:5">
      <c r="A8657" s="64" t="s">
        <v>42</v>
      </c>
      <c r="B8657" s="65">
        <v>43597</v>
      </c>
      <c r="C8657" s="66" t="s">
        <v>222</v>
      </c>
      <c r="D8657" s="3" t="s">
        <v>44</v>
      </c>
      <c r="E8657" s="64">
        <v>1</v>
      </c>
    </row>
    <row r="8658" spans="1:5">
      <c r="A8658" s="64" t="s">
        <v>42</v>
      </c>
      <c r="B8658" s="65">
        <v>43598</v>
      </c>
      <c r="C8658" s="66" t="s">
        <v>216</v>
      </c>
      <c r="D8658" s="3" t="s">
        <v>44</v>
      </c>
      <c r="E8658" s="64">
        <v>1</v>
      </c>
    </row>
    <row r="8659" spans="1:5">
      <c r="A8659" s="64" t="s">
        <v>42</v>
      </c>
      <c r="B8659" s="65">
        <v>43599</v>
      </c>
      <c r="C8659" s="66" t="s">
        <v>217</v>
      </c>
      <c r="D8659" s="3" t="s">
        <v>44</v>
      </c>
      <c r="E8659" s="64">
        <v>1</v>
      </c>
    </row>
    <row r="8660" spans="1:5">
      <c r="A8660" s="64" t="s">
        <v>42</v>
      </c>
      <c r="B8660" s="65">
        <v>43600</v>
      </c>
      <c r="C8660" s="66" t="s">
        <v>218</v>
      </c>
      <c r="D8660" s="3" t="s">
        <v>44</v>
      </c>
      <c r="E8660" s="64">
        <v>1</v>
      </c>
    </row>
    <row r="8661" spans="1:5">
      <c r="A8661" s="64" t="s">
        <v>42</v>
      </c>
      <c r="B8661" s="65">
        <v>43601</v>
      </c>
      <c r="C8661" s="66" t="s">
        <v>219</v>
      </c>
      <c r="D8661" s="3" t="s">
        <v>44</v>
      </c>
      <c r="E8661" s="64">
        <v>1</v>
      </c>
    </row>
    <row r="8662" spans="1:5">
      <c r="A8662" s="64" t="s">
        <v>42</v>
      </c>
      <c r="B8662" s="65">
        <v>43602</v>
      </c>
      <c r="C8662" s="66" t="s">
        <v>220</v>
      </c>
      <c r="D8662" s="3" t="s">
        <v>44</v>
      </c>
      <c r="E8662" s="64">
        <v>1</v>
      </c>
    </row>
    <row r="8663" spans="1:5">
      <c r="A8663" s="64" t="s">
        <v>42</v>
      </c>
      <c r="B8663" s="65">
        <v>43603</v>
      </c>
      <c r="C8663" s="66" t="s">
        <v>221</v>
      </c>
      <c r="D8663" s="3" t="s">
        <v>44</v>
      </c>
      <c r="E8663" s="64">
        <v>1</v>
      </c>
    </row>
    <row r="8664" spans="1:5">
      <c r="A8664" s="64" t="s">
        <v>42</v>
      </c>
      <c r="B8664" s="65">
        <v>43604</v>
      </c>
      <c r="C8664" s="66" t="s">
        <v>222</v>
      </c>
      <c r="D8664" s="3" t="s">
        <v>44</v>
      </c>
      <c r="E8664" s="64">
        <v>1</v>
      </c>
    </row>
    <row r="8665" spans="1:5">
      <c r="A8665" s="64" t="s">
        <v>42</v>
      </c>
      <c r="B8665" s="65">
        <v>43605</v>
      </c>
      <c r="C8665" s="66" t="s">
        <v>216</v>
      </c>
      <c r="D8665" s="3" t="s">
        <v>44</v>
      </c>
      <c r="E8665" s="64">
        <v>1</v>
      </c>
    </row>
    <row r="8666" spans="1:5">
      <c r="A8666" s="64" t="s">
        <v>42</v>
      </c>
      <c r="B8666" s="65">
        <v>43606</v>
      </c>
      <c r="C8666" s="66" t="s">
        <v>217</v>
      </c>
      <c r="D8666" s="3" t="s">
        <v>44</v>
      </c>
      <c r="E8666" s="64">
        <v>1</v>
      </c>
    </row>
    <row r="8667" spans="1:5">
      <c r="A8667" s="64" t="s">
        <v>42</v>
      </c>
      <c r="B8667" s="65">
        <v>43607</v>
      </c>
      <c r="C8667" s="66" t="s">
        <v>218</v>
      </c>
      <c r="D8667" s="3" t="s">
        <v>44</v>
      </c>
      <c r="E8667" s="64">
        <v>1</v>
      </c>
    </row>
    <row r="8668" spans="1:5">
      <c r="A8668" s="64" t="s">
        <v>42</v>
      </c>
      <c r="B8668" s="65">
        <v>43608</v>
      </c>
      <c r="C8668" s="66" t="s">
        <v>219</v>
      </c>
      <c r="D8668" s="3" t="s">
        <v>44</v>
      </c>
      <c r="E8668" s="64">
        <v>1</v>
      </c>
    </row>
    <row r="8669" spans="1:5">
      <c r="A8669" s="64" t="s">
        <v>42</v>
      </c>
      <c r="B8669" s="65">
        <v>43609</v>
      </c>
      <c r="C8669" s="66" t="s">
        <v>220</v>
      </c>
      <c r="D8669" s="3" t="s">
        <v>44</v>
      </c>
      <c r="E8669" s="64">
        <v>1</v>
      </c>
    </row>
    <row r="8670" spans="1:5">
      <c r="A8670" s="64" t="s">
        <v>42</v>
      </c>
      <c r="B8670" s="65">
        <v>43610</v>
      </c>
      <c r="C8670" s="66" t="s">
        <v>221</v>
      </c>
      <c r="D8670" s="3" t="s">
        <v>44</v>
      </c>
      <c r="E8670" s="64">
        <v>1</v>
      </c>
    </row>
    <row r="8671" spans="1:5">
      <c r="A8671" s="64" t="s">
        <v>42</v>
      </c>
      <c r="B8671" s="65">
        <v>43611</v>
      </c>
      <c r="C8671" s="66" t="s">
        <v>222</v>
      </c>
      <c r="D8671" s="3" t="s">
        <v>44</v>
      </c>
      <c r="E8671" s="64">
        <v>1</v>
      </c>
    </row>
    <row r="8672" spans="1:5">
      <c r="A8672" s="64" t="s">
        <v>42</v>
      </c>
      <c r="B8672" s="65">
        <v>43612</v>
      </c>
      <c r="C8672" s="66" t="s">
        <v>216</v>
      </c>
      <c r="D8672" s="3" t="s">
        <v>44</v>
      </c>
      <c r="E8672" s="64">
        <v>1</v>
      </c>
    </row>
    <row r="8673" spans="1:5">
      <c r="A8673" s="64" t="s">
        <v>42</v>
      </c>
      <c r="B8673" s="65">
        <v>43613</v>
      </c>
      <c r="C8673" s="66" t="s">
        <v>217</v>
      </c>
      <c r="D8673" s="3" t="s">
        <v>44</v>
      </c>
      <c r="E8673" s="64">
        <v>1</v>
      </c>
    </row>
    <row r="8674" spans="1:5">
      <c r="A8674" s="64" t="s">
        <v>42</v>
      </c>
      <c r="B8674" s="65">
        <v>43614</v>
      </c>
      <c r="C8674" s="66" t="s">
        <v>218</v>
      </c>
      <c r="D8674" s="3" t="s">
        <v>44</v>
      </c>
      <c r="E8674" s="64">
        <v>1</v>
      </c>
    </row>
    <row r="8675" spans="1:5">
      <c r="A8675" s="64" t="s">
        <v>42</v>
      </c>
      <c r="B8675" s="65">
        <v>43615</v>
      </c>
      <c r="C8675" s="66" t="s">
        <v>219</v>
      </c>
      <c r="D8675" s="3" t="s">
        <v>44</v>
      </c>
      <c r="E8675" s="64">
        <v>1</v>
      </c>
    </row>
    <row r="8676" spans="1:5">
      <c r="A8676" s="64" t="s">
        <v>42</v>
      </c>
      <c r="B8676" s="65">
        <v>43616</v>
      </c>
      <c r="C8676" s="66" t="s">
        <v>220</v>
      </c>
      <c r="D8676" s="3" t="s">
        <v>44</v>
      </c>
      <c r="E8676" s="64">
        <v>1</v>
      </c>
    </row>
    <row r="8677" spans="1:5">
      <c r="A8677" s="64" t="s">
        <v>42</v>
      </c>
      <c r="B8677" s="65">
        <v>43617</v>
      </c>
      <c r="C8677" s="66" t="s">
        <v>221</v>
      </c>
      <c r="D8677" s="3" t="s">
        <v>44</v>
      </c>
      <c r="E8677" s="64">
        <v>1</v>
      </c>
    </row>
    <row r="8678" spans="1:5">
      <c r="A8678" s="64" t="s">
        <v>42</v>
      </c>
      <c r="B8678" s="65">
        <v>43618</v>
      </c>
      <c r="C8678" s="66" t="s">
        <v>222</v>
      </c>
      <c r="D8678" s="3" t="s">
        <v>44</v>
      </c>
      <c r="E8678" s="64">
        <v>1</v>
      </c>
    </row>
    <row r="8679" spans="1:5">
      <c r="A8679" s="64" t="s">
        <v>42</v>
      </c>
      <c r="B8679" s="65">
        <v>43619</v>
      </c>
      <c r="C8679" s="66" t="s">
        <v>216</v>
      </c>
      <c r="D8679" s="3" t="s">
        <v>44</v>
      </c>
      <c r="E8679" s="64">
        <v>1</v>
      </c>
    </row>
    <row r="8680" spans="1:5">
      <c r="A8680" s="64" t="s">
        <v>42</v>
      </c>
      <c r="B8680" s="65">
        <v>43620</v>
      </c>
      <c r="C8680" s="66" t="s">
        <v>217</v>
      </c>
      <c r="D8680" s="3" t="s">
        <v>44</v>
      </c>
      <c r="E8680" s="64">
        <v>1</v>
      </c>
    </row>
    <row r="8681" spans="1:5">
      <c r="A8681" s="64" t="s">
        <v>42</v>
      </c>
      <c r="B8681" s="65">
        <v>43621</v>
      </c>
      <c r="C8681" s="66" t="s">
        <v>218</v>
      </c>
      <c r="D8681" s="3" t="s">
        <v>44</v>
      </c>
      <c r="E8681" s="64">
        <v>1</v>
      </c>
    </row>
    <row r="8682" spans="1:5">
      <c r="A8682" s="64" t="s">
        <v>42</v>
      </c>
      <c r="B8682" s="65">
        <v>43622</v>
      </c>
      <c r="C8682" s="66" t="s">
        <v>219</v>
      </c>
      <c r="D8682" s="3" t="s">
        <v>44</v>
      </c>
      <c r="E8682" s="64">
        <v>1</v>
      </c>
    </row>
    <row r="8683" spans="1:5">
      <c r="A8683" s="64" t="s">
        <v>42</v>
      </c>
      <c r="B8683" s="65">
        <v>43623</v>
      </c>
      <c r="C8683" s="66" t="s">
        <v>220</v>
      </c>
      <c r="D8683" s="3" t="s">
        <v>44</v>
      </c>
      <c r="E8683" s="64">
        <v>1</v>
      </c>
    </row>
    <row r="8684" spans="1:5">
      <c r="A8684" s="64" t="s">
        <v>42</v>
      </c>
      <c r="B8684" s="65">
        <v>43624</v>
      </c>
      <c r="C8684" s="66" t="s">
        <v>221</v>
      </c>
      <c r="D8684" s="3" t="s">
        <v>44</v>
      </c>
      <c r="E8684" s="64">
        <v>1</v>
      </c>
    </row>
    <row r="8685" spans="1:5">
      <c r="A8685" s="64" t="s">
        <v>42</v>
      </c>
      <c r="B8685" s="65">
        <v>43625</v>
      </c>
      <c r="C8685" s="66" t="s">
        <v>222</v>
      </c>
      <c r="D8685" s="3" t="s">
        <v>44</v>
      </c>
      <c r="E8685" s="64">
        <v>1</v>
      </c>
    </row>
    <row r="8686" spans="1:5">
      <c r="A8686" s="64" t="s">
        <v>42</v>
      </c>
      <c r="B8686" s="65">
        <v>43626</v>
      </c>
      <c r="C8686" s="66" t="s">
        <v>216</v>
      </c>
      <c r="D8686" s="3" t="s">
        <v>44</v>
      </c>
      <c r="E8686" s="64">
        <v>1</v>
      </c>
    </row>
    <row r="8687" spans="1:5">
      <c r="A8687" s="64" t="s">
        <v>42</v>
      </c>
      <c r="B8687" s="65">
        <v>43627</v>
      </c>
      <c r="C8687" s="66" t="s">
        <v>217</v>
      </c>
      <c r="D8687" s="3" t="s">
        <v>44</v>
      </c>
      <c r="E8687" s="64">
        <v>1</v>
      </c>
    </row>
    <row r="8688" spans="1:5">
      <c r="A8688" s="64" t="s">
        <v>42</v>
      </c>
      <c r="B8688" s="65">
        <v>43628</v>
      </c>
      <c r="C8688" s="66" t="s">
        <v>218</v>
      </c>
      <c r="D8688" s="3" t="s">
        <v>44</v>
      </c>
      <c r="E8688" s="64">
        <v>1</v>
      </c>
    </row>
    <row r="8689" spans="1:5">
      <c r="A8689" s="64" t="s">
        <v>42</v>
      </c>
      <c r="B8689" s="65">
        <v>43629</v>
      </c>
      <c r="C8689" s="66" t="s">
        <v>219</v>
      </c>
      <c r="D8689" s="3" t="s">
        <v>44</v>
      </c>
      <c r="E8689" s="64">
        <v>1</v>
      </c>
    </row>
    <row r="8690" spans="1:5">
      <c r="A8690" s="64" t="s">
        <v>42</v>
      </c>
      <c r="B8690" s="65">
        <v>43630</v>
      </c>
      <c r="C8690" s="66" t="s">
        <v>220</v>
      </c>
      <c r="D8690" s="3" t="s">
        <v>44</v>
      </c>
      <c r="E8690" s="64">
        <v>1</v>
      </c>
    </row>
    <row r="8691" spans="1:5">
      <c r="A8691" s="64" t="s">
        <v>42</v>
      </c>
      <c r="B8691" s="65">
        <v>43631</v>
      </c>
      <c r="C8691" s="66" t="s">
        <v>221</v>
      </c>
      <c r="D8691" s="3" t="s">
        <v>44</v>
      </c>
      <c r="E8691" s="64">
        <v>1</v>
      </c>
    </row>
    <row r="8692" spans="1:5">
      <c r="A8692" s="64" t="s">
        <v>42</v>
      </c>
      <c r="B8692" s="65">
        <v>43632</v>
      </c>
      <c r="C8692" s="66" t="s">
        <v>222</v>
      </c>
      <c r="D8692" s="3" t="s">
        <v>44</v>
      </c>
      <c r="E8692" s="64">
        <v>1</v>
      </c>
    </row>
    <row r="8693" spans="1:5">
      <c r="A8693" s="64" t="s">
        <v>42</v>
      </c>
      <c r="B8693" s="65">
        <v>43633</v>
      </c>
      <c r="C8693" s="66" t="s">
        <v>216</v>
      </c>
      <c r="D8693" s="3" t="s">
        <v>44</v>
      </c>
      <c r="E8693" s="64">
        <v>1</v>
      </c>
    </row>
    <row r="8694" spans="1:5">
      <c r="A8694" s="64" t="s">
        <v>42</v>
      </c>
      <c r="B8694" s="65">
        <v>43634</v>
      </c>
      <c r="C8694" s="66" t="s">
        <v>217</v>
      </c>
      <c r="D8694" s="3" t="s">
        <v>44</v>
      </c>
      <c r="E8694" s="64">
        <v>1</v>
      </c>
    </row>
    <row r="8695" spans="1:5">
      <c r="A8695" s="64" t="s">
        <v>42</v>
      </c>
      <c r="B8695" s="65">
        <v>43635</v>
      </c>
      <c r="C8695" s="66" t="s">
        <v>218</v>
      </c>
      <c r="D8695" s="3" t="s">
        <v>44</v>
      </c>
      <c r="E8695" s="64">
        <v>1</v>
      </c>
    </row>
    <row r="8696" spans="1:5">
      <c r="A8696" s="64" t="s">
        <v>42</v>
      </c>
      <c r="B8696" s="65">
        <v>43636</v>
      </c>
      <c r="C8696" s="66" t="s">
        <v>219</v>
      </c>
      <c r="D8696" s="3" t="s">
        <v>44</v>
      </c>
      <c r="E8696" s="64">
        <v>1</v>
      </c>
    </row>
    <row r="8697" spans="1:5">
      <c r="A8697" s="64" t="s">
        <v>42</v>
      </c>
      <c r="B8697" s="65">
        <v>43637</v>
      </c>
      <c r="C8697" s="66" t="s">
        <v>220</v>
      </c>
      <c r="D8697" s="3" t="s">
        <v>44</v>
      </c>
      <c r="E8697" s="64">
        <v>1</v>
      </c>
    </row>
    <row r="8698" spans="1:5">
      <c r="A8698" s="64" t="s">
        <v>42</v>
      </c>
      <c r="B8698" s="65">
        <v>43638</v>
      </c>
      <c r="C8698" s="66" t="s">
        <v>221</v>
      </c>
      <c r="D8698" s="3" t="s">
        <v>44</v>
      </c>
      <c r="E8698" s="64">
        <v>1</v>
      </c>
    </row>
    <row r="8699" spans="1:5">
      <c r="A8699" s="64" t="s">
        <v>42</v>
      </c>
      <c r="B8699" s="65">
        <v>43639</v>
      </c>
      <c r="C8699" s="66" t="s">
        <v>222</v>
      </c>
      <c r="D8699" s="3" t="s">
        <v>44</v>
      </c>
      <c r="E8699" s="64">
        <v>1</v>
      </c>
    </row>
    <row r="8700" spans="1:5">
      <c r="A8700" s="64" t="s">
        <v>42</v>
      </c>
      <c r="B8700" s="65">
        <v>43640</v>
      </c>
      <c r="C8700" s="66" t="s">
        <v>216</v>
      </c>
      <c r="D8700" s="3" t="s">
        <v>44</v>
      </c>
      <c r="E8700" s="64">
        <v>1</v>
      </c>
    </row>
    <row r="8701" spans="1:5">
      <c r="A8701" s="64" t="s">
        <v>42</v>
      </c>
      <c r="B8701" s="65">
        <v>43641</v>
      </c>
      <c r="C8701" s="66" t="s">
        <v>217</v>
      </c>
      <c r="D8701" s="3" t="s">
        <v>44</v>
      </c>
      <c r="E8701" s="64">
        <v>1</v>
      </c>
    </row>
    <row r="8702" spans="1:5">
      <c r="A8702" s="64" t="s">
        <v>42</v>
      </c>
      <c r="B8702" s="65">
        <v>43642</v>
      </c>
      <c r="C8702" s="66" t="s">
        <v>218</v>
      </c>
      <c r="D8702" s="3" t="s">
        <v>44</v>
      </c>
      <c r="E8702" s="64">
        <v>1</v>
      </c>
    </row>
    <row r="8703" spans="1:5">
      <c r="A8703" s="64" t="s">
        <v>42</v>
      </c>
      <c r="B8703" s="65">
        <v>43643</v>
      </c>
      <c r="C8703" s="66" t="s">
        <v>219</v>
      </c>
      <c r="D8703" s="3" t="s">
        <v>44</v>
      </c>
      <c r="E8703" s="64">
        <v>1</v>
      </c>
    </row>
    <row r="8704" spans="1:5">
      <c r="A8704" s="64" t="s">
        <v>42</v>
      </c>
      <c r="B8704" s="65">
        <v>43644</v>
      </c>
      <c r="C8704" s="66" t="s">
        <v>220</v>
      </c>
      <c r="D8704" s="3" t="s">
        <v>44</v>
      </c>
      <c r="E8704" s="64">
        <v>1</v>
      </c>
    </row>
    <row r="8705" spans="1:5">
      <c r="A8705" s="64" t="s">
        <v>42</v>
      </c>
      <c r="B8705" s="65">
        <v>43645</v>
      </c>
      <c r="C8705" s="66" t="s">
        <v>221</v>
      </c>
      <c r="D8705" s="3" t="s">
        <v>44</v>
      </c>
      <c r="E8705" s="64">
        <v>1</v>
      </c>
    </row>
    <row r="8706" spans="1:5">
      <c r="A8706" s="64" t="s">
        <v>42</v>
      </c>
      <c r="B8706" s="65">
        <v>43646</v>
      </c>
      <c r="C8706" s="66" t="s">
        <v>222</v>
      </c>
      <c r="D8706" s="3" t="s">
        <v>44</v>
      </c>
      <c r="E8706" s="64">
        <v>1</v>
      </c>
    </row>
    <row r="8707" spans="1:5">
      <c r="A8707" s="64" t="s">
        <v>42</v>
      </c>
      <c r="B8707" s="65">
        <v>43412</v>
      </c>
      <c r="C8707" s="66" t="s">
        <v>219</v>
      </c>
      <c r="D8707" s="3" t="s">
        <v>45</v>
      </c>
      <c r="E8707" s="64">
        <v>1</v>
      </c>
    </row>
    <row r="8708" spans="1:5">
      <c r="A8708" s="64" t="s">
        <v>42</v>
      </c>
      <c r="B8708" s="65">
        <v>43413</v>
      </c>
      <c r="C8708" s="66" t="s">
        <v>220</v>
      </c>
      <c r="D8708" s="3" t="s">
        <v>45</v>
      </c>
      <c r="E8708" s="64">
        <v>1</v>
      </c>
    </row>
    <row r="8709" spans="1:5">
      <c r="A8709" s="64" t="s">
        <v>42</v>
      </c>
      <c r="B8709" s="65">
        <v>43414</v>
      </c>
      <c r="C8709" s="66" t="s">
        <v>221</v>
      </c>
      <c r="D8709" s="3" t="s">
        <v>45</v>
      </c>
      <c r="E8709" s="64">
        <v>1</v>
      </c>
    </row>
    <row r="8710" spans="1:5">
      <c r="A8710" s="64" t="s">
        <v>42</v>
      </c>
      <c r="B8710" s="65">
        <v>43415</v>
      </c>
      <c r="C8710" s="66" t="s">
        <v>222</v>
      </c>
      <c r="D8710" s="3" t="s">
        <v>45</v>
      </c>
      <c r="E8710" s="64">
        <v>1</v>
      </c>
    </row>
    <row r="8711" spans="1:5">
      <c r="A8711" s="64" t="s">
        <v>42</v>
      </c>
      <c r="B8711" s="65">
        <v>43416</v>
      </c>
      <c r="C8711" s="66" t="s">
        <v>216</v>
      </c>
      <c r="D8711" s="3" t="s">
        <v>45</v>
      </c>
      <c r="E8711" s="64">
        <v>1</v>
      </c>
    </row>
    <row r="8712" spans="1:5">
      <c r="A8712" s="64" t="s">
        <v>42</v>
      </c>
      <c r="B8712" s="65">
        <v>43417</v>
      </c>
      <c r="C8712" s="66" t="s">
        <v>217</v>
      </c>
      <c r="D8712" s="3" t="s">
        <v>45</v>
      </c>
      <c r="E8712" s="64">
        <v>1</v>
      </c>
    </row>
    <row r="8713" spans="1:5">
      <c r="A8713" s="64" t="s">
        <v>42</v>
      </c>
      <c r="B8713" s="65">
        <v>43418</v>
      </c>
      <c r="C8713" s="66" t="s">
        <v>218</v>
      </c>
      <c r="D8713" s="3" t="s">
        <v>45</v>
      </c>
      <c r="E8713" s="64">
        <v>1</v>
      </c>
    </row>
    <row r="8714" spans="1:5">
      <c r="A8714" s="64" t="s">
        <v>42</v>
      </c>
      <c r="B8714" s="65">
        <v>43419</v>
      </c>
      <c r="C8714" s="66" t="s">
        <v>219</v>
      </c>
      <c r="D8714" s="3" t="s">
        <v>45</v>
      </c>
      <c r="E8714" s="64">
        <v>1</v>
      </c>
    </row>
    <row r="8715" spans="1:5">
      <c r="A8715" s="64" t="s">
        <v>42</v>
      </c>
      <c r="B8715" s="65">
        <v>43420</v>
      </c>
      <c r="C8715" s="66" t="s">
        <v>220</v>
      </c>
      <c r="D8715" s="3" t="s">
        <v>45</v>
      </c>
      <c r="E8715" s="64">
        <v>1</v>
      </c>
    </row>
    <row r="8716" spans="1:5">
      <c r="A8716" s="64" t="s">
        <v>42</v>
      </c>
      <c r="B8716" s="65">
        <v>43421</v>
      </c>
      <c r="C8716" s="66" t="s">
        <v>221</v>
      </c>
      <c r="D8716" s="3" t="s">
        <v>45</v>
      </c>
      <c r="E8716" s="64">
        <v>1</v>
      </c>
    </row>
    <row r="8717" spans="1:5">
      <c r="A8717" s="64" t="s">
        <v>42</v>
      </c>
      <c r="B8717" s="65">
        <v>43422</v>
      </c>
      <c r="C8717" s="66" t="s">
        <v>222</v>
      </c>
      <c r="D8717" s="3" t="s">
        <v>45</v>
      </c>
      <c r="E8717" s="64">
        <v>1</v>
      </c>
    </row>
    <row r="8718" spans="1:5">
      <c r="A8718" s="64" t="s">
        <v>42</v>
      </c>
      <c r="B8718" s="65">
        <v>43423</v>
      </c>
      <c r="C8718" s="66" t="s">
        <v>216</v>
      </c>
      <c r="D8718" s="3" t="s">
        <v>45</v>
      </c>
      <c r="E8718" s="64">
        <v>1</v>
      </c>
    </row>
    <row r="8719" spans="1:5">
      <c r="A8719" s="64" t="s">
        <v>42</v>
      </c>
      <c r="B8719" s="65">
        <v>43424</v>
      </c>
      <c r="C8719" s="66" t="s">
        <v>217</v>
      </c>
      <c r="D8719" s="3" t="s">
        <v>45</v>
      </c>
      <c r="E8719" s="64">
        <v>1</v>
      </c>
    </row>
    <row r="8720" spans="1:5">
      <c r="A8720" s="64" t="s">
        <v>42</v>
      </c>
      <c r="B8720" s="65">
        <v>43425</v>
      </c>
      <c r="C8720" s="66" t="s">
        <v>218</v>
      </c>
      <c r="D8720" s="3" t="s">
        <v>45</v>
      </c>
      <c r="E8720" s="64">
        <v>1</v>
      </c>
    </row>
    <row r="8721" spans="1:5">
      <c r="A8721" s="64" t="s">
        <v>42</v>
      </c>
      <c r="B8721" s="65">
        <v>43426</v>
      </c>
      <c r="C8721" s="66" t="s">
        <v>219</v>
      </c>
      <c r="D8721" s="3" t="s">
        <v>45</v>
      </c>
      <c r="E8721" s="64">
        <v>1</v>
      </c>
    </row>
    <row r="8722" spans="1:5">
      <c r="A8722" s="64" t="s">
        <v>42</v>
      </c>
      <c r="B8722" s="65">
        <v>43427</v>
      </c>
      <c r="C8722" s="66" t="s">
        <v>220</v>
      </c>
      <c r="D8722" s="3" t="s">
        <v>45</v>
      </c>
      <c r="E8722" s="64">
        <v>1</v>
      </c>
    </row>
    <row r="8723" spans="1:5">
      <c r="A8723" s="64" t="s">
        <v>42</v>
      </c>
      <c r="B8723" s="65">
        <v>43428</v>
      </c>
      <c r="C8723" s="66" t="s">
        <v>221</v>
      </c>
      <c r="D8723" s="3" t="s">
        <v>45</v>
      </c>
      <c r="E8723" s="64">
        <v>1</v>
      </c>
    </row>
    <row r="8724" spans="1:5">
      <c r="A8724" s="64" t="s">
        <v>42</v>
      </c>
      <c r="B8724" s="65">
        <v>43429</v>
      </c>
      <c r="C8724" s="66" t="s">
        <v>222</v>
      </c>
      <c r="D8724" s="3" t="s">
        <v>45</v>
      </c>
      <c r="E8724" s="64">
        <v>1</v>
      </c>
    </row>
    <row r="8725" spans="1:5">
      <c r="A8725" s="64" t="s">
        <v>42</v>
      </c>
      <c r="B8725" s="65">
        <v>43430</v>
      </c>
      <c r="C8725" s="66" t="s">
        <v>216</v>
      </c>
      <c r="D8725" s="3" t="s">
        <v>45</v>
      </c>
      <c r="E8725" s="64">
        <v>1</v>
      </c>
    </row>
    <row r="8726" spans="1:5">
      <c r="A8726" s="64" t="s">
        <v>42</v>
      </c>
      <c r="B8726" s="65">
        <v>43431</v>
      </c>
      <c r="C8726" s="66" t="s">
        <v>217</v>
      </c>
      <c r="D8726" s="3" t="s">
        <v>45</v>
      </c>
      <c r="E8726" s="64">
        <v>1</v>
      </c>
    </row>
    <row r="8727" spans="1:5">
      <c r="A8727" s="64" t="s">
        <v>42</v>
      </c>
      <c r="B8727" s="65">
        <v>43432</v>
      </c>
      <c r="C8727" s="66" t="s">
        <v>218</v>
      </c>
      <c r="D8727" s="3" t="s">
        <v>45</v>
      </c>
      <c r="E8727" s="64">
        <v>1</v>
      </c>
    </row>
    <row r="8728" spans="1:5">
      <c r="A8728" s="64" t="s">
        <v>42</v>
      </c>
      <c r="B8728" s="65">
        <v>43433</v>
      </c>
      <c r="C8728" s="66" t="s">
        <v>219</v>
      </c>
      <c r="D8728" s="3" t="s">
        <v>45</v>
      </c>
      <c r="E8728" s="64">
        <v>1</v>
      </c>
    </row>
    <row r="8729" spans="1:5">
      <c r="A8729" s="64" t="s">
        <v>42</v>
      </c>
      <c r="B8729" s="65">
        <v>43434</v>
      </c>
      <c r="C8729" s="66" t="s">
        <v>220</v>
      </c>
      <c r="D8729" s="3" t="s">
        <v>45</v>
      </c>
      <c r="E8729" s="64">
        <v>1</v>
      </c>
    </row>
    <row r="8730" spans="1:5">
      <c r="A8730" s="64" t="s">
        <v>42</v>
      </c>
      <c r="B8730" s="65">
        <v>43435</v>
      </c>
      <c r="C8730" s="66" t="s">
        <v>221</v>
      </c>
      <c r="D8730" s="3" t="s">
        <v>45</v>
      </c>
      <c r="E8730" s="64">
        <v>1</v>
      </c>
    </row>
    <row r="8731" spans="1:5">
      <c r="A8731" s="64" t="s">
        <v>42</v>
      </c>
      <c r="B8731" s="65">
        <v>43436</v>
      </c>
      <c r="C8731" s="66" t="s">
        <v>222</v>
      </c>
      <c r="D8731" s="3" t="s">
        <v>45</v>
      </c>
      <c r="E8731" s="64">
        <v>1</v>
      </c>
    </row>
    <row r="8732" spans="1:5">
      <c r="A8732" s="64" t="s">
        <v>42</v>
      </c>
      <c r="B8732" s="65">
        <v>43437</v>
      </c>
      <c r="C8732" s="66" t="s">
        <v>216</v>
      </c>
      <c r="D8732" s="3" t="s">
        <v>45</v>
      </c>
      <c r="E8732" s="64">
        <v>1</v>
      </c>
    </row>
    <row r="8733" spans="1:5">
      <c r="A8733" s="64" t="s">
        <v>42</v>
      </c>
      <c r="B8733" s="65">
        <v>43438</v>
      </c>
      <c r="C8733" s="66" t="s">
        <v>217</v>
      </c>
      <c r="D8733" s="3" t="s">
        <v>45</v>
      </c>
      <c r="E8733" s="64">
        <v>1</v>
      </c>
    </row>
    <row r="8734" spans="1:5">
      <c r="A8734" s="64" t="s">
        <v>42</v>
      </c>
      <c r="B8734" s="65">
        <v>43439</v>
      </c>
      <c r="C8734" s="66" t="s">
        <v>218</v>
      </c>
      <c r="D8734" s="3" t="s">
        <v>45</v>
      </c>
      <c r="E8734" s="64">
        <v>1</v>
      </c>
    </row>
    <row r="8735" spans="1:5">
      <c r="A8735" s="64" t="s">
        <v>42</v>
      </c>
      <c r="B8735" s="65">
        <v>43440</v>
      </c>
      <c r="C8735" s="66" t="s">
        <v>219</v>
      </c>
      <c r="D8735" s="3" t="s">
        <v>45</v>
      </c>
      <c r="E8735" s="64">
        <v>1</v>
      </c>
    </row>
    <row r="8736" spans="1:5">
      <c r="A8736" s="64" t="s">
        <v>42</v>
      </c>
      <c r="B8736" s="65">
        <v>43441</v>
      </c>
      <c r="C8736" s="66" t="s">
        <v>220</v>
      </c>
      <c r="D8736" s="3" t="s">
        <v>45</v>
      </c>
      <c r="E8736" s="64">
        <v>1</v>
      </c>
    </row>
    <row r="8737" spans="1:5">
      <c r="A8737" s="64" t="s">
        <v>42</v>
      </c>
      <c r="B8737" s="65">
        <v>43442</v>
      </c>
      <c r="C8737" s="66" t="s">
        <v>221</v>
      </c>
      <c r="D8737" s="3" t="s">
        <v>45</v>
      </c>
      <c r="E8737" s="64">
        <v>1</v>
      </c>
    </row>
    <row r="8738" spans="1:5">
      <c r="A8738" s="64" t="s">
        <v>42</v>
      </c>
      <c r="B8738" s="65">
        <v>43443</v>
      </c>
      <c r="C8738" s="66" t="s">
        <v>222</v>
      </c>
      <c r="D8738" s="3" t="s">
        <v>45</v>
      </c>
      <c r="E8738" s="64">
        <v>1</v>
      </c>
    </row>
    <row r="8739" spans="1:5">
      <c r="A8739" s="64" t="s">
        <v>42</v>
      </c>
      <c r="B8739" s="65">
        <v>43444</v>
      </c>
      <c r="C8739" s="66" t="s">
        <v>216</v>
      </c>
      <c r="D8739" s="3" t="s">
        <v>45</v>
      </c>
      <c r="E8739" s="64">
        <v>1</v>
      </c>
    </row>
    <row r="8740" spans="1:5">
      <c r="A8740" s="64" t="s">
        <v>42</v>
      </c>
      <c r="B8740" s="65">
        <v>43445</v>
      </c>
      <c r="C8740" s="66" t="s">
        <v>217</v>
      </c>
      <c r="D8740" s="3" t="s">
        <v>45</v>
      </c>
      <c r="E8740" s="64">
        <v>1</v>
      </c>
    </row>
    <row r="8741" spans="1:5">
      <c r="A8741" s="64" t="s">
        <v>42</v>
      </c>
      <c r="B8741" s="65">
        <v>43446</v>
      </c>
      <c r="C8741" s="66" t="s">
        <v>218</v>
      </c>
      <c r="D8741" s="3" t="s">
        <v>45</v>
      </c>
      <c r="E8741" s="64">
        <v>1</v>
      </c>
    </row>
    <row r="8742" spans="1:5">
      <c r="A8742" s="64" t="s">
        <v>42</v>
      </c>
      <c r="B8742" s="65">
        <v>43447</v>
      </c>
      <c r="C8742" s="66" t="s">
        <v>219</v>
      </c>
      <c r="D8742" s="3" t="s">
        <v>45</v>
      </c>
      <c r="E8742" s="64">
        <v>1</v>
      </c>
    </row>
    <row r="8743" spans="1:5">
      <c r="A8743" s="64" t="s">
        <v>42</v>
      </c>
      <c r="B8743" s="65">
        <v>43448</v>
      </c>
      <c r="C8743" s="66" t="s">
        <v>220</v>
      </c>
      <c r="D8743" s="3" t="s">
        <v>45</v>
      </c>
      <c r="E8743" s="64">
        <v>1</v>
      </c>
    </row>
    <row r="8744" spans="1:5">
      <c r="A8744" s="64" t="s">
        <v>42</v>
      </c>
      <c r="B8744" s="65">
        <v>43449</v>
      </c>
      <c r="C8744" s="66" t="s">
        <v>221</v>
      </c>
      <c r="D8744" s="3" t="s">
        <v>45</v>
      </c>
      <c r="E8744" s="64">
        <v>1</v>
      </c>
    </row>
    <row r="8745" spans="1:5">
      <c r="A8745" s="64" t="s">
        <v>42</v>
      </c>
      <c r="B8745" s="65">
        <v>43450</v>
      </c>
      <c r="C8745" s="66" t="s">
        <v>222</v>
      </c>
      <c r="D8745" s="3" t="s">
        <v>45</v>
      </c>
      <c r="E8745" s="64">
        <v>1</v>
      </c>
    </row>
    <row r="8746" spans="1:5">
      <c r="A8746" s="64" t="s">
        <v>42</v>
      </c>
      <c r="B8746" s="65">
        <v>43451</v>
      </c>
      <c r="C8746" s="66" t="s">
        <v>216</v>
      </c>
      <c r="D8746" s="3" t="s">
        <v>45</v>
      </c>
      <c r="E8746" s="64">
        <v>1</v>
      </c>
    </row>
    <row r="8747" spans="1:5">
      <c r="A8747" s="64" t="s">
        <v>42</v>
      </c>
      <c r="B8747" s="65">
        <v>43452</v>
      </c>
      <c r="C8747" s="66" t="s">
        <v>217</v>
      </c>
      <c r="D8747" s="3" t="s">
        <v>45</v>
      </c>
      <c r="E8747" s="64">
        <v>1</v>
      </c>
    </row>
    <row r="8748" spans="1:5">
      <c r="A8748" s="64" t="s">
        <v>42</v>
      </c>
      <c r="B8748" s="65">
        <v>43453</v>
      </c>
      <c r="C8748" s="66" t="s">
        <v>218</v>
      </c>
      <c r="D8748" s="3" t="s">
        <v>45</v>
      </c>
      <c r="E8748" s="64">
        <v>1</v>
      </c>
    </row>
    <row r="8749" spans="1:5">
      <c r="A8749" s="64" t="s">
        <v>42</v>
      </c>
      <c r="B8749" s="65">
        <v>43454</v>
      </c>
      <c r="C8749" s="66" t="s">
        <v>219</v>
      </c>
      <c r="D8749" s="3" t="s">
        <v>45</v>
      </c>
      <c r="E8749" s="64">
        <v>1</v>
      </c>
    </row>
    <row r="8750" spans="1:5">
      <c r="A8750" s="64" t="s">
        <v>42</v>
      </c>
      <c r="B8750" s="65">
        <v>43455</v>
      </c>
      <c r="C8750" s="66" t="s">
        <v>220</v>
      </c>
      <c r="D8750" s="3" t="s">
        <v>45</v>
      </c>
      <c r="E8750" s="64">
        <v>1</v>
      </c>
    </row>
    <row r="8751" spans="1:5">
      <c r="A8751" s="64" t="s">
        <v>42</v>
      </c>
      <c r="B8751" s="65">
        <v>43456</v>
      </c>
      <c r="C8751" s="66" t="s">
        <v>221</v>
      </c>
      <c r="D8751" s="3" t="s">
        <v>45</v>
      </c>
      <c r="E8751" s="64">
        <v>1</v>
      </c>
    </row>
    <row r="8752" spans="1:5">
      <c r="A8752" s="64" t="s">
        <v>42</v>
      </c>
      <c r="B8752" s="65">
        <v>43457</v>
      </c>
      <c r="C8752" s="66" t="s">
        <v>222</v>
      </c>
      <c r="D8752" s="3" t="s">
        <v>45</v>
      </c>
      <c r="E8752" s="64">
        <v>1</v>
      </c>
    </row>
    <row r="8753" spans="1:5">
      <c r="A8753" s="64" t="s">
        <v>42</v>
      </c>
      <c r="B8753" s="65">
        <v>43458</v>
      </c>
      <c r="C8753" s="66" t="s">
        <v>216</v>
      </c>
      <c r="D8753" s="3" t="s">
        <v>45</v>
      </c>
      <c r="E8753" s="64">
        <v>1</v>
      </c>
    </row>
    <row r="8754" spans="1:5">
      <c r="A8754" s="64" t="s">
        <v>42</v>
      </c>
      <c r="B8754" s="65">
        <v>43459</v>
      </c>
      <c r="C8754" s="66" t="s">
        <v>217</v>
      </c>
      <c r="D8754" s="3" t="s">
        <v>45</v>
      </c>
      <c r="E8754" s="64">
        <v>1</v>
      </c>
    </row>
    <row r="8755" spans="1:5">
      <c r="A8755" s="64" t="s">
        <v>42</v>
      </c>
      <c r="B8755" s="65">
        <v>43460</v>
      </c>
      <c r="C8755" s="66" t="s">
        <v>218</v>
      </c>
      <c r="D8755" s="3" t="s">
        <v>45</v>
      </c>
      <c r="E8755" s="64">
        <v>1</v>
      </c>
    </row>
    <row r="8756" spans="1:5">
      <c r="A8756" s="64" t="s">
        <v>42</v>
      </c>
      <c r="B8756" s="65">
        <v>43461</v>
      </c>
      <c r="C8756" s="66" t="s">
        <v>219</v>
      </c>
      <c r="D8756" s="3" t="s">
        <v>45</v>
      </c>
      <c r="E8756" s="64">
        <v>1</v>
      </c>
    </row>
    <row r="8757" spans="1:5">
      <c r="A8757" s="64" t="s">
        <v>42</v>
      </c>
      <c r="B8757" s="65">
        <v>43462</v>
      </c>
      <c r="C8757" s="66" t="s">
        <v>220</v>
      </c>
      <c r="D8757" s="3" t="s">
        <v>45</v>
      </c>
      <c r="E8757" s="64">
        <v>1</v>
      </c>
    </row>
    <row r="8758" spans="1:5">
      <c r="A8758" s="64" t="s">
        <v>42</v>
      </c>
      <c r="B8758" s="65">
        <v>43463</v>
      </c>
      <c r="C8758" s="66" t="s">
        <v>221</v>
      </c>
      <c r="D8758" s="3" t="s">
        <v>45</v>
      </c>
      <c r="E8758" s="64">
        <v>1</v>
      </c>
    </row>
    <row r="8759" spans="1:5">
      <c r="A8759" s="64" t="s">
        <v>42</v>
      </c>
      <c r="B8759" s="65">
        <v>43464</v>
      </c>
      <c r="C8759" s="66" t="s">
        <v>222</v>
      </c>
      <c r="D8759" s="3" t="s">
        <v>45</v>
      </c>
      <c r="E8759" s="64">
        <v>1</v>
      </c>
    </row>
    <row r="8760" spans="1:5">
      <c r="A8760" s="64" t="s">
        <v>42</v>
      </c>
      <c r="B8760" s="65">
        <v>43465</v>
      </c>
      <c r="C8760" s="66" t="s">
        <v>216</v>
      </c>
      <c r="D8760" s="3" t="s">
        <v>45</v>
      </c>
      <c r="E8760" s="64">
        <v>1</v>
      </c>
    </row>
    <row r="8761" spans="1:5">
      <c r="A8761" s="64" t="s">
        <v>42</v>
      </c>
      <c r="B8761" s="65">
        <v>43466</v>
      </c>
      <c r="C8761" s="66" t="s">
        <v>217</v>
      </c>
      <c r="D8761" s="3" t="s">
        <v>45</v>
      </c>
      <c r="E8761" s="64">
        <v>1</v>
      </c>
    </row>
    <row r="8762" spans="1:5">
      <c r="A8762" s="64" t="s">
        <v>42</v>
      </c>
      <c r="B8762" s="65">
        <v>43467</v>
      </c>
      <c r="C8762" s="66" t="s">
        <v>218</v>
      </c>
      <c r="D8762" s="3" t="s">
        <v>45</v>
      </c>
      <c r="E8762" s="64">
        <v>1</v>
      </c>
    </row>
    <row r="8763" spans="1:5">
      <c r="A8763" s="64" t="s">
        <v>42</v>
      </c>
      <c r="B8763" s="65">
        <v>43468</v>
      </c>
      <c r="C8763" s="66" t="s">
        <v>219</v>
      </c>
      <c r="D8763" s="3" t="s">
        <v>45</v>
      </c>
      <c r="E8763" s="64">
        <v>1</v>
      </c>
    </row>
    <row r="8764" spans="1:5">
      <c r="A8764" s="64" t="s">
        <v>42</v>
      </c>
      <c r="B8764" s="65">
        <v>43469</v>
      </c>
      <c r="C8764" s="66" t="s">
        <v>220</v>
      </c>
      <c r="D8764" s="3" t="s">
        <v>45</v>
      </c>
      <c r="E8764" s="64">
        <v>1</v>
      </c>
    </row>
    <row r="8765" spans="1:5">
      <c r="A8765" s="64" t="s">
        <v>42</v>
      </c>
      <c r="B8765" s="65">
        <v>43470</v>
      </c>
      <c r="C8765" s="66" t="s">
        <v>221</v>
      </c>
      <c r="D8765" s="3" t="s">
        <v>45</v>
      </c>
      <c r="E8765" s="64">
        <v>1</v>
      </c>
    </row>
    <row r="8766" spans="1:5">
      <c r="A8766" s="64" t="s">
        <v>42</v>
      </c>
      <c r="B8766" s="65">
        <v>43471</v>
      </c>
      <c r="C8766" s="66" t="s">
        <v>222</v>
      </c>
      <c r="D8766" s="3" t="s">
        <v>45</v>
      </c>
      <c r="E8766" s="64">
        <v>1</v>
      </c>
    </row>
    <row r="8767" spans="1:5">
      <c r="A8767" s="64" t="s">
        <v>42</v>
      </c>
      <c r="B8767" s="65">
        <v>43472</v>
      </c>
      <c r="C8767" s="66" t="s">
        <v>216</v>
      </c>
      <c r="D8767" s="3" t="s">
        <v>45</v>
      </c>
      <c r="E8767" s="64">
        <v>1</v>
      </c>
    </row>
    <row r="8768" spans="1:5">
      <c r="A8768" s="64" t="s">
        <v>42</v>
      </c>
      <c r="B8768" s="65">
        <v>43473</v>
      </c>
      <c r="C8768" s="66" t="s">
        <v>217</v>
      </c>
      <c r="D8768" s="3" t="s">
        <v>45</v>
      </c>
      <c r="E8768" s="64">
        <v>1</v>
      </c>
    </row>
    <row r="8769" spans="1:5">
      <c r="A8769" s="64" t="s">
        <v>42</v>
      </c>
      <c r="B8769" s="65">
        <v>43474</v>
      </c>
      <c r="C8769" s="66" t="s">
        <v>218</v>
      </c>
      <c r="D8769" s="3" t="s">
        <v>45</v>
      </c>
      <c r="E8769" s="64">
        <v>1</v>
      </c>
    </row>
    <row r="8770" spans="1:5">
      <c r="A8770" s="64" t="s">
        <v>42</v>
      </c>
      <c r="B8770" s="65">
        <v>43475</v>
      </c>
      <c r="C8770" s="66" t="s">
        <v>219</v>
      </c>
      <c r="D8770" s="3" t="s">
        <v>45</v>
      </c>
      <c r="E8770" s="64">
        <v>1</v>
      </c>
    </row>
    <row r="8771" spans="1:5">
      <c r="A8771" s="64" t="s">
        <v>42</v>
      </c>
      <c r="B8771" s="65">
        <v>43476</v>
      </c>
      <c r="C8771" s="66" t="s">
        <v>220</v>
      </c>
      <c r="D8771" s="3" t="s">
        <v>45</v>
      </c>
      <c r="E8771" s="64">
        <v>1</v>
      </c>
    </row>
    <row r="8772" spans="1:5">
      <c r="A8772" s="64" t="s">
        <v>42</v>
      </c>
      <c r="B8772" s="65">
        <v>43477</v>
      </c>
      <c r="C8772" s="66" t="s">
        <v>221</v>
      </c>
      <c r="D8772" s="3" t="s">
        <v>45</v>
      </c>
      <c r="E8772" s="64">
        <v>1</v>
      </c>
    </row>
    <row r="8773" spans="1:5">
      <c r="A8773" s="64" t="s">
        <v>42</v>
      </c>
      <c r="B8773" s="65">
        <v>43478</v>
      </c>
      <c r="C8773" s="66" t="s">
        <v>222</v>
      </c>
      <c r="D8773" s="3" t="s">
        <v>45</v>
      </c>
      <c r="E8773" s="64">
        <v>1</v>
      </c>
    </row>
    <row r="8774" spans="1:5">
      <c r="A8774" s="64" t="s">
        <v>42</v>
      </c>
      <c r="B8774" s="65">
        <v>43479</v>
      </c>
      <c r="C8774" s="66" t="s">
        <v>216</v>
      </c>
      <c r="D8774" s="3" t="s">
        <v>45</v>
      </c>
      <c r="E8774" s="64">
        <v>1</v>
      </c>
    </row>
    <row r="8775" spans="1:5">
      <c r="A8775" s="64" t="s">
        <v>42</v>
      </c>
      <c r="B8775" s="65">
        <v>43480</v>
      </c>
      <c r="C8775" s="66" t="s">
        <v>217</v>
      </c>
      <c r="D8775" s="3" t="s">
        <v>45</v>
      </c>
      <c r="E8775" s="64">
        <v>1</v>
      </c>
    </row>
    <row r="8776" spans="1:5">
      <c r="A8776" s="64" t="s">
        <v>42</v>
      </c>
      <c r="B8776" s="65">
        <v>43481</v>
      </c>
      <c r="C8776" s="66" t="s">
        <v>218</v>
      </c>
      <c r="D8776" s="3" t="s">
        <v>45</v>
      </c>
      <c r="E8776" s="64">
        <v>1</v>
      </c>
    </row>
    <row r="8777" spans="1:5">
      <c r="A8777" s="64" t="s">
        <v>42</v>
      </c>
      <c r="B8777" s="65">
        <v>43482</v>
      </c>
      <c r="C8777" s="66" t="s">
        <v>219</v>
      </c>
      <c r="D8777" s="3" t="s">
        <v>45</v>
      </c>
      <c r="E8777" s="64">
        <v>1</v>
      </c>
    </row>
    <row r="8778" spans="1:5">
      <c r="A8778" s="64" t="s">
        <v>42</v>
      </c>
      <c r="B8778" s="65">
        <v>43483</v>
      </c>
      <c r="C8778" s="66" t="s">
        <v>220</v>
      </c>
      <c r="D8778" s="3" t="s">
        <v>45</v>
      </c>
      <c r="E8778" s="64">
        <v>1</v>
      </c>
    </row>
    <row r="8779" spans="1:5">
      <c r="A8779" s="64" t="s">
        <v>42</v>
      </c>
      <c r="B8779" s="65">
        <v>43484</v>
      </c>
      <c r="C8779" s="66" t="s">
        <v>221</v>
      </c>
      <c r="D8779" s="3" t="s">
        <v>45</v>
      </c>
      <c r="E8779" s="64">
        <v>1</v>
      </c>
    </row>
    <row r="8780" spans="1:5">
      <c r="A8780" s="64" t="s">
        <v>42</v>
      </c>
      <c r="B8780" s="65">
        <v>43485</v>
      </c>
      <c r="C8780" s="66" t="s">
        <v>222</v>
      </c>
      <c r="D8780" s="3" t="s">
        <v>45</v>
      </c>
      <c r="E8780" s="64">
        <v>1</v>
      </c>
    </row>
    <row r="8781" spans="1:5">
      <c r="A8781" s="64" t="s">
        <v>42</v>
      </c>
      <c r="B8781" s="65">
        <v>43486</v>
      </c>
      <c r="C8781" s="66" t="s">
        <v>216</v>
      </c>
      <c r="D8781" s="3" t="s">
        <v>45</v>
      </c>
      <c r="E8781" s="64">
        <v>1</v>
      </c>
    </row>
    <row r="8782" spans="1:5">
      <c r="A8782" s="64" t="s">
        <v>42</v>
      </c>
      <c r="B8782" s="65">
        <v>43487</v>
      </c>
      <c r="C8782" s="66" t="s">
        <v>217</v>
      </c>
      <c r="D8782" s="3" t="s">
        <v>45</v>
      </c>
      <c r="E8782" s="64">
        <v>1</v>
      </c>
    </row>
    <row r="8783" spans="1:5">
      <c r="A8783" s="64" t="s">
        <v>42</v>
      </c>
      <c r="B8783" s="65">
        <v>43488</v>
      </c>
      <c r="C8783" s="66" t="s">
        <v>218</v>
      </c>
      <c r="D8783" s="3" t="s">
        <v>45</v>
      </c>
      <c r="E8783" s="64">
        <v>1</v>
      </c>
    </row>
    <row r="8784" spans="1:5">
      <c r="A8784" s="64" t="s">
        <v>42</v>
      </c>
      <c r="B8784" s="65">
        <v>43489</v>
      </c>
      <c r="C8784" s="66" t="s">
        <v>219</v>
      </c>
      <c r="D8784" s="3" t="s">
        <v>45</v>
      </c>
      <c r="E8784" s="64">
        <v>1</v>
      </c>
    </row>
    <row r="8785" spans="1:5">
      <c r="A8785" s="64" t="s">
        <v>42</v>
      </c>
      <c r="B8785" s="65">
        <v>43490</v>
      </c>
      <c r="C8785" s="66" t="s">
        <v>220</v>
      </c>
      <c r="D8785" s="3" t="s">
        <v>45</v>
      </c>
      <c r="E8785" s="64">
        <v>1</v>
      </c>
    </row>
    <row r="8786" spans="1:5">
      <c r="A8786" s="64" t="s">
        <v>42</v>
      </c>
      <c r="B8786" s="65">
        <v>43491</v>
      </c>
      <c r="C8786" s="66" t="s">
        <v>221</v>
      </c>
      <c r="D8786" s="3" t="s">
        <v>45</v>
      </c>
      <c r="E8786" s="64">
        <v>1</v>
      </c>
    </row>
    <row r="8787" spans="1:5">
      <c r="A8787" s="64" t="s">
        <v>42</v>
      </c>
      <c r="B8787" s="65">
        <v>43492</v>
      </c>
      <c r="C8787" s="66" t="s">
        <v>222</v>
      </c>
      <c r="D8787" s="3" t="s">
        <v>45</v>
      </c>
      <c r="E8787" s="64">
        <v>1</v>
      </c>
    </row>
    <row r="8788" spans="1:5">
      <c r="A8788" s="64" t="s">
        <v>42</v>
      </c>
      <c r="B8788" s="65">
        <v>43493</v>
      </c>
      <c r="C8788" s="66" t="s">
        <v>216</v>
      </c>
      <c r="D8788" s="3" t="s">
        <v>45</v>
      </c>
      <c r="E8788" s="64">
        <v>1</v>
      </c>
    </row>
    <row r="8789" spans="1:5">
      <c r="A8789" s="64" t="s">
        <v>42</v>
      </c>
      <c r="B8789" s="65">
        <v>43494</v>
      </c>
      <c r="C8789" s="66" t="s">
        <v>217</v>
      </c>
      <c r="D8789" s="3" t="s">
        <v>45</v>
      </c>
      <c r="E8789" s="64">
        <v>1</v>
      </c>
    </row>
    <row r="8790" spans="1:5">
      <c r="A8790" s="64" t="s">
        <v>42</v>
      </c>
      <c r="B8790" s="65">
        <v>43495</v>
      </c>
      <c r="C8790" s="66" t="s">
        <v>218</v>
      </c>
      <c r="D8790" s="3" t="s">
        <v>45</v>
      </c>
      <c r="E8790" s="64">
        <v>1</v>
      </c>
    </row>
    <row r="8791" spans="1:5">
      <c r="A8791" s="64" t="s">
        <v>42</v>
      </c>
      <c r="B8791" s="65">
        <v>43496</v>
      </c>
      <c r="C8791" s="66" t="s">
        <v>219</v>
      </c>
      <c r="D8791" s="3" t="s">
        <v>45</v>
      </c>
      <c r="E8791" s="64">
        <v>1</v>
      </c>
    </row>
    <row r="8792" spans="1:5">
      <c r="A8792" s="64" t="s">
        <v>42</v>
      </c>
      <c r="B8792" s="65">
        <v>43497</v>
      </c>
      <c r="C8792" s="66" t="s">
        <v>220</v>
      </c>
      <c r="D8792" s="3" t="s">
        <v>45</v>
      </c>
      <c r="E8792" s="64">
        <v>1</v>
      </c>
    </row>
    <row r="8793" spans="1:5">
      <c r="A8793" s="64" t="s">
        <v>42</v>
      </c>
      <c r="B8793" s="65">
        <v>43498</v>
      </c>
      <c r="C8793" s="66" t="s">
        <v>221</v>
      </c>
      <c r="D8793" s="3" t="s">
        <v>45</v>
      </c>
      <c r="E8793" s="64">
        <v>1</v>
      </c>
    </row>
    <row r="8794" spans="1:5">
      <c r="A8794" s="64" t="s">
        <v>42</v>
      </c>
      <c r="B8794" s="65">
        <v>43499</v>
      </c>
      <c r="C8794" s="66" t="s">
        <v>222</v>
      </c>
      <c r="D8794" s="3" t="s">
        <v>45</v>
      </c>
      <c r="E8794" s="64">
        <v>1</v>
      </c>
    </row>
    <row r="8795" spans="1:5">
      <c r="A8795" s="64" t="s">
        <v>42</v>
      </c>
      <c r="B8795" s="65">
        <v>43500</v>
      </c>
      <c r="C8795" s="66" t="s">
        <v>216</v>
      </c>
      <c r="D8795" s="3" t="s">
        <v>45</v>
      </c>
      <c r="E8795" s="64">
        <v>1</v>
      </c>
    </row>
    <row r="8796" spans="1:5">
      <c r="A8796" s="64" t="s">
        <v>42</v>
      </c>
      <c r="B8796" s="65">
        <v>43501</v>
      </c>
      <c r="C8796" s="66" t="s">
        <v>217</v>
      </c>
      <c r="D8796" s="3" t="s">
        <v>45</v>
      </c>
      <c r="E8796" s="64">
        <v>1</v>
      </c>
    </row>
    <row r="8797" spans="1:5">
      <c r="A8797" s="64" t="s">
        <v>42</v>
      </c>
      <c r="B8797" s="65">
        <v>43502</v>
      </c>
      <c r="C8797" s="66" t="s">
        <v>218</v>
      </c>
      <c r="D8797" s="3" t="s">
        <v>45</v>
      </c>
      <c r="E8797" s="64">
        <v>1</v>
      </c>
    </row>
    <row r="8798" spans="1:5">
      <c r="A8798" s="64" t="s">
        <v>42</v>
      </c>
      <c r="B8798" s="65">
        <v>43503</v>
      </c>
      <c r="C8798" s="66" t="s">
        <v>219</v>
      </c>
      <c r="D8798" s="3" t="s">
        <v>45</v>
      </c>
      <c r="E8798" s="64">
        <v>1</v>
      </c>
    </row>
    <row r="8799" spans="1:5">
      <c r="A8799" s="64" t="s">
        <v>42</v>
      </c>
      <c r="B8799" s="65">
        <v>43504</v>
      </c>
      <c r="C8799" s="66" t="s">
        <v>220</v>
      </c>
      <c r="D8799" s="3" t="s">
        <v>45</v>
      </c>
      <c r="E8799" s="64">
        <v>1</v>
      </c>
    </row>
    <row r="8800" spans="1:5">
      <c r="A8800" s="64" t="s">
        <v>42</v>
      </c>
      <c r="B8800" s="65">
        <v>43505</v>
      </c>
      <c r="C8800" s="66" t="s">
        <v>221</v>
      </c>
      <c r="D8800" s="3" t="s">
        <v>45</v>
      </c>
      <c r="E8800" s="64">
        <v>1</v>
      </c>
    </row>
    <row r="8801" spans="1:5">
      <c r="A8801" s="64" t="s">
        <v>42</v>
      </c>
      <c r="B8801" s="65">
        <v>43506</v>
      </c>
      <c r="C8801" s="66" t="s">
        <v>222</v>
      </c>
      <c r="D8801" s="3" t="s">
        <v>45</v>
      </c>
      <c r="E8801" s="64">
        <v>1</v>
      </c>
    </row>
    <row r="8802" spans="1:5">
      <c r="A8802" s="64" t="s">
        <v>42</v>
      </c>
      <c r="B8802" s="65">
        <v>43507</v>
      </c>
      <c r="C8802" s="66" t="s">
        <v>216</v>
      </c>
      <c r="D8802" s="3" t="s">
        <v>45</v>
      </c>
      <c r="E8802" s="64">
        <v>1</v>
      </c>
    </row>
    <row r="8803" spans="1:5">
      <c r="A8803" s="64" t="s">
        <v>42</v>
      </c>
      <c r="B8803" s="65">
        <v>43508</v>
      </c>
      <c r="C8803" s="66" t="s">
        <v>217</v>
      </c>
      <c r="D8803" s="3" t="s">
        <v>45</v>
      </c>
      <c r="E8803" s="64">
        <v>1</v>
      </c>
    </row>
    <row r="8804" spans="1:5">
      <c r="A8804" s="64" t="s">
        <v>42</v>
      </c>
      <c r="B8804" s="65">
        <v>43509</v>
      </c>
      <c r="C8804" s="66" t="s">
        <v>218</v>
      </c>
      <c r="D8804" s="3" t="s">
        <v>45</v>
      </c>
      <c r="E8804" s="64">
        <v>1</v>
      </c>
    </row>
    <row r="8805" spans="1:5">
      <c r="A8805" s="64" t="s">
        <v>42</v>
      </c>
      <c r="B8805" s="65">
        <v>43510</v>
      </c>
      <c r="C8805" s="66" t="s">
        <v>219</v>
      </c>
      <c r="D8805" s="3" t="s">
        <v>45</v>
      </c>
      <c r="E8805" s="64">
        <v>1</v>
      </c>
    </row>
    <row r="8806" spans="1:5">
      <c r="A8806" s="64" t="s">
        <v>42</v>
      </c>
      <c r="B8806" s="65">
        <v>43511</v>
      </c>
      <c r="C8806" s="66" t="s">
        <v>220</v>
      </c>
      <c r="D8806" s="3" t="s">
        <v>45</v>
      </c>
      <c r="E8806" s="64">
        <v>1</v>
      </c>
    </row>
    <row r="8807" spans="1:5">
      <c r="A8807" s="64" t="s">
        <v>42</v>
      </c>
      <c r="B8807" s="65">
        <v>43512</v>
      </c>
      <c r="C8807" s="66" t="s">
        <v>221</v>
      </c>
      <c r="D8807" s="3" t="s">
        <v>45</v>
      </c>
      <c r="E8807" s="64">
        <v>1</v>
      </c>
    </row>
    <row r="8808" spans="1:5">
      <c r="A8808" s="64" t="s">
        <v>42</v>
      </c>
      <c r="B8808" s="65">
        <v>43513</v>
      </c>
      <c r="C8808" s="66" t="s">
        <v>222</v>
      </c>
      <c r="D8808" s="3" t="s">
        <v>45</v>
      </c>
      <c r="E8808" s="64">
        <v>1</v>
      </c>
    </row>
    <row r="8809" spans="1:5">
      <c r="A8809" s="64" t="s">
        <v>42</v>
      </c>
      <c r="B8809" s="65">
        <v>43514</v>
      </c>
      <c r="C8809" s="66" t="s">
        <v>216</v>
      </c>
      <c r="D8809" s="3" t="s">
        <v>45</v>
      </c>
      <c r="E8809" s="64">
        <v>1</v>
      </c>
    </row>
    <row r="8810" spans="1:5">
      <c r="A8810" s="64" t="s">
        <v>42</v>
      </c>
      <c r="B8810" s="65">
        <v>43515</v>
      </c>
      <c r="C8810" s="66" t="s">
        <v>217</v>
      </c>
      <c r="D8810" s="3" t="s">
        <v>45</v>
      </c>
      <c r="E8810" s="64">
        <v>1</v>
      </c>
    </row>
    <row r="8811" spans="1:5">
      <c r="A8811" s="64" t="s">
        <v>42</v>
      </c>
      <c r="B8811" s="65">
        <v>43516</v>
      </c>
      <c r="C8811" s="66" t="s">
        <v>218</v>
      </c>
      <c r="D8811" s="3" t="s">
        <v>45</v>
      </c>
      <c r="E8811" s="64">
        <v>1</v>
      </c>
    </row>
    <row r="8812" spans="1:5">
      <c r="A8812" s="64" t="s">
        <v>42</v>
      </c>
      <c r="B8812" s="65">
        <v>43517</v>
      </c>
      <c r="C8812" s="66" t="s">
        <v>219</v>
      </c>
      <c r="D8812" s="3" t="s">
        <v>45</v>
      </c>
      <c r="E8812" s="64">
        <v>1</v>
      </c>
    </row>
    <row r="8813" spans="1:5">
      <c r="A8813" s="64" t="s">
        <v>42</v>
      </c>
      <c r="B8813" s="65">
        <v>43518</v>
      </c>
      <c r="C8813" s="66" t="s">
        <v>220</v>
      </c>
      <c r="D8813" s="3" t="s">
        <v>45</v>
      </c>
      <c r="E8813" s="64">
        <v>1</v>
      </c>
    </row>
    <row r="8814" spans="1:5">
      <c r="A8814" s="64" t="s">
        <v>42</v>
      </c>
      <c r="B8814" s="65">
        <v>43519</v>
      </c>
      <c r="C8814" s="66" t="s">
        <v>221</v>
      </c>
      <c r="D8814" s="3" t="s">
        <v>45</v>
      </c>
      <c r="E8814" s="64">
        <v>1</v>
      </c>
    </row>
    <row r="8815" spans="1:5">
      <c r="A8815" s="64" t="s">
        <v>42</v>
      </c>
      <c r="B8815" s="65">
        <v>43520</v>
      </c>
      <c r="C8815" s="66" t="s">
        <v>222</v>
      </c>
      <c r="D8815" s="3" t="s">
        <v>45</v>
      </c>
      <c r="E8815" s="64">
        <v>1</v>
      </c>
    </row>
    <row r="8816" spans="1:5">
      <c r="A8816" s="64" t="s">
        <v>42</v>
      </c>
      <c r="B8816" s="65">
        <v>43521</v>
      </c>
      <c r="C8816" s="66" t="s">
        <v>216</v>
      </c>
      <c r="D8816" s="3" t="s">
        <v>45</v>
      </c>
      <c r="E8816" s="64">
        <v>1</v>
      </c>
    </row>
    <row r="8817" spans="1:5">
      <c r="A8817" s="64" t="s">
        <v>42</v>
      </c>
      <c r="B8817" s="65">
        <v>43522</v>
      </c>
      <c r="C8817" s="66" t="s">
        <v>217</v>
      </c>
      <c r="D8817" s="3" t="s">
        <v>45</v>
      </c>
      <c r="E8817" s="64">
        <v>1</v>
      </c>
    </row>
    <row r="8818" spans="1:5">
      <c r="A8818" s="64" t="s">
        <v>42</v>
      </c>
      <c r="B8818" s="65">
        <v>43523</v>
      </c>
      <c r="C8818" s="66" t="s">
        <v>218</v>
      </c>
      <c r="D8818" s="3" t="s">
        <v>45</v>
      </c>
      <c r="E8818" s="64">
        <v>1</v>
      </c>
    </row>
    <row r="8819" spans="1:5">
      <c r="A8819" s="64" t="s">
        <v>42</v>
      </c>
      <c r="B8819" s="65">
        <v>43524</v>
      </c>
      <c r="C8819" s="66" t="s">
        <v>219</v>
      </c>
      <c r="D8819" s="3" t="s">
        <v>45</v>
      </c>
      <c r="E8819" s="64">
        <v>1</v>
      </c>
    </row>
    <row r="8820" spans="1:5">
      <c r="A8820" s="64" t="s">
        <v>42</v>
      </c>
      <c r="B8820" s="65">
        <v>43525</v>
      </c>
      <c r="C8820" s="66" t="s">
        <v>220</v>
      </c>
      <c r="D8820" s="3" t="s">
        <v>45</v>
      </c>
      <c r="E8820" s="64">
        <v>1</v>
      </c>
    </row>
    <row r="8821" spans="1:5">
      <c r="A8821" s="64" t="s">
        <v>42</v>
      </c>
      <c r="B8821" s="65">
        <v>43526</v>
      </c>
      <c r="C8821" s="66" t="s">
        <v>221</v>
      </c>
      <c r="D8821" s="3" t="s">
        <v>45</v>
      </c>
      <c r="E8821" s="64">
        <v>1</v>
      </c>
    </row>
    <row r="8822" spans="1:5">
      <c r="A8822" s="64" t="s">
        <v>42</v>
      </c>
      <c r="B8822" s="65">
        <v>43527</v>
      </c>
      <c r="C8822" s="66" t="s">
        <v>222</v>
      </c>
      <c r="D8822" s="3" t="s">
        <v>45</v>
      </c>
      <c r="E8822" s="64">
        <v>1</v>
      </c>
    </row>
    <row r="8823" spans="1:5">
      <c r="A8823" s="64" t="s">
        <v>42</v>
      </c>
      <c r="B8823" s="65">
        <v>43528</v>
      </c>
      <c r="C8823" s="66" t="s">
        <v>216</v>
      </c>
      <c r="D8823" s="3" t="s">
        <v>45</v>
      </c>
      <c r="E8823" s="64">
        <v>1</v>
      </c>
    </row>
    <row r="8824" spans="1:5">
      <c r="A8824" s="64" t="s">
        <v>42</v>
      </c>
      <c r="B8824" s="65">
        <v>43529</v>
      </c>
      <c r="C8824" s="66" t="s">
        <v>217</v>
      </c>
      <c r="D8824" s="3" t="s">
        <v>45</v>
      </c>
      <c r="E8824" s="64">
        <v>1</v>
      </c>
    </row>
    <row r="8825" spans="1:5">
      <c r="A8825" s="64" t="s">
        <v>42</v>
      </c>
      <c r="B8825" s="65">
        <v>43530</v>
      </c>
      <c r="C8825" s="66" t="s">
        <v>218</v>
      </c>
      <c r="D8825" s="3" t="s">
        <v>45</v>
      </c>
      <c r="E8825" s="64">
        <v>1</v>
      </c>
    </row>
    <row r="8826" spans="1:5">
      <c r="A8826" s="64" t="s">
        <v>42</v>
      </c>
      <c r="B8826" s="65">
        <v>43531</v>
      </c>
      <c r="C8826" s="66" t="s">
        <v>219</v>
      </c>
      <c r="D8826" s="3" t="s">
        <v>45</v>
      </c>
      <c r="E8826" s="64">
        <v>1</v>
      </c>
    </row>
    <row r="8827" spans="1:5">
      <c r="A8827" s="64" t="s">
        <v>42</v>
      </c>
      <c r="B8827" s="65">
        <v>43532</v>
      </c>
      <c r="C8827" s="66" t="s">
        <v>220</v>
      </c>
      <c r="D8827" s="3" t="s">
        <v>45</v>
      </c>
      <c r="E8827" s="64">
        <v>1</v>
      </c>
    </row>
    <row r="8828" spans="1:5">
      <c r="A8828" s="64" t="s">
        <v>42</v>
      </c>
      <c r="B8828" s="65">
        <v>43533</v>
      </c>
      <c r="C8828" s="66" t="s">
        <v>221</v>
      </c>
      <c r="D8828" s="3" t="s">
        <v>45</v>
      </c>
      <c r="E8828" s="64">
        <v>1</v>
      </c>
    </row>
    <row r="8829" spans="1:5">
      <c r="A8829" s="64" t="s">
        <v>42</v>
      </c>
      <c r="B8829" s="65">
        <v>43534</v>
      </c>
      <c r="C8829" s="66" t="s">
        <v>222</v>
      </c>
      <c r="D8829" s="3" t="s">
        <v>45</v>
      </c>
      <c r="E8829" s="64">
        <v>1</v>
      </c>
    </row>
    <row r="8830" spans="1:5">
      <c r="A8830" s="64" t="s">
        <v>42</v>
      </c>
      <c r="B8830" s="65">
        <v>43535</v>
      </c>
      <c r="C8830" s="66" t="s">
        <v>216</v>
      </c>
      <c r="D8830" s="3" t="s">
        <v>45</v>
      </c>
      <c r="E8830" s="64">
        <v>1</v>
      </c>
    </row>
    <row r="8831" spans="1:5">
      <c r="A8831" s="64" t="s">
        <v>42</v>
      </c>
      <c r="B8831" s="65">
        <v>43536</v>
      </c>
      <c r="C8831" s="66" t="s">
        <v>217</v>
      </c>
      <c r="D8831" s="3" t="s">
        <v>45</v>
      </c>
      <c r="E8831" s="64">
        <v>1</v>
      </c>
    </row>
    <row r="8832" spans="1:5">
      <c r="A8832" s="64" t="s">
        <v>42</v>
      </c>
      <c r="B8832" s="65">
        <v>43537</v>
      </c>
      <c r="C8832" s="66" t="s">
        <v>218</v>
      </c>
      <c r="D8832" s="3" t="s">
        <v>45</v>
      </c>
      <c r="E8832" s="64">
        <v>1</v>
      </c>
    </row>
    <row r="8833" spans="1:5">
      <c r="A8833" s="64" t="s">
        <v>42</v>
      </c>
      <c r="B8833" s="65">
        <v>43538</v>
      </c>
      <c r="C8833" s="66" t="s">
        <v>219</v>
      </c>
      <c r="D8833" s="3" t="s">
        <v>45</v>
      </c>
      <c r="E8833" s="64">
        <v>1</v>
      </c>
    </row>
    <row r="8834" spans="1:5">
      <c r="A8834" s="64" t="s">
        <v>42</v>
      </c>
      <c r="B8834" s="65">
        <v>43539</v>
      </c>
      <c r="C8834" s="66" t="s">
        <v>220</v>
      </c>
      <c r="D8834" s="3" t="s">
        <v>45</v>
      </c>
      <c r="E8834" s="64">
        <v>1</v>
      </c>
    </row>
    <row r="8835" spans="1:5">
      <c r="A8835" s="64" t="s">
        <v>42</v>
      </c>
      <c r="B8835" s="65">
        <v>43540</v>
      </c>
      <c r="C8835" s="66" t="s">
        <v>221</v>
      </c>
      <c r="D8835" s="3" t="s">
        <v>45</v>
      </c>
      <c r="E8835" s="64">
        <v>1</v>
      </c>
    </row>
    <row r="8836" spans="1:5">
      <c r="A8836" s="64" t="s">
        <v>42</v>
      </c>
      <c r="B8836" s="65">
        <v>43541</v>
      </c>
      <c r="C8836" s="66" t="s">
        <v>222</v>
      </c>
      <c r="D8836" s="3" t="s">
        <v>45</v>
      </c>
      <c r="E8836" s="64">
        <v>1</v>
      </c>
    </row>
    <row r="8837" spans="1:5">
      <c r="A8837" s="64" t="s">
        <v>42</v>
      </c>
      <c r="B8837" s="65">
        <v>43542</v>
      </c>
      <c r="C8837" s="66" t="s">
        <v>216</v>
      </c>
      <c r="D8837" s="3" t="s">
        <v>45</v>
      </c>
      <c r="E8837" s="64">
        <v>1</v>
      </c>
    </row>
    <row r="8838" spans="1:5">
      <c r="A8838" s="64" t="s">
        <v>42</v>
      </c>
      <c r="B8838" s="65">
        <v>43543</v>
      </c>
      <c r="C8838" s="66" t="s">
        <v>217</v>
      </c>
      <c r="D8838" s="3" t="s">
        <v>45</v>
      </c>
      <c r="E8838" s="64">
        <v>1</v>
      </c>
    </row>
    <row r="8839" spans="1:5">
      <c r="A8839" s="64" t="s">
        <v>42</v>
      </c>
      <c r="B8839" s="65">
        <v>43544</v>
      </c>
      <c r="C8839" s="66" t="s">
        <v>218</v>
      </c>
      <c r="D8839" s="3" t="s">
        <v>45</v>
      </c>
      <c r="E8839" s="64">
        <v>1</v>
      </c>
    </row>
    <row r="8840" spans="1:5">
      <c r="A8840" s="64" t="s">
        <v>42</v>
      </c>
      <c r="B8840" s="65">
        <v>43545</v>
      </c>
      <c r="C8840" s="66" t="s">
        <v>219</v>
      </c>
      <c r="D8840" s="3" t="s">
        <v>45</v>
      </c>
      <c r="E8840" s="64">
        <v>1</v>
      </c>
    </row>
    <row r="8841" spans="1:5">
      <c r="A8841" s="64" t="s">
        <v>42</v>
      </c>
      <c r="B8841" s="65">
        <v>43546</v>
      </c>
      <c r="C8841" s="66" t="s">
        <v>220</v>
      </c>
      <c r="D8841" s="3" t="s">
        <v>45</v>
      </c>
      <c r="E8841" s="64">
        <v>1</v>
      </c>
    </row>
    <row r="8842" spans="1:5">
      <c r="A8842" s="64" t="s">
        <v>42</v>
      </c>
      <c r="B8842" s="65">
        <v>43547</v>
      </c>
      <c r="C8842" s="66" t="s">
        <v>221</v>
      </c>
      <c r="D8842" s="3" t="s">
        <v>45</v>
      </c>
      <c r="E8842" s="64">
        <v>1</v>
      </c>
    </row>
    <row r="8843" spans="1:5">
      <c r="A8843" s="64" t="s">
        <v>42</v>
      </c>
      <c r="B8843" s="65">
        <v>43548</v>
      </c>
      <c r="C8843" s="66" t="s">
        <v>222</v>
      </c>
      <c r="D8843" s="3" t="s">
        <v>45</v>
      </c>
      <c r="E8843" s="64">
        <v>1</v>
      </c>
    </row>
    <row r="8844" spans="1:5">
      <c r="A8844" s="64" t="s">
        <v>42</v>
      </c>
      <c r="B8844" s="65">
        <v>43549</v>
      </c>
      <c r="C8844" s="66" t="s">
        <v>216</v>
      </c>
      <c r="D8844" s="3" t="s">
        <v>45</v>
      </c>
      <c r="E8844" s="64">
        <v>1</v>
      </c>
    </row>
    <row r="8845" spans="1:5">
      <c r="A8845" s="64" t="s">
        <v>42</v>
      </c>
      <c r="B8845" s="65">
        <v>43550</v>
      </c>
      <c r="C8845" s="66" t="s">
        <v>217</v>
      </c>
      <c r="D8845" s="3" t="s">
        <v>45</v>
      </c>
      <c r="E8845" s="64">
        <v>1</v>
      </c>
    </row>
    <row r="8846" spans="1:5">
      <c r="A8846" s="64" t="s">
        <v>42</v>
      </c>
      <c r="B8846" s="65">
        <v>43551</v>
      </c>
      <c r="C8846" s="66" t="s">
        <v>218</v>
      </c>
      <c r="D8846" s="3" t="s">
        <v>45</v>
      </c>
      <c r="E8846" s="64">
        <v>1</v>
      </c>
    </row>
    <row r="8847" spans="1:5">
      <c r="A8847" s="64" t="s">
        <v>42</v>
      </c>
      <c r="B8847" s="65">
        <v>43552</v>
      </c>
      <c r="C8847" s="66" t="s">
        <v>219</v>
      </c>
      <c r="D8847" s="3" t="s">
        <v>45</v>
      </c>
      <c r="E8847" s="64">
        <v>1</v>
      </c>
    </row>
    <row r="8848" spans="1:5">
      <c r="A8848" s="64" t="s">
        <v>42</v>
      </c>
      <c r="B8848" s="65">
        <v>43553</v>
      </c>
      <c r="C8848" s="66" t="s">
        <v>220</v>
      </c>
      <c r="D8848" s="3" t="s">
        <v>45</v>
      </c>
      <c r="E8848" s="64">
        <v>1</v>
      </c>
    </row>
    <row r="8849" spans="1:5">
      <c r="A8849" s="64" t="s">
        <v>42</v>
      </c>
      <c r="B8849" s="65">
        <v>43554</v>
      </c>
      <c r="C8849" s="66" t="s">
        <v>221</v>
      </c>
      <c r="D8849" s="3" t="s">
        <v>45</v>
      </c>
      <c r="E8849" s="64">
        <v>1</v>
      </c>
    </row>
    <row r="8850" spans="1:5">
      <c r="A8850" s="64" t="s">
        <v>42</v>
      </c>
      <c r="B8850" s="65">
        <v>43555</v>
      </c>
      <c r="C8850" s="66" t="s">
        <v>222</v>
      </c>
      <c r="D8850" s="3" t="s">
        <v>45</v>
      </c>
      <c r="E8850" s="64">
        <v>1</v>
      </c>
    </row>
    <row r="8851" spans="1:5">
      <c r="A8851" s="64" t="s">
        <v>42</v>
      </c>
      <c r="B8851" s="65">
        <v>43556</v>
      </c>
      <c r="C8851" s="66" t="s">
        <v>216</v>
      </c>
      <c r="D8851" s="3" t="s">
        <v>45</v>
      </c>
      <c r="E8851" s="64">
        <v>1</v>
      </c>
    </row>
    <row r="8852" spans="1:5">
      <c r="A8852" s="64" t="s">
        <v>42</v>
      </c>
      <c r="B8852" s="65">
        <v>43557</v>
      </c>
      <c r="C8852" s="66" t="s">
        <v>217</v>
      </c>
      <c r="D8852" s="3" t="s">
        <v>45</v>
      </c>
      <c r="E8852" s="64">
        <v>1</v>
      </c>
    </row>
    <row r="8853" spans="1:5">
      <c r="A8853" s="64" t="s">
        <v>42</v>
      </c>
      <c r="B8853" s="65">
        <v>43558</v>
      </c>
      <c r="C8853" s="66" t="s">
        <v>218</v>
      </c>
      <c r="D8853" s="3" t="s">
        <v>45</v>
      </c>
      <c r="E8853" s="64">
        <v>1</v>
      </c>
    </row>
    <row r="8854" spans="1:5">
      <c r="A8854" s="64" t="s">
        <v>42</v>
      </c>
      <c r="B8854" s="65">
        <v>43559</v>
      </c>
      <c r="C8854" s="66" t="s">
        <v>219</v>
      </c>
      <c r="D8854" s="3" t="s">
        <v>45</v>
      </c>
      <c r="E8854" s="64">
        <v>1</v>
      </c>
    </row>
    <row r="8855" spans="1:5">
      <c r="A8855" s="64" t="s">
        <v>42</v>
      </c>
      <c r="B8855" s="65">
        <v>43560</v>
      </c>
      <c r="C8855" s="66" t="s">
        <v>220</v>
      </c>
      <c r="D8855" s="3" t="s">
        <v>45</v>
      </c>
      <c r="E8855" s="64">
        <v>1</v>
      </c>
    </row>
    <row r="8856" spans="1:5">
      <c r="A8856" s="64" t="s">
        <v>42</v>
      </c>
      <c r="B8856" s="65">
        <v>43561</v>
      </c>
      <c r="C8856" s="66" t="s">
        <v>221</v>
      </c>
      <c r="D8856" s="3" t="s">
        <v>45</v>
      </c>
      <c r="E8856" s="64">
        <v>1</v>
      </c>
    </row>
    <row r="8857" spans="1:5">
      <c r="A8857" s="64" t="s">
        <v>42</v>
      </c>
      <c r="B8857" s="65">
        <v>43562</v>
      </c>
      <c r="C8857" s="66" t="s">
        <v>222</v>
      </c>
      <c r="D8857" s="3" t="s">
        <v>45</v>
      </c>
      <c r="E8857" s="64">
        <v>1</v>
      </c>
    </row>
    <row r="8858" spans="1:5">
      <c r="A8858" s="64" t="s">
        <v>42</v>
      </c>
      <c r="B8858" s="65">
        <v>43563</v>
      </c>
      <c r="C8858" s="66" t="s">
        <v>216</v>
      </c>
      <c r="D8858" s="3" t="s">
        <v>45</v>
      </c>
      <c r="E8858" s="64">
        <v>1</v>
      </c>
    </row>
    <row r="8859" spans="1:5">
      <c r="A8859" s="64" t="s">
        <v>42</v>
      </c>
      <c r="B8859" s="65">
        <v>43564</v>
      </c>
      <c r="C8859" s="66" t="s">
        <v>217</v>
      </c>
      <c r="D8859" s="3" t="s">
        <v>45</v>
      </c>
      <c r="E8859" s="64">
        <v>1</v>
      </c>
    </row>
    <row r="8860" spans="1:5">
      <c r="A8860" s="64" t="s">
        <v>42</v>
      </c>
      <c r="B8860" s="65">
        <v>43565</v>
      </c>
      <c r="C8860" s="66" t="s">
        <v>218</v>
      </c>
      <c r="D8860" s="3" t="s">
        <v>45</v>
      </c>
      <c r="E8860" s="64">
        <v>1</v>
      </c>
    </row>
    <row r="8861" spans="1:5">
      <c r="A8861" s="64" t="s">
        <v>42</v>
      </c>
      <c r="B8861" s="65">
        <v>43566</v>
      </c>
      <c r="C8861" s="66" t="s">
        <v>219</v>
      </c>
      <c r="D8861" s="3" t="s">
        <v>45</v>
      </c>
      <c r="E8861" s="64">
        <v>1</v>
      </c>
    </row>
    <row r="8862" spans="1:5">
      <c r="A8862" s="64" t="s">
        <v>42</v>
      </c>
      <c r="B8862" s="65">
        <v>43567</v>
      </c>
      <c r="C8862" s="66" t="s">
        <v>220</v>
      </c>
      <c r="D8862" s="3" t="s">
        <v>45</v>
      </c>
      <c r="E8862" s="64">
        <v>1</v>
      </c>
    </row>
    <row r="8863" spans="1:5">
      <c r="A8863" s="64" t="s">
        <v>42</v>
      </c>
      <c r="B8863" s="65">
        <v>43568</v>
      </c>
      <c r="C8863" s="66" t="s">
        <v>221</v>
      </c>
      <c r="D8863" s="3" t="s">
        <v>45</v>
      </c>
      <c r="E8863" s="64">
        <v>1</v>
      </c>
    </row>
    <row r="8864" spans="1:5">
      <c r="A8864" s="64" t="s">
        <v>42</v>
      </c>
      <c r="B8864" s="65">
        <v>43569</v>
      </c>
      <c r="C8864" s="66" t="s">
        <v>222</v>
      </c>
      <c r="D8864" s="3" t="s">
        <v>45</v>
      </c>
      <c r="E8864" s="64">
        <v>1</v>
      </c>
    </row>
    <row r="8865" spans="1:5">
      <c r="A8865" s="64" t="s">
        <v>42</v>
      </c>
      <c r="B8865" s="65">
        <v>43570</v>
      </c>
      <c r="C8865" s="66" t="s">
        <v>216</v>
      </c>
      <c r="D8865" s="3" t="s">
        <v>45</v>
      </c>
      <c r="E8865" s="64">
        <v>1</v>
      </c>
    </row>
    <row r="8866" spans="1:5">
      <c r="A8866" s="64" t="s">
        <v>42</v>
      </c>
      <c r="B8866" s="65">
        <v>43571</v>
      </c>
      <c r="C8866" s="66" t="s">
        <v>217</v>
      </c>
      <c r="D8866" s="3" t="s">
        <v>45</v>
      </c>
      <c r="E8866" s="64">
        <v>1</v>
      </c>
    </row>
    <row r="8867" spans="1:5">
      <c r="A8867" s="64" t="s">
        <v>42</v>
      </c>
      <c r="B8867" s="65">
        <v>43572</v>
      </c>
      <c r="C8867" s="66" t="s">
        <v>218</v>
      </c>
      <c r="D8867" s="3" t="s">
        <v>45</v>
      </c>
      <c r="E8867" s="64">
        <v>1</v>
      </c>
    </row>
    <row r="8868" spans="1:5">
      <c r="A8868" s="64" t="s">
        <v>42</v>
      </c>
      <c r="B8868" s="65">
        <v>43573</v>
      </c>
      <c r="C8868" s="66" t="s">
        <v>219</v>
      </c>
      <c r="D8868" s="3" t="s">
        <v>45</v>
      </c>
      <c r="E8868" s="64">
        <v>1</v>
      </c>
    </row>
    <row r="8869" spans="1:5">
      <c r="A8869" s="64" t="s">
        <v>42</v>
      </c>
      <c r="B8869" s="65">
        <v>43574</v>
      </c>
      <c r="C8869" s="66" t="s">
        <v>220</v>
      </c>
      <c r="D8869" s="3" t="s">
        <v>45</v>
      </c>
      <c r="E8869" s="64">
        <v>1</v>
      </c>
    </row>
    <row r="8870" spans="1:5">
      <c r="A8870" s="64" t="s">
        <v>42</v>
      </c>
      <c r="B8870" s="65">
        <v>43575</v>
      </c>
      <c r="C8870" s="66" t="s">
        <v>221</v>
      </c>
      <c r="D8870" s="3" t="s">
        <v>45</v>
      </c>
      <c r="E8870" s="64">
        <v>1</v>
      </c>
    </row>
    <row r="8871" spans="1:5">
      <c r="A8871" s="64" t="s">
        <v>42</v>
      </c>
      <c r="B8871" s="65">
        <v>43576</v>
      </c>
      <c r="C8871" s="66" t="s">
        <v>222</v>
      </c>
      <c r="D8871" s="3" t="s">
        <v>45</v>
      </c>
      <c r="E8871" s="64">
        <v>1</v>
      </c>
    </row>
    <row r="8872" spans="1:5">
      <c r="A8872" s="64" t="s">
        <v>42</v>
      </c>
      <c r="B8872" s="65">
        <v>43577</v>
      </c>
      <c r="C8872" s="66" t="s">
        <v>216</v>
      </c>
      <c r="D8872" s="3" t="s">
        <v>45</v>
      </c>
      <c r="E8872" s="64">
        <v>1</v>
      </c>
    </row>
    <row r="8873" spans="1:5">
      <c r="A8873" s="64" t="s">
        <v>42</v>
      </c>
      <c r="B8873" s="65">
        <v>43578</v>
      </c>
      <c r="C8873" s="66" t="s">
        <v>217</v>
      </c>
      <c r="D8873" s="3" t="s">
        <v>45</v>
      </c>
      <c r="E8873" s="64">
        <v>1</v>
      </c>
    </row>
    <row r="8874" spans="1:5">
      <c r="A8874" s="64" t="s">
        <v>42</v>
      </c>
      <c r="B8874" s="65">
        <v>43579</v>
      </c>
      <c r="C8874" s="66" t="s">
        <v>218</v>
      </c>
      <c r="D8874" s="3" t="s">
        <v>45</v>
      </c>
      <c r="E8874" s="64">
        <v>1</v>
      </c>
    </row>
    <row r="8875" spans="1:5">
      <c r="A8875" s="64" t="s">
        <v>42</v>
      </c>
      <c r="B8875" s="65">
        <v>43580</v>
      </c>
      <c r="C8875" s="66" t="s">
        <v>219</v>
      </c>
      <c r="D8875" s="3" t="s">
        <v>45</v>
      </c>
      <c r="E8875" s="64">
        <v>1</v>
      </c>
    </row>
    <row r="8876" spans="1:5">
      <c r="A8876" s="64" t="s">
        <v>42</v>
      </c>
      <c r="B8876" s="65">
        <v>43581</v>
      </c>
      <c r="C8876" s="66" t="s">
        <v>220</v>
      </c>
      <c r="D8876" s="3" t="s">
        <v>45</v>
      </c>
      <c r="E8876" s="64">
        <v>1</v>
      </c>
    </row>
    <row r="8877" spans="1:5">
      <c r="A8877" s="64" t="s">
        <v>42</v>
      </c>
      <c r="B8877" s="65">
        <v>43582</v>
      </c>
      <c r="C8877" s="66" t="s">
        <v>221</v>
      </c>
      <c r="D8877" s="3" t="s">
        <v>45</v>
      </c>
      <c r="E8877" s="64">
        <v>1</v>
      </c>
    </row>
    <row r="8878" spans="1:5">
      <c r="A8878" s="64" t="s">
        <v>42</v>
      </c>
      <c r="B8878" s="65">
        <v>43583</v>
      </c>
      <c r="C8878" s="66" t="s">
        <v>222</v>
      </c>
      <c r="D8878" s="3" t="s">
        <v>45</v>
      </c>
      <c r="E8878" s="64">
        <v>1</v>
      </c>
    </row>
    <row r="8879" spans="1:5">
      <c r="A8879" s="64" t="s">
        <v>42</v>
      </c>
      <c r="B8879" s="65">
        <v>43584</v>
      </c>
      <c r="C8879" s="66" t="s">
        <v>216</v>
      </c>
      <c r="D8879" s="3" t="s">
        <v>45</v>
      </c>
      <c r="E8879" s="64">
        <v>1</v>
      </c>
    </row>
    <row r="8880" spans="1:5">
      <c r="A8880" s="64" t="s">
        <v>42</v>
      </c>
      <c r="B8880" s="65">
        <v>43585</v>
      </c>
      <c r="C8880" s="66" t="s">
        <v>217</v>
      </c>
      <c r="D8880" s="3" t="s">
        <v>45</v>
      </c>
      <c r="E8880" s="64">
        <v>1</v>
      </c>
    </row>
    <row r="8881" spans="1:5">
      <c r="A8881" s="64" t="s">
        <v>42</v>
      </c>
      <c r="B8881" s="65">
        <v>43586</v>
      </c>
      <c r="C8881" s="66" t="s">
        <v>218</v>
      </c>
      <c r="D8881" s="3" t="s">
        <v>45</v>
      </c>
      <c r="E8881" s="64">
        <v>1</v>
      </c>
    </row>
    <row r="8882" spans="1:5">
      <c r="A8882" s="64" t="s">
        <v>42</v>
      </c>
      <c r="B8882" s="65">
        <v>43587</v>
      </c>
      <c r="C8882" s="66" t="s">
        <v>219</v>
      </c>
      <c r="D8882" s="3" t="s">
        <v>45</v>
      </c>
      <c r="E8882" s="64">
        <v>1</v>
      </c>
    </row>
    <row r="8883" spans="1:5">
      <c r="A8883" s="64" t="s">
        <v>42</v>
      </c>
      <c r="B8883" s="65">
        <v>43588</v>
      </c>
      <c r="C8883" s="66" t="s">
        <v>220</v>
      </c>
      <c r="D8883" s="3" t="s">
        <v>45</v>
      </c>
      <c r="E8883" s="64">
        <v>1</v>
      </c>
    </row>
    <row r="8884" spans="1:5">
      <c r="A8884" s="64" t="s">
        <v>42</v>
      </c>
      <c r="B8884" s="65">
        <v>43589</v>
      </c>
      <c r="C8884" s="66" t="s">
        <v>221</v>
      </c>
      <c r="D8884" s="3" t="s">
        <v>45</v>
      </c>
      <c r="E8884" s="64">
        <v>1</v>
      </c>
    </row>
    <row r="8885" spans="1:5">
      <c r="A8885" s="64" t="s">
        <v>42</v>
      </c>
      <c r="B8885" s="65">
        <v>43590</v>
      </c>
      <c r="C8885" s="66" t="s">
        <v>222</v>
      </c>
      <c r="D8885" s="3" t="s">
        <v>45</v>
      </c>
      <c r="E8885" s="64">
        <v>1</v>
      </c>
    </row>
    <row r="8886" spans="1:5">
      <c r="A8886" s="64" t="s">
        <v>42</v>
      </c>
      <c r="B8886" s="65">
        <v>43591</v>
      </c>
      <c r="C8886" s="66" t="s">
        <v>216</v>
      </c>
      <c r="D8886" s="3" t="s">
        <v>45</v>
      </c>
      <c r="E8886" s="64">
        <v>1</v>
      </c>
    </row>
    <row r="8887" spans="1:5">
      <c r="A8887" s="64" t="s">
        <v>42</v>
      </c>
      <c r="B8887" s="65">
        <v>43592</v>
      </c>
      <c r="C8887" s="66" t="s">
        <v>217</v>
      </c>
      <c r="D8887" s="3" t="s">
        <v>45</v>
      </c>
      <c r="E8887" s="64">
        <v>1</v>
      </c>
    </row>
    <row r="8888" spans="1:5">
      <c r="A8888" s="64" t="s">
        <v>42</v>
      </c>
      <c r="B8888" s="65">
        <v>43593</v>
      </c>
      <c r="C8888" s="66" t="s">
        <v>218</v>
      </c>
      <c r="D8888" s="3" t="s">
        <v>45</v>
      </c>
      <c r="E8888" s="64">
        <v>1</v>
      </c>
    </row>
    <row r="8889" spans="1:5">
      <c r="A8889" s="64" t="s">
        <v>42</v>
      </c>
      <c r="B8889" s="65">
        <v>43594</v>
      </c>
      <c r="C8889" s="66" t="s">
        <v>219</v>
      </c>
      <c r="D8889" s="3" t="s">
        <v>45</v>
      </c>
      <c r="E8889" s="64">
        <v>1</v>
      </c>
    </row>
    <row r="8890" spans="1:5">
      <c r="A8890" s="64" t="s">
        <v>42</v>
      </c>
      <c r="B8890" s="65">
        <v>43595</v>
      </c>
      <c r="C8890" s="66" t="s">
        <v>220</v>
      </c>
      <c r="D8890" s="3" t="s">
        <v>45</v>
      </c>
      <c r="E8890" s="64">
        <v>1</v>
      </c>
    </row>
    <row r="8891" spans="1:5">
      <c r="A8891" s="64" t="s">
        <v>42</v>
      </c>
      <c r="B8891" s="65">
        <v>43596</v>
      </c>
      <c r="C8891" s="66" t="s">
        <v>221</v>
      </c>
      <c r="D8891" s="3" t="s">
        <v>45</v>
      </c>
      <c r="E8891" s="64">
        <v>1</v>
      </c>
    </row>
    <row r="8892" spans="1:5">
      <c r="A8892" s="64" t="s">
        <v>42</v>
      </c>
      <c r="B8892" s="65">
        <v>43597</v>
      </c>
      <c r="C8892" s="66" t="s">
        <v>222</v>
      </c>
      <c r="D8892" s="3" t="s">
        <v>45</v>
      </c>
      <c r="E8892" s="64">
        <v>1</v>
      </c>
    </row>
    <row r="8893" spans="1:5">
      <c r="A8893" s="64" t="s">
        <v>42</v>
      </c>
      <c r="B8893" s="65">
        <v>43598</v>
      </c>
      <c r="C8893" s="66" t="s">
        <v>216</v>
      </c>
      <c r="D8893" s="3" t="s">
        <v>45</v>
      </c>
      <c r="E8893" s="64">
        <v>1</v>
      </c>
    </row>
    <row r="8894" spans="1:5">
      <c r="A8894" s="64" t="s">
        <v>42</v>
      </c>
      <c r="B8894" s="65">
        <v>43599</v>
      </c>
      <c r="C8894" s="66" t="s">
        <v>217</v>
      </c>
      <c r="D8894" s="3" t="s">
        <v>45</v>
      </c>
      <c r="E8894" s="64">
        <v>1</v>
      </c>
    </row>
    <row r="8895" spans="1:5">
      <c r="A8895" s="64" t="s">
        <v>42</v>
      </c>
      <c r="B8895" s="65">
        <v>43600</v>
      </c>
      <c r="C8895" s="66" t="s">
        <v>218</v>
      </c>
      <c r="D8895" s="3" t="s">
        <v>45</v>
      </c>
      <c r="E8895" s="64">
        <v>1</v>
      </c>
    </row>
    <row r="8896" spans="1:5">
      <c r="A8896" s="64" t="s">
        <v>42</v>
      </c>
      <c r="B8896" s="65">
        <v>43601</v>
      </c>
      <c r="C8896" s="66" t="s">
        <v>219</v>
      </c>
      <c r="D8896" s="3" t="s">
        <v>45</v>
      </c>
      <c r="E8896" s="64">
        <v>1</v>
      </c>
    </row>
    <row r="8897" spans="1:5">
      <c r="A8897" s="64" t="s">
        <v>42</v>
      </c>
      <c r="B8897" s="65">
        <v>43602</v>
      </c>
      <c r="C8897" s="66" t="s">
        <v>220</v>
      </c>
      <c r="D8897" s="3" t="s">
        <v>45</v>
      </c>
      <c r="E8897" s="64">
        <v>1</v>
      </c>
    </row>
    <row r="8898" spans="1:5">
      <c r="A8898" s="64" t="s">
        <v>42</v>
      </c>
      <c r="B8898" s="65">
        <v>43603</v>
      </c>
      <c r="C8898" s="66" t="s">
        <v>221</v>
      </c>
      <c r="D8898" s="3" t="s">
        <v>45</v>
      </c>
      <c r="E8898" s="64">
        <v>1</v>
      </c>
    </row>
    <row r="8899" spans="1:5">
      <c r="A8899" s="64" t="s">
        <v>42</v>
      </c>
      <c r="B8899" s="65">
        <v>43604</v>
      </c>
      <c r="C8899" s="66" t="s">
        <v>222</v>
      </c>
      <c r="D8899" s="3" t="s">
        <v>45</v>
      </c>
      <c r="E8899" s="64">
        <v>1</v>
      </c>
    </row>
    <row r="8900" spans="1:5">
      <c r="A8900" s="64" t="s">
        <v>42</v>
      </c>
      <c r="B8900" s="65">
        <v>43605</v>
      </c>
      <c r="C8900" s="66" t="s">
        <v>216</v>
      </c>
      <c r="D8900" s="3" t="s">
        <v>45</v>
      </c>
      <c r="E8900" s="64">
        <v>1</v>
      </c>
    </row>
    <row r="8901" spans="1:5">
      <c r="A8901" s="64" t="s">
        <v>42</v>
      </c>
      <c r="B8901" s="65">
        <v>43606</v>
      </c>
      <c r="C8901" s="66" t="s">
        <v>217</v>
      </c>
      <c r="D8901" s="3" t="s">
        <v>45</v>
      </c>
      <c r="E8901" s="64">
        <v>1</v>
      </c>
    </row>
    <row r="8902" spans="1:5">
      <c r="A8902" s="64" t="s">
        <v>42</v>
      </c>
      <c r="B8902" s="65">
        <v>43607</v>
      </c>
      <c r="C8902" s="66" t="s">
        <v>218</v>
      </c>
      <c r="D8902" s="3" t="s">
        <v>45</v>
      </c>
      <c r="E8902" s="64">
        <v>1</v>
      </c>
    </row>
    <row r="8903" spans="1:5">
      <c r="A8903" s="64" t="s">
        <v>42</v>
      </c>
      <c r="B8903" s="65">
        <v>43608</v>
      </c>
      <c r="C8903" s="66" t="s">
        <v>219</v>
      </c>
      <c r="D8903" s="3" t="s">
        <v>45</v>
      </c>
      <c r="E8903" s="64">
        <v>1</v>
      </c>
    </row>
    <row r="8904" spans="1:5">
      <c r="A8904" s="64" t="s">
        <v>42</v>
      </c>
      <c r="B8904" s="65">
        <v>43609</v>
      </c>
      <c r="C8904" s="66" t="s">
        <v>220</v>
      </c>
      <c r="D8904" s="3" t="s">
        <v>45</v>
      </c>
      <c r="E8904" s="64">
        <v>1</v>
      </c>
    </row>
    <row r="8905" spans="1:5">
      <c r="A8905" s="64" t="s">
        <v>42</v>
      </c>
      <c r="B8905" s="65">
        <v>43610</v>
      </c>
      <c r="C8905" s="66" t="s">
        <v>221</v>
      </c>
      <c r="D8905" s="3" t="s">
        <v>45</v>
      </c>
      <c r="E8905" s="64">
        <v>1</v>
      </c>
    </row>
    <row r="8906" spans="1:5">
      <c r="A8906" s="64" t="s">
        <v>42</v>
      </c>
      <c r="B8906" s="65">
        <v>43611</v>
      </c>
      <c r="C8906" s="66" t="s">
        <v>222</v>
      </c>
      <c r="D8906" s="3" t="s">
        <v>45</v>
      </c>
      <c r="E8906" s="64">
        <v>1</v>
      </c>
    </row>
    <row r="8907" spans="1:5">
      <c r="A8907" s="64" t="s">
        <v>42</v>
      </c>
      <c r="B8907" s="65">
        <v>43612</v>
      </c>
      <c r="C8907" s="66" t="s">
        <v>216</v>
      </c>
      <c r="D8907" s="3" t="s">
        <v>45</v>
      </c>
      <c r="E8907" s="64">
        <v>1</v>
      </c>
    </row>
    <row r="8908" spans="1:5">
      <c r="A8908" s="64" t="s">
        <v>42</v>
      </c>
      <c r="B8908" s="65">
        <v>43613</v>
      </c>
      <c r="C8908" s="66" t="s">
        <v>217</v>
      </c>
      <c r="D8908" s="3" t="s">
        <v>45</v>
      </c>
      <c r="E8908" s="64">
        <v>1</v>
      </c>
    </row>
    <row r="8909" spans="1:5">
      <c r="A8909" s="64" t="s">
        <v>42</v>
      </c>
      <c r="B8909" s="65">
        <v>43614</v>
      </c>
      <c r="C8909" s="66" t="s">
        <v>218</v>
      </c>
      <c r="D8909" s="3" t="s">
        <v>45</v>
      </c>
      <c r="E8909" s="64">
        <v>1</v>
      </c>
    </row>
    <row r="8910" spans="1:5">
      <c r="A8910" s="64" t="s">
        <v>42</v>
      </c>
      <c r="B8910" s="65">
        <v>43615</v>
      </c>
      <c r="C8910" s="66" t="s">
        <v>219</v>
      </c>
      <c r="D8910" s="3" t="s">
        <v>45</v>
      </c>
      <c r="E8910" s="64">
        <v>1</v>
      </c>
    </row>
    <row r="8911" spans="1:5">
      <c r="A8911" s="64" t="s">
        <v>42</v>
      </c>
      <c r="B8911" s="65">
        <v>43616</v>
      </c>
      <c r="C8911" s="66" t="s">
        <v>220</v>
      </c>
      <c r="D8911" s="3" t="s">
        <v>45</v>
      </c>
      <c r="E8911" s="64">
        <v>1</v>
      </c>
    </row>
    <row r="8912" spans="1:5">
      <c r="A8912" s="64" t="s">
        <v>42</v>
      </c>
      <c r="B8912" s="65">
        <v>43617</v>
      </c>
      <c r="C8912" s="66" t="s">
        <v>221</v>
      </c>
      <c r="D8912" s="3" t="s">
        <v>45</v>
      </c>
      <c r="E8912" s="64">
        <v>1</v>
      </c>
    </row>
    <row r="8913" spans="1:5">
      <c r="A8913" s="64" t="s">
        <v>42</v>
      </c>
      <c r="B8913" s="65">
        <v>43618</v>
      </c>
      <c r="C8913" s="66" t="s">
        <v>222</v>
      </c>
      <c r="D8913" s="3" t="s">
        <v>45</v>
      </c>
      <c r="E8913" s="64">
        <v>1</v>
      </c>
    </row>
    <row r="8914" spans="1:5">
      <c r="A8914" s="64" t="s">
        <v>42</v>
      </c>
      <c r="B8914" s="65">
        <v>43619</v>
      </c>
      <c r="C8914" s="66" t="s">
        <v>216</v>
      </c>
      <c r="D8914" s="3" t="s">
        <v>45</v>
      </c>
      <c r="E8914" s="64">
        <v>1</v>
      </c>
    </row>
    <row r="8915" spans="1:5">
      <c r="A8915" s="64" t="s">
        <v>42</v>
      </c>
      <c r="B8915" s="65">
        <v>43620</v>
      </c>
      <c r="C8915" s="66" t="s">
        <v>217</v>
      </c>
      <c r="D8915" s="3" t="s">
        <v>45</v>
      </c>
      <c r="E8915" s="64">
        <v>1</v>
      </c>
    </row>
    <row r="8916" spans="1:5">
      <c r="A8916" s="64" t="s">
        <v>42</v>
      </c>
      <c r="B8916" s="65">
        <v>43621</v>
      </c>
      <c r="C8916" s="66" t="s">
        <v>218</v>
      </c>
      <c r="D8916" s="3" t="s">
        <v>45</v>
      </c>
      <c r="E8916" s="64">
        <v>1</v>
      </c>
    </row>
    <row r="8917" spans="1:5">
      <c r="A8917" s="64" t="s">
        <v>42</v>
      </c>
      <c r="B8917" s="65">
        <v>43622</v>
      </c>
      <c r="C8917" s="66" t="s">
        <v>219</v>
      </c>
      <c r="D8917" s="3" t="s">
        <v>45</v>
      </c>
      <c r="E8917" s="64">
        <v>1</v>
      </c>
    </row>
    <row r="8918" spans="1:5">
      <c r="A8918" s="64" t="s">
        <v>42</v>
      </c>
      <c r="B8918" s="65">
        <v>43623</v>
      </c>
      <c r="C8918" s="66" t="s">
        <v>220</v>
      </c>
      <c r="D8918" s="3" t="s">
        <v>45</v>
      </c>
      <c r="E8918" s="64">
        <v>1</v>
      </c>
    </row>
    <row r="8919" spans="1:5">
      <c r="A8919" s="64" t="s">
        <v>42</v>
      </c>
      <c r="B8919" s="65">
        <v>43624</v>
      </c>
      <c r="C8919" s="66" t="s">
        <v>221</v>
      </c>
      <c r="D8919" s="3" t="s">
        <v>45</v>
      </c>
      <c r="E8919" s="64">
        <v>1</v>
      </c>
    </row>
    <row r="8920" spans="1:5">
      <c r="A8920" s="64" t="s">
        <v>42</v>
      </c>
      <c r="B8920" s="65">
        <v>43625</v>
      </c>
      <c r="C8920" s="66" t="s">
        <v>222</v>
      </c>
      <c r="D8920" s="3" t="s">
        <v>45</v>
      </c>
      <c r="E8920" s="64">
        <v>1</v>
      </c>
    </row>
    <row r="8921" spans="1:5">
      <c r="A8921" s="64" t="s">
        <v>42</v>
      </c>
      <c r="B8921" s="65">
        <v>43626</v>
      </c>
      <c r="C8921" s="66" t="s">
        <v>216</v>
      </c>
      <c r="D8921" s="3" t="s">
        <v>45</v>
      </c>
      <c r="E8921" s="64">
        <v>1</v>
      </c>
    </row>
    <row r="8922" spans="1:5">
      <c r="A8922" s="64" t="s">
        <v>42</v>
      </c>
      <c r="B8922" s="65">
        <v>43627</v>
      </c>
      <c r="C8922" s="66" t="s">
        <v>217</v>
      </c>
      <c r="D8922" s="3" t="s">
        <v>45</v>
      </c>
      <c r="E8922" s="64">
        <v>1</v>
      </c>
    </row>
    <row r="8923" spans="1:5">
      <c r="A8923" s="64" t="s">
        <v>42</v>
      </c>
      <c r="B8923" s="65">
        <v>43628</v>
      </c>
      <c r="C8923" s="66" t="s">
        <v>218</v>
      </c>
      <c r="D8923" s="3" t="s">
        <v>45</v>
      </c>
      <c r="E8923" s="64">
        <v>1</v>
      </c>
    </row>
    <row r="8924" spans="1:5">
      <c r="A8924" s="64" t="s">
        <v>42</v>
      </c>
      <c r="B8924" s="65">
        <v>43629</v>
      </c>
      <c r="C8924" s="66" t="s">
        <v>219</v>
      </c>
      <c r="D8924" s="3" t="s">
        <v>45</v>
      </c>
      <c r="E8924" s="64">
        <v>1</v>
      </c>
    </row>
    <row r="8925" spans="1:5">
      <c r="A8925" s="64" t="s">
        <v>42</v>
      </c>
      <c r="B8925" s="65">
        <v>43630</v>
      </c>
      <c r="C8925" s="66" t="s">
        <v>220</v>
      </c>
      <c r="D8925" s="3" t="s">
        <v>45</v>
      </c>
      <c r="E8925" s="64">
        <v>1</v>
      </c>
    </row>
    <row r="8926" spans="1:5">
      <c r="A8926" s="64" t="s">
        <v>42</v>
      </c>
      <c r="B8926" s="65">
        <v>43631</v>
      </c>
      <c r="C8926" s="66" t="s">
        <v>221</v>
      </c>
      <c r="D8926" s="3" t="s">
        <v>45</v>
      </c>
      <c r="E8926" s="64">
        <v>1</v>
      </c>
    </row>
    <row r="8927" spans="1:5">
      <c r="A8927" s="64" t="s">
        <v>42</v>
      </c>
      <c r="B8927" s="65">
        <v>43632</v>
      </c>
      <c r="C8927" s="66" t="s">
        <v>222</v>
      </c>
      <c r="D8927" s="3" t="s">
        <v>45</v>
      </c>
      <c r="E8927" s="64">
        <v>1</v>
      </c>
    </row>
    <row r="8928" spans="1:5">
      <c r="A8928" s="64" t="s">
        <v>42</v>
      </c>
      <c r="B8928" s="65">
        <v>43633</v>
      </c>
      <c r="C8928" s="66" t="s">
        <v>216</v>
      </c>
      <c r="D8928" s="3" t="s">
        <v>45</v>
      </c>
      <c r="E8928" s="64">
        <v>1</v>
      </c>
    </row>
    <row r="8929" spans="1:5">
      <c r="A8929" s="64" t="s">
        <v>42</v>
      </c>
      <c r="B8929" s="65">
        <v>43634</v>
      </c>
      <c r="C8929" s="66" t="s">
        <v>217</v>
      </c>
      <c r="D8929" s="3" t="s">
        <v>45</v>
      </c>
      <c r="E8929" s="64">
        <v>1</v>
      </c>
    </row>
    <row r="8930" spans="1:5">
      <c r="A8930" s="64" t="s">
        <v>42</v>
      </c>
      <c r="B8930" s="65">
        <v>43635</v>
      </c>
      <c r="C8930" s="66" t="s">
        <v>218</v>
      </c>
      <c r="D8930" s="3" t="s">
        <v>45</v>
      </c>
      <c r="E8930" s="64">
        <v>1</v>
      </c>
    </row>
    <row r="8931" spans="1:5">
      <c r="A8931" s="64" t="s">
        <v>42</v>
      </c>
      <c r="B8931" s="65">
        <v>43636</v>
      </c>
      <c r="C8931" s="66" t="s">
        <v>219</v>
      </c>
      <c r="D8931" s="3" t="s">
        <v>45</v>
      </c>
      <c r="E8931" s="64">
        <v>1</v>
      </c>
    </row>
    <row r="8932" spans="1:5">
      <c r="A8932" s="64" t="s">
        <v>42</v>
      </c>
      <c r="B8932" s="65">
        <v>43637</v>
      </c>
      <c r="C8932" s="66" t="s">
        <v>220</v>
      </c>
      <c r="D8932" s="3" t="s">
        <v>45</v>
      </c>
      <c r="E8932" s="64">
        <v>1</v>
      </c>
    </row>
    <row r="8933" spans="1:5">
      <c r="A8933" s="64" t="s">
        <v>42</v>
      </c>
      <c r="B8933" s="65">
        <v>43638</v>
      </c>
      <c r="C8933" s="66" t="s">
        <v>221</v>
      </c>
      <c r="D8933" s="3" t="s">
        <v>45</v>
      </c>
      <c r="E8933" s="64">
        <v>1</v>
      </c>
    </row>
    <row r="8934" spans="1:5">
      <c r="A8934" s="64" t="s">
        <v>42</v>
      </c>
      <c r="B8934" s="65">
        <v>43639</v>
      </c>
      <c r="C8934" s="66" t="s">
        <v>222</v>
      </c>
      <c r="D8934" s="3" t="s">
        <v>45</v>
      </c>
      <c r="E8934" s="64">
        <v>1</v>
      </c>
    </row>
    <row r="8935" spans="1:5">
      <c r="A8935" s="64" t="s">
        <v>42</v>
      </c>
      <c r="B8935" s="65">
        <v>43640</v>
      </c>
      <c r="C8935" s="66" t="s">
        <v>216</v>
      </c>
      <c r="D8935" s="3" t="s">
        <v>45</v>
      </c>
      <c r="E8935" s="64">
        <v>1</v>
      </c>
    </row>
    <row r="8936" spans="1:5">
      <c r="A8936" s="64" t="s">
        <v>42</v>
      </c>
      <c r="B8936" s="65">
        <v>43641</v>
      </c>
      <c r="C8936" s="66" t="s">
        <v>217</v>
      </c>
      <c r="D8936" s="3" t="s">
        <v>45</v>
      </c>
      <c r="E8936" s="64">
        <v>1</v>
      </c>
    </row>
    <row r="8937" spans="1:5">
      <c r="A8937" s="64" t="s">
        <v>42</v>
      </c>
      <c r="B8937" s="65">
        <v>43642</v>
      </c>
      <c r="C8937" s="66" t="s">
        <v>218</v>
      </c>
      <c r="D8937" s="3" t="s">
        <v>45</v>
      </c>
      <c r="E8937" s="64">
        <v>1</v>
      </c>
    </row>
    <row r="8938" spans="1:5">
      <c r="A8938" s="64" t="s">
        <v>42</v>
      </c>
      <c r="B8938" s="65">
        <v>43643</v>
      </c>
      <c r="C8938" s="66" t="s">
        <v>219</v>
      </c>
      <c r="D8938" s="3" t="s">
        <v>45</v>
      </c>
      <c r="E8938" s="64">
        <v>1</v>
      </c>
    </row>
    <row r="8939" spans="1:5">
      <c r="A8939" s="64" t="s">
        <v>42</v>
      </c>
      <c r="B8939" s="65">
        <v>43644</v>
      </c>
      <c r="C8939" s="66" t="s">
        <v>220</v>
      </c>
      <c r="D8939" s="3" t="s">
        <v>45</v>
      </c>
      <c r="E8939" s="64">
        <v>1</v>
      </c>
    </row>
    <row r="8940" spans="1:5">
      <c r="A8940" s="64" t="s">
        <v>42</v>
      </c>
      <c r="B8940" s="65">
        <v>43645</v>
      </c>
      <c r="C8940" s="66" t="s">
        <v>221</v>
      </c>
      <c r="D8940" s="3" t="s">
        <v>45</v>
      </c>
      <c r="E8940" s="64">
        <v>1</v>
      </c>
    </row>
    <row r="8941" spans="1:5">
      <c r="A8941" s="64" t="s">
        <v>42</v>
      </c>
      <c r="B8941" s="65">
        <v>43646</v>
      </c>
      <c r="C8941" s="66" t="s">
        <v>222</v>
      </c>
      <c r="D8941" s="3" t="s">
        <v>45</v>
      </c>
      <c r="E8941" s="64">
        <v>1</v>
      </c>
    </row>
    <row r="8942" spans="1:5">
      <c r="A8942" s="64" t="s">
        <v>46</v>
      </c>
      <c r="B8942" s="65">
        <v>43563</v>
      </c>
      <c r="C8942" s="66" t="s">
        <v>216</v>
      </c>
      <c r="D8942" s="3" t="s">
        <v>30</v>
      </c>
      <c r="E8942" s="64">
        <v>1</v>
      </c>
    </row>
    <row r="8943" spans="1:5">
      <c r="A8943" s="64" t="s">
        <v>46</v>
      </c>
      <c r="B8943" s="65">
        <v>43564</v>
      </c>
      <c r="C8943" s="66" t="s">
        <v>217</v>
      </c>
      <c r="D8943" s="3" t="s">
        <v>30</v>
      </c>
      <c r="E8943" s="64">
        <v>1</v>
      </c>
    </row>
    <row r="8944" spans="1:5">
      <c r="A8944" s="64" t="s">
        <v>46</v>
      </c>
      <c r="B8944" s="65">
        <v>43565</v>
      </c>
      <c r="C8944" s="66" t="s">
        <v>218</v>
      </c>
      <c r="D8944" s="3" t="s">
        <v>30</v>
      </c>
      <c r="E8944" s="64">
        <v>1</v>
      </c>
    </row>
    <row r="8945" spans="1:5">
      <c r="A8945" s="64" t="s">
        <v>46</v>
      </c>
      <c r="B8945" s="65">
        <v>43566</v>
      </c>
      <c r="C8945" s="66" t="s">
        <v>219</v>
      </c>
      <c r="D8945" s="3" t="s">
        <v>30</v>
      </c>
      <c r="E8945" s="64">
        <v>1</v>
      </c>
    </row>
    <row r="8946" spans="1:5">
      <c r="A8946" s="64" t="s">
        <v>46</v>
      </c>
      <c r="B8946" s="65">
        <v>43567</v>
      </c>
      <c r="C8946" s="66" t="s">
        <v>220</v>
      </c>
      <c r="D8946" s="3" t="s">
        <v>30</v>
      </c>
      <c r="E8946" s="64">
        <v>1</v>
      </c>
    </row>
    <row r="8947" spans="1:5">
      <c r="A8947" s="64" t="s">
        <v>46</v>
      </c>
      <c r="B8947" s="65">
        <v>43570</v>
      </c>
      <c r="C8947" s="66" t="s">
        <v>216</v>
      </c>
      <c r="D8947" s="3" t="s">
        <v>30</v>
      </c>
      <c r="E8947" s="64">
        <v>1</v>
      </c>
    </row>
    <row r="8948" spans="1:5">
      <c r="A8948" s="64" t="s">
        <v>46</v>
      </c>
      <c r="B8948" s="65">
        <v>43571</v>
      </c>
      <c r="C8948" s="66" t="s">
        <v>217</v>
      </c>
      <c r="D8948" s="3" t="s">
        <v>30</v>
      </c>
      <c r="E8948" s="64">
        <v>1</v>
      </c>
    </row>
    <row r="8949" spans="1:5">
      <c r="A8949" s="64" t="s">
        <v>46</v>
      </c>
      <c r="B8949" s="65">
        <v>43572</v>
      </c>
      <c r="C8949" s="66" t="s">
        <v>218</v>
      </c>
      <c r="D8949" s="3" t="s">
        <v>30</v>
      </c>
      <c r="E8949" s="64">
        <v>1</v>
      </c>
    </row>
    <row r="8950" spans="1:5">
      <c r="A8950" s="64" t="s">
        <v>46</v>
      </c>
      <c r="B8950" s="65">
        <v>43573</v>
      </c>
      <c r="C8950" s="66" t="s">
        <v>219</v>
      </c>
      <c r="D8950" s="3" t="s">
        <v>30</v>
      </c>
      <c r="E8950" s="64">
        <v>1</v>
      </c>
    </row>
    <row r="8951" spans="1:5">
      <c r="A8951" s="64" t="s">
        <v>46</v>
      </c>
      <c r="B8951" s="65">
        <v>43574</v>
      </c>
      <c r="C8951" s="66" t="s">
        <v>220</v>
      </c>
      <c r="D8951" s="3" t="s">
        <v>30</v>
      </c>
      <c r="E8951" s="64">
        <v>1</v>
      </c>
    </row>
    <row r="8952" spans="1:5">
      <c r="A8952" s="64" t="s">
        <v>46</v>
      </c>
      <c r="B8952" s="65">
        <v>43577</v>
      </c>
      <c r="C8952" s="66" t="s">
        <v>216</v>
      </c>
      <c r="D8952" s="3" t="s">
        <v>30</v>
      </c>
      <c r="E8952" s="64">
        <v>1</v>
      </c>
    </row>
    <row r="8953" spans="1:5">
      <c r="A8953" s="64" t="s">
        <v>46</v>
      </c>
      <c r="B8953" s="65">
        <v>43578</v>
      </c>
      <c r="C8953" s="66" t="s">
        <v>217</v>
      </c>
      <c r="D8953" s="3" t="s">
        <v>30</v>
      </c>
      <c r="E8953" s="64">
        <v>1</v>
      </c>
    </row>
    <row r="8954" spans="1:5">
      <c r="A8954" s="64" t="s">
        <v>46</v>
      </c>
      <c r="B8954" s="65">
        <v>43579</v>
      </c>
      <c r="C8954" s="66" t="s">
        <v>218</v>
      </c>
      <c r="D8954" s="3" t="s">
        <v>30</v>
      </c>
      <c r="E8954" s="64">
        <v>1</v>
      </c>
    </row>
    <row r="8955" spans="1:5">
      <c r="A8955" s="64" t="s">
        <v>46</v>
      </c>
      <c r="B8955" s="65">
        <v>43580</v>
      </c>
      <c r="C8955" s="66" t="s">
        <v>219</v>
      </c>
      <c r="D8955" s="3" t="s">
        <v>30</v>
      </c>
      <c r="E8955" s="64">
        <v>1</v>
      </c>
    </row>
    <row r="8956" spans="1:5">
      <c r="A8956" s="64" t="s">
        <v>46</v>
      </c>
      <c r="B8956" s="65">
        <v>43581</v>
      </c>
      <c r="C8956" s="66" t="s">
        <v>220</v>
      </c>
      <c r="D8956" s="3" t="s">
        <v>30</v>
      </c>
      <c r="E8956" s="64">
        <v>1</v>
      </c>
    </row>
    <row r="8957" spans="1:5">
      <c r="A8957" s="64" t="s">
        <v>46</v>
      </c>
      <c r="B8957" s="65">
        <v>43584</v>
      </c>
      <c r="C8957" s="66" t="s">
        <v>216</v>
      </c>
      <c r="D8957" s="3" t="s">
        <v>30</v>
      </c>
      <c r="E8957" s="64">
        <v>1</v>
      </c>
    </row>
    <row r="8958" spans="1:5">
      <c r="A8958" s="64" t="s">
        <v>46</v>
      </c>
      <c r="B8958" s="65">
        <v>43585</v>
      </c>
      <c r="C8958" s="66" t="s">
        <v>217</v>
      </c>
      <c r="D8958" s="3" t="s">
        <v>30</v>
      </c>
      <c r="E8958" s="64">
        <v>1</v>
      </c>
    </row>
    <row r="8959" spans="1:5">
      <c r="A8959" s="64" t="s">
        <v>46</v>
      </c>
      <c r="B8959" s="65">
        <v>43563</v>
      </c>
      <c r="C8959" s="66" t="s">
        <v>216</v>
      </c>
      <c r="D8959" s="3" t="s">
        <v>41</v>
      </c>
      <c r="E8959" s="64">
        <v>1</v>
      </c>
    </row>
    <row r="8960" spans="1:5">
      <c r="A8960" s="64" t="s">
        <v>46</v>
      </c>
      <c r="B8960" s="65">
        <v>43564</v>
      </c>
      <c r="C8960" s="66" t="s">
        <v>217</v>
      </c>
      <c r="D8960" s="3" t="s">
        <v>41</v>
      </c>
      <c r="E8960" s="64">
        <v>1</v>
      </c>
    </row>
    <row r="8961" spans="1:5">
      <c r="A8961" s="64" t="s">
        <v>46</v>
      </c>
      <c r="B8961" s="65">
        <v>43565</v>
      </c>
      <c r="C8961" s="66" t="s">
        <v>218</v>
      </c>
      <c r="D8961" s="3" t="s">
        <v>41</v>
      </c>
      <c r="E8961" s="64">
        <v>1</v>
      </c>
    </row>
    <row r="8962" spans="1:5">
      <c r="A8962" s="64" t="s">
        <v>46</v>
      </c>
      <c r="B8962" s="65">
        <v>43566</v>
      </c>
      <c r="C8962" s="66" t="s">
        <v>219</v>
      </c>
      <c r="D8962" s="3" t="s">
        <v>41</v>
      </c>
      <c r="E8962" s="64">
        <v>1</v>
      </c>
    </row>
    <row r="8963" spans="1:5">
      <c r="A8963" s="64" t="s">
        <v>46</v>
      </c>
      <c r="B8963" s="65">
        <v>43567</v>
      </c>
      <c r="C8963" s="66" t="s">
        <v>220</v>
      </c>
      <c r="D8963" s="3" t="s">
        <v>41</v>
      </c>
      <c r="E8963" s="64">
        <v>1</v>
      </c>
    </row>
    <row r="8964" spans="1:5">
      <c r="A8964" s="64" t="s">
        <v>46</v>
      </c>
      <c r="B8964" s="65">
        <v>43568</v>
      </c>
      <c r="C8964" s="66" t="s">
        <v>221</v>
      </c>
      <c r="D8964" s="3" t="s">
        <v>41</v>
      </c>
      <c r="E8964" s="64">
        <v>1</v>
      </c>
    </row>
    <row r="8965" spans="1:5">
      <c r="A8965" s="64" t="s">
        <v>46</v>
      </c>
      <c r="B8965" s="65">
        <v>43569</v>
      </c>
      <c r="C8965" s="66" t="s">
        <v>222</v>
      </c>
      <c r="D8965" s="3" t="s">
        <v>41</v>
      </c>
      <c r="E8965" s="64">
        <v>1</v>
      </c>
    </row>
    <row r="8966" spans="1:5">
      <c r="A8966" s="64" t="s">
        <v>46</v>
      </c>
      <c r="B8966" s="65">
        <v>43570</v>
      </c>
      <c r="C8966" s="66" t="s">
        <v>216</v>
      </c>
      <c r="D8966" s="3" t="s">
        <v>41</v>
      </c>
      <c r="E8966" s="64">
        <v>1</v>
      </c>
    </row>
    <row r="8967" spans="1:5">
      <c r="A8967" s="64" t="s">
        <v>46</v>
      </c>
      <c r="B8967" s="65">
        <v>43571</v>
      </c>
      <c r="C8967" s="66" t="s">
        <v>217</v>
      </c>
      <c r="D8967" s="3" t="s">
        <v>41</v>
      </c>
      <c r="E8967" s="64">
        <v>1</v>
      </c>
    </row>
    <row r="8968" spans="1:5">
      <c r="A8968" s="64" t="s">
        <v>46</v>
      </c>
      <c r="B8968" s="65">
        <v>43572</v>
      </c>
      <c r="C8968" s="66" t="s">
        <v>218</v>
      </c>
      <c r="D8968" s="3" t="s">
        <v>41</v>
      </c>
      <c r="E8968" s="64">
        <v>1</v>
      </c>
    </row>
    <row r="8969" spans="1:5">
      <c r="A8969" s="64" t="s">
        <v>46</v>
      </c>
      <c r="B8969" s="65">
        <v>43573</v>
      </c>
      <c r="C8969" s="66" t="s">
        <v>219</v>
      </c>
      <c r="D8969" s="3" t="s">
        <v>41</v>
      </c>
      <c r="E8969" s="64">
        <v>1</v>
      </c>
    </row>
    <row r="8970" spans="1:5">
      <c r="A8970" s="64" t="s">
        <v>46</v>
      </c>
      <c r="B8970" s="65">
        <v>43574</v>
      </c>
      <c r="C8970" s="66" t="s">
        <v>220</v>
      </c>
      <c r="D8970" s="3" t="s">
        <v>41</v>
      </c>
      <c r="E8970" s="64">
        <v>1</v>
      </c>
    </row>
    <row r="8971" spans="1:5">
      <c r="A8971" s="64" t="s">
        <v>46</v>
      </c>
      <c r="B8971" s="65">
        <v>43575</v>
      </c>
      <c r="C8971" s="66" t="s">
        <v>221</v>
      </c>
      <c r="D8971" s="3" t="s">
        <v>41</v>
      </c>
      <c r="E8971" s="64">
        <v>1</v>
      </c>
    </row>
    <row r="8972" spans="1:5">
      <c r="A8972" s="64" t="s">
        <v>46</v>
      </c>
      <c r="B8972" s="65">
        <v>43576</v>
      </c>
      <c r="C8972" s="66" t="s">
        <v>222</v>
      </c>
      <c r="D8972" s="3" t="s">
        <v>41</v>
      </c>
      <c r="E8972" s="64">
        <v>1</v>
      </c>
    </row>
    <row r="8973" spans="1:5">
      <c r="A8973" s="64" t="s">
        <v>46</v>
      </c>
      <c r="B8973" s="65">
        <v>43577</v>
      </c>
      <c r="C8973" s="66" t="s">
        <v>216</v>
      </c>
      <c r="D8973" s="3" t="s">
        <v>41</v>
      </c>
      <c r="E8973" s="64">
        <v>1</v>
      </c>
    </row>
    <row r="8974" spans="1:5">
      <c r="A8974" s="64" t="s">
        <v>46</v>
      </c>
      <c r="B8974" s="65">
        <v>43563</v>
      </c>
      <c r="C8974" s="66" t="s">
        <v>216</v>
      </c>
      <c r="D8974" s="3" t="s">
        <v>47</v>
      </c>
      <c r="E8974" s="64">
        <v>1</v>
      </c>
    </row>
    <row r="8975" spans="1:5">
      <c r="A8975" s="64" t="s">
        <v>46</v>
      </c>
      <c r="B8975" s="65">
        <v>43564</v>
      </c>
      <c r="C8975" s="66" t="s">
        <v>217</v>
      </c>
      <c r="D8975" s="3" t="s">
        <v>47</v>
      </c>
      <c r="E8975" s="64">
        <v>1</v>
      </c>
    </row>
    <row r="8976" spans="1:5">
      <c r="A8976" s="64" t="s">
        <v>46</v>
      </c>
      <c r="B8976" s="65">
        <v>43565</v>
      </c>
      <c r="C8976" s="66" t="s">
        <v>218</v>
      </c>
      <c r="D8976" s="3" t="s">
        <v>47</v>
      </c>
      <c r="E8976" s="64">
        <v>1</v>
      </c>
    </row>
    <row r="8977" spans="1:5">
      <c r="A8977" s="64" t="s">
        <v>46</v>
      </c>
      <c r="B8977" s="65">
        <v>43566</v>
      </c>
      <c r="C8977" s="66" t="s">
        <v>219</v>
      </c>
      <c r="D8977" s="3" t="s">
        <v>47</v>
      </c>
      <c r="E8977" s="64">
        <v>1</v>
      </c>
    </row>
    <row r="8978" spans="1:5">
      <c r="A8978" s="64" t="s">
        <v>46</v>
      </c>
      <c r="B8978" s="65">
        <v>43567</v>
      </c>
      <c r="C8978" s="66" t="s">
        <v>220</v>
      </c>
      <c r="D8978" s="3" t="s">
        <v>47</v>
      </c>
      <c r="E8978" s="64">
        <v>1</v>
      </c>
    </row>
    <row r="8979" spans="1:5">
      <c r="A8979" s="64" t="s">
        <v>46</v>
      </c>
      <c r="B8979" s="65">
        <v>43568</v>
      </c>
      <c r="C8979" s="66" t="s">
        <v>221</v>
      </c>
      <c r="D8979" s="3" t="s">
        <v>47</v>
      </c>
      <c r="E8979" s="64">
        <v>1</v>
      </c>
    </row>
    <row r="8980" spans="1:5">
      <c r="A8980" s="64" t="s">
        <v>46</v>
      </c>
      <c r="B8980" s="65">
        <v>43569</v>
      </c>
      <c r="C8980" s="66" t="s">
        <v>222</v>
      </c>
      <c r="D8980" s="3" t="s">
        <v>47</v>
      </c>
      <c r="E8980" s="64">
        <v>1</v>
      </c>
    </row>
    <row r="8981" spans="1:5">
      <c r="A8981" s="64" t="s">
        <v>46</v>
      </c>
      <c r="B8981" s="65">
        <v>43570</v>
      </c>
      <c r="C8981" s="66" t="s">
        <v>216</v>
      </c>
      <c r="D8981" s="3" t="s">
        <v>47</v>
      </c>
      <c r="E8981" s="64">
        <v>1</v>
      </c>
    </row>
    <row r="8982" spans="1:5">
      <c r="A8982" s="64" t="s">
        <v>46</v>
      </c>
      <c r="B8982" s="65">
        <v>43571</v>
      </c>
      <c r="C8982" s="66" t="s">
        <v>217</v>
      </c>
      <c r="D8982" s="3" t="s">
        <v>47</v>
      </c>
      <c r="E8982" s="64">
        <v>1</v>
      </c>
    </row>
    <row r="8983" spans="1:5">
      <c r="A8983" s="64" t="s">
        <v>46</v>
      </c>
      <c r="B8983" s="65">
        <v>43572</v>
      </c>
      <c r="C8983" s="66" t="s">
        <v>218</v>
      </c>
      <c r="D8983" s="3" t="s">
        <v>47</v>
      </c>
      <c r="E8983" s="64">
        <v>1</v>
      </c>
    </row>
    <row r="8984" spans="1:5">
      <c r="A8984" s="64" t="s">
        <v>46</v>
      </c>
      <c r="B8984" s="65">
        <v>43573</v>
      </c>
      <c r="C8984" s="66" t="s">
        <v>219</v>
      </c>
      <c r="D8984" s="3" t="s">
        <v>47</v>
      </c>
      <c r="E8984" s="64">
        <v>1</v>
      </c>
    </row>
    <row r="8985" spans="1:5">
      <c r="A8985" s="64" t="s">
        <v>46</v>
      </c>
      <c r="B8985" s="65">
        <v>43574</v>
      </c>
      <c r="C8985" s="66" t="s">
        <v>220</v>
      </c>
      <c r="D8985" s="3" t="s">
        <v>47</v>
      </c>
      <c r="E8985" s="64">
        <v>1</v>
      </c>
    </row>
    <row r="8986" spans="1:5">
      <c r="A8986" s="64" t="s">
        <v>46</v>
      </c>
      <c r="B8986" s="65">
        <v>43575</v>
      </c>
      <c r="C8986" s="66" t="s">
        <v>221</v>
      </c>
      <c r="D8986" s="3" t="s">
        <v>47</v>
      </c>
      <c r="E8986" s="64">
        <v>1</v>
      </c>
    </row>
    <row r="8987" spans="1:5">
      <c r="A8987" s="64" t="s">
        <v>46</v>
      </c>
      <c r="B8987" s="65">
        <v>43576</v>
      </c>
      <c r="C8987" s="66" t="s">
        <v>222</v>
      </c>
      <c r="D8987" s="3" t="s">
        <v>47</v>
      </c>
      <c r="E8987" s="64">
        <v>1</v>
      </c>
    </row>
    <row r="8988" spans="1:5">
      <c r="A8988" s="64" t="s">
        <v>46</v>
      </c>
      <c r="B8988" s="65">
        <v>43577</v>
      </c>
      <c r="C8988" s="66" t="s">
        <v>216</v>
      </c>
      <c r="D8988" s="3" t="s">
        <v>47</v>
      </c>
      <c r="E8988" s="64">
        <v>1</v>
      </c>
    </row>
    <row r="8989" spans="1:5">
      <c r="A8989" s="64" t="s">
        <v>46</v>
      </c>
      <c r="B8989" s="65">
        <v>43578</v>
      </c>
      <c r="C8989" s="66" t="s">
        <v>217</v>
      </c>
      <c r="D8989" s="3" t="s">
        <v>47</v>
      </c>
      <c r="E8989" s="64">
        <v>1</v>
      </c>
    </row>
    <row r="8990" spans="1:5">
      <c r="A8990" s="64" t="s">
        <v>46</v>
      </c>
      <c r="B8990" s="65">
        <v>43579</v>
      </c>
      <c r="C8990" s="66" t="s">
        <v>218</v>
      </c>
      <c r="D8990" s="3" t="s">
        <v>47</v>
      </c>
      <c r="E8990" s="64">
        <v>1</v>
      </c>
    </row>
    <row r="8991" spans="1:5">
      <c r="A8991" s="64" t="s">
        <v>46</v>
      </c>
      <c r="B8991" s="65">
        <v>43580</v>
      </c>
      <c r="C8991" s="66" t="s">
        <v>219</v>
      </c>
      <c r="D8991" s="3" t="s">
        <v>47</v>
      </c>
      <c r="E8991" s="64">
        <v>1</v>
      </c>
    </row>
    <row r="8992" spans="1:5">
      <c r="A8992" s="64" t="s">
        <v>46</v>
      </c>
      <c r="B8992" s="65">
        <v>43581</v>
      </c>
      <c r="C8992" s="66" t="s">
        <v>220</v>
      </c>
      <c r="D8992" s="3" t="s">
        <v>47</v>
      </c>
      <c r="E8992" s="64">
        <v>1</v>
      </c>
    </row>
    <row r="8993" spans="1:5">
      <c r="A8993" s="64" t="s">
        <v>46</v>
      </c>
      <c r="B8993" s="65">
        <v>43582</v>
      </c>
      <c r="C8993" s="66" t="s">
        <v>221</v>
      </c>
      <c r="D8993" s="3" t="s">
        <v>47</v>
      </c>
      <c r="E8993" s="64">
        <v>1</v>
      </c>
    </row>
    <row r="8994" spans="1:5">
      <c r="A8994" s="64" t="s">
        <v>46</v>
      </c>
      <c r="B8994" s="65">
        <v>43583</v>
      </c>
      <c r="C8994" s="66" t="s">
        <v>222</v>
      </c>
      <c r="D8994" s="3" t="s">
        <v>47</v>
      </c>
      <c r="E8994" s="64">
        <v>1</v>
      </c>
    </row>
    <row r="8995" spans="1:5">
      <c r="A8995" s="64" t="s">
        <v>46</v>
      </c>
      <c r="B8995" s="65">
        <v>43584</v>
      </c>
      <c r="C8995" s="66" t="s">
        <v>216</v>
      </c>
      <c r="D8995" s="3" t="s">
        <v>47</v>
      </c>
      <c r="E8995" s="64">
        <v>1</v>
      </c>
    </row>
    <row r="8996" spans="1:5">
      <c r="A8996" s="64" t="s">
        <v>46</v>
      </c>
      <c r="B8996" s="65">
        <v>43585</v>
      </c>
      <c r="C8996" s="66" t="s">
        <v>217</v>
      </c>
      <c r="D8996" s="3" t="s">
        <v>47</v>
      </c>
      <c r="E8996" s="64">
        <v>1</v>
      </c>
    </row>
    <row r="8997" spans="1:5">
      <c r="A8997" s="64" t="s">
        <v>46</v>
      </c>
      <c r="B8997" s="65">
        <v>43586</v>
      </c>
      <c r="C8997" s="66" t="s">
        <v>218</v>
      </c>
      <c r="D8997" s="3" t="s">
        <v>47</v>
      </c>
      <c r="E8997" s="64">
        <v>1</v>
      </c>
    </row>
    <row r="8998" spans="1:5">
      <c r="A8998" s="64" t="s">
        <v>46</v>
      </c>
      <c r="B8998" s="65">
        <v>43587</v>
      </c>
      <c r="C8998" s="66" t="s">
        <v>219</v>
      </c>
      <c r="D8998" s="3" t="s">
        <v>47</v>
      </c>
      <c r="E8998" s="64">
        <v>1</v>
      </c>
    </row>
    <row r="8999" spans="1:5">
      <c r="A8999" s="64" t="s">
        <v>46</v>
      </c>
      <c r="B8999" s="65">
        <v>43588</v>
      </c>
      <c r="C8999" s="66" t="s">
        <v>220</v>
      </c>
      <c r="D8999" s="3" t="s">
        <v>47</v>
      </c>
      <c r="E8999" s="64">
        <v>1</v>
      </c>
    </row>
    <row r="9000" spans="1:5">
      <c r="A9000" s="64" t="s">
        <v>46</v>
      </c>
      <c r="B9000" s="65">
        <v>43589</v>
      </c>
      <c r="C9000" s="66" t="s">
        <v>221</v>
      </c>
      <c r="D9000" s="3" t="s">
        <v>47</v>
      </c>
      <c r="E9000" s="64">
        <v>1</v>
      </c>
    </row>
    <row r="9001" spans="1:5">
      <c r="A9001" s="64" t="s">
        <v>46</v>
      </c>
      <c r="B9001" s="65">
        <v>43590</v>
      </c>
      <c r="C9001" s="66" t="s">
        <v>222</v>
      </c>
      <c r="D9001" s="3" t="s">
        <v>47</v>
      </c>
      <c r="E9001" s="64">
        <v>1</v>
      </c>
    </row>
    <row r="9002" spans="1:5">
      <c r="A9002" s="64" t="s">
        <v>46</v>
      </c>
      <c r="B9002" s="65">
        <v>43591</v>
      </c>
      <c r="C9002" s="66" t="s">
        <v>216</v>
      </c>
      <c r="D9002" s="3" t="s">
        <v>47</v>
      </c>
      <c r="E9002" s="64">
        <v>1</v>
      </c>
    </row>
    <row r="9003" spans="1:5">
      <c r="A9003" s="64" t="s">
        <v>46</v>
      </c>
      <c r="B9003" s="65">
        <v>43592</v>
      </c>
      <c r="C9003" s="66" t="s">
        <v>217</v>
      </c>
      <c r="D9003" s="3" t="s">
        <v>47</v>
      </c>
      <c r="E9003" s="64">
        <v>1</v>
      </c>
    </row>
    <row r="9004" spans="1:5">
      <c r="A9004" s="64" t="s">
        <v>46</v>
      </c>
      <c r="B9004" s="65">
        <v>43593</v>
      </c>
      <c r="C9004" s="66" t="s">
        <v>218</v>
      </c>
      <c r="D9004" s="3" t="s">
        <v>47</v>
      </c>
      <c r="E9004" s="64">
        <v>1</v>
      </c>
    </row>
    <row r="9005" spans="1:5">
      <c r="A9005" s="64" t="s">
        <v>46</v>
      </c>
      <c r="B9005" s="65">
        <v>43594</v>
      </c>
      <c r="C9005" s="66" t="s">
        <v>219</v>
      </c>
      <c r="D9005" s="3" t="s">
        <v>47</v>
      </c>
      <c r="E9005" s="64">
        <v>1</v>
      </c>
    </row>
    <row r="9006" spans="1:5">
      <c r="A9006" s="64" t="s">
        <v>46</v>
      </c>
      <c r="B9006" s="65">
        <v>43595</v>
      </c>
      <c r="C9006" s="66" t="s">
        <v>220</v>
      </c>
      <c r="D9006" s="3" t="s">
        <v>47</v>
      </c>
      <c r="E9006" s="64">
        <v>1</v>
      </c>
    </row>
    <row r="9007" spans="1:5">
      <c r="A9007" s="64" t="s">
        <v>46</v>
      </c>
      <c r="B9007" s="65">
        <v>43596</v>
      </c>
      <c r="C9007" s="66" t="s">
        <v>221</v>
      </c>
      <c r="D9007" s="3" t="s">
        <v>47</v>
      </c>
      <c r="E9007" s="64">
        <v>1</v>
      </c>
    </row>
    <row r="9008" spans="1:5">
      <c r="A9008" s="64" t="s">
        <v>46</v>
      </c>
      <c r="B9008" s="65">
        <v>43597</v>
      </c>
      <c r="C9008" s="66" t="s">
        <v>222</v>
      </c>
      <c r="D9008" s="3" t="s">
        <v>47</v>
      </c>
      <c r="E9008" s="64">
        <v>1</v>
      </c>
    </row>
    <row r="9009" spans="1:5">
      <c r="A9009" s="64" t="s">
        <v>46</v>
      </c>
      <c r="B9009" s="65">
        <v>43598</v>
      </c>
      <c r="C9009" s="66" t="s">
        <v>216</v>
      </c>
      <c r="D9009" s="3" t="s">
        <v>47</v>
      </c>
      <c r="E9009" s="64">
        <v>1</v>
      </c>
    </row>
    <row r="9010" spans="1:5">
      <c r="A9010" s="64" t="s">
        <v>46</v>
      </c>
      <c r="B9010" s="65">
        <v>43599</v>
      </c>
      <c r="C9010" s="66" t="s">
        <v>217</v>
      </c>
      <c r="D9010" s="3" t="s">
        <v>47</v>
      </c>
      <c r="E9010" s="64">
        <v>1</v>
      </c>
    </row>
    <row r="9011" spans="1:5">
      <c r="A9011" s="64" t="s">
        <v>46</v>
      </c>
      <c r="B9011" s="65">
        <v>43600</v>
      </c>
      <c r="C9011" s="66" t="s">
        <v>218</v>
      </c>
      <c r="D9011" s="3" t="s">
        <v>47</v>
      </c>
      <c r="E9011" s="64">
        <v>1</v>
      </c>
    </row>
    <row r="9012" spans="1:5">
      <c r="A9012" s="64" t="s">
        <v>46</v>
      </c>
      <c r="B9012" s="65">
        <v>43601</v>
      </c>
      <c r="C9012" s="66" t="s">
        <v>219</v>
      </c>
      <c r="D9012" s="3" t="s">
        <v>47</v>
      </c>
      <c r="E9012" s="64">
        <v>1</v>
      </c>
    </row>
    <row r="9013" spans="1:5">
      <c r="A9013" s="64" t="s">
        <v>46</v>
      </c>
      <c r="B9013" s="65">
        <v>43602</v>
      </c>
      <c r="C9013" s="66" t="s">
        <v>220</v>
      </c>
      <c r="D9013" s="3" t="s">
        <v>47</v>
      </c>
      <c r="E9013" s="64">
        <v>1</v>
      </c>
    </row>
    <row r="9014" spans="1:5">
      <c r="A9014" s="64" t="s">
        <v>46</v>
      </c>
      <c r="B9014" s="65">
        <v>43603</v>
      </c>
      <c r="C9014" s="66" t="s">
        <v>221</v>
      </c>
      <c r="D9014" s="3" t="s">
        <v>47</v>
      </c>
      <c r="E9014" s="64">
        <v>1</v>
      </c>
    </row>
    <row r="9015" spans="1:5">
      <c r="A9015" s="64" t="s">
        <v>46</v>
      </c>
      <c r="B9015" s="65">
        <v>43604</v>
      </c>
      <c r="C9015" s="66" t="s">
        <v>222</v>
      </c>
      <c r="D9015" s="3" t="s">
        <v>47</v>
      </c>
      <c r="E9015" s="64">
        <v>1</v>
      </c>
    </row>
    <row r="9016" spans="1:5">
      <c r="A9016" s="64" t="s">
        <v>46</v>
      </c>
      <c r="B9016" s="65">
        <v>43605</v>
      </c>
      <c r="C9016" s="66" t="s">
        <v>216</v>
      </c>
      <c r="D9016" s="3" t="s">
        <v>47</v>
      </c>
      <c r="E9016" s="64">
        <v>1</v>
      </c>
    </row>
    <row r="9017" spans="1:5">
      <c r="A9017" s="64" t="s">
        <v>46</v>
      </c>
      <c r="B9017" s="65">
        <v>43606</v>
      </c>
      <c r="C9017" s="66" t="s">
        <v>217</v>
      </c>
      <c r="D9017" s="3" t="s">
        <v>47</v>
      </c>
      <c r="E9017" s="64">
        <v>1</v>
      </c>
    </row>
    <row r="9018" spans="1:5">
      <c r="A9018" s="64" t="s">
        <v>46</v>
      </c>
      <c r="B9018" s="65">
        <v>43607</v>
      </c>
      <c r="C9018" s="66" t="s">
        <v>218</v>
      </c>
      <c r="D9018" s="3" t="s">
        <v>47</v>
      </c>
      <c r="E9018" s="64">
        <v>1</v>
      </c>
    </row>
    <row r="9019" spans="1:5">
      <c r="A9019" s="64" t="s">
        <v>46</v>
      </c>
      <c r="B9019" s="65">
        <v>43608</v>
      </c>
      <c r="C9019" s="66" t="s">
        <v>219</v>
      </c>
      <c r="D9019" s="3" t="s">
        <v>47</v>
      </c>
      <c r="E9019" s="64">
        <v>1</v>
      </c>
    </row>
    <row r="9020" spans="1:5">
      <c r="A9020" s="64" t="s">
        <v>46</v>
      </c>
      <c r="B9020" s="65">
        <v>43609</v>
      </c>
      <c r="C9020" s="66" t="s">
        <v>220</v>
      </c>
      <c r="D9020" s="3" t="s">
        <v>47</v>
      </c>
      <c r="E9020" s="64">
        <v>1</v>
      </c>
    </row>
    <row r="9021" spans="1:5">
      <c r="A9021" s="64" t="s">
        <v>46</v>
      </c>
      <c r="B9021" s="65">
        <v>43610</v>
      </c>
      <c r="C9021" s="66" t="s">
        <v>221</v>
      </c>
      <c r="D9021" s="3" t="s">
        <v>47</v>
      </c>
      <c r="E9021" s="64">
        <v>1</v>
      </c>
    </row>
    <row r="9022" spans="1:5">
      <c r="A9022" s="64" t="s">
        <v>46</v>
      </c>
      <c r="B9022" s="65">
        <v>43611</v>
      </c>
      <c r="C9022" s="66" t="s">
        <v>222</v>
      </c>
      <c r="D9022" s="3" t="s">
        <v>47</v>
      </c>
      <c r="E9022" s="64">
        <v>1</v>
      </c>
    </row>
    <row r="9023" spans="1:5">
      <c r="A9023" s="64" t="s">
        <v>46</v>
      </c>
      <c r="B9023" s="65">
        <v>43612</v>
      </c>
      <c r="C9023" s="66" t="s">
        <v>216</v>
      </c>
      <c r="D9023" s="3" t="s">
        <v>47</v>
      </c>
      <c r="E9023" s="64">
        <v>1</v>
      </c>
    </row>
    <row r="9024" spans="1:5">
      <c r="A9024" s="64" t="s">
        <v>46</v>
      </c>
      <c r="B9024" s="65">
        <v>43613</v>
      </c>
      <c r="C9024" s="66" t="s">
        <v>217</v>
      </c>
      <c r="D9024" s="3" t="s">
        <v>47</v>
      </c>
      <c r="E9024" s="64">
        <v>1</v>
      </c>
    </row>
    <row r="9025" spans="1:5">
      <c r="A9025" s="64" t="s">
        <v>46</v>
      </c>
      <c r="B9025" s="65">
        <v>43614</v>
      </c>
      <c r="C9025" s="66" t="s">
        <v>218</v>
      </c>
      <c r="D9025" s="3" t="s">
        <v>47</v>
      </c>
      <c r="E9025" s="64">
        <v>1</v>
      </c>
    </row>
    <row r="9026" spans="1:5">
      <c r="A9026" s="64" t="s">
        <v>46</v>
      </c>
      <c r="B9026" s="65">
        <v>43615</v>
      </c>
      <c r="C9026" s="66" t="s">
        <v>219</v>
      </c>
      <c r="D9026" s="3" t="s">
        <v>47</v>
      </c>
      <c r="E9026" s="64">
        <v>1</v>
      </c>
    </row>
    <row r="9027" spans="1:5">
      <c r="A9027" s="64" t="s">
        <v>46</v>
      </c>
      <c r="B9027" s="65">
        <v>43616</v>
      </c>
      <c r="C9027" s="66" t="s">
        <v>220</v>
      </c>
      <c r="D9027" s="3" t="s">
        <v>47</v>
      </c>
      <c r="E9027" s="64">
        <v>1</v>
      </c>
    </row>
    <row r="9028" spans="1:5">
      <c r="A9028" s="64" t="s">
        <v>46</v>
      </c>
      <c r="B9028" s="65">
        <v>43617</v>
      </c>
      <c r="C9028" s="66" t="s">
        <v>221</v>
      </c>
      <c r="D9028" s="3" t="s">
        <v>47</v>
      </c>
      <c r="E9028" s="64">
        <v>1</v>
      </c>
    </row>
    <row r="9029" spans="1:5">
      <c r="A9029" s="64" t="s">
        <v>46</v>
      </c>
      <c r="B9029" s="65">
        <v>43618</v>
      </c>
      <c r="C9029" s="66" t="s">
        <v>222</v>
      </c>
      <c r="D9029" s="3" t="s">
        <v>47</v>
      </c>
      <c r="E9029" s="64">
        <v>1</v>
      </c>
    </row>
    <row r="9030" spans="1:5">
      <c r="A9030" s="64" t="s">
        <v>46</v>
      </c>
      <c r="B9030" s="65">
        <v>43619</v>
      </c>
      <c r="C9030" s="66" t="s">
        <v>216</v>
      </c>
      <c r="D9030" s="3" t="s">
        <v>47</v>
      </c>
      <c r="E9030" s="64">
        <v>1</v>
      </c>
    </row>
    <row r="9031" spans="1:5">
      <c r="A9031" s="64" t="s">
        <v>46</v>
      </c>
      <c r="B9031" s="65">
        <v>43620</v>
      </c>
      <c r="C9031" s="66" t="s">
        <v>217</v>
      </c>
      <c r="D9031" s="3" t="s">
        <v>47</v>
      </c>
      <c r="E9031" s="64">
        <v>1</v>
      </c>
    </row>
    <row r="9032" spans="1:5">
      <c r="A9032" s="64" t="s">
        <v>46</v>
      </c>
      <c r="B9032" s="65">
        <v>43621</v>
      </c>
      <c r="C9032" s="66" t="s">
        <v>218</v>
      </c>
      <c r="D9032" s="3" t="s">
        <v>47</v>
      </c>
      <c r="E9032" s="64">
        <v>1</v>
      </c>
    </row>
    <row r="9033" spans="1:5">
      <c r="A9033" s="64" t="s">
        <v>46</v>
      </c>
      <c r="B9033" s="65">
        <v>43622</v>
      </c>
      <c r="C9033" s="66" t="s">
        <v>219</v>
      </c>
      <c r="D9033" s="3" t="s">
        <v>47</v>
      </c>
      <c r="E9033" s="64">
        <v>1</v>
      </c>
    </row>
    <row r="9034" spans="1:5">
      <c r="A9034" s="64" t="s">
        <v>46</v>
      </c>
      <c r="B9034" s="65">
        <v>43623</v>
      </c>
      <c r="C9034" s="66" t="s">
        <v>220</v>
      </c>
      <c r="D9034" s="3" t="s">
        <v>47</v>
      </c>
      <c r="E9034" s="64">
        <v>1</v>
      </c>
    </row>
    <row r="9035" spans="1:5">
      <c r="A9035" s="64" t="s">
        <v>46</v>
      </c>
      <c r="B9035" s="65">
        <v>43624</v>
      </c>
      <c r="C9035" s="66" t="s">
        <v>221</v>
      </c>
      <c r="D9035" s="3" t="s">
        <v>47</v>
      </c>
      <c r="E9035" s="64">
        <v>1</v>
      </c>
    </row>
    <row r="9036" spans="1:5">
      <c r="A9036" s="64" t="s">
        <v>46</v>
      </c>
      <c r="B9036" s="65">
        <v>43625</v>
      </c>
      <c r="C9036" s="66" t="s">
        <v>222</v>
      </c>
      <c r="D9036" s="3" t="s">
        <v>47</v>
      </c>
      <c r="E9036" s="64">
        <v>1</v>
      </c>
    </row>
    <row r="9037" spans="1:5">
      <c r="A9037" s="64" t="s">
        <v>46</v>
      </c>
      <c r="B9037" s="65">
        <v>43626</v>
      </c>
      <c r="C9037" s="66" t="s">
        <v>216</v>
      </c>
      <c r="D9037" s="3" t="s">
        <v>47</v>
      </c>
      <c r="E9037" s="64">
        <v>1</v>
      </c>
    </row>
    <row r="9038" spans="1:5">
      <c r="A9038" s="64" t="s">
        <v>46</v>
      </c>
      <c r="B9038" s="65">
        <v>43627</v>
      </c>
      <c r="C9038" s="66" t="s">
        <v>217</v>
      </c>
      <c r="D9038" s="3" t="s">
        <v>47</v>
      </c>
      <c r="E9038" s="64">
        <v>1</v>
      </c>
    </row>
    <row r="9039" spans="1:5">
      <c r="A9039" s="64" t="s">
        <v>46</v>
      </c>
      <c r="B9039" s="65">
        <v>43628</v>
      </c>
      <c r="C9039" s="66" t="s">
        <v>218</v>
      </c>
      <c r="D9039" s="3" t="s">
        <v>47</v>
      </c>
      <c r="E9039" s="64">
        <v>1</v>
      </c>
    </row>
    <row r="9040" spans="1:5">
      <c r="A9040" s="64" t="s">
        <v>46</v>
      </c>
      <c r="B9040" s="65">
        <v>43629</v>
      </c>
      <c r="C9040" s="66" t="s">
        <v>219</v>
      </c>
      <c r="D9040" s="3" t="s">
        <v>47</v>
      </c>
      <c r="E9040" s="64">
        <v>1</v>
      </c>
    </row>
    <row r="9041" spans="1:5">
      <c r="A9041" s="64" t="s">
        <v>46</v>
      </c>
      <c r="B9041" s="65">
        <v>43630</v>
      </c>
      <c r="C9041" s="66" t="s">
        <v>220</v>
      </c>
      <c r="D9041" s="3" t="s">
        <v>47</v>
      </c>
      <c r="E9041" s="64">
        <v>1</v>
      </c>
    </row>
    <row r="9042" spans="1:5">
      <c r="A9042" s="64" t="s">
        <v>46</v>
      </c>
      <c r="B9042" s="65">
        <v>43631</v>
      </c>
      <c r="C9042" s="66" t="s">
        <v>221</v>
      </c>
      <c r="D9042" s="3" t="s">
        <v>47</v>
      </c>
      <c r="E9042" s="64">
        <v>1</v>
      </c>
    </row>
    <row r="9043" spans="1:5">
      <c r="A9043" s="64" t="s">
        <v>46</v>
      </c>
      <c r="B9043" s="65">
        <v>43632</v>
      </c>
      <c r="C9043" s="66" t="s">
        <v>222</v>
      </c>
      <c r="D9043" s="3" t="s">
        <v>47</v>
      </c>
      <c r="E9043" s="64">
        <v>1</v>
      </c>
    </row>
    <row r="9044" spans="1:5">
      <c r="A9044" s="64" t="s">
        <v>46</v>
      </c>
      <c r="B9044" s="65">
        <v>43633</v>
      </c>
      <c r="C9044" s="66" t="s">
        <v>216</v>
      </c>
      <c r="D9044" s="3" t="s">
        <v>47</v>
      </c>
      <c r="E9044" s="64">
        <v>1</v>
      </c>
    </row>
    <row r="9045" spans="1:5">
      <c r="A9045" s="64" t="s">
        <v>46</v>
      </c>
      <c r="B9045" s="65">
        <v>43634</v>
      </c>
      <c r="C9045" s="66" t="s">
        <v>217</v>
      </c>
      <c r="D9045" s="3" t="s">
        <v>47</v>
      </c>
      <c r="E9045" s="64">
        <v>1</v>
      </c>
    </row>
    <row r="9046" spans="1:5">
      <c r="A9046" s="64" t="s">
        <v>46</v>
      </c>
      <c r="B9046" s="65">
        <v>43635</v>
      </c>
      <c r="C9046" s="66" t="s">
        <v>218</v>
      </c>
      <c r="D9046" s="3" t="s">
        <v>47</v>
      </c>
      <c r="E9046" s="64">
        <v>1</v>
      </c>
    </row>
    <row r="9047" spans="1:5">
      <c r="A9047" s="64" t="s">
        <v>46</v>
      </c>
      <c r="B9047" s="65">
        <v>43636</v>
      </c>
      <c r="C9047" s="66" t="s">
        <v>219</v>
      </c>
      <c r="D9047" s="3" t="s">
        <v>47</v>
      </c>
      <c r="E9047" s="64">
        <v>1</v>
      </c>
    </row>
    <row r="9048" spans="1:5">
      <c r="A9048" s="64" t="s">
        <v>46</v>
      </c>
      <c r="B9048" s="65">
        <v>43637</v>
      </c>
      <c r="C9048" s="66" t="s">
        <v>220</v>
      </c>
      <c r="D9048" s="3" t="s">
        <v>47</v>
      </c>
      <c r="E9048" s="64">
        <v>1</v>
      </c>
    </row>
    <row r="9049" spans="1:5">
      <c r="A9049" s="64" t="s">
        <v>46</v>
      </c>
      <c r="B9049" s="65">
        <v>43638</v>
      </c>
      <c r="C9049" s="66" t="s">
        <v>221</v>
      </c>
      <c r="D9049" s="3" t="s">
        <v>47</v>
      </c>
      <c r="E9049" s="64">
        <v>1</v>
      </c>
    </row>
    <row r="9050" spans="1:5">
      <c r="A9050" s="64" t="s">
        <v>46</v>
      </c>
      <c r="B9050" s="65">
        <v>43639</v>
      </c>
      <c r="C9050" s="66" t="s">
        <v>222</v>
      </c>
      <c r="D9050" s="3" t="s">
        <v>47</v>
      </c>
      <c r="E9050" s="64">
        <v>1</v>
      </c>
    </row>
    <row r="9051" spans="1:5">
      <c r="A9051" s="64" t="s">
        <v>46</v>
      </c>
      <c r="B9051" s="65">
        <v>43640</v>
      </c>
      <c r="C9051" s="66" t="s">
        <v>216</v>
      </c>
      <c r="D9051" s="3" t="s">
        <v>47</v>
      </c>
      <c r="E9051" s="64">
        <v>1</v>
      </c>
    </row>
    <row r="9052" spans="1:5">
      <c r="A9052" s="64" t="s">
        <v>46</v>
      </c>
      <c r="B9052" s="65">
        <v>43641</v>
      </c>
      <c r="C9052" s="66" t="s">
        <v>217</v>
      </c>
      <c r="D9052" s="3" t="s">
        <v>47</v>
      </c>
      <c r="E9052" s="64">
        <v>1</v>
      </c>
    </row>
    <row r="9053" spans="1:5">
      <c r="A9053" s="64" t="s">
        <v>46</v>
      </c>
      <c r="B9053" s="65">
        <v>43642</v>
      </c>
      <c r="C9053" s="66" t="s">
        <v>218</v>
      </c>
      <c r="D9053" s="3" t="s">
        <v>47</v>
      </c>
      <c r="E9053" s="64">
        <v>1</v>
      </c>
    </row>
    <row r="9054" spans="1:5">
      <c r="A9054" s="64" t="s">
        <v>46</v>
      </c>
      <c r="B9054" s="65">
        <v>43643</v>
      </c>
      <c r="C9054" s="66" t="s">
        <v>219</v>
      </c>
      <c r="D9054" s="3" t="s">
        <v>47</v>
      </c>
      <c r="E9054" s="64">
        <v>1</v>
      </c>
    </row>
    <row r="9055" spans="1:5">
      <c r="A9055" s="64" t="s">
        <v>46</v>
      </c>
      <c r="B9055" s="65">
        <v>43644</v>
      </c>
      <c r="C9055" s="66" t="s">
        <v>220</v>
      </c>
      <c r="D9055" s="3" t="s">
        <v>47</v>
      </c>
      <c r="E9055" s="64">
        <v>1</v>
      </c>
    </row>
    <row r="9056" spans="1:5">
      <c r="A9056" s="64" t="s">
        <v>46</v>
      </c>
      <c r="B9056" s="65">
        <v>43645</v>
      </c>
      <c r="C9056" s="66" t="s">
        <v>221</v>
      </c>
      <c r="D9056" s="3" t="s">
        <v>47</v>
      </c>
      <c r="E9056" s="64">
        <v>1</v>
      </c>
    </row>
    <row r="9057" spans="1:5">
      <c r="A9057" s="64" t="s">
        <v>46</v>
      </c>
      <c r="B9057" s="65">
        <v>43646</v>
      </c>
      <c r="C9057" s="66" t="s">
        <v>222</v>
      </c>
      <c r="D9057" s="3" t="s">
        <v>47</v>
      </c>
      <c r="E9057" s="64">
        <v>1</v>
      </c>
    </row>
    <row r="9058" spans="1:5">
      <c r="A9058" s="64" t="s">
        <v>46</v>
      </c>
      <c r="B9058" s="65">
        <v>43647</v>
      </c>
      <c r="C9058" s="66" t="s">
        <v>216</v>
      </c>
      <c r="D9058" s="3" t="s">
        <v>47</v>
      </c>
      <c r="E9058" s="64">
        <v>1</v>
      </c>
    </row>
    <row r="9059" spans="1:5">
      <c r="A9059" s="64" t="s">
        <v>46</v>
      </c>
      <c r="B9059" s="65">
        <v>43648</v>
      </c>
      <c r="C9059" s="66" t="s">
        <v>217</v>
      </c>
      <c r="D9059" s="3" t="s">
        <v>47</v>
      </c>
      <c r="E9059" s="64">
        <v>1</v>
      </c>
    </row>
    <row r="9060" spans="1:5">
      <c r="A9060" s="64" t="s">
        <v>46</v>
      </c>
      <c r="B9060" s="65">
        <v>43649</v>
      </c>
      <c r="C9060" s="66" t="s">
        <v>218</v>
      </c>
      <c r="D9060" s="3" t="s">
        <v>47</v>
      </c>
      <c r="E9060" s="64">
        <v>1</v>
      </c>
    </row>
    <row r="9061" spans="1:5">
      <c r="A9061" s="64" t="s">
        <v>46</v>
      </c>
      <c r="B9061" s="65">
        <v>43650</v>
      </c>
      <c r="C9061" s="66" t="s">
        <v>219</v>
      </c>
      <c r="D9061" s="3" t="s">
        <v>47</v>
      </c>
      <c r="E9061" s="64">
        <v>1</v>
      </c>
    </row>
    <row r="9062" spans="1:5">
      <c r="A9062" s="64" t="s">
        <v>46</v>
      </c>
      <c r="B9062" s="65">
        <v>43651</v>
      </c>
      <c r="C9062" s="66" t="s">
        <v>220</v>
      </c>
      <c r="D9062" s="3" t="s">
        <v>47</v>
      </c>
      <c r="E9062" s="64">
        <v>1</v>
      </c>
    </row>
    <row r="9063" spans="1:5">
      <c r="A9063" s="64" t="s">
        <v>46</v>
      </c>
      <c r="B9063" s="65">
        <v>43652</v>
      </c>
      <c r="C9063" s="66" t="s">
        <v>221</v>
      </c>
      <c r="D9063" s="3" t="s">
        <v>47</v>
      </c>
      <c r="E9063" s="64">
        <v>1</v>
      </c>
    </row>
    <row r="9064" spans="1:5">
      <c r="A9064" s="64" t="s">
        <v>46</v>
      </c>
      <c r="B9064" s="65">
        <v>43653</v>
      </c>
      <c r="C9064" s="66" t="s">
        <v>222</v>
      </c>
      <c r="D9064" s="3" t="s">
        <v>47</v>
      </c>
      <c r="E9064" s="64">
        <v>1</v>
      </c>
    </row>
    <row r="9065" spans="1:5">
      <c r="A9065" s="64" t="s">
        <v>46</v>
      </c>
      <c r="B9065" s="65">
        <v>43654</v>
      </c>
      <c r="C9065" s="66" t="s">
        <v>216</v>
      </c>
      <c r="D9065" s="3" t="s">
        <v>47</v>
      </c>
      <c r="E9065" s="64">
        <v>1</v>
      </c>
    </row>
    <row r="9066" spans="1:5">
      <c r="A9066" s="64" t="s">
        <v>46</v>
      </c>
      <c r="B9066" s="65">
        <v>43655</v>
      </c>
      <c r="C9066" s="66" t="s">
        <v>217</v>
      </c>
      <c r="D9066" s="3" t="s">
        <v>47</v>
      </c>
      <c r="E9066" s="64">
        <v>1</v>
      </c>
    </row>
    <row r="9067" spans="1:5">
      <c r="A9067" s="64" t="s">
        <v>46</v>
      </c>
      <c r="B9067" s="65">
        <v>43656</v>
      </c>
      <c r="C9067" s="66" t="s">
        <v>218</v>
      </c>
      <c r="D9067" s="3" t="s">
        <v>47</v>
      </c>
      <c r="E9067" s="64">
        <v>1</v>
      </c>
    </row>
    <row r="9068" spans="1:5">
      <c r="A9068" s="64" t="s">
        <v>46</v>
      </c>
      <c r="B9068" s="65">
        <v>43657</v>
      </c>
      <c r="C9068" s="66" t="s">
        <v>219</v>
      </c>
      <c r="D9068" s="3" t="s">
        <v>47</v>
      </c>
      <c r="E9068" s="64">
        <v>1</v>
      </c>
    </row>
    <row r="9069" spans="1:5">
      <c r="A9069" s="64" t="s">
        <v>46</v>
      </c>
      <c r="B9069" s="65">
        <v>43658</v>
      </c>
      <c r="C9069" s="66" t="s">
        <v>220</v>
      </c>
      <c r="D9069" s="3" t="s">
        <v>47</v>
      </c>
      <c r="E9069" s="64">
        <v>1</v>
      </c>
    </row>
    <row r="9070" spans="1:5">
      <c r="A9070" s="64" t="s">
        <v>46</v>
      </c>
      <c r="B9070" s="65">
        <v>43659</v>
      </c>
      <c r="C9070" s="66" t="s">
        <v>221</v>
      </c>
      <c r="D9070" s="3" t="s">
        <v>47</v>
      </c>
      <c r="E9070" s="64">
        <v>1</v>
      </c>
    </row>
    <row r="9071" spans="1:5">
      <c r="A9071" s="64" t="s">
        <v>46</v>
      </c>
      <c r="B9071" s="65">
        <v>43660</v>
      </c>
      <c r="C9071" s="66" t="s">
        <v>222</v>
      </c>
      <c r="D9071" s="3" t="s">
        <v>47</v>
      </c>
      <c r="E9071" s="64">
        <v>1</v>
      </c>
    </row>
    <row r="9072" spans="1:5">
      <c r="A9072" s="64" t="s">
        <v>46</v>
      </c>
      <c r="B9072" s="65">
        <v>43661</v>
      </c>
      <c r="C9072" s="66" t="s">
        <v>216</v>
      </c>
      <c r="D9072" s="3" t="s">
        <v>47</v>
      </c>
      <c r="E9072" s="64">
        <v>1</v>
      </c>
    </row>
    <row r="9073" spans="1:5">
      <c r="A9073" s="64" t="s">
        <v>46</v>
      </c>
      <c r="B9073" s="65">
        <v>43662</v>
      </c>
      <c r="C9073" s="66" t="s">
        <v>217</v>
      </c>
      <c r="D9073" s="3" t="s">
        <v>47</v>
      </c>
      <c r="E9073" s="64">
        <v>1</v>
      </c>
    </row>
    <row r="9074" spans="1:5">
      <c r="A9074" s="64" t="s">
        <v>46</v>
      </c>
      <c r="B9074" s="65">
        <v>43663</v>
      </c>
      <c r="C9074" s="66" t="s">
        <v>218</v>
      </c>
      <c r="D9074" s="3" t="s">
        <v>47</v>
      </c>
      <c r="E9074" s="64">
        <v>1</v>
      </c>
    </row>
    <row r="9075" spans="1:5">
      <c r="A9075" s="64" t="s">
        <v>46</v>
      </c>
      <c r="B9075" s="65">
        <v>43664</v>
      </c>
      <c r="C9075" s="66" t="s">
        <v>219</v>
      </c>
      <c r="D9075" s="3" t="s">
        <v>47</v>
      </c>
      <c r="E9075" s="64">
        <v>1</v>
      </c>
    </row>
    <row r="9076" spans="1:5">
      <c r="A9076" s="64" t="s">
        <v>46</v>
      </c>
      <c r="B9076" s="65">
        <v>43665</v>
      </c>
      <c r="C9076" s="66" t="s">
        <v>220</v>
      </c>
      <c r="D9076" s="3" t="s">
        <v>47</v>
      </c>
      <c r="E9076" s="64">
        <v>1</v>
      </c>
    </row>
    <row r="9077" spans="1:5">
      <c r="A9077" s="64" t="s">
        <v>46</v>
      </c>
      <c r="B9077" s="65">
        <v>43666</v>
      </c>
      <c r="C9077" s="66" t="s">
        <v>221</v>
      </c>
      <c r="D9077" s="3" t="s">
        <v>47</v>
      </c>
      <c r="E9077" s="64">
        <v>1</v>
      </c>
    </row>
    <row r="9078" spans="1:5">
      <c r="A9078" s="64" t="s">
        <v>46</v>
      </c>
      <c r="B9078" s="65">
        <v>43667</v>
      </c>
      <c r="C9078" s="66" t="s">
        <v>222</v>
      </c>
      <c r="D9078" s="3" t="s">
        <v>47</v>
      </c>
      <c r="E9078" s="64">
        <v>1</v>
      </c>
    </row>
    <row r="9079" spans="1:5">
      <c r="A9079" s="64" t="s">
        <v>46</v>
      </c>
      <c r="B9079" s="65">
        <v>43668</v>
      </c>
      <c r="C9079" s="66" t="s">
        <v>216</v>
      </c>
      <c r="D9079" s="3" t="s">
        <v>47</v>
      </c>
      <c r="E9079" s="64">
        <v>1</v>
      </c>
    </row>
    <row r="9080" spans="1:5">
      <c r="A9080" s="64" t="s">
        <v>46</v>
      </c>
      <c r="B9080" s="65">
        <v>43669</v>
      </c>
      <c r="C9080" s="66" t="s">
        <v>217</v>
      </c>
      <c r="D9080" s="3" t="s">
        <v>47</v>
      </c>
      <c r="E9080" s="64">
        <v>1</v>
      </c>
    </row>
    <row r="9081" spans="1:5">
      <c r="A9081" s="64" t="s">
        <v>46</v>
      </c>
      <c r="B9081" s="65">
        <v>43670</v>
      </c>
      <c r="C9081" s="66" t="s">
        <v>218</v>
      </c>
      <c r="D9081" s="3" t="s">
        <v>47</v>
      </c>
      <c r="E9081" s="64">
        <v>1</v>
      </c>
    </row>
    <row r="9082" spans="1:5">
      <c r="A9082" s="64" t="s">
        <v>46</v>
      </c>
      <c r="B9082" s="65">
        <v>43671</v>
      </c>
      <c r="C9082" s="66" t="s">
        <v>219</v>
      </c>
      <c r="D9082" s="3" t="s">
        <v>47</v>
      </c>
      <c r="E9082" s="64">
        <v>1</v>
      </c>
    </row>
    <row r="9083" spans="1:5">
      <c r="A9083" s="64" t="s">
        <v>46</v>
      </c>
      <c r="B9083" s="65">
        <v>43672</v>
      </c>
      <c r="C9083" s="66" t="s">
        <v>220</v>
      </c>
      <c r="D9083" s="3" t="s">
        <v>47</v>
      </c>
      <c r="E9083" s="64">
        <v>1</v>
      </c>
    </row>
    <row r="9084" spans="1:5">
      <c r="A9084" s="64" t="s">
        <v>46</v>
      </c>
      <c r="B9084" s="65">
        <v>43673</v>
      </c>
      <c r="C9084" s="66" t="s">
        <v>221</v>
      </c>
      <c r="D9084" s="3" t="s">
        <v>47</v>
      </c>
      <c r="E9084" s="64">
        <v>1</v>
      </c>
    </row>
    <row r="9085" spans="1:5">
      <c r="A9085" s="64" t="s">
        <v>46</v>
      </c>
      <c r="B9085" s="65">
        <v>43674</v>
      </c>
      <c r="C9085" s="66" t="s">
        <v>222</v>
      </c>
      <c r="D9085" s="3" t="s">
        <v>47</v>
      </c>
      <c r="E9085" s="64">
        <v>1</v>
      </c>
    </row>
    <row r="9086" spans="1:5">
      <c r="A9086" s="64" t="s">
        <v>46</v>
      </c>
      <c r="B9086" s="69">
        <v>43675</v>
      </c>
      <c r="C9086" s="64" t="s">
        <v>216</v>
      </c>
      <c r="D9086" s="64" t="s">
        <v>47</v>
      </c>
      <c r="E9086" s="64">
        <v>1</v>
      </c>
    </row>
    <row r="9087" spans="1:5">
      <c r="A9087" s="64" t="s">
        <v>46</v>
      </c>
      <c r="B9087" s="69">
        <v>43676</v>
      </c>
      <c r="C9087" s="64" t="s">
        <v>217</v>
      </c>
      <c r="D9087" s="64" t="s">
        <v>47</v>
      </c>
      <c r="E9087" s="64">
        <v>1</v>
      </c>
    </row>
    <row r="9088" spans="1:5">
      <c r="A9088" s="64" t="s">
        <v>46</v>
      </c>
      <c r="B9088" s="69">
        <v>43677</v>
      </c>
      <c r="C9088" s="64" t="s">
        <v>218</v>
      </c>
      <c r="D9088" s="64" t="s">
        <v>47</v>
      </c>
      <c r="E9088" s="64">
        <v>1</v>
      </c>
    </row>
    <row r="9089" spans="1:5">
      <c r="A9089" s="64" t="s">
        <v>46</v>
      </c>
      <c r="B9089" s="69">
        <v>43678</v>
      </c>
      <c r="C9089" s="64" t="s">
        <v>219</v>
      </c>
      <c r="D9089" s="64" t="s">
        <v>47</v>
      </c>
      <c r="E9089" s="64">
        <v>1</v>
      </c>
    </row>
    <row r="9090" spans="1:5">
      <c r="A9090" s="64" t="s">
        <v>46</v>
      </c>
      <c r="B9090" s="69">
        <v>43679</v>
      </c>
      <c r="C9090" s="64" t="s">
        <v>220</v>
      </c>
      <c r="D9090" s="64" t="s">
        <v>47</v>
      </c>
      <c r="E9090" s="64">
        <v>1</v>
      </c>
    </row>
    <row r="9091" spans="1:5">
      <c r="A9091" s="64" t="s">
        <v>46</v>
      </c>
      <c r="B9091" s="69">
        <v>43680</v>
      </c>
      <c r="C9091" s="64" t="s">
        <v>221</v>
      </c>
      <c r="D9091" s="64" t="s">
        <v>47</v>
      </c>
      <c r="E9091" s="64">
        <v>1</v>
      </c>
    </row>
    <row r="9092" spans="1:5">
      <c r="A9092" s="64" t="s">
        <v>46</v>
      </c>
      <c r="B9092" s="69">
        <v>43681</v>
      </c>
      <c r="C9092" s="64" t="s">
        <v>222</v>
      </c>
      <c r="D9092" s="64" t="s">
        <v>47</v>
      </c>
      <c r="E9092" s="64">
        <v>1</v>
      </c>
    </row>
    <row r="9093" spans="1:5">
      <c r="A9093" s="64" t="s">
        <v>46</v>
      </c>
      <c r="B9093" s="69">
        <v>43682</v>
      </c>
      <c r="C9093" s="64" t="s">
        <v>216</v>
      </c>
      <c r="D9093" s="64" t="s">
        <v>47</v>
      </c>
      <c r="E9093" s="64">
        <v>1</v>
      </c>
    </row>
    <row r="9094" spans="1:5">
      <c r="A9094" s="64" t="s">
        <v>46</v>
      </c>
      <c r="B9094" s="69">
        <v>43683</v>
      </c>
      <c r="C9094" s="64" t="s">
        <v>217</v>
      </c>
      <c r="D9094" s="64" t="s">
        <v>47</v>
      </c>
      <c r="E9094" s="64">
        <v>1</v>
      </c>
    </row>
    <row r="9095" spans="1:5">
      <c r="A9095" s="64" t="s">
        <v>46</v>
      </c>
      <c r="B9095" s="69">
        <v>43684</v>
      </c>
      <c r="C9095" s="64" t="s">
        <v>218</v>
      </c>
      <c r="D9095" s="64" t="s">
        <v>47</v>
      </c>
      <c r="E9095" s="64">
        <v>1</v>
      </c>
    </row>
    <row r="9096" spans="1:5">
      <c r="A9096" s="64" t="s">
        <v>46</v>
      </c>
      <c r="B9096" s="69">
        <v>43685</v>
      </c>
      <c r="C9096" s="64" t="s">
        <v>219</v>
      </c>
      <c r="D9096" s="64" t="s">
        <v>47</v>
      </c>
      <c r="E9096" s="64">
        <v>1</v>
      </c>
    </row>
    <row r="9097" spans="1:5">
      <c r="A9097" s="64" t="s">
        <v>46</v>
      </c>
      <c r="B9097" s="69">
        <v>43686</v>
      </c>
      <c r="C9097" s="64" t="s">
        <v>220</v>
      </c>
      <c r="D9097" s="64" t="s">
        <v>47</v>
      </c>
      <c r="E9097" s="64">
        <v>1</v>
      </c>
    </row>
    <row r="9098" spans="1:5">
      <c r="A9098" s="64" t="s">
        <v>46</v>
      </c>
      <c r="B9098" s="69">
        <v>43687</v>
      </c>
      <c r="C9098" s="64" t="s">
        <v>221</v>
      </c>
      <c r="D9098" s="64" t="s">
        <v>47</v>
      </c>
      <c r="E9098" s="64">
        <v>1</v>
      </c>
    </row>
    <row r="9099" spans="1:5">
      <c r="A9099" s="64" t="s">
        <v>46</v>
      </c>
      <c r="B9099" s="69">
        <v>43688</v>
      </c>
      <c r="C9099" s="64" t="s">
        <v>222</v>
      </c>
      <c r="D9099" s="64" t="s">
        <v>47</v>
      </c>
      <c r="E9099" s="64">
        <v>1</v>
      </c>
    </row>
    <row r="9100" spans="1:5">
      <c r="A9100" s="64" t="s">
        <v>46</v>
      </c>
      <c r="B9100" s="69">
        <v>43689</v>
      </c>
      <c r="C9100" s="64" t="s">
        <v>216</v>
      </c>
      <c r="D9100" s="64" t="s">
        <v>47</v>
      </c>
      <c r="E9100" s="64">
        <v>1</v>
      </c>
    </row>
    <row r="9101" spans="1:5">
      <c r="A9101" s="64" t="s">
        <v>46</v>
      </c>
      <c r="B9101" s="69">
        <v>43690</v>
      </c>
      <c r="C9101" s="64" t="s">
        <v>217</v>
      </c>
      <c r="D9101" s="64" t="s">
        <v>47</v>
      </c>
      <c r="E9101" s="64">
        <v>1</v>
      </c>
    </row>
    <row r="9102" spans="1:5">
      <c r="A9102" s="64" t="s">
        <v>46</v>
      </c>
      <c r="B9102" s="69">
        <v>43691</v>
      </c>
      <c r="C9102" s="64" t="s">
        <v>218</v>
      </c>
      <c r="D9102" s="64" t="s">
        <v>47</v>
      </c>
      <c r="E9102" s="64">
        <v>1</v>
      </c>
    </row>
    <row r="9103" spans="1:5">
      <c r="A9103" s="64" t="s">
        <v>46</v>
      </c>
      <c r="B9103" s="69">
        <v>43692</v>
      </c>
      <c r="C9103" s="64" t="s">
        <v>219</v>
      </c>
      <c r="D9103" s="64" t="s">
        <v>47</v>
      </c>
      <c r="E9103" s="64">
        <v>1</v>
      </c>
    </row>
    <row r="9104" spans="1:5">
      <c r="A9104" s="64" t="s">
        <v>46</v>
      </c>
      <c r="B9104" s="69">
        <v>43693</v>
      </c>
      <c r="C9104" s="64" t="s">
        <v>220</v>
      </c>
      <c r="D9104" s="64" t="s">
        <v>47</v>
      </c>
      <c r="E9104" s="64">
        <v>1</v>
      </c>
    </row>
    <row r="9105" spans="1:5">
      <c r="A9105" s="64" t="s">
        <v>46</v>
      </c>
      <c r="B9105" s="69">
        <v>43694</v>
      </c>
      <c r="C9105" s="64" t="s">
        <v>221</v>
      </c>
      <c r="D9105" s="64" t="s">
        <v>47</v>
      </c>
      <c r="E9105" s="64">
        <v>1</v>
      </c>
    </row>
    <row r="9106" spans="1:5">
      <c r="A9106" s="64" t="s">
        <v>46</v>
      </c>
      <c r="B9106" s="69">
        <v>43695</v>
      </c>
      <c r="C9106" s="64" t="s">
        <v>222</v>
      </c>
      <c r="D9106" s="64" t="s">
        <v>47</v>
      </c>
      <c r="E9106" s="64">
        <v>1</v>
      </c>
    </row>
    <row r="9107" spans="1:5">
      <c r="A9107" s="64" t="s">
        <v>46</v>
      </c>
      <c r="B9107" s="69">
        <v>43696</v>
      </c>
      <c r="C9107" s="64" t="s">
        <v>216</v>
      </c>
      <c r="D9107" s="64" t="s">
        <v>47</v>
      </c>
      <c r="E9107" s="64">
        <v>1</v>
      </c>
    </row>
    <row r="9108" spans="1:5">
      <c r="A9108" s="64" t="s">
        <v>46</v>
      </c>
      <c r="B9108" s="69">
        <v>43697</v>
      </c>
      <c r="C9108" s="64" t="s">
        <v>217</v>
      </c>
      <c r="D9108" s="64" t="s">
        <v>47</v>
      </c>
      <c r="E9108" s="64">
        <v>1</v>
      </c>
    </row>
    <row r="9109" spans="1:5">
      <c r="A9109" s="64" t="s">
        <v>46</v>
      </c>
      <c r="B9109" s="69">
        <v>43698</v>
      </c>
      <c r="C9109" s="64" t="s">
        <v>218</v>
      </c>
      <c r="D9109" s="64" t="s">
        <v>47</v>
      </c>
      <c r="E9109" s="64">
        <v>1</v>
      </c>
    </row>
    <row r="9110" spans="1:5">
      <c r="A9110" s="64" t="s">
        <v>46</v>
      </c>
      <c r="B9110" s="69">
        <v>43699</v>
      </c>
      <c r="C9110" s="64" t="s">
        <v>219</v>
      </c>
      <c r="D9110" s="64" t="s">
        <v>47</v>
      </c>
      <c r="E9110" s="64">
        <v>1</v>
      </c>
    </row>
    <row r="9111" spans="1:5">
      <c r="A9111" s="64" t="s">
        <v>46</v>
      </c>
      <c r="B9111" s="69">
        <v>43700</v>
      </c>
      <c r="C9111" s="64" t="s">
        <v>220</v>
      </c>
      <c r="D9111" s="64" t="s">
        <v>47</v>
      </c>
      <c r="E9111" s="64">
        <v>1</v>
      </c>
    </row>
    <row r="9112" spans="1:5">
      <c r="A9112" s="64" t="s">
        <v>46</v>
      </c>
      <c r="B9112" s="69">
        <v>43701</v>
      </c>
      <c r="C9112" s="64" t="s">
        <v>221</v>
      </c>
      <c r="D9112" s="64" t="s">
        <v>47</v>
      </c>
      <c r="E9112" s="64">
        <v>1</v>
      </c>
    </row>
    <row r="9113" spans="1:5">
      <c r="A9113" s="64" t="s">
        <v>46</v>
      </c>
      <c r="B9113" s="69">
        <v>43702</v>
      </c>
      <c r="C9113" s="64" t="s">
        <v>222</v>
      </c>
      <c r="D9113" s="64" t="s">
        <v>47</v>
      </c>
      <c r="E9113" s="64">
        <v>1</v>
      </c>
    </row>
    <row r="9114" spans="1:5">
      <c r="A9114" s="64" t="s">
        <v>46</v>
      </c>
      <c r="B9114" s="69">
        <v>43703</v>
      </c>
      <c r="C9114" s="64" t="s">
        <v>216</v>
      </c>
      <c r="D9114" s="64" t="s">
        <v>47</v>
      </c>
      <c r="E9114" s="64">
        <v>1</v>
      </c>
    </row>
    <row r="9115" spans="1:5">
      <c r="A9115" s="64" t="s">
        <v>46</v>
      </c>
      <c r="B9115" s="69">
        <v>43704</v>
      </c>
      <c r="C9115" s="64" t="s">
        <v>217</v>
      </c>
      <c r="D9115" s="64" t="s">
        <v>47</v>
      </c>
      <c r="E9115" s="64">
        <v>1</v>
      </c>
    </row>
    <row r="9116" spans="1:5">
      <c r="A9116" s="64" t="s">
        <v>46</v>
      </c>
      <c r="B9116" s="69">
        <v>43705</v>
      </c>
      <c r="C9116" s="64" t="s">
        <v>218</v>
      </c>
      <c r="D9116" s="64" t="s">
        <v>47</v>
      </c>
      <c r="E9116" s="64">
        <v>1</v>
      </c>
    </row>
    <row r="9117" spans="1:5">
      <c r="A9117" s="64" t="s">
        <v>46</v>
      </c>
      <c r="B9117" s="69">
        <v>43706</v>
      </c>
      <c r="C9117" s="64" t="s">
        <v>219</v>
      </c>
      <c r="D9117" s="64" t="s">
        <v>47</v>
      </c>
      <c r="E9117" s="64">
        <v>1</v>
      </c>
    </row>
    <row r="9118" spans="1:5">
      <c r="A9118" s="64" t="s">
        <v>46</v>
      </c>
      <c r="B9118" s="69">
        <v>43707</v>
      </c>
      <c r="C9118" s="64" t="s">
        <v>220</v>
      </c>
      <c r="D9118" s="64" t="s">
        <v>47</v>
      </c>
      <c r="E9118" s="64">
        <v>1</v>
      </c>
    </row>
    <row r="9119" spans="1:5">
      <c r="A9119" s="64" t="s">
        <v>46</v>
      </c>
      <c r="B9119" s="69">
        <v>43708</v>
      </c>
      <c r="C9119" s="64" t="s">
        <v>221</v>
      </c>
      <c r="D9119" s="64" t="s">
        <v>47</v>
      </c>
      <c r="E9119" s="64">
        <v>1</v>
      </c>
    </row>
    <row r="9120" spans="1:5">
      <c r="A9120" s="64" t="s">
        <v>46</v>
      </c>
      <c r="B9120" s="69">
        <v>43709</v>
      </c>
      <c r="C9120" s="64" t="s">
        <v>222</v>
      </c>
      <c r="D9120" s="64" t="s">
        <v>47</v>
      </c>
      <c r="E9120" s="64">
        <v>1</v>
      </c>
    </row>
    <row r="9121" spans="1:5">
      <c r="A9121" s="64" t="s">
        <v>46</v>
      </c>
      <c r="B9121" s="69">
        <v>43710</v>
      </c>
      <c r="C9121" s="64" t="s">
        <v>216</v>
      </c>
      <c r="D9121" s="64" t="s">
        <v>47</v>
      </c>
      <c r="E9121" s="64">
        <v>1</v>
      </c>
    </row>
    <row r="9122" spans="1:5">
      <c r="A9122" s="64" t="s">
        <v>46</v>
      </c>
      <c r="B9122" s="69">
        <v>43711</v>
      </c>
      <c r="C9122" s="64" t="s">
        <v>217</v>
      </c>
      <c r="D9122" s="64" t="s">
        <v>47</v>
      </c>
      <c r="E9122" s="64">
        <v>1</v>
      </c>
    </row>
    <row r="9123" spans="1:5">
      <c r="A9123" s="64" t="s">
        <v>46</v>
      </c>
      <c r="B9123" s="69">
        <v>43712</v>
      </c>
      <c r="C9123" s="64" t="s">
        <v>218</v>
      </c>
      <c r="D9123" s="64" t="s">
        <v>47</v>
      </c>
      <c r="E9123" s="64">
        <v>1</v>
      </c>
    </row>
    <row r="9124" spans="1:5">
      <c r="A9124" s="64" t="s">
        <v>46</v>
      </c>
      <c r="B9124" s="69">
        <v>43713</v>
      </c>
      <c r="C9124" s="64" t="s">
        <v>219</v>
      </c>
      <c r="D9124" s="64" t="s">
        <v>47</v>
      </c>
      <c r="E9124" s="64">
        <v>1</v>
      </c>
    </row>
    <row r="9125" spans="1:5">
      <c r="A9125" s="64" t="s">
        <v>46</v>
      </c>
      <c r="B9125" s="69">
        <v>43714</v>
      </c>
      <c r="C9125" s="64" t="s">
        <v>220</v>
      </c>
      <c r="D9125" s="64" t="s">
        <v>47</v>
      </c>
      <c r="E9125" s="64">
        <v>1</v>
      </c>
    </row>
    <row r="9126" spans="1:5">
      <c r="A9126" s="64" t="s">
        <v>46</v>
      </c>
      <c r="B9126" s="69">
        <v>43715</v>
      </c>
      <c r="C9126" s="64" t="s">
        <v>221</v>
      </c>
      <c r="D9126" s="64" t="s">
        <v>47</v>
      </c>
      <c r="E9126" s="64">
        <v>1</v>
      </c>
    </row>
    <row r="9127" spans="1:5">
      <c r="A9127" s="64" t="s">
        <v>46</v>
      </c>
      <c r="B9127" s="69">
        <v>43716</v>
      </c>
      <c r="C9127" s="64" t="s">
        <v>222</v>
      </c>
      <c r="D9127" s="64" t="s">
        <v>47</v>
      </c>
      <c r="E9127" s="64">
        <v>1</v>
      </c>
    </row>
    <row r="9128" spans="1:5">
      <c r="A9128" s="64" t="s">
        <v>46</v>
      </c>
      <c r="B9128" s="69">
        <v>43717</v>
      </c>
      <c r="C9128" s="64" t="s">
        <v>216</v>
      </c>
      <c r="D9128" s="64" t="s">
        <v>47</v>
      </c>
      <c r="E9128" s="64">
        <v>1</v>
      </c>
    </row>
    <row r="9129" spans="1:5">
      <c r="A9129" s="64" t="s">
        <v>46</v>
      </c>
      <c r="B9129" s="69">
        <v>43718</v>
      </c>
      <c r="C9129" s="64" t="s">
        <v>217</v>
      </c>
      <c r="D9129" s="64" t="s">
        <v>47</v>
      </c>
      <c r="E9129" s="64">
        <v>1</v>
      </c>
    </row>
    <row r="9130" spans="1:5">
      <c r="A9130" s="64" t="s">
        <v>46</v>
      </c>
      <c r="B9130" s="69">
        <v>43719</v>
      </c>
      <c r="C9130" s="64" t="s">
        <v>218</v>
      </c>
      <c r="D9130" s="64" t="s">
        <v>47</v>
      </c>
      <c r="E9130" s="64">
        <v>1</v>
      </c>
    </row>
    <row r="9131" spans="1:5">
      <c r="A9131" s="64" t="s">
        <v>46</v>
      </c>
      <c r="B9131" s="69">
        <v>43720</v>
      </c>
      <c r="C9131" s="64" t="s">
        <v>219</v>
      </c>
      <c r="D9131" s="64" t="s">
        <v>47</v>
      </c>
      <c r="E9131" s="64">
        <v>1</v>
      </c>
    </row>
    <row r="9132" spans="1:5">
      <c r="A9132" s="64" t="s">
        <v>46</v>
      </c>
      <c r="B9132" s="69">
        <v>43721</v>
      </c>
      <c r="C9132" s="64" t="s">
        <v>220</v>
      </c>
      <c r="D9132" s="64" t="s">
        <v>47</v>
      </c>
      <c r="E9132" s="64">
        <v>1</v>
      </c>
    </row>
    <row r="9133" spans="1:5">
      <c r="A9133" s="64" t="s">
        <v>46</v>
      </c>
      <c r="B9133" s="69">
        <v>43722</v>
      </c>
      <c r="C9133" s="64" t="s">
        <v>221</v>
      </c>
      <c r="D9133" s="64" t="s">
        <v>47</v>
      </c>
      <c r="E9133" s="64">
        <v>1</v>
      </c>
    </row>
    <row r="9134" spans="1:5">
      <c r="A9134" s="64" t="s">
        <v>46</v>
      </c>
      <c r="B9134" s="69">
        <v>43723</v>
      </c>
      <c r="C9134" s="64" t="s">
        <v>222</v>
      </c>
      <c r="D9134" s="64" t="s">
        <v>47</v>
      </c>
      <c r="E9134" s="64">
        <v>1</v>
      </c>
    </row>
    <row r="9135" spans="1:5">
      <c r="A9135" s="64" t="s">
        <v>46</v>
      </c>
      <c r="B9135" s="69">
        <v>43724</v>
      </c>
      <c r="C9135" s="64" t="s">
        <v>216</v>
      </c>
      <c r="D9135" s="64" t="s">
        <v>47</v>
      </c>
      <c r="E9135" s="64">
        <v>1</v>
      </c>
    </row>
    <row r="9136" spans="1:5">
      <c r="A9136" s="64" t="s">
        <v>46</v>
      </c>
      <c r="B9136" s="69">
        <v>43725</v>
      </c>
      <c r="C9136" s="64" t="s">
        <v>217</v>
      </c>
      <c r="D9136" s="64" t="s">
        <v>47</v>
      </c>
      <c r="E9136" s="64">
        <v>1</v>
      </c>
    </row>
    <row r="9137" spans="1:5">
      <c r="A9137" s="64" t="s">
        <v>46</v>
      </c>
      <c r="B9137" s="69">
        <v>43726</v>
      </c>
      <c r="C9137" s="64" t="s">
        <v>218</v>
      </c>
      <c r="D9137" s="64" t="s">
        <v>47</v>
      </c>
      <c r="E9137" s="64">
        <v>1</v>
      </c>
    </row>
    <row r="9138" spans="1:5">
      <c r="A9138" s="64" t="s">
        <v>46</v>
      </c>
      <c r="B9138" s="69">
        <v>43727</v>
      </c>
      <c r="C9138" s="64" t="s">
        <v>219</v>
      </c>
      <c r="D9138" s="64" t="s">
        <v>47</v>
      </c>
      <c r="E9138" s="64">
        <v>1</v>
      </c>
    </row>
    <row r="9139" spans="1:5">
      <c r="A9139" s="64" t="s">
        <v>46</v>
      </c>
      <c r="B9139" s="69">
        <v>43728</v>
      </c>
      <c r="C9139" s="64" t="s">
        <v>220</v>
      </c>
      <c r="D9139" s="64" t="s">
        <v>47</v>
      </c>
      <c r="E9139" s="64">
        <v>1</v>
      </c>
    </row>
    <row r="9140" spans="1:5">
      <c r="A9140" s="64" t="s">
        <v>46</v>
      </c>
      <c r="B9140" s="69">
        <v>43729</v>
      </c>
      <c r="C9140" s="64" t="s">
        <v>221</v>
      </c>
      <c r="D9140" s="64" t="s">
        <v>47</v>
      </c>
      <c r="E9140" s="64">
        <v>1</v>
      </c>
    </row>
    <row r="9141" spans="1:5">
      <c r="A9141" s="64" t="s">
        <v>46</v>
      </c>
      <c r="B9141" s="69">
        <v>43730</v>
      </c>
      <c r="C9141" s="64" t="s">
        <v>222</v>
      </c>
      <c r="D9141" s="64" t="s">
        <v>47</v>
      </c>
      <c r="E9141" s="64">
        <v>1</v>
      </c>
    </row>
    <row r="9142" spans="1:5">
      <c r="A9142" s="64" t="s">
        <v>46</v>
      </c>
      <c r="B9142" s="69">
        <v>43731</v>
      </c>
      <c r="C9142" s="64" t="s">
        <v>216</v>
      </c>
      <c r="D9142" s="64" t="s">
        <v>47</v>
      </c>
      <c r="E9142" s="64">
        <v>1</v>
      </c>
    </row>
    <row r="9143" spans="1:5">
      <c r="A9143" s="64" t="s">
        <v>46</v>
      </c>
      <c r="B9143" s="69">
        <v>43732</v>
      </c>
      <c r="C9143" s="64" t="s">
        <v>217</v>
      </c>
      <c r="D9143" s="64" t="s">
        <v>47</v>
      </c>
      <c r="E9143" s="64">
        <v>1</v>
      </c>
    </row>
    <row r="9144" spans="1:5">
      <c r="A9144" s="64" t="s">
        <v>46</v>
      </c>
      <c r="B9144" s="69">
        <v>43733</v>
      </c>
      <c r="C9144" s="64" t="s">
        <v>218</v>
      </c>
      <c r="D9144" s="64" t="s">
        <v>47</v>
      </c>
      <c r="E9144" s="64">
        <v>1</v>
      </c>
    </row>
    <row r="9145" spans="1:5">
      <c r="A9145" s="64" t="s">
        <v>46</v>
      </c>
      <c r="B9145" s="69">
        <v>43734</v>
      </c>
      <c r="C9145" s="64" t="s">
        <v>219</v>
      </c>
      <c r="D9145" s="64" t="s">
        <v>47</v>
      </c>
      <c r="E9145" s="64">
        <v>1</v>
      </c>
    </row>
    <row r="9146" spans="1:5">
      <c r="A9146" s="64" t="s">
        <v>46</v>
      </c>
      <c r="B9146" s="69">
        <v>43735</v>
      </c>
      <c r="C9146" s="64" t="s">
        <v>220</v>
      </c>
      <c r="D9146" s="64" t="s">
        <v>47</v>
      </c>
      <c r="E9146" s="64">
        <v>1</v>
      </c>
    </row>
    <row r="9147" spans="1:5">
      <c r="A9147" s="64" t="s">
        <v>46</v>
      </c>
      <c r="B9147" s="69">
        <v>43736</v>
      </c>
      <c r="C9147" s="64" t="s">
        <v>221</v>
      </c>
      <c r="D9147" s="64" t="s">
        <v>47</v>
      </c>
      <c r="E9147" s="64">
        <v>1</v>
      </c>
    </row>
    <row r="9148" spans="1:5">
      <c r="A9148" s="64" t="s">
        <v>46</v>
      </c>
      <c r="B9148" s="69">
        <v>43737</v>
      </c>
      <c r="C9148" s="64" t="s">
        <v>222</v>
      </c>
      <c r="D9148" s="64" t="s">
        <v>47</v>
      </c>
      <c r="E9148" s="64">
        <v>1</v>
      </c>
    </row>
    <row r="9149" spans="1:5">
      <c r="A9149" s="64" t="s">
        <v>46</v>
      </c>
      <c r="B9149" s="69">
        <v>43738</v>
      </c>
      <c r="C9149" s="64" t="s">
        <v>216</v>
      </c>
      <c r="D9149" s="64" t="s">
        <v>47</v>
      </c>
      <c r="E9149" s="64">
        <v>1</v>
      </c>
    </row>
    <row r="9150" spans="1:5">
      <c r="A9150" s="64" t="s">
        <v>46</v>
      </c>
      <c r="B9150" s="69">
        <v>43739</v>
      </c>
      <c r="C9150" s="64" t="s">
        <v>217</v>
      </c>
      <c r="D9150" s="64" t="s">
        <v>47</v>
      </c>
      <c r="E9150" s="64">
        <v>1</v>
      </c>
    </row>
    <row r="9151" spans="1:5">
      <c r="A9151" s="64" t="s">
        <v>46</v>
      </c>
      <c r="B9151" s="69">
        <v>43740</v>
      </c>
      <c r="C9151" s="64" t="s">
        <v>218</v>
      </c>
      <c r="D9151" s="64" t="s">
        <v>47</v>
      </c>
      <c r="E9151" s="64">
        <v>1</v>
      </c>
    </row>
    <row r="9152" spans="1:5">
      <c r="A9152" s="64" t="s">
        <v>46</v>
      </c>
      <c r="B9152" s="69">
        <v>43741</v>
      </c>
      <c r="C9152" s="64" t="s">
        <v>219</v>
      </c>
      <c r="D9152" s="64" t="s">
        <v>47</v>
      </c>
      <c r="E9152" s="64">
        <v>1</v>
      </c>
    </row>
    <row r="9153" spans="1:5">
      <c r="A9153" s="64" t="s">
        <v>46</v>
      </c>
      <c r="B9153" s="69">
        <v>43742</v>
      </c>
      <c r="C9153" s="64" t="s">
        <v>220</v>
      </c>
      <c r="D9153" s="64" t="s">
        <v>47</v>
      </c>
      <c r="E9153" s="64">
        <v>1</v>
      </c>
    </row>
    <row r="9154" spans="1:5">
      <c r="A9154" s="64" t="s">
        <v>46</v>
      </c>
      <c r="B9154" s="69">
        <v>43743</v>
      </c>
      <c r="C9154" s="64" t="s">
        <v>221</v>
      </c>
      <c r="D9154" s="64" t="s">
        <v>47</v>
      </c>
      <c r="E9154" s="64">
        <v>1</v>
      </c>
    </row>
    <row r="9155" spans="1:5">
      <c r="A9155" s="64" t="s">
        <v>46</v>
      </c>
      <c r="B9155" s="69">
        <v>43744</v>
      </c>
      <c r="C9155" s="64" t="s">
        <v>222</v>
      </c>
      <c r="D9155" s="64" t="s">
        <v>47</v>
      </c>
      <c r="E9155" s="64">
        <v>1</v>
      </c>
    </row>
    <row r="9156" spans="1:5">
      <c r="A9156" s="64" t="s">
        <v>46</v>
      </c>
      <c r="B9156" s="69">
        <v>43745</v>
      </c>
      <c r="C9156" s="64" t="s">
        <v>216</v>
      </c>
      <c r="D9156" s="64" t="s">
        <v>47</v>
      </c>
      <c r="E9156" s="64">
        <v>1</v>
      </c>
    </row>
    <row r="9157" spans="1:5">
      <c r="A9157" s="64" t="s">
        <v>46</v>
      </c>
      <c r="B9157" s="69">
        <v>43746</v>
      </c>
      <c r="C9157" s="64" t="s">
        <v>217</v>
      </c>
      <c r="D9157" s="64" t="s">
        <v>47</v>
      </c>
      <c r="E9157" s="64">
        <v>1</v>
      </c>
    </row>
    <row r="9158" spans="1:5">
      <c r="A9158" s="64" t="s">
        <v>46</v>
      </c>
      <c r="B9158" s="69">
        <v>43747</v>
      </c>
      <c r="C9158" s="64" t="s">
        <v>218</v>
      </c>
      <c r="D9158" s="64" t="s">
        <v>47</v>
      </c>
      <c r="E9158" s="64">
        <v>1</v>
      </c>
    </row>
    <row r="9159" spans="1:5">
      <c r="A9159" s="64" t="s">
        <v>46</v>
      </c>
      <c r="B9159" s="69">
        <v>43748</v>
      </c>
      <c r="C9159" s="64" t="s">
        <v>219</v>
      </c>
      <c r="D9159" s="64" t="s">
        <v>47</v>
      </c>
      <c r="E9159" s="64">
        <v>1</v>
      </c>
    </row>
    <row r="9160" spans="1:5">
      <c r="A9160" s="64" t="s">
        <v>46</v>
      </c>
      <c r="B9160" s="69">
        <v>43749</v>
      </c>
      <c r="C9160" s="64" t="s">
        <v>220</v>
      </c>
      <c r="D9160" s="64" t="s">
        <v>47</v>
      </c>
      <c r="E9160" s="64">
        <v>1</v>
      </c>
    </row>
    <row r="9161" spans="1:5">
      <c r="A9161" s="64" t="s">
        <v>46</v>
      </c>
      <c r="B9161" s="69">
        <v>43750</v>
      </c>
      <c r="C9161" s="64" t="s">
        <v>221</v>
      </c>
      <c r="D9161" s="64" t="s">
        <v>47</v>
      </c>
      <c r="E9161" s="64">
        <v>1</v>
      </c>
    </row>
    <row r="9162" spans="1:5">
      <c r="A9162" s="64" t="s">
        <v>46</v>
      </c>
      <c r="B9162" s="69">
        <v>43751</v>
      </c>
      <c r="C9162" s="64" t="s">
        <v>222</v>
      </c>
      <c r="D9162" s="64" t="s">
        <v>47</v>
      </c>
      <c r="E9162" s="64">
        <v>1</v>
      </c>
    </row>
    <row r="9163" spans="1:5">
      <c r="A9163" s="64" t="s">
        <v>46</v>
      </c>
      <c r="B9163" s="69">
        <v>43752</v>
      </c>
      <c r="C9163" s="64" t="s">
        <v>216</v>
      </c>
      <c r="D9163" s="64" t="s">
        <v>47</v>
      </c>
      <c r="E9163" s="64">
        <v>1</v>
      </c>
    </row>
    <row r="9164" spans="1:5">
      <c r="A9164" s="64" t="s">
        <v>46</v>
      </c>
      <c r="B9164" s="69">
        <v>43753</v>
      </c>
      <c r="C9164" s="64" t="s">
        <v>217</v>
      </c>
      <c r="D9164" s="64" t="s">
        <v>47</v>
      </c>
      <c r="E9164" s="64">
        <v>1</v>
      </c>
    </row>
    <row r="9165" spans="1:5">
      <c r="A9165" s="64" t="s">
        <v>46</v>
      </c>
      <c r="B9165" s="69">
        <v>43754</v>
      </c>
      <c r="C9165" s="64" t="s">
        <v>218</v>
      </c>
      <c r="D9165" s="64" t="s">
        <v>47</v>
      </c>
      <c r="E9165" s="64">
        <v>1</v>
      </c>
    </row>
    <row r="9166" spans="1:5">
      <c r="A9166" s="64" t="s">
        <v>46</v>
      </c>
      <c r="B9166" s="69">
        <v>43755</v>
      </c>
      <c r="C9166" s="64" t="s">
        <v>219</v>
      </c>
      <c r="D9166" s="64" t="s">
        <v>47</v>
      </c>
      <c r="E9166" s="64">
        <v>1</v>
      </c>
    </row>
    <row r="9167" spans="1:5">
      <c r="A9167" s="64" t="s">
        <v>46</v>
      </c>
      <c r="B9167" s="69">
        <v>43756</v>
      </c>
      <c r="C9167" s="64" t="s">
        <v>220</v>
      </c>
      <c r="D9167" s="64" t="s">
        <v>47</v>
      </c>
      <c r="E9167" s="64">
        <v>1</v>
      </c>
    </row>
    <row r="9168" spans="1:5">
      <c r="A9168" s="64" t="s">
        <v>46</v>
      </c>
      <c r="B9168" s="69">
        <v>43757</v>
      </c>
      <c r="C9168" s="64" t="s">
        <v>221</v>
      </c>
      <c r="D9168" s="64" t="s">
        <v>47</v>
      </c>
      <c r="E9168" s="64">
        <v>1</v>
      </c>
    </row>
    <row r="9169" spans="1:5">
      <c r="A9169" s="64" t="s">
        <v>46</v>
      </c>
      <c r="B9169" s="69">
        <v>43758</v>
      </c>
      <c r="C9169" s="64" t="s">
        <v>222</v>
      </c>
      <c r="D9169" s="64" t="s">
        <v>47</v>
      </c>
      <c r="E9169" s="64">
        <v>1</v>
      </c>
    </row>
    <row r="9170" spans="1:5">
      <c r="A9170" s="64" t="s">
        <v>46</v>
      </c>
      <c r="B9170" s="69">
        <v>43759</v>
      </c>
      <c r="C9170" s="64" t="s">
        <v>216</v>
      </c>
      <c r="D9170" s="64" t="s">
        <v>47</v>
      </c>
      <c r="E9170" s="64">
        <v>1</v>
      </c>
    </row>
    <row r="9171" spans="1:5">
      <c r="A9171" s="64" t="s">
        <v>46</v>
      </c>
      <c r="B9171" s="69">
        <v>43760</v>
      </c>
      <c r="C9171" s="64" t="s">
        <v>217</v>
      </c>
      <c r="D9171" s="64" t="s">
        <v>47</v>
      </c>
      <c r="E9171" s="64">
        <v>1</v>
      </c>
    </row>
    <row r="9172" spans="1:5">
      <c r="A9172" s="64" t="s">
        <v>46</v>
      </c>
      <c r="B9172" s="69">
        <v>43761</v>
      </c>
      <c r="C9172" s="64" t="s">
        <v>218</v>
      </c>
      <c r="D9172" s="64" t="s">
        <v>47</v>
      </c>
      <c r="E9172" s="64">
        <v>1</v>
      </c>
    </row>
    <row r="9173" spans="1:5">
      <c r="A9173" s="64" t="s">
        <v>46</v>
      </c>
      <c r="B9173" s="69">
        <v>43762</v>
      </c>
      <c r="C9173" s="64" t="s">
        <v>219</v>
      </c>
      <c r="D9173" s="64" t="s">
        <v>47</v>
      </c>
      <c r="E9173" s="64">
        <v>1</v>
      </c>
    </row>
    <row r="9174" spans="1:5">
      <c r="A9174" s="64" t="s">
        <v>46</v>
      </c>
      <c r="B9174" s="69">
        <v>43763</v>
      </c>
      <c r="C9174" s="64" t="s">
        <v>220</v>
      </c>
      <c r="D9174" s="64" t="s">
        <v>47</v>
      </c>
      <c r="E9174" s="64">
        <v>1</v>
      </c>
    </row>
    <row r="9175" spans="1:5">
      <c r="A9175" s="64" t="s">
        <v>46</v>
      </c>
      <c r="B9175" s="69">
        <v>43764</v>
      </c>
      <c r="C9175" s="64" t="s">
        <v>221</v>
      </c>
      <c r="D9175" s="64" t="s">
        <v>47</v>
      </c>
      <c r="E9175" s="64">
        <v>1</v>
      </c>
    </row>
    <row r="9176" spans="1:5">
      <c r="A9176" s="64" t="s">
        <v>46</v>
      </c>
      <c r="B9176" s="69">
        <v>43765</v>
      </c>
      <c r="C9176" s="64" t="s">
        <v>222</v>
      </c>
      <c r="D9176" s="64" t="s">
        <v>47</v>
      </c>
      <c r="E9176" s="64">
        <v>1</v>
      </c>
    </row>
    <row r="9177" spans="1:5">
      <c r="A9177" s="64" t="s">
        <v>46</v>
      </c>
      <c r="B9177" s="69">
        <v>43766</v>
      </c>
      <c r="C9177" s="64" t="s">
        <v>216</v>
      </c>
      <c r="D9177" s="64" t="s">
        <v>47</v>
      </c>
      <c r="E9177" s="64">
        <v>1</v>
      </c>
    </row>
    <row r="9178" spans="1:5">
      <c r="A9178" s="64" t="s">
        <v>46</v>
      </c>
      <c r="B9178" s="69">
        <v>43767</v>
      </c>
      <c r="C9178" s="64" t="s">
        <v>217</v>
      </c>
      <c r="D9178" s="64" t="s">
        <v>47</v>
      </c>
      <c r="E9178" s="64">
        <v>1</v>
      </c>
    </row>
    <row r="9179" spans="1:5">
      <c r="A9179" s="64" t="s">
        <v>46</v>
      </c>
      <c r="B9179" s="69">
        <v>43768</v>
      </c>
      <c r="C9179" s="64" t="s">
        <v>218</v>
      </c>
      <c r="D9179" s="64" t="s">
        <v>47</v>
      </c>
      <c r="E9179" s="64">
        <v>1</v>
      </c>
    </row>
    <row r="9180" spans="1:5">
      <c r="A9180" s="64" t="s">
        <v>46</v>
      </c>
      <c r="B9180" s="69">
        <v>43769</v>
      </c>
      <c r="C9180" s="64" t="s">
        <v>219</v>
      </c>
      <c r="D9180" s="64" t="s">
        <v>47</v>
      </c>
      <c r="E9180" s="64">
        <v>1</v>
      </c>
    </row>
    <row r="9181" spans="1:5">
      <c r="A9181" s="64" t="s">
        <v>46</v>
      </c>
      <c r="B9181" s="69">
        <v>43770</v>
      </c>
      <c r="C9181" s="64" t="s">
        <v>220</v>
      </c>
      <c r="D9181" s="64" t="s">
        <v>47</v>
      </c>
      <c r="E9181" s="64">
        <v>1</v>
      </c>
    </row>
    <row r="9182" spans="1:5">
      <c r="A9182" s="64" t="s">
        <v>46</v>
      </c>
      <c r="B9182" s="69">
        <v>43771</v>
      </c>
      <c r="C9182" s="64" t="s">
        <v>221</v>
      </c>
      <c r="D9182" s="64" t="s">
        <v>47</v>
      </c>
      <c r="E9182" s="64">
        <v>1</v>
      </c>
    </row>
    <row r="9183" spans="1:5">
      <c r="A9183" s="64" t="s">
        <v>46</v>
      </c>
      <c r="B9183" s="69">
        <v>43772</v>
      </c>
      <c r="C9183" s="64" t="s">
        <v>222</v>
      </c>
      <c r="D9183" s="64" t="s">
        <v>47</v>
      </c>
      <c r="E9183" s="64">
        <v>1</v>
      </c>
    </row>
    <row r="9184" spans="1:5">
      <c r="A9184" s="64" t="s">
        <v>46</v>
      </c>
      <c r="B9184" s="69">
        <v>43773</v>
      </c>
      <c r="C9184" s="64" t="s">
        <v>216</v>
      </c>
      <c r="D9184" s="64" t="s">
        <v>47</v>
      </c>
      <c r="E9184" s="64">
        <v>1</v>
      </c>
    </row>
    <row r="9185" spans="1:5">
      <c r="A9185" s="64" t="s">
        <v>46</v>
      </c>
      <c r="B9185" s="69">
        <v>43774</v>
      </c>
      <c r="C9185" s="64" t="s">
        <v>217</v>
      </c>
      <c r="D9185" s="64" t="s">
        <v>47</v>
      </c>
      <c r="E9185" s="64">
        <v>1</v>
      </c>
    </row>
    <row r="9186" spans="1:5">
      <c r="A9186" s="64" t="s">
        <v>46</v>
      </c>
      <c r="B9186" s="69">
        <v>43775</v>
      </c>
      <c r="C9186" s="64" t="s">
        <v>218</v>
      </c>
      <c r="D9186" s="64" t="s">
        <v>47</v>
      </c>
      <c r="E9186" s="64">
        <v>1</v>
      </c>
    </row>
    <row r="9187" spans="1:5">
      <c r="A9187" s="64" t="s">
        <v>46</v>
      </c>
      <c r="B9187" s="69">
        <v>43776</v>
      </c>
      <c r="C9187" s="64" t="s">
        <v>219</v>
      </c>
      <c r="D9187" s="64" t="s">
        <v>47</v>
      </c>
      <c r="E9187" s="64">
        <v>1</v>
      </c>
    </row>
    <row r="9188" spans="1:5">
      <c r="A9188" s="64" t="s">
        <v>46</v>
      </c>
      <c r="B9188" s="69">
        <v>43777</v>
      </c>
      <c r="C9188" s="64" t="s">
        <v>220</v>
      </c>
      <c r="D9188" s="64" t="s">
        <v>47</v>
      </c>
      <c r="E9188" s="64">
        <v>1</v>
      </c>
    </row>
    <row r="9189" spans="1:5">
      <c r="A9189" s="64" t="s">
        <v>46</v>
      </c>
      <c r="B9189" s="69">
        <v>43778</v>
      </c>
      <c r="C9189" s="64" t="s">
        <v>221</v>
      </c>
      <c r="D9189" s="64" t="s">
        <v>47</v>
      </c>
      <c r="E9189" s="64">
        <v>1</v>
      </c>
    </row>
    <row r="9190" spans="1:5">
      <c r="A9190" s="64" t="s">
        <v>46</v>
      </c>
      <c r="B9190" s="69">
        <v>43779</v>
      </c>
      <c r="C9190" s="64" t="s">
        <v>222</v>
      </c>
      <c r="D9190" s="64" t="s">
        <v>47</v>
      </c>
      <c r="E9190" s="64">
        <v>1</v>
      </c>
    </row>
    <row r="9191" spans="1:5">
      <c r="A9191" s="64" t="s">
        <v>46</v>
      </c>
      <c r="B9191" s="69">
        <v>43780</v>
      </c>
      <c r="C9191" s="64" t="s">
        <v>216</v>
      </c>
      <c r="D9191" s="64" t="s">
        <v>47</v>
      </c>
      <c r="E9191" s="64">
        <v>1</v>
      </c>
    </row>
    <row r="9192" spans="1:5">
      <c r="A9192" s="64" t="s">
        <v>46</v>
      </c>
      <c r="B9192" s="69">
        <v>43781</v>
      </c>
      <c r="C9192" s="64" t="s">
        <v>217</v>
      </c>
      <c r="D9192" s="64" t="s">
        <v>47</v>
      </c>
      <c r="E9192" s="64">
        <v>1</v>
      </c>
    </row>
    <row r="9193" spans="1:5">
      <c r="A9193" s="64" t="s">
        <v>46</v>
      </c>
      <c r="B9193" s="69">
        <v>43782</v>
      </c>
      <c r="C9193" s="64" t="s">
        <v>218</v>
      </c>
      <c r="D9193" s="64" t="s">
        <v>47</v>
      </c>
      <c r="E9193" s="64">
        <v>1</v>
      </c>
    </row>
    <row r="9194" spans="1:5">
      <c r="A9194" s="64" t="s">
        <v>46</v>
      </c>
      <c r="B9194" s="69">
        <v>43783</v>
      </c>
      <c r="C9194" s="64" t="s">
        <v>219</v>
      </c>
      <c r="D9194" s="64" t="s">
        <v>47</v>
      </c>
      <c r="E9194" s="64">
        <v>1</v>
      </c>
    </row>
    <row r="9195" spans="1:5">
      <c r="A9195" s="64" t="s">
        <v>46</v>
      </c>
      <c r="B9195" s="69">
        <v>43784</v>
      </c>
      <c r="C9195" s="64" t="s">
        <v>220</v>
      </c>
      <c r="D9195" s="64" t="s">
        <v>47</v>
      </c>
      <c r="E9195" s="64">
        <v>1</v>
      </c>
    </row>
    <row r="9196" spans="1:5">
      <c r="A9196" s="64" t="s">
        <v>46</v>
      </c>
      <c r="B9196" s="69">
        <v>43785</v>
      </c>
      <c r="C9196" s="64" t="s">
        <v>221</v>
      </c>
      <c r="D9196" s="64" t="s">
        <v>47</v>
      </c>
      <c r="E9196" s="64">
        <v>1</v>
      </c>
    </row>
    <row r="9197" spans="1:5">
      <c r="A9197" s="64" t="s">
        <v>46</v>
      </c>
      <c r="B9197" s="69">
        <v>43786</v>
      </c>
      <c r="C9197" s="64" t="s">
        <v>222</v>
      </c>
      <c r="D9197" s="64" t="s">
        <v>47</v>
      </c>
      <c r="E9197" s="64">
        <v>1</v>
      </c>
    </row>
    <row r="9198" spans="1:5">
      <c r="A9198" s="64" t="s">
        <v>46</v>
      </c>
      <c r="B9198" s="69">
        <v>43787</v>
      </c>
      <c r="C9198" s="64" t="s">
        <v>216</v>
      </c>
      <c r="D9198" s="64" t="s">
        <v>47</v>
      </c>
      <c r="E9198" s="64">
        <v>1</v>
      </c>
    </row>
    <row r="9199" spans="1:5">
      <c r="A9199" s="64" t="s">
        <v>46</v>
      </c>
      <c r="B9199" s="69">
        <v>43788</v>
      </c>
      <c r="C9199" s="64" t="s">
        <v>217</v>
      </c>
      <c r="D9199" s="64" t="s">
        <v>47</v>
      </c>
      <c r="E9199" s="64">
        <v>1</v>
      </c>
    </row>
    <row r="9200" spans="1:5">
      <c r="A9200" s="64" t="s">
        <v>46</v>
      </c>
      <c r="B9200" s="69">
        <v>43789</v>
      </c>
      <c r="C9200" s="64" t="s">
        <v>218</v>
      </c>
      <c r="D9200" s="64" t="s">
        <v>47</v>
      </c>
      <c r="E9200" s="64">
        <v>1</v>
      </c>
    </row>
    <row r="9201" spans="1:5">
      <c r="A9201" s="64" t="s">
        <v>46</v>
      </c>
      <c r="B9201" s="69">
        <v>43790</v>
      </c>
      <c r="C9201" s="64" t="s">
        <v>219</v>
      </c>
      <c r="D9201" s="64" t="s">
        <v>47</v>
      </c>
      <c r="E9201" s="64">
        <v>1</v>
      </c>
    </row>
    <row r="9202" spans="1:5">
      <c r="A9202" s="64" t="s">
        <v>46</v>
      </c>
      <c r="B9202" s="69">
        <v>43791</v>
      </c>
      <c r="C9202" s="64" t="s">
        <v>220</v>
      </c>
      <c r="D9202" s="64" t="s">
        <v>47</v>
      </c>
      <c r="E9202" s="64">
        <v>1</v>
      </c>
    </row>
    <row r="9203" spans="1:5">
      <c r="A9203" s="64" t="s">
        <v>46</v>
      </c>
      <c r="B9203" s="69">
        <v>43792</v>
      </c>
      <c r="C9203" s="64" t="s">
        <v>221</v>
      </c>
      <c r="D9203" s="64" t="s">
        <v>47</v>
      </c>
      <c r="E9203" s="64">
        <v>1</v>
      </c>
    </row>
    <row r="9204" spans="1:5">
      <c r="A9204" s="64" t="s">
        <v>46</v>
      </c>
      <c r="B9204" s="69">
        <v>43793</v>
      </c>
      <c r="C9204" s="64" t="s">
        <v>222</v>
      </c>
      <c r="D9204" s="64" t="s">
        <v>47</v>
      </c>
      <c r="E9204" s="64">
        <v>1</v>
      </c>
    </row>
    <row r="9205" spans="1:5">
      <c r="A9205" s="64" t="s">
        <v>46</v>
      </c>
      <c r="B9205" s="69">
        <v>43794</v>
      </c>
      <c r="C9205" s="64" t="s">
        <v>216</v>
      </c>
      <c r="D9205" s="64" t="s">
        <v>47</v>
      </c>
      <c r="E9205" s="64">
        <v>1</v>
      </c>
    </row>
    <row r="9206" spans="1:5">
      <c r="A9206" s="64" t="s">
        <v>46</v>
      </c>
      <c r="B9206" s="69">
        <v>43795</v>
      </c>
      <c r="C9206" s="64" t="s">
        <v>217</v>
      </c>
      <c r="D9206" s="64" t="s">
        <v>47</v>
      </c>
      <c r="E9206" s="64">
        <v>1</v>
      </c>
    </row>
    <row r="9207" spans="1:5">
      <c r="A9207" s="64" t="s">
        <v>46</v>
      </c>
      <c r="B9207" s="69">
        <v>43796</v>
      </c>
      <c r="C9207" s="64" t="s">
        <v>218</v>
      </c>
      <c r="D9207" s="64" t="s">
        <v>47</v>
      </c>
      <c r="E9207" s="64">
        <v>1</v>
      </c>
    </row>
    <row r="9208" spans="1:5">
      <c r="A9208" s="64" t="s">
        <v>46</v>
      </c>
      <c r="B9208" s="69">
        <v>43797</v>
      </c>
      <c r="C9208" s="64" t="s">
        <v>219</v>
      </c>
      <c r="D9208" s="64" t="s">
        <v>47</v>
      </c>
      <c r="E9208" s="64">
        <v>1</v>
      </c>
    </row>
    <row r="9209" spans="1:5">
      <c r="A9209" s="64" t="s">
        <v>46</v>
      </c>
      <c r="B9209" s="69">
        <v>43798</v>
      </c>
      <c r="C9209" s="64" t="s">
        <v>220</v>
      </c>
      <c r="D9209" s="64" t="s">
        <v>47</v>
      </c>
      <c r="E9209" s="64">
        <v>1</v>
      </c>
    </row>
    <row r="9210" spans="1:5">
      <c r="A9210" s="64" t="s">
        <v>46</v>
      </c>
      <c r="B9210" s="69">
        <v>43799</v>
      </c>
      <c r="C9210" s="64" t="s">
        <v>221</v>
      </c>
      <c r="D9210" s="64" t="s">
        <v>47</v>
      </c>
      <c r="E9210" s="64">
        <v>1</v>
      </c>
    </row>
    <row r="9211" spans="1:5">
      <c r="A9211" s="64" t="s">
        <v>49</v>
      </c>
      <c r="B9211" s="69">
        <v>43398</v>
      </c>
      <c r="C9211" s="64" t="s">
        <v>219</v>
      </c>
      <c r="D9211" s="64" t="s">
        <v>10</v>
      </c>
      <c r="E9211" s="64">
        <v>1</v>
      </c>
    </row>
    <row r="9212" spans="1:5">
      <c r="A9212" s="64" t="s">
        <v>49</v>
      </c>
      <c r="B9212" s="69">
        <v>43399</v>
      </c>
      <c r="C9212" s="64" t="s">
        <v>220</v>
      </c>
      <c r="D9212" s="64" t="s">
        <v>10</v>
      </c>
      <c r="E9212" s="64">
        <v>1</v>
      </c>
    </row>
    <row r="9213" spans="1:5">
      <c r="A9213" s="64" t="s">
        <v>49</v>
      </c>
      <c r="B9213" s="69">
        <v>43402</v>
      </c>
      <c r="C9213" s="64" t="s">
        <v>216</v>
      </c>
      <c r="D9213" s="64" t="s">
        <v>10</v>
      </c>
      <c r="E9213" s="64">
        <v>1</v>
      </c>
    </row>
    <row r="9214" spans="1:5">
      <c r="A9214" s="64" t="s">
        <v>49</v>
      </c>
      <c r="B9214" s="69">
        <v>43403</v>
      </c>
      <c r="C9214" s="64" t="s">
        <v>217</v>
      </c>
      <c r="D9214" s="64" t="s">
        <v>10</v>
      </c>
      <c r="E9214" s="64">
        <v>1</v>
      </c>
    </row>
    <row r="9215" spans="1:5">
      <c r="A9215" s="64" t="s">
        <v>49</v>
      </c>
      <c r="B9215" s="69">
        <v>43404</v>
      </c>
      <c r="C9215" s="64" t="s">
        <v>218</v>
      </c>
      <c r="D9215" s="64" t="s">
        <v>10</v>
      </c>
      <c r="E9215" s="64">
        <v>1</v>
      </c>
    </row>
    <row r="9216" spans="1:5">
      <c r="A9216" s="64" t="s">
        <v>49</v>
      </c>
      <c r="B9216" s="69">
        <v>43405</v>
      </c>
      <c r="C9216" s="64" t="s">
        <v>219</v>
      </c>
      <c r="D9216" s="64" t="s">
        <v>10</v>
      </c>
      <c r="E9216" s="64">
        <v>1</v>
      </c>
    </row>
    <row r="9217" spans="1:5">
      <c r="A9217" s="64" t="s">
        <v>49</v>
      </c>
      <c r="B9217" s="69">
        <v>43406</v>
      </c>
      <c r="C9217" s="64" t="s">
        <v>220</v>
      </c>
      <c r="D9217" s="64" t="s">
        <v>10</v>
      </c>
      <c r="E9217" s="64">
        <v>1</v>
      </c>
    </row>
    <row r="9218" spans="1:5">
      <c r="A9218" s="64" t="s">
        <v>49</v>
      </c>
      <c r="B9218" s="69">
        <v>43409</v>
      </c>
      <c r="C9218" s="64" t="s">
        <v>216</v>
      </c>
      <c r="D9218" s="64" t="s">
        <v>10</v>
      </c>
      <c r="E9218" s="64">
        <v>1</v>
      </c>
    </row>
    <row r="9219" spans="1:5">
      <c r="A9219" s="64" t="s">
        <v>49</v>
      </c>
      <c r="B9219" s="69">
        <v>43410</v>
      </c>
      <c r="C9219" s="64" t="s">
        <v>217</v>
      </c>
      <c r="D9219" s="64" t="s">
        <v>10</v>
      </c>
      <c r="E9219" s="64">
        <v>1</v>
      </c>
    </row>
    <row r="9220" spans="1:5">
      <c r="A9220" s="64" t="s">
        <v>49</v>
      </c>
      <c r="B9220" s="69">
        <v>43411</v>
      </c>
      <c r="C9220" s="64" t="s">
        <v>218</v>
      </c>
      <c r="D9220" s="64" t="s">
        <v>10</v>
      </c>
      <c r="E9220" s="64">
        <v>1</v>
      </c>
    </row>
    <row r="9221" spans="1:5">
      <c r="A9221" s="64" t="s">
        <v>49</v>
      </c>
      <c r="B9221" s="69">
        <v>43412</v>
      </c>
      <c r="C9221" s="64" t="s">
        <v>219</v>
      </c>
      <c r="D9221" s="64" t="s">
        <v>10</v>
      </c>
      <c r="E9221" s="64">
        <v>1</v>
      </c>
    </row>
    <row r="9222" spans="1:5">
      <c r="A9222" s="64" t="s">
        <v>49</v>
      </c>
      <c r="B9222" s="69">
        <v>43413</v>
      </c>
      <c r="C9222" s="64" t="s">
        <v>220</v>
      </c>
      <c r="D9222" s="64" t="s">
        <v>10</v>
      </c>
      <c r="E9222" s="64">
        <v>1</v>
      </c>
    </row>
    <row r="9223" spans="1:5">
      <c r="A9223" s="64" t="s">
        <v>49</v>
      </c>
      <c r="B9223" s="69">
        <v>43416</v>
      </c>
      <c r="C9223" s="64" t="s">
        <v>216</v>
      </c>
      <c r="D9223" s="64" t="s">
        <v>10</v>
      </c>
      <c r="E9223" s="64">
        <v>1</v>
      </c>
    </row>
    <row r="9224" spans="1:5">
      <c r="A9224" s="64" t="s">
        <v>49</v>
      </c>
      <c r="B9224" s="69">
        <v>43417</v>
      </c>
      <c r="C9224" s="64" t="s">
        <v>217</v>
      </c>
      <c r="D9224" s="64" t="s">
        <v>10</v>
      </c>
      <c r="E9224" s="64">
        <v>1</v>
      </c>
    </row>
    <row r="9225" spans="1:5">
      <c r="A9225" s="64" t="s">
        <v>49</v>
      </c>
      <c r="B9225" s="69">
        <v>43418</v>
      </c>
      <c r="C9225" s="64" t="s">
        <v>218</v>
      </c>
      <c r="D9225" s="64" t="s">
        <v>10</v>
      </c>
      <c r="E9225" s="64">
        <v>1</v>
      </c>
    </row>
    <row r="9226" spans="1:5">
      <c r="A9226" s="64" t="s">
        <v>49</v>
      </c>
      <c r="B9226" s="69">
        <v>43419</v>
      </c>
      <c r="C9226" s="64" t="s">
        <v>219</v>
      </c>
      <c r="D9226" s="64" t="s">
        <v>10</v>
      </c>
      <c r="E9226" s="64">
        <v>1</v>
      </c>
    </row>
    <row r="9227" spans="1:5">
      <c r="A9227" s="64" t="s">
        <v>49</v>
      </c>
      <c r="B9227" s="69">
        <v>43420</v>
      </c>
      <c r="C9227" s="64" t="s">
        <v>220</v>
      </c>
      <c r="D9227" s="64" t="s">
        <v>10</v>
      </c>
      <c r="E9227" s="64">
        <v>1</v>
      </c>
    </row>
    <row r="9228" spans="1:5">
      <c r="A9228" s="64" t="s">
        <v>49</v>
      </c>
      <c r="B9228" s="69">
        <v>43423</v>
      </c>
      <c r="C9228" s="64" t="s">
        <v>216</v>
      </c>
      <c r="D9228" s="64" t="s">
        <v>10</v>
      </c>
      <c r="E9228" s="64">
        <v>1</v>
      </c>
    </row>
    <row r="9229" spans="1:5">
      <c r="A9229" s="64" t="s">
        <v>49</v>
      </c>
      <c r="B9229" s="69">
        <v>43424</v>
      </c>
      <c r="C9229" s="64" t="s">
        <v>217</v>
      </c>
      <c r="D9229" s="64" t="s">
        <v>10</v>
      </c>
      <c r="E9229" s="64">
        <v>1</v>
      </c>
    </row>
    <row r="9230" spans="1:5">
      <c r="A9230" s="64" t="s">
        <v>49</v>
      </c>
      <c r="B9230" s="69">
        <v>43425</v>
      </c>
      <c r="C9230" s="64" t="s">
        <v>218</v>
      </c>
      <c r="D9230" s="64" t="s">
        <v>10</v>
      </c>
      <c r="E9230" s="64">
        <v>1</v>
      </c>
    </row>
    <row r="9231" spans="1:5">
      <c r="A9231" s="64" t="s">
        <v>49</v>
      </c>
      <c r="B9231" s="69">
        <v>43426</v>
      </c>
      <c r="C9231" s="64" t="s">
        <v>219</v>
      </c>
      <c r="D9231" s="64" t="s">
        <v>10</v>
      </c>
      <c r="E9231" s="64">
        <v>1</v>
      </c>
    </row>
    <row r="9232" spans="1:5">
      <c r="A9232" s="64" t="s">
        <v>49</v>
      </c>
      <c r="B9232" s="69">
        <v>43427</v>
      </c>
      <c r="C9232" s="64" t="s">
        <v>220</v>
      </c>
      <c r="D9232" s="64" t="s">
        <v>10</v>
      </c>
      <c r="E9232" s="64">
        <v>1</v>
      </c>
    </row>
    <row r="9233" spans="1:5">
      <c r="A9233" s="64" t="s">
        <v>49</v>
      </c>
      <c r="B9233" s="69">
        <v>43430</v>
      </c>
      <c r="C9233" s="64" t="s">
        <v>216</v>
      </c>
      <c r="D9233" s="64" t="s">
        <v>10</v>
      </c>
      <c r="E9233" s="64">
        <v>1</v>
      </c>
    </row>
    <row r="9234" spans="1:5">
      <c r="A9234" s="64" t="s">
        <v>49</v>
      </c>
      <c r="B9234" s="69">
        <v>43431</v>
      </c>
      <c r="C9234" s="64" t="s">
        <v>217</v>
      </c>
      <c r="D9234" s="64" t="s">
        <v>10</v>
      </c>
      <c r="E9234" s="64">
        <v>1</v>
      </c>
    </row>
    <row r="9235" spans="1:5">
      <c r="A9235" s="64" t="s">
        <v>49</v>
      </c>
      <c r="B9235" s="69">
        <v>43432</v>
      </c>
      <c r="C9235" s="64" t="s">
        <v>218</v>
      </c>
      <c r="D9235" s="64" t="s">
        <v>10</v>
      </c>
      <c r="E9235" s="64">
        <v>1</v>
      </c>
    </row>
    <row r="9236" spans="1:5">
      <c r="A9236" s="64" t="s">
        <v>49</v>
      </c>
      <c r="B9236" s="69">
        <v>43433</v>
      </c>
      <c r="C9236" s="64" t="s">
        <v>219</v>
      </c>
      <c r="D9236" s="64" t="s">
        <v>10</v>
      </c>
      <c r="E9236" s="64">
        <v>1</v>
      </c>
    </row>
    <row r="9237" spans="1:5">
      <c r="A9237" s="64" t="s">
        <v>49</v>
      </c>
      <c r="B9237" s="69">
        <v>43434</v>
      </c>
      <c r="C9237" s="64" t="s">
        <v>220</v>
      </c>
      <c r="D9237" s="64" t="s">
        <v>10</v>
      </c>
      <c r="E9237" s="64">
        <v>1</v>
      </c>
    </row>
    <row r="9238" spans="1:5">
      <c r="A9238" s="64" t="s">
        <v>49</v>
      </c>
      <c r="B9238" s="69">
        <v>43437</v>
      </c>
      <c r="C9238" s="64" t="s">
        <v>216</v>
      </c>
      <c r="D9238" s="64" t="s">
        <v>10</v>
      </c>
      <c r="E9238" s="64">
        <v>1</v>
      </c>
    </row>
    <row r="9239" spans="1:5">
      <c r="A9239" s="64" t="s">
        <v>49</v>
      </c>
      <c r="B9239" s="69">
        <v>43438</v>
      </c>
      <c r="C9239" s="64" t="s">
        <v>217</v>
      </c>
      <c r="D9239" s="64" t="s">
        <v>10</v>
      </c>
      <c r="E9239" s="64">
        <v>1</v>
      </c>
    </row>
    <row r="9240" spans="1:5">
      <c r="A9240" s="64" t="s">
        <v>49</v>
      </c>
      <c r="B9240" s="69">
        <v>43439</v>
      </c>
      <c r="C9240" s="64" t="s">
        <v>218</v>
      </c>
      <c r="D9240" s="64" t="s">
        <v>10</v>
      </c>
      <c r="E9240" s="64">
        <v>1</v>
      </c>
    </row>
    <row r="9241" spans="1:5">
      <c r="A9241" s="64" t="s">
        <v>49</v>
      </c>
      <c r="B9241" s="69">
        <v>43440</v>
      </c>
      <c r="C9241" s="64" t="s">
        <v>219</v>
      </c>
      <c r="D9241" s="64" t="s">
        <v>10</v>
      </c>
      <c r="E9241" s="64">
        <v>1</v>
      </c>
    </row>
    <row r="9242" spans="1:5">
      <c r="A9242" s="64" t="s">
        <v>49</v>
      </c>
      <c r="B9242" s="69">
        <v>43441</v>
      </c>
      <c r="C9242" s="64" t="s">
        <v>220</v>
      </c>
      <c r="D9242" s="64" t="s">
        <v>10</v>
      </c>
      <c r="E9242" s="64">
        <v>1</v>
      </c>
    </row>
    <row r="9243" spans="1:5">
      <c r="A9243" s="64" t="s">
        <v>49</v>
      </c>
      <c r="B9243" s="69">
        <v>43444</v>
      </c>
      <c r="C9243" s="64" t="s">
        <v>216</v>
      </c>
      <c r="D9243" s="64" t="s">
        <v>10</v>
      </c>
      <c r="E9243" s="64">
        <v>1</v>
      </c>
    </row>
    <row r="9244" spans="1:5">
      <c r="A9244" s="64" t="s">
        <v>49</v>
      </c>
      <c r="B9244" s="69">
        <v>43445</v>
      </c>
      <c r="C9244" s="64" t="s">
        <v>217</v>
      </c>
      <c r="D9244" s="64" t="s">
        <v>10</v>
      </c>
      <c r="E9244" s="64">
        <v>1</v>
      </c>
    </row>
    <row r="9245" spans="1:5">
      <c r="A9245" s="64" t="s">
        <v>49</v>
      </c>
      <c r="B9245" s="69">
        <v>43446</v>
      </c>
      <c r="C9245" s="64" t="s">
        <v>218</v>
      </c>
      <c r="D9245" s="64" t="s">
        <v>10</v>
      </c>
      <c r="E9245" s="64">
        <v>1</v>
      </c>
    </row>
    <row r="9246" spans="1:5">
      <c r="A9246" s="64" t="s">
        <v>49</v>
      </c>
      <c r="B9246" s="69">
        <v>43447</v>
      </c>
      <c r="C9246" s="64" t="s">
        <v>219</v>
      </c>
      <c r="D9246" s="64" t="s">
        <v>10</v>
      </c>
      <c r="E9246" s="64">
        <v>1</v>
      </c>
    </row>
    <row r="9247" spans="1:5">
      <c r="A9247" s="64" t="s">
        <v>49</v>
      </c>
      <c r="B9247" s="69">
        <v>43448</v>
      </c>
      <c r="C9247" s="64" t="s">
        <v>220</v>
      </c>
      <c r="D9247" s="64" t="s">
        <v>10</v>
      </c>
      <c r="E9247" s="64">
        <v>1</v>
      </c>
    </row>
    <row r="9248" spans="1:5">
      <c r="A9248" s="64" t="s">
        <v>49</v>
      </c>
      <c r="B9248" s="69">
        <v>43451</v>
      </c>
      <c r="C9248" s="64" t="s">
        <v>216</v>
      </c>
      <c r="D9248" s="64" t="s">
        <v>10</v>
      </c>
      <c r="E9248" s="64">
        <v>1</v>
      </c>
    </row>
    <row r="9249" spans="1:5">
      <c r="A9249" s="64" t="s">
        <v>49</v>
      </c>
      <c r="B9249" s="69">
        <v>43452</v>
      </c>
      <c r="C9249" s="64" t="s">
        <v>217</v>
      </c>
      <c r="D9249" s="64" t="s">
        <v>10</v>
      </c>
      <c r="E9249" s="64">
        <v>1</v>
      </c>
    </row>
    <row r="9250" spans="1:5">
      <c r="A9250" s="64" t="s">
        <v>49</v>
      </c>
      <c r="B9250" s="69">
        <v>43453</v>
      </c>
      <c r="C9250" s="64" t="s">
        <v>218</v>
      </c>
      <c r="D9250" s="64" t="s">
        <v>10</v>
      </c>
      <c r="E9250" s="64">
        <v>1</v>
      </c>
    </row>
    <row r="9251" spans="1:5">
      <c r="A9251" s="64" t="s">
        <v>49</v>
      </c>
      <c r="B9251" s="69">
        <v>43454</v>
      </c>
      <c r="C9251" s="64" t="s">
        <v>219</v>
      </c>
      <c r="D9251" s="64" t="s">
        <v>10</v>
      </c>
      <c r="E9251" s="64">
        <v>1</v>
      </c>
    </row>
    <row r="9252" spans="1:5">
      <c r="A9252" s="64" t="s">
        <v>49</v>
      </c>
      <c r="B9252" s="69">
        <v>43455</v>
      </c>
      <c r="C9252" s="64" t="s">
        <v>220</v>
      </c>
      <c r="D9252" s="64" t="s">
        <v>10</v>
      </c>
      <c r="E9252" s="64">
        <v>1</v>
      </c>
    </row>
    <row r="9253" spans="1:5">
      <c r="A9253" s="64" t="s">
        <v>49</v>
      </c>
      <c r="B9253" s="69">
        <v>43458</v>
      </c>
      <c r="C9253" s="64" t="s">
        <v>216</v>
      </c>
      <c r="D9253" s="64" t="s">
        <v>10</v>
      </c>
      <c r="E9253" s="64">
        <v>1</v>
      </c>
    </row>
    <row r="9254" spans="1:5">
      <c r="A9254" s="64" t="s">
        <v>49</v>
      </c>
      <c r="B9254" s="69">
        <v>43459</v>
      </c>
      <c r="C9254" s="64" t="s">
        <v>217</v>
      </c>
      <c r="D9254" s="64" t="s">
        <v>10</v>
      </c>
      <c r="E9254" s="64">
        <v>1</v>
      </c>
    </row>
    <row r="9255" spans="1:5">
      <c r="A9255" s="64" t="s">
        <v>49</v>
      </c>
      <c r="B9255" s="69">
        <v>43460</v>
      </c>
      <c r="C9255" s="64" t="s">
        <v>218</v>
      </c>
      <c r="D9255" s="64" t="s">
        <v>10</v>
      </c>
      <c r="E9255" s="64">
        <v>1</v>
      </c>
    </row>
    <row r="9256" spans="1:5">
      <c r="A9256" s="64" t="s">
        <v>49</v>
      </c>
      <c r="B9256" s="69">
        <v>43461</v>
      </c>
      <c r="C9256" s="64" t="s">
        <v>219</v>
      </c>
      <c r="D9256" s="64" t="s">
        <v>10</v>
      </c>
      <c r="E9256" s="64">
        <v>1</v>
      </c>
    </row>
    <row r="9257" spans="1:5">
      <c r="A9257" s="64" t="s">
        <v>49</v>
      </c>
      <c r="B9257" s="69">
        <v>43462</v>
      </c>
      <c r="C9257" s="64" t="s">
        <v>220</v>
      </c>
      <c r="D9257" s="64" t="s">
        <v>10</v>
      </c>
      <c r="E9257" s="64">
        <v>1</v>
      </c>
    </row>
    <row r="9258" spans="1:5">
      <c r="A9258" s="64" t="s">
        <v>49</v>
      </c>
      <c r="B9258" s="69">
        <v>43465</v>
      </c>
      <c r="C9258" s="64" t="s">
        <v>216</v>
      </c>
      <c r="D9258" s="64" t="s">
        <v>10</v>
      </c>
      <c r="E9258" s="64">
        <v>1</v>
      </c>
    </row>
    <row r="9259" spans="1:5">
      <c r="A9259" s="64" t="s">
        <v>49</v>
      </c>
      <c r="B9259" s="69">
        <v>43466</v>
      </c>
      <c r="C9259" s="64" t="s">
        <v>217</v>
      </c>
      <c r="D9259" s="64" t="s">
        <v>10</v>
      </c>
      <c r="E9259" s="64">
        <v>1</v>
      </c>
    </row>
    <row r="9260" spans="1:5">
      <c r="A9260" s="64" t="s">
        <v>49</v>
      </c>
      <c r="B9260" s="69">
        <v>43467</v>
      </c>
      <c r="C9260" s="64" t="s">
        <v>218</v>
      </c>
      <c r="D9260" s="64" t="s">
        <v>10</v>
      </c>
      <c r="E9260" s="64">
        <v>1</v>
      </c>
    </row>
    <row r="9261" spans="1:5">
      <c r="A9261" s="64" t="s">
        <v>49</v>
      </c>
      <c r="B9261" s="69">
        <v>43468</v>
      </c>
      <c r="C9261" s="64" t="s">
        <v>219</v>
      </c>
      <c r="D9261" s="64" t="s">
        <v>10</v>
      </c>
      <c r="E9261" s="64">
        <v>1</v>
      </c>
    </row>
    <row r="9262" spans="1:5">
      <c r="A9262" s="64" t="s">
        <v>49</v>
      </c>
      <c r="B9262" s="69">
        <v>43469</v>
      </c>
      <c r="C9262" s="64" t="s">
        <v>220</v>
      </c>
      <c r="D9262" s="64" t="s">
        <v>10</v>
      </c>
      <c r="E9262" s="64">
        <v>1</v>
      </c>
    </row>
    <row r="9263" spans="1:5">
      <c r="A9263" s="64"/>
      <c r="B9263" s="69"/>
      <c r="C9263" s="64"/>
      <c r="D9263" s="64"/>
      <c r="E9263" s="64"/>
    </row>
    <row r="9264" spans="1:5">
      <c r="A9264" s="64"/>
      <c r="B9264" s="69"/>
      <c r="C9264" s="64"/>
      <c r="D9264" s="64"/>
      <c r="E9264" s="64"/>
    </row>
    <row r="9265" spans="1:5">
      <c r="A9265" s="64"/>
      <c r="B9265" s="69"/>
      <c r="C9265" s="64"/>
      <c r="D9265" s="64"/>
      <c r="E9265" s="64"/>
    </row>
    <row r="9266" spans="1:5">
      <c r="A9266" s="64"/>
      <c r="B9266" s="69"/>
      <c r="C9266" s="64"/>
      <c r="D9266" s="64"/>
      <c r="E9266" s="64"/>
    </row>
    <row r="9267" spans="1:5">
      <c r="A9267" s="64"/>
      <c r="B9267" s="69"/>
      <c r="C9267" s="64"/>
      <c r="D9267" s="64"/>
      <c r="E9267" s="64"/>
    </row>
    <row r="9268" spans="1:5">
      <c r="A9268" s="64"/>
      <c r="B9268" s="69"/>
      <c r="C9268" s="64"/>
      <c r="D9268" s="64"/>
      <c r="E9268" s="64"/>
    </row>
    <row r="9269" spans="1:5">
      <c r="A9269" s="64"/>
      <c r="B9269" s="69"/>
      <c r="C9269" s="64"/>
      <c r="D9269" s="64"/>
      <c r="E9269" s="64"/>
    </row>
    <row r="9270" spans="1:5">
      <c r="A9270" s="64"/>
      <c r="B9270" s="69"/>
      <c r="C9270" s="64"/>
      <c r="D9270" s="64"/>
      <c r="E9270" s="64"/>
    </row>
    <row r="9271" spans="1:5">
      <c r="A9271" s="64"/>
      <c r="B9271" s="69"/>
      <c r="C9271" s="64"/>
      <c r="D9271" s="64"/>
      <c r="E9271" s="64"/>
    </row>
    <row r="9272" spans="1:5">
      <c r="A9272" s="64"/>
      <c r="B9272" s="69"/>
      <c r="C9272" s="64"/>
      <c r="D9272" s="64"/>
      <c r="E9272" s="64"/>
    </row>
    <row r="9273" spans="1:5">
      <c r="A9273" s="64"/>
      <c r="B9273" s="69"/>
      <c r="C9273" s="64"/>
      <c r="D9273" s="64"/>
      <c r="E9273" s="64"/>
    </row>
    <row r="9274" spans="1:5">
      <c r="A9274" s="64"/>
      <c r="B9274" s="69"/>
      <c r="C9274" s="64"/>
      <c r="D9274" s="64"/>
      <c r="E9274" s="64"/>
    </row>
    <row r="9275" spans="1:5">
      <c r="A9275" s="64"/>
      <c r="B9275" s="69"/>
      <c r="C9275" s="64"/>
      <c r="D9275" s="64"/>
      <c r="E9275" s="64"/>
    </row>
    <row r="9276" spans="1:5">
      <c r="A9276" s="64"/>
      <c r="B9276" s="69"/>
      <c r="C9276" s="64"/>
      <c r="D9276" s="64"/>
      <c r="E9276" s="64"/>
    </row>
    <row r="9277" spans="1:5">
      <c r="A9277" s="64"/>
      <c r="B9277" s="69"/>
      <c r="C9277" s="64"/>
      <c r="D9277" s="64"/>
      <c r="E9277" s="64"/>
    </row>
    <row r="9278" spans="1:5">
      <c r="A9278" s="64"/>
      <c r="B9278" s="69"/>
      <c r="C9278" s="64"/>
      <c r="D9278" s="64"/>
      <c r="E9278" s="64"/>
    </row>
    <row r="9279" spans="1:5">
      <c r="A9279" s="64"/>
      <c r="B9279" s="69"/>
      <c r="C9279" s="64"/>
      <c r="D9279" s="64"/>
      <c r="E9279" s="64"/>
    </row>
    <row r="9280" spans="1:5">
      <c r="A9280" s="64"/>
      <c r="B9280" s="69"/>
      <c r="C9280" s="64"/>
      <c r="D9280" s="64"/>
      <c r="E9280" s="64"/>
    </row>
    <row r="9281" spans="1:5">
      <c r="A9281" s="64"/>
      <c r="B9281" s="69"/>
      <c r="C9281" s="64"/>
      <c r="D9281" s="64"/>
      <c r="E9281" s="64"/>
    </row>
    <row r="9282" spans="1:5">
      <c r="A9282" s="64"/>
      <c r="B9282" s="69"/>
      <c r="C9282" s="64"/>
      <c r="D9282" s="64"/>
      <c r="E9282" s="64"/>
    </row>
    <row r="9283" spans="1:5">
      <c r="A9283" s="64"/>
      <c r="B9283" s="69"/>
      <c r="C9283" s="64"/>
      <c r="D9283" s="64"/>
      <c r="E9283" s="64"/>
    </row>
    <row r="9284" spans="1:5">
      <c r="A9284" s="64"/>
      <c r="B9284" s="69"/>
      <c r="C9284" s="64"/>
      <c r="D9284" s="64"/>
      <c r="E9284" s="64"/>
    </row>
    <row r="9285" spans="1:5">
      <c r="A9285" s="64"/>
      <c r="B9285" s="69"/>
      <c r="C9285" s="64"/>
      <c r="D9285" s="64"/>
      <c r="E9285" s="64"/>
    </row>
    <row r="9286" spans="1:5">
      <c r="A9286" s="64"/>
      <c r="B9286" s="69"/>
      <c r="C9286" s="64"/>
      <c r="D9286" s="64"/>
      <c r="E9286" s="64"/>
    </row>
    <row r="9287" spans="1:5">
      <c r="A9287" s="64"/>
      <c r="B9287" s="69"/>
      <c r="C9287" s="64"/>
      <c r="D9287" s="64"/>
      <c r="E9287" s="64"/>
    </row>
    <row r="9288" spans="1:5">
      <c r="A9288" s="64"/>
      <c r="B9288" s="69"/>
      <c r="C9288" s="64"/>
      <c r="D9288" s="64"/>
      <c r="E9288" s="64"/>
    </row>
    <row r="9289" spans="1:5">
      <c r="A9289" s="64"/>
      <c r="B9289" s="69"/>
      <c r="C9289" s="64"/>
      <c r="D9289" s="64"/>
      <c r="E9289" s="64"/>
    </row>
    <row r="9290" spans="1:5">
      <c r="A9290" s="64"/>
      <c r="B9290" s="69"/>
      <c r="C9290" s="64"/>
      <c r="D9290" s="64"/>
      <c r="E9290" s="64"/>
    </row>
    <row r="9291" spans="1:5">
      <c r="A9291" s="64"/>
      <c r="B9291" s="69"/>
      <c r="C9291" s="64"/>
      <c r="D9291" s="64"/>
      <c r="E9291" s="64"/>
    </row>
    <row r="9292" spans="1:5">
      <c r="A9292" s="64"/>
      <c r="B9292" s="69"/>
      <c r="C9292" s="64"/>
      <c r="D9292" s="64"/>
      <c r="E9292" s="64"/>
    </row>
    <row r="9293" spans="1:5">
      <c r="A9293" s="64"/>
      <c r="B9293" s="69"/>
      <c r="C9293" s="64"/>
      <c r="D9293" s="64"/>
      <c r="E9293" s="64"/>
    </row>
    <row r="9294" spans="1:5">
      <c r="A9294" s="64"/>
      <c r="B9294" s="69"/>
      <c r="C9294" s="64"/>
      <c r="D9294" s="64"/>
      <c r="E9294" s="64"/>
    </row>
    <row r="9295" spans="1:5">
      <c r="A9295" s="64"/>
      <c r="B9295" s="69"/>
      <c r="C9295" s="64"/>
      <c r="D9295" s="64"/>
      <c r="E9295" s="64"/>
    </row>
    <row r="9296" spans="1:5">
      <c r="A9296" s="64"/>
      <c r="B9296" s="69"/>
      <c r="C9296" s="64"/>
      <c r="D9296" s="64"/>
      <c r="E9296" s="64"/>
    </row>
    <row r="9297" spans="1:5">
      <c r="A9297" s="64"/>
      <c r="B9297" s="69"/>
      <c r="C9297" s="64"/>
      <c r="D9297" s="64"/>
      <c r="E9297" s="64"/>
    </row>
    <row r="9298" spans="1:5">
      <c r="A9298" s="64"/>
      <c r="B9298" s="69"/>
      <c r="C9298" s="64"/>
      <c r="D9298" s="64"/>
      <c r="E9298" s="64"/>
    </row>
    <row r="9299" spans="1:5">
      <c r="A9299" s="64"/>
      <c r="B9299" s="69"/>
      <c r="C9299" s="64"/>
      <c r="D9299" s="64"/>
      <c r="E9299" s="64"/>
    </row>
    <row r="9300" spans="1:5">
      <c r="A9300" s="64"/>
      <c r="B9300" s="69"/>
      <c r="C9300" s="64"/>
      <c r="D9300" s="64"/>
      <c r="E9300" s="64"/>
    </row>
    <row r="9301" spans="1:5">
      <c r="A9301" s="64"/>
      <c r="B9301" s="69"/>
      <c r="C9301" s="64"/>
      <c r="D9301" s="64"/>
      <c r="E9301" s="64"/>
    </row>
    <row r="9302" spans="1:5">
      <c r="A9302" s="64"/>
      <c r="B9302" s="69"/>
      <c r="C9302" s="64"/>
      <c r="D9302" s="64"/>
      <c r="E9302" s="64"/>
    </row>
    <row r="9303" spans="1:5">
      <c r="A9303" s="64"/>
      <c r="B9303" s="69"/>
      <c r="C9303" s="64"/>
      <c r="D9303" s="64"/>
      <c r="E9303" s="64"/>
    </row>
    <row r="9304" spans="1:5">
      <c r="A9304" s="64"/>
      <c r="B9304" s="69"/>
      <c r="C9304" s="64"/>
      <c r="D9304" s="64"/>
      <c r="E9304" s="64"/>
    </row>
    <row r="9305" spans="1:5">
      <c r="A9305" s="64"/>
      <c r="B9305" s="69"/>
      <c r="C9305" s="64"/>
      <c r="D9305" s="64"/>
      <c r="E9305" s="64"/>
    </row>
    <row r="9306" spans="1:5">
      <c r="A9306" s="64"/>
      <c r="B9306" s="69"/>
      <c r="C9306" s="64"/>
      <c r="D9306" s="64"/>
      <c r="E9306" s="64"/>
    </row>
    <row r="9307" spans="1:5">
      <c r="A9307" s="64"/>
      <c r="B9307" s="69"/>
      <c r="C9307" s="64"/>
      <c r="D9307" s="64"/>
      <c r="E9307" s="64"/>
    </row>
    <row r="9308" spans="1:5">
      <c r="A9308" s="64"/>
      <c r="B9308" s="69"/>
      <c r="C9308" s="64"/>
      <c r="D9308" s="64"/>
      <c r="E9308" s="64"/>
    </row>
    <row r="9309" spans="1:5">
      <c r="A9309" s="64"/>
      <c r="B9309" s="69"/>
      <c r="C9309" s="64"/>
      <c r="D9309" s="64"/>
      <c r="E9309" s="64"/>
    </row>
    <row r="9310" spans="1:5">
      <c r="A9310" s="64"/>
      <c r="B9310" s="69"/>
      <c r="C9310" s="64"/>
      <c r="D9310" s="64"/>
      <c r="E9310" s="64"/>
    </row>
    <row r="9311" spans="1:5">
      <c r="A9311" s="64"/>
      <c r="B9311" s="69"/>
      <c r="C9311" s="64"/>
      <c r="D9311" s="64"/>
      <c r="E9311" s="64"/>
    </row>
    <row r="9312" spans="1:5">
      <c r="A9312" s="64"/>
      <c r="B9312" s="69"/>
      <c r="C9312" s="64"/>
      <c r="D9312" s="64"/>
      <c r="E9312" s="64"/>
    </row>
    <row r="9313" spans="1:5">
      <c r="A9313" s="64"/>
      <c r="B9313" s="69"/>
      <c r="C9313" s="64"/>
      <c r="D9313" s="64"/>
      <c r="E9313" s="64"/>
    </row>
    <row r="9314" spans="1:5">
      <c r="A9314" s="64"/>
      <c r="B9314" s="69"/>
      <c r="C9314" s="64"/>
      <c r="D9314" s="64"/>
      <c r="E9314" s="64"/>
    </row>
    <row r="9315" spans="1:5">
      <c r="A9315" s="64"/>
      <c r="B9315" s="69"/>
      <c r="C9315" s="64"/>
      <c r="D9315" s="64"/>
      <c r="E9315" s="64"/>
    </row>
    <row r="9316" spans="1:5">
      <c r="A9316" s="64"/>
      <c r="B9316" s="69"/>
      <c r="C9316" s="64"/>
      <c r="D9316" s="64"/>
      <c r="E9316" s="64"/>
    </row>
    <row r="9317" spans="1:5">
      <c r="A9317" s="64"/>
      <c r="B9317" s="69"/>
      <c r="C9317" s="64"/>
      <c r="D9317" s="64"/>
      <c r="E9317" s="64"/>
    </row>
    <row r="9318" spans="1:5">
      <c r="A9318" s="64"/>
      <c r="B9318" s="69"/>
      <c r="C9318" s="64"/>
      <c r="D9318" s="64"/>
      <c r="E9318" s="64"/>
    </row>
    <row r="9319" spans="1:5">
      <c r="A9319" s="64"/>
      <c r="B9319" s="69"/>
      <c r="C9319" s="64"/>
      <c r="D9319" s="64"/>
      <c r="E9319" s="64"/>
    </row>
    <row r="9320" spans="1:5">
      <c r="A9320" s="64"/>
      <c r="B9320" s="69"/>
      <c r="C9320" s="64"/>
      <c r="D9320" s="64"/>
      <c r="E9320" s="64"/>
    </row>
    <row r="9321" spans="1:5">
      <c r="A9321" s="64"/>
      <c r="B9321" s="69"/>
      <c r="C9321" s="64"/>
      <c r="D9321" s="64"/>
      <c r="E9321" s="64"/>
    </row>
    <row r="9322" spans="1:5">
      <c r="A9322" s="64"/>
      <c r="B9322" s="69"/>
      <c r="C9322" s="64"/>
      <c r="D9322" s="64"/>
      <c r="E9322" s="64"/>
    </row>
    <row r="9323" spans="1:5">
      <c r="A9323" s="64"/>
      <c r="B9323" s="69"/>
      <c r="C9323" s="64"/>
      <c r="D9323" s="64"/>
      <c r="E9323" s="64"/>
    </row>
    <row r="9324" spans="1:5">
      <c r="A9324" s="64"/>
      <c r="B9324" s="69"/>
      <c r="C9324" s="64"/>
      <c r="D9324" s="64"/>
      <c r="E9324" s="64"/>
    </row>
    <row r="9325" spans="1:5">
      <c r="A9325" s="64"/>
      <c r="B9325" s="69"/>
      <c r="C9325" s="64"/>
      <c r="D9325" s="64"/>
      <c r="E9325" s="64"/>
    </row>
    <row r="9326" spans="1:5">
      <c r="A9326" s="64"/>
      <c r="B9326" s="69"/>
      <c r="C9326" s="64"/>
      <c r="D9326" s="64"/>
      <c r="E9326" s="64"/>
    </row>
    <row r="9327" spans="1:5">
      <c r="A9327" s="64"/>
      <c r="B9327" s="69"/>
      <c r="C9327" s="64"/>
      <c r="D9327" s="64"/>
      <c r="E9327" s="64"/>
    </row>
    <row r="9328" spans="1:5">
      <c r="A9328" s="64"/>
      <c r="B9328" s="69"/>
      <c r="C9328" s="64"/>
      <c r="D9328" s="64"/>
      <c r="E9328" s="64"/>
    </row>
    <row r="9329" spans="1:5">
      <c r="A9329" s="64"/>
      <c r="B9329" s="69"/>
      <c r="C9329" s="64"/>
      <c r="D9329" s="64"/>
      <c r="E9329" s="64"/>
    </row>
    <row r="9330" spans="1:5">
      <c r="A9330" s="64"/>
      <c r="B9330" s="69"/>
      <c r="C9330" s="64"/>
      <c r="D9330" s="64"/>
      <c r="E9330" s="64"/>
    </row>
    <row r="9331" spans="1:5">
      <c r="A9331" s="64"/>
      <c r="B9331" s="69"/>
      <c r="C9331" s="64"/>
      <c r="D9331" s="64"/>
      <c r="E9331" s="64"/>
    </row>
    <row r="9332" spans="1:5">
      <c r="A9332" s="64"/>
      <c r="B9332" s="69"/>
      <c r="C9332" s="64"/>
      <c r="D9332" s="64"/>
      <c r="E9332" s="64"/>
    </row>
    <row r="9333" spans="1:5">
      <c r="A9333" s="64"/>
      <c r="B9333" s="69"/>
      <c r="C9333" s="64"/>
      <c r="D9333" s="64"/>
      <c r="E9333" s="64"/>
    </row>
    <row r="9334" spans="1:5">
      <c r="A9334" s="64"/>
      <c r="B9334" s="69"/>
      <c r="C9334" s="64"/>
      <c r="D9334" s="64"/>
      <c r="E9334" s="64"/>
    </row>
    <row r="9335" spans="1:5">
      <c r="A9335" s="64"/>
      <c r="B9335" s="69"/>
      <c r="C9335" s="64"/>
      <c r="D9335" s="64"/>
      <c r="E9335" s="64"/>
    </row>
    <row r="9336" spans="1:5">
      <c r="A9336" s="64"/>
      <c r="B9336" s="69"/>
      <c r="C9336" s="64"/>
      <c r="D9336" s="64"/>
      <c r="E9336" s="64"/>
    </row>
    <row r="9337" spans="1:5">
      <c r="A9337" s="64"/>
      <c r="B9337" s="69"/>
      <c r="C9337" s="64"/>
      <c r="D9337" s="64"/>
      <c r="E9337" s="64"/>
    </row>
    <row r="9338" spans="1:5">
      <c r="A9338" s="64"/>
      <c r="B9338" s="69"/>
      <c r="C9338" s="64"/>
      <c r="D9338" s="64"/>
      <c r="E9338" s="64"/>
    </row>
    <row r="9339" spans="1:5">
      <c r="A9339" s="64"/>
      <c r="B9339" s="69"/>
      <c r="C9339" s="64"/>
      <c r="D9339" s="64"/>
      <c r="E9339" s="64"/>
    </row>
    <row r="9340" spans="1:5">
      <c r="A9340" s="64"/>
      <c r="B9340" s="69"/>
      <c r="C9340" s="64"/>
      <c r="D9340" s="64"/>
      <c r="E9340" s="64"/>
    </row>
    <row r="9341" spans="1:5">
      <c r="A9341" s="64"/>
      <c r="B9341" s="69"/>
      <c r="C9341" s="64"/>
      <c r="D9341" s="64"/>
      <c r="E9341" s="64"/>
    </row>
    <row r="9342" spans="1:5">
      <c r="A9342" s="64"/>
      <c r="B9342" s="69"/>
      <c r="C9342" s="64"/>
      <c r="D9342" s="64"/>
      <c r="E9342" s="64"/>
    </row>
    <row r="9343" spans="1:5">
      <c r="A9343" s="64"/>
      <c r="B9343" s="69"/>
      <c r="C9343" s="64"/>
      <c r="D9343" s="64"/>
      <c r="E9343" s="64"/>
    </row>
    <row r="9344" spans="1:5">
      <c r="A9344" s="64"/>
      <c r="B9344" s="69"/>
      <c r="C9344" s="64"/>
      <c r="D9344" s="64"/>
      <c r="E9344" s="64"/>
    </row>
    <row r="9345" spans="1:5">
      <c r="A9345" s="64"/>
      <c r="B9345" s="69"/>
      <c r="C9345" s="64"/>
      <c r="D9345" s="64"/>
      <c r="E9345" s="64"/>
    </row>
    <row r="9346" spans="1:5">
      <c r="A9346" s="64"/>
      <c r="B9346" s="69"/>
      <c r="C9346" s="64"/>
      <c r="D9346" s="64"/>
      <c r="E9346" s="64"/>
    </row>
    <row r="9347" spans="1:5">
      <c r="A9347" s="64"/>
      <c r="B9347" s="69"/>
      <c r="C9347" s="64"/>
      <c r="D9347" s="64"/>
      <c r="E9347" s="64"/>
    </row>
    <row r="9348" spans="1:5">
      <c r="A9348" s="64"/>
      <c r="B9348" s="69"/>
      <c r="C9348" s="64"/>
      <c r="D9348" s="64"/>
      <c r="E9348" s="64"/>
    </row>
    <row r="9349" spans="1:5">
      <c r="A9349" s="64"/>
      <c r="B9349" s="69"/>
      <c r="C9349" s="64"/>
      <c r="D9349" s="64"/>
      <c r="E9349" s="64"/>
    </row>
    <row r="9350" spans="1:5">
      <c r="A9350" s="64"/>
      <c r="B9350" s="69"/>
      <c r="C9350" s="64"/>
      <c r="D9350" s="64"/>
      <c r="E9350" s="64"/>
    </row>
    <row r="9351" spans="1:5">
      <c r="A9351" s="64"/>
      <c r="B9351" s="69"/>
      <c r="C9351" s="64"/>
      <c r="D9351" s="64"/>
      <c r="E9351" s="64"/>
    </row>
    <row r="9352" spans="1:5">
      <c r="A9352" s="64"/>
      <c r="B9352" s="69"/>
      <c r="C9352" s="64"/>
      <c r="D9352" s="64"/>
      <c r="E9352" s="64"/>
    </row>
    <row r="9353" spans="1:5">
      <c r="A9353" s="64"/>
      <c r="B9353" s="69"/>
      <c r="C9353" s="64"/>
      <c r="D9353" s="64"/>
      <c r="E9353" s="64"/>
    </row>
    <row r="9354" spans="1:5">
      <c r="A9354" s="64"/>
      <c r="B9354" s="69"/>
      <c r="C9354" s="64"/>
      <c r="D9354" s="64"/>
      <c r="E9354" s="64"/>
    </row>
    <row r="9355" spans="1:5">
      <c r="A9355" s="64"/>
      <c r="B9355" s="69"/>
      <c r="C9355" s="64"/>
      <c r="D9355" s="64"/>
      <c r="E9355" s="64"/>
    </row>
    <row r="9356" spans="1:5">
      <c r="A9356" s="64"/>
      <c r="B9356" s="69"/>
      <c r="C9356" s="64"/>
      <c r="D9356" s="64"/>
      <c r="E9356" s="64"/>
    </row>
    <row r="9357" spans="1:5">
      <c r="A9357" s="64"/>
      <c r="B9357" s="69"/>
      <c r="C9357" s="64"/>
      <c r="D9357" s="64"/>
      <c r="E9357" s="64"/>
    </row>
    <row r="9358" spans="1:5">
      <c r="A9358" s="64"/>
      <c r="B9358" s="69"/>
      <c r="C9358" s="64"/>
      <c r="D9358" s="64"/>
      <c r="E9358" s="64"/>
    </row>
    <row r="9359" spans="1:5">
      <c r="A9359" s="64"/>
      <c r="B9359" s="69"/>
      <c r="C9359" s="64"/>
      <c r="D9359" s="64"/>
      <c r="E9359" s="64"/>
    </row>
    <row r="9360" spans="1:5">
      <c r="A9360" s="64"/>
      <c r="B9360" s="69"/>
      <c r="C9360" s="64"/>
      <c r="D9360" s="64"/>
      <c r="E9360" s="64"/>
    </row>
    <row r="9361" spans="1:5">
      <c r="A9361" s="64"/>
      <c r="B9361" s="69"/>
      <c r="C9361" s="64"/>
      <c r="D9361" s="64"/>
      <c r="E9361" s="64"/>
    </row>
    <row r="9362" spans="1:5">
      <c r="A9362" s="64"/>
      <c r="B9362" s="69"/>
      <c r="C9362" s="64"/>
      <c r="D9362" s="64"/>
      <c r="E9362" s="64"/>
    </row>
    <row r="9363" spans="1:5">
      <c r="A9363" s="64"/>
      <c r="B9363" s="69"/>
      <c r="C9363" s="64"/>
      <c r="D9363" s="64"/>
      <c r="E9363" s="64"/>
    </row>
    <row r="9364" spans="1:5">
      <c r="A9364" s="64"/>
      <c r="B9364" s="69"/>
      <c r="C9364" s="64"/>
      <c r="D9364" s="64"/>
      <c r="E9364" s="64"/>
    </row>
    <row r="9365" spans="1:5">
      <c r="A9365" s="64"/>
      <c r="B9365" s="69"/>
      <c r="C9365" s="64"/>
      <c r="D9365" s="64"/>
      <c r="E9365" s="64"/>
    </row>
    <row r="9366" spans="1:5">
      <c r="A9366" s="64"/>
      <c r="B9366" s="69"/>
      <c r="C9366" s="64"/>
      <c r="D9366" s="64"/>
      <c r="E9366" s="64"/>
    </row>
    <row r="9367" spans="1:5">
      <c r="A9367" s="64"/>
      <c r="B9367" s="69"/>
      <c r="C9367" s="64"/>
      <c r="D9367" s="64"/>
      <c r="E9367" s="64"/>
    </row>
    <row r="9368" spans="1:5">
      <c r="A9368" s="64"/>
      <c r="B9368" s="69"/>
      <c r="C9368" s="64"/>
      <c r="D9368" s="64"/>
      <c r="E9368" s="64"/>
    </row>
    <row r="9369" spans="1:5">
      <c r="A9369" s="64"/>
      <c r="B9369" s="69"/>
      <c r="C9369" s="64"/>
      <c r="D9369" s="64"/>
      <c r="E9369" s="64"/>
    </row>
    <row r="9370" spans="1:5">
      <c r="A9370" s="64"/>
      <c r="B9370" s="69"/>
      <c r="C9370" s="64"/>
      <c r="D9370" s="64"/>
      <c r="E9370" s="64"/>
    </row>
    <row r="9371" spans="1:5">
      <c r="A9371" s="64"/>
      <c r="B9371" s="69"/>
      <c r="C9371" s="64"/>
      <c r="D9371" s="64"/>
      <c r="E9371" s="64"/>
    </row>
    <row r="9372" spans="1:5">
      <c r="A9372" s="64"/>
      <c r="B9372" s="69"/>
      <c r="C9372" s="64"/>
      <c r="D9372" s="64"/>
      <c r="E9372" s="64"/>
    </row>
    <row r="9373" spans="1:5">
      <c r="A9373" s="64"/>
      <c r="B9373" s="69"/>
      <c r="C9373" s="64"/>
      <c r="D9373" s="64"/>
      <c r="E9373" s="64"/>
    </row>
    <row r="9374" spans="1:5">
      <c r="A9374" s="64"/>
      <c r="B9374" s="69"/>
      <c r="C9374" s="64"/>
      <c r="D9374" s="64"/>
      <c r="E9374" s="64"/>
    </row>
    <row r="9375" spans="1:5">
      <c r="A9375" s="64"/>
      <c r="B9375" s="69"/>
      <c r="C9375" s="64"/>
      <c r="D9375" s="64"/>
      <c r="E9375" s="64"/>
    </row>
    <row r="9376" spans="1:5">
      <c r="A9376" s="64"/>
      <c r="B9376" s="69"/>
      <c r="C9376" s="64"/>
      <c r="D9376" s="64"/>
      <c r="E9376" s="64"/>
    </row>
    <row r="9377" spans="1:5">
      <c r="A9377" s="64"/>
      <c r="B9377" s="69"/>
      <c r="C9377" s="64"/>
      <c r="D9377" s="64"/>
      <c r="E9377" s="64"/>
    </row>
    <row r="9378" spans="1:5">
      <c r="A9378" s="64"/>
      <c r="B9378" s="69"/>
      <c r="C9378" s="64"/>
      <c r="D9378" s="64"/>
      <c r="E9378" s="64"/>
    </row>
    <row r="9379" spans="1:5">
      <c r="A9379" s="64"/>
      <c r="B9379" s="69"/>
      <c r="C9379" s="64"/>
      <c r="D9379" s="64"/>
      <c r="E9379" s="64"/>
    </row>
    <row r="9380" spans="1:5">
      <c r="A9380" s="64"/>
      <c r="B9380" s="69"/>
      <c r="C9380" s="64"/>
      <c r="D9380" s="64"/>
      <c r="E9380" s="64"/>
    </row>
    <row r="9381" spans="1:5">
      <c r="A9381" s="64"/>
      <c r="B9381" s="69"/>
      <c r="C9381" s="64"/>
      <c r="D9381" s="64"/>
      <c r="E9381" s="64"/>
    </row>
    <row r="9382" spans="1:5">
      <c r="A9382" s="64"/>
      <c r="B9382" s="69"/>
      <c r="C9382" s="64"/>
      <c r="D9382" s="64"/>
      <c r="E9382" s="64"/>
    </row>
    <row r="9383" spans="1:5">
      <c r="A9383" s="64"/>
      <c r="B9383" s="69"/>
      <c r="C9383" s="64"/>
      <c r="D9383" s="64"/>
      <c r="E9383" s="64"/>
    </row>
    <row r="9384" spans="1:5">
      <c r="A9384" s="64"/>
      <c r="B9384" s="69"/>
      <c r="C9384" s="64"/>
      <c r="D9384" s="64"/>
      <c r="E9384" s="64"/>
    </row>
    <row r="9385" spans="1:5">
      <c r="A9385" s="64"/>
      <c r="B9385" s="69"/>
      <c r="C9385" s="64"/>
      <c r="D9385" s="64"/>
      <c r="E9385" s="64"/>
    </row>
    <row r="9386" spans="1:5">
      <c r="A9386" s="64"/>
      <c r="B9386" s="69"/>
      <c r="C9386" s="64"/>
      <c r="D9386" s="64"/>
      <c r="E9386" s="64"/>
    </row>
    <row r="9387" spans="1:5">
      <c r="A9387" s="64"/>
      <c r="B9387" s="69"/>
      <c r="C9387" s="64"/>
      <c r="D9387" s="64"/>
      <c r="E9387" s="64"/>
    </row>
    <row r="9388" spans="1:5">
      <c r="A9388" s="64"/>
      <c r="B9388" s="69"/>
      <c r="C9388" s="64"/>
      <c r="D9388" s="64"/>
      <c r="E9388" s="64"/>
    </row>
    <row r="9389" spans="1:5">
      <c r="A9389" s="64"/>
      <c r="B9389" s="69"/>
      <c r="C9389" s="64"/>
      <c r="D9389" s="64"/>
      <c r="E9389" s="64"/>
    </row>
    <row r="9390" spans="1:5">
      <c r="A9390" s="64"/>
      <c r="B9390" s="69"/>
      <c r="C9390" s="64"/>
      <c r="D9390" s="64"/>
      <c r="E9390" s="64"/>
    </row>
    <row r="9391" spans="1:5">
      <c r="A9391" s="64"/>
      <c r="B9391" s="69"/>
      <c r="C9391" s="64"/>
      <c r="D9391" s="64"/>
      <c r="E9391" s="64"/>
    </row>
    <row r="9392" spans="1:5">
      <c r="A9392" s="64"/>
      <c r="B9392" s="69"/>
      <c r="C9392" s="64"/>
      <c r="D9392" s="64"/>
      <c r="E9392" s="64"/>
    </row>
    <row r="9393" spans="1:5">
      <c r="A9393" s="64"/>
      <c r="B9393" s="69"/>
      <c r="C9393" s="64"/>
      <c r="D9393" s="64"/>
      <c r="E9393" s="64"/>
    </row>
    <row r="9394" spans="1:5">
      <c r="A9394" s="64"/>
      <c r="B9394" s="69"/>
      <c r="C9394" s="64"/>
      <c r="D9394" s="64"/>
      <c r="E9394" s="64"/>
    </row>
    <row r="9395" spans="1:5">
      <c r="A9395" s="64"/>
      <c r="B9395" s="69"/>
      <c r="C9395" s="64"/>
      <c r="D9395" s="64"/>
      <c r="E9395" s="64"/>
    </row>
    <row r="9396" spans="1:5">
      <c r="A9396" s="64"/>
      <c r="B9396" s="69"/>
      <c r="C9396" s="64"/>
      <c r="D9396" s="64"/>
      <c r="E9396" s="64"/>
    </row>
    <row r="9397" spans="1:5">
      <c r="A9397" s="64"/>
      <c r="B9397" s="69"/>
      <c r="C9397" s="64"/>
      <c r="D9397" s="64"/>
      <c r="E9397" s="64"/>
    </row>
    <row r="9398" spans="1:5">
      <c r="A9398" s="64"/>
      <c r="B9398" s="69"/>
      <c r="C9398" s="64"/>
      <c r="D9398" s="64"/>
      <c r="E9398" s="64"/>
    </row>
    <row r="9399" spans="1:5">
      <c r="A9399" s="64"/>
      <c r="B9399" s="69"/>
      <c r="C9399" s="64"/>
      <c r="D9399" s="64"/>
      <c r="E9399" s="64"/>
    </row>
    <row r="9400" spans="1:5">
      <c r="A9400" s="64"/>
      <c r="B9400" s="69"/>
      <c r="C9400" s="64"/>
      <c r="D9400" s="64"/>
      <c r="E9400" s="64"/>
    </row>
    <row r="9401" spans="1:5">
      <c r="A9401" s="64"/>
      <c r="B9401" s="69"/>
      <c r="C9401" s="64"/>
      <c r="D9401" s="64"/>
      <c r="E9401" s="64"/>
    </row>
    <row r="9402" spans="1:5">
      <c r="A9402" s="64"/>
      <c r="B9402" s="69"/>
      <c r="C9402" s="64"/>
      <c r="D9402" s="64"/>
      <c r="E9402" s="64"/>
    </row>
    <row r="9403" spans="1:5">
      <c r="A9403" s="64"/>
      <c r="B9403" s="69"/>
      <c r="C9403" s="64"/>
      <c r="D9403" s="64"/>
      <c r="E9403" s="64"/>
    </row>
    <row r="9404" spans="1:5">
      <c r="A9404" s="64"/>
      <c r="B9404" s="69"/>
      <c r="C9404" s="64"/>
      <c r="D9404" s="64"/>
      <c r="E9404" s="64"/>
    </row>
    <row r="9405" spans="1:5">
      <c r="A9405" s="64"/>
      <c r="B9405" s="69"/>
      <c r="C9405" s="64"/>
      <c r="D9405" s="64"/>
      <c r="E9405" s="64"/>
    </row>
    <row r="9406" spans="1:5">
      <c r="A9406" s="64"/>
      <c r="B9406" s="69"/>
      <c r="C9406" s="64"/>
      <c r="D9406" s="64"/>
      <c r="E9406" s="64"/>
    </row>
    <row r="9407" spans="1:5">
      <c r="A9407" s="64"/>
      <c r="B9407" s="69"/>
      <c r="C9407" s="64"/>
      <c r="D9407" s="64"/>
      <c r="E9407" s="64"/>
    </row>
    <row r="9408" spans="1:5">
      <c r="A9408" s="64"/>
      <c r="B9408" s="69"/>
      <c r="C9408" s="64"/>
      <c r="D9408" s="64"/>
      <c r="E9408" s="64"/>
    </row>
    <row r="9409" spans="1:5">
      <c r="A9409" s="64"/>
      <c r="B9409" s="69"/>
      <c r="C9409" s="64"/>
      <c r="D9409" s="64"/>
      <c r="E9409" s="64"/>
    </row>
    <row r="9410" spans="1:5">
      <c r="A9410" s="64"/>
      <c r="B9410" s="69"/>
      <c r="C9410" s="64"/>
      <c r="D9410" s="64"/>
      <c r="E9410" s="64"/>
    </row>
    <row r="9411" spans="1:5">
      <c r="A9411" s="64"/>
      <c r="B9411" s="69"/>
      <c r="C9411" s="64"/>
      <c r="D9411" s="64"/>
      <c r="E9411" s="64"/>
    </row>
    <row r="9412" spans="1:5">
      <c r="A9412" s="64"/>
      <c r="B9412" s="69"/>
      <c r="C9412" s="64"/>
      <c r="D9412" s="64"/>
      <c r="E9412" s="64"/>
    </row>
    <row r="9413" spans="1:5">
      <c r="A9413" s="64"/>
      <c r="B9413" s="69"/>
      <c r="C9413" s="64"/>
      <c r="D9413" s="64"/>
      <c r="E9413" s="64"/>
    </row>
    <row r="9414" spans="1:5">
      <c r="A9414" s="64"/>
      <c r="B9414" s="69"/>
      <c r="C9414" s="64"/>
      <c r="D9414" s="64"/>
      <c r="E9414" s="64"/>
    </row>
    <row r="9415" spans="1:5">
      <c r="A9415" s="64"/>
      <c r="B9415" s="69"/>
      <c r="C9415" s="64"/>
      <c r="D9415" s="64"/>
      <c r="E9415" s="64"/>
    </row>
    <row r="9416" spans="1:5">
      <c r="A9416" s="64"/>
      <c r="B9416" s="69"/>
      <c r="C9416" s="64"/>
      <c r="D9416" s="64"/>
      <c r="E9416" s="64"/>
    </row>
    <row r="9417" spans="1:5">
      <c r="A9417" s="64"/>
      <c r="B9417" s="69"/>
      <c r="C9417" s="64"/>
      <c r="D9417" s="64"/>
      <c r="E9417" s="64"/>
    </row>
    <row r="9418" spans="1:5">
      <c r="A9418" s="64"/>
      <c r="B9418" s="69"/>
      <c r="C9418" s="64"/>
      <c r="D9418" s="64"/>
      <c r="E9418" s="64"/>
    </row>
    <row r="9419" spans="1:5">
      <c r="A9419" s="64"/>
      <c r="B9419" s="69"/>
      <c r="C9419" s="64"/>
      <c r="D9419" s="64"/>
      <c r="E9419" s="64"/>
    </row>
    <row r="9420" spans="1:5">
      <c r="A9420" s="64"/>
      <c r="B9420" s="69"/>
      <c r="C9420" s="64"/>
      <c r="D9420" s="64"/>
      <c r="E9420" s="64"/>
    </row>
    <row r="9421" spans="1:5">
      <c r="A9421" s="64"/>
      <c r="B9421" s="69"/>
      <c r="C9421" s="64"/>
      <c r="D9421" s="64"/>
      <c r="E9421" s="64"/>
    </row>
    <row r="9422" spans="1:5">
      <c r="A9422" s="64"/>
      <c r="B9422" s="69"/>
      <c r="C9422" s="64"/>
      <c r="D9422" s="64"/>
      <c r="E9422" s="64"/>
    </row>
    <row r="9423" spans="1:5">
      <c r="A9423" s="64"/>
      <c r="B9423" s="69"/>
      <c r="C9423" s="64"/>
      <c r="D9423" s="64"/>
      <c r="E9423" s="64"/>
    </row>
    <row r="9424" spans="1:5">
      <c r="A9424" s="64"/>
      <c r="B9424" s="69"/>
      <c r="C9424" s="64"/>
      <c r="D9424" s="64"/>
      <c r="E9424" s="64"/>
    </row>
    <row r="9425" spans="1:5">
      <c r="A9425" s="64"/>
      <c r="B9425" s="69"/>
      <c r="C9425" s="64"/>
      <c r="D9425" s="64"/>
      <c r="E9425" s="64"/>
    </row>
    <row r="9426" spans="1:5">
      <c r="A9426" s="64"/>
      <c r="B9426" s="69"/>
      <c r="C9426" s="64"/>
      <c r="D9426" s="64"/>
      <c r="E9426" s="64"/>
    </row>
    <row r="9427" spans="1:5">
      <c r="A9427" s="64"/>
      <c r="B9427" s="69"/>
      <c r="C9427" s="64"/>
      <c r="D9427" s="64"/>
      <c r="E9427" s="64"/>
    </row>
    <row r="9428" spans="1:5">
      <c r="A9428" s="64"/>
      <c r="B9428" s="69"/>
      <c r="C9428" s="64"/>
      <c r="D9428" s="64"/>
      <c r="E9428" s="64"/>
    </row>
    <row r="9429" spans="1:5">
      <c r="A9429" s="64"/>
      <c r="B9429" s="69"/>
      <c r="C9429" s="64"/>
      <c r="D9429" s="64"/>
      <c r="E9429" s="64"/>
    </row>
    <row r="9430" spans="1:5">
      <c r="A9430" s="64"/>
      <c r="B9430" s="69"/>
      <c r="C9430" s="64"/>
      <c r="D9430" s="64"/>
      <c r="E9430" s="64"/>
    </row>
    <row r="9431" spans="1:5">
      <c r="A9431" s="64"/>
      <c r="B9431" s="69"/>
      <c r="C9431" s="64"/>
      <c r="D9431" s="64"/>
      <c r="E9431" s="64"/>
    </row>
    <row r="9432" spans="1:5">
      <c r="A9432" s="64"/>
      <c r="B9432" s="69"/>
      <c r="C9432" s="64"/>
      <c r="D9432" s="64"/>
      <c r="E9432" s="64"/>
    </row>
    <row r="9433" spans="1:5">
      <c r="A9433" s="64"/>
      <c r="B9433" s="69"/>
      <c r="C9433" s="64"/>
      <c r="D9433" s="64"/>
      <c r="E9433" s="64"/>
    </row>
    <row r="9434" spans="1:5">
      <c r="A9434" s="64"/>
      <c r="B9434" s="69"/>
      <c r="C9434" s="64"/>
      <c r="D9434" s="64"/>
      <c r="E9434" s="64"/>
    </row>
    <row r="9435" spans="1:5">
      <c r="A9435" s="64"/>
      <c r="B9435" s="69"/>
      <c r="C9435" s="64"/>
      <c r="D9435" s="64"/>
      <c r="E9435" s="64"/>
    </row>
    <row r="9436" spans="1:5">
      <c r="A9436" s="64"/>
      <c r="B9436" s="69"/>
      <c r="C9436" s="64"/>
      <c r="D9436" s="64"/>
      <c r="E9436" s="64"/>
    </row>
    <row r="9437" spans="1:5">
      <c r="A9437" s="64"/>
      <c r="B9437" s="69"/>
      <c r="C9437" s="64"/>
      <c r="D9437" s="64"/>
      <c r="E9437" s="64"/>
    </row>
    <row r="9438" spans="1:5">
      <c r="A9438" s="64"/>
      <c r="B9438" s="69"/>
      <c r="C9438" s="64"/>
      <c r="D9438" s="64"/>
      <c r="E9438" s="64"/>
    </row>
    <row r="9439" spans="1:5">
      <c r="A9439" s="64"/>
      <c r="B9439" s="69"/>
      <c r="C9439" s="64"/>
      <c r="D9439" s="64"/>
      <c r="E9439" s="64"/>
    </row>
    <row r="9440" spans="1:5">
      <c r="A9440" s="64"/>
      <c r="B9440" s="69"/>
      <c r="C9440" s="64"/>
      <c r="D9440" s="64"/>
      <c r="E9440" s="64"/>
    </row>
    <row r="9441" spans="1:5">
      <c r="A9441" s="64"/>
      <c r="B9441" s="69"/>
      <c r="C9441" s="64"/>
      <c r="D9441" s="64"/>
      <c r="E9441" s="64"/>
    </row>
    <row r="9442" spans="1:5">
      <c r="A9442" s="64"/>
      <c r="B9442" s="69"/>
      <c r="C9442" s="64"/>
      <c r="D9442" s="64"/>
      <c r="E9442" s="64"/>
    </row>
    <row r="9443" spans="1:5">
      <c r="A9443" s="64"/>
      <c r="B9443" s="69"/>
      <c r="C9443" s="64"/>
      <c r="D9443" s="64"/>
      <c r="E9443" s="64"/>
    </row>
    <row r="9444" spans="1:5">
      <c r="A9444" s="64"/>
      <c r="B9444" s="69"/>
      <c r="C9444" s="64"/>
      <c r="D9444" s="64"/>
      <c r="E9444" s="64"/>
    </row>
    <row r="9445" spans="1:5">
      <c r="A9445" s="64"/>
      <c r="B9445" s="69"/>
      <c r="C9445" s="64"/>
      <c r="D9445" s="64"/>
      <c r="E9445" s="64"/>
    </row>
    <row r="9446" spans="1:5">
      <c r="A9446" s="64"/>
      <c r="B9446" s="69"/>
      <c r="C9446" s="64"/>
      <c r="D9446" s="64"/>
      <c r="E9446" s="64"/>
    </row>
    <row r="9447" spans="1:5">
      <c r="A9447" s="64"/>
      <c r="B9447" s="69"/>
      <c r="C9447" s="64"/>
      <c r="D9447" s="64"/>
      <c r="E9447" s="64"/>
    </row>
    <row r="9448" spans="1:5">
      <c r="A9448" s="64"/>
      <c r="B9448" s="69"/>
      <c r="C9448" s="64"/>
      <c r="D9448" s="64"/>
      <c r="E9448" s="64"/>
    </row>
    <row r="9449" spans="1:5">
      <c r="A9449" s="64"/>
      <c r="B9449" s="69"/>
      <c r="C9449" s="64"/>
      <c r="D9449" s="64"/>
      <c r="E9449" s="64"/>
    </row>
    <row r="9450" spans="1:5">
      <c r="A9450" s="64"/>
      <c r="B9450" s="69"/>
      <c r="C9450" s="64"/>
      <c r="D9450" s="64"/>
      <c r="E9450" s="64"/>
    </row>
    <row r="9451" spans="1:5">
      <c r="A9451" s="64"/>
      <c r="B9451" s="69"/>
      <c r="C9451" s="64"/>
      <c r="D9451" s="64"/>
      <c r="E9451" s="64"/>
    </row>
    <row r="9452" spans="1:5">
      <c r="A9452" s="64"/>
      <c r="B9452" s="69"/>
      <c r="C9452" s="64"/>
      <c r="D9452" s="64"/>
      <c r="E9452" s="64"/>
    </row>
    <row r="9453" spans="1:5">
      <c r="A9453" s="64"/>
      <c r="B9453" s="69"/>
      <c r="C9453" s="64"/>
      <c r="D9453" s="64"/>
      <c r="E9453" s="64"/>
    </row>
    <row r="9454" spans="1:5">
      <c r="A9454" s="64"/>
      <c r="B9454" s="69"/>
      <c r="C9454" s="64"/>
      <c r="D9454" s="64"/>
      <c r="E9454" s="64"/>
    </row>
    <row r="9455" spans="1:5">
      <c r="A9455" s="64"/>
      <c r="B9455" s="69"/>
      <c r="C9455" s="64"/>
      <c r="D9455" s="64"/>
      <c r="E9455" s="64"/>
    </row>
    <row r="9456" spans="1:5">
      <c r="A9456" s="64"/>
      <c r="B9456" s="69"/>
      <c r="C9456" s="64"/>
      <c r="D9456" s="64"/>
      <c r="E9456" s="64"/>
    </row>
    <row r="9457" spans="1:5">
      <c r="A9457" s="64"/>
      <c r="B9457" s="69"/>
      <c r="C9457" s="64"/>
      <c r="D9457" s="64"/>
      <c r="E9457" s="64"/>
    </row>
    <row r="9458" spans="1:5">
      <c r="A9458" s="64"/>
      <c r="B9458" s="69"/>
      <c r="C9458" s="64"/>
      <c r="D9458" s="64"/>
      <c r="E9458" s="64"/>
    </row>
    <row r="9459" spans="1:5">
      <c r="A9459" s="64"/>
      <c r="B9459" s="69"/>
      <c r="C9459" s="64"/>
      <c r="D9459" s="64"/>
      <c r="E9459" s="64"/>
    </row>
    <row r="9460" spans="1:5">
      <c r="A9460" s="64"/>
      <c r="B9460" s="69"/>
      <c r="C9460" s="64"/>
      <c r="D9460" s="64"/>
      <c r="E9460" s="64"/>
    </row>
    <row r="9461" spans="1:5">
      <c r="A9461" s="64"/>
      <c r="B9461" s="69"/>
      <c r="C9461" s="64"/>
      <c r="D9461" s="64"/>
      <c r="E9461" s="64"/>
    </row>
    <row r="9462" spans="1:5">
      <c r="A9462" s="64"/>
      <c r="B9462" s="69"/>
      <c r="C9462" s="64"/>
      <c r="D9462" s="64"/>
      <c r="E9462" s="64"/>
    </row>
    <row r="9463" spans="1:5">
      <c r="A9463" s="64"/>
      <c r="B9463" s="69"/>
      <c r="C9463" s="64"/>
      <c r="D9463" s="64"/>
      <c r="E9463" s="64"/>
    </row>
    <row r="9464" spans="1:5">
      <c r="A9464" s="64"/>
      <c r="B9464" s="69"/>
      <c r="C9464" s="64"/>
      <c r="D9464" s="64"/>
      <c r="E9464" s="64"/>
    </row>
    <row r="9465" spans="1:5">
      <c r="A9465" s="64"/>
      <c r="B9465" s="69"/>
      <c r="C9465" s="64"/>
      <c r="D9465" s="64"/>
      <c r="E9465" s="64"/>
    </row>
    <row r="9466" spans="1:5">
      <c r="A9466" s="64"/>
      <c r="B9466" s="69"/>
      <c r="C9466" s="64"/>
      <c r="D9466" s="64"/>
      <c r="E9466" s="64"/>
    </row>
    <row r="9467" spans="1:5">
      <c r="A9467" s="64"/>
      <c r="B9467" s="69"/>
      <c r="C9467" s="64"/>
      <c r="D9467" s="64"/>
      <c r="E9467" s="64"/>
    </row>
    <row r="9468" spans="1:5">
      <c r="A9468" s="64"/>
      <c r="B9468" s="69"/>
      <c r="C9468" s="64"/>
      <c r="D9468" s="64"/>
      <c r="E9468" s="64"/>
    </row>
    <row r="9469" spans="1:5">
      <c r="A9469" s="64"/>
      <c r="B9469" s="69"/>
      <c r="C9469" s="64"/>
      <c r="D9469" s="64"/>
      <c r="E9469" s="64"/>
    </row>
    <row r="9470" spans="1:5">
      <c r="A9470" s="64"/>
      <c r="B9470" s="69"/>
      <c r="C9470" s="64"/>
      <c r="D9470" s="64"/>
      <c r="E9470" s="64"/>
    </row>
    <row r="9471" spans="1:5">
      <c r="A9471" s="64"/>
      <c r="B9471" s="69"/>
      <c r="C9471" s="64"/>
      <c r="D9471" s="64"/>
      <c r="E9471" s="64"/>
    </row>
    <row r="9472" spans="1:5">
      <c r="A9472" s="64"/>
      <c r="B9472" s="69"/>
      <c r="C9472" s="64"/>
      <c r="D9472" s="64"/>
      <c r="E9472" s="64"/>
    </row>
    <row r="9473" spans="1:5">
      <c r="A9473" s="64"/>
      <c r="B9473" s="69"/>
      <c r="C9473" s="64"/>
      <c r="D9473" s="64"/>
      <c r="E9473" s="64"/>
    </row>
    <row r="9474" spans="1:5">
      <c r="A9474" s="64"/>
      <c r="B9474" s="69"/>
      <c r="C9474" s="64"/>
      <c r="D9474" s="64"/>
      <c r="E9474" s="64"/>
    </row>
    <row r="9475" spans="1:5">
      <c r="A9475" s="64"/>
      <c r="B9475" s="69"/>
      <c r="C9475" s="64"/>
      <c r="D9475" s="64"/>
      <c r="E9475" s="64"/>
    </row>
    <row r="9476" spans="1:5">
      <c r="A9476" s="64"/>
      <c r="B9476" s="69"/>
      <c r="C9476" s="64"/>
      <c r="D9476" s="64"/>
      <c r="E9476" s="64"/>
    </row>
    <row r="9477" spans="1:5">
      <c r="A9477" s="64"/>
      <c r="B9477" s="69"/>
      <c r="C9477" s="64"/>
      <c r="D9477" s="64"/>
      <c r="E9477" s="64"/>
    </row>
    <row r="9478" spans="1:5">
      <c r="A9478" s="64"/>
      <c r="B9478" s="69"/>
      <c r="C9478" s="64"/>
      <c r="D9478" s="64"/>
      <c r="E9478" s="64"/>
    </row>
    <row r="9479" spans="1:5">
      <c r="A9479" s="64"/>
      <c r="B9479" s="69"/>
      <c r="C9479" s="64"/>
      <c r="D9479" s="64"/>
      <c r="E9479" s="64"/>
    </row>
    <row r="9480" spans="1:5">
      <c r="A9480" s="64"/>
      <c r="B9480" s="69"/>
      <c r="C9480" s="64"/>
      <c r="D9480" s="64"/>
      <c r="E9480" s="64"/>
    </row>
    <row r="9481" spans="1:5">
      <c r="A9481" s="64"/>
      <c r="B9481" s="69"/>
      <c r="C9481" s="64"/>
      <c r="D9481" s="64"/>
      <c r="E9481" s="64"/>
    </row>
    <row r="9482" spans="1:5">
      <c r="A9482" s="64"/>
      <c r="B9482" s="69"/>
      <c r="C9482" s="64"/>
      <c r="D9482" s="64"/>
      <c r="E9482" s="64"/>
    </row>
    <row r="9483" spans="1:5">
      <c r="A9483" s="64"/>
      <c r="B9483" s="69"/>
      <c r="C9483" s="64"/>
      <c r="D9483" s="64"/>
      <c r="E9483" s="64"/>
    </row>
    <row r="9484" spans="1:5">
      <c r="A9484" s="64"/>
      <c r="B9484" s="69"/>
      <c r="C9484" s="64"/>
      <c r="D9484" s="64"/>
      <c r="E9484" s="64"/>
    </row>
    <row r="9485" spans="1:5">
      <c r="A9485" s="64"/>
      <c r="B9485" s="69"/>
      <c r="C9485" s="64"/>
      <c r="D9485" s="64"/>
      <c r="E9485" s="64"/>
    </row>
    <row r="9486" spans="1:5">
      <c r="A9486" s="64"/>
      <c r="B9486" s="69"/>
      <c r="C9486" s="64"/>
      <c r="D9486" s="64"/>
      <c r="E9486" s="64"/>
    </row>
    <row r="9487" spans="1:5">
      <c r="A9487" s="64"/>
      <c r="B9487" s="69"/>
      <c r="C9487" s="64"/>
      <c r="D9487" s="64"/>
      <c r="E9487" s="64"/>
    </row>
    <row r="9488" spans="1:5">
      <c r="A9488" s="64"/>
      <c r="B9488" s="69"/>
      <c r="C9488" s="64"/>
      <c r="D9488" s="64"/>
      <c r="E9488" s="64"/>
    </row>
    <row r="9489" spans="1:5">
      <c r="A9489" s="64"/>
      <c r="B9489" s="69"/>
      <c r="C9489" s="64"/>
      <c r="D9489" s="64"/>
      <c r="E9489" s="64"/>
    </row>
    <row r="9490" spans="1:5">
      <c r="A9490" s="64"/>
      <c r="B9490" s="69"/>
      <c r="C9490" s="64"/>
      <c r="D9490" s="64"/>
      <c r="E9490" s="64"/>
    </row>
    <row r="9491" spans="1:5">
      <c r="A9491" s="64"/>
      <c r="B9491" s="69"/>
      <c r="C9491" s="64"/>
      <c r="D9491" s="64"/>
      <c r="E9491" s="64"/>
    </row>
    <row r="9492" spans="1:5">
      <c r="A9492" s="64"/>
      <c r="B9492" s="69"/>
      <c r="C9492" s="64"/>
      <c r="D9492" s="64"/>
      <c r="E9492" s="64"/>
    </row>
    <row r="9493" spans="1:5">
      <c r="A9493" s="64"/>
      <c r="B9493" s="69"/>
      <c r="C9493" s="64"/>
      <c r="D9493" s="64"/>
      <c r="E9493" s="64"/>
    </row>
    <row r="9494" spans="1:5">
      <c r="A9494" s="64"/>
      <c r="B9494" s="69"/>
      <c r="C9494" s="64"/>
      <c r="D9494" s="64"/>
      <c r="E9494" s="64"/>
    </row>
    <row r="9495" spans="1:5">
      <c r="A9495" s="64"/>
      <c r="B9495" s="69"/>
      <c r="C9495" s="64"/>
      <c r="D9495" s="64"/>
      <c r="E9495" s="64"/>
    </row>
    <row r="9496" spans="1:5">
      <c r="A9496" s="64"/>
      <c r="B9496" s="69"/>
      <c r="C9496" s="64"/>
      <c r="D9496" s="64"/>
      <c r="E9496" s="64"/>
    </row>
    <row r="9497" spans="1:5">
      <c r="A9497" s="64"/>
      <c r="B9497" s="69"/>
      <c r="C9497" s="64"/>
      <c r="D9497" s="64"/>
      <c r="E9497" s="64"/>
    </row>
    <row r="9498" spans="1:5">
      <c r="A9498" s="64"/>
      <c r="B9498" s="69"/>
      <c r="C9498" s="64"/>
      <c r="D9498" s="64"/>
      <c r="E9498" s="64"/>
    </row>
    <row r="9499" spans="1:5">
      <c r="A9499" s="64"/>
      <c r="B9499" s="69"/>
      <c r="C9499" s="64"/>
      <c r="D9499" s="64"/>
      <c r="E9499" s="64"/>
    </row>
    <row r="9500" spans="1:5">
      <c r="A9500" s="64"/>
      <c r="B9500" s="69"/>
      <c r="C9500" s="64"/>
      <c r="D9500" s="64"/>
      <c r="E9500" s="64"/>
    </row>
    <row r="9501" spans="1:5">
      <c r="A9501" s="64"/>
      <c r="B9501" s="69"/>
      <c r="C9501" s="64"/>
      <c r="D9501" s="64"/>
      <c r="E9501" s="64"/>
    </row>
    <row r="9502" spans="1:5">
      <c r="A9502" s="64"/>
      <c r="B9502" s="69"/>
      <c r="C9502" s="64"/>
      <c r="D9502" s="64"/>
      <c r="E9502" s="64"/>
    </row>
    <row r="9503" spans="1:5">
      <c r="A9503" s="64"/>
      <c r="B9503" s="69"/>
      <c r="C9503" s="64"/>
      <c r="D9503" s="64"/>
      <c r="E9503" s="64"/>
    </row>
    <row r="9504" spans="1:5">
      <c r="A9504" s="64"/>
      <c r="B9504" s="69"/>
      <c r="C9504" s="64"/>
      <c r="D9504" s="64"/>
      <c r="E9504" s="64"/>
    </row>
    <row r="9505" spans="1:5">
      <c r="A9505" s="64"/>
      <c r="B9505" s="69"/>
      <c r="C9505" s="64"/>
      <c r="D9505" s="64"/>
      <c r="E9505" s="64"/>
    </row>
    <row r="9506" spans="1:5">
      <c r="A9506" s="64"/>
      <c r="B9506" s="69"/>
      <c r="C9506" s="64"/>
      <c r="D9506" s="64"/>
      <c r="E9506" s="64"/>
    </row>
    <row r="9507" spans="1:5">
      <c r="A9507" s="64"/>
      <c r="B9507" s="69"/>
      <c r="C9507" s="64"/>
      <c r="D9507" s="64"/>
      <c r="E9507" s="64"/>
    </row>
    <row r="9508" spans="1:5">
      <c r="A9508" s="64"/>
      <c r="B9508" s="69"/>
      <c r="C9508" s="64"/>
      <c r="D9508" s="64"/>
      <c r="E9508" s="64"/>
    </row>
    <row r="9509" spans="1:5">
      <c r="A9509" s="64"/>
      <c r="B9509" s="69"/>
      <c r="C9509" s="64"/>
      <c r="D9509" s="64"/>
      <c r="E9509" s="64"/>
    </row>
    <row r="9510" spans="1:5">
      <c r="A9510" s="64"/>
      <c r="B9510" s="69"/>
      <c r="C9510" s="64"/>
      <c r="D9510" s="64"/>
      <c r="E9510" s="64"/>
    </row>
    <row r="9511" spans="1:5">
      <c r="A9511" s="64"/>
      <c r="B9511" s="69"/>
      <c r="C9511" s="64"/>
      <c r="D9511" s="64"/>
      <c r="E9511" s="64"/>
    </row>
    <row r="9512" spans="1:5">
      <c r="A9512" s="64"/>
      <c r="B9512" s="69"/>
      <c r="C9512" s="64"/>
      <c r="D9512" s="64"/>
      <c r="E9512" s="64"/>
    </row>
    <row r="9513" spans="1:5">
      <c r="A9513" s="64"/>
      <c r="B9513" s="69"/>
      <c r="C9513" s="64"/>
      <c r="D9513" s="64"/>
      <c r="E9513" s="64"/>
    </row>
    <row r="9514" spans="1:5">
      <c r="A9514" s="64"/>
      <c r="B9514" s="69"/>
      <c r="C9514" s="64"/>
      <c r="D9514" s="64"/>
      <c r="E9514" s="64"/>
    </row>
    <row r="9515" spans="1:5">
      <c r="A9515" s="64"/>
      <c r="B9515" s="69"/>
      <c r="C9515" s="64"/>
      <c r="D9515" s="64"/>
      <c r="E9515" s="64"/>
    </row>
    <row r="9516" spans="1:5">
      <c r="A9516" s="64"/>
      <c r="B9516" s="69"/>
      <c r="C9516" s="64"/>
      <c r="D9516" s="64"/>
      <c r="E9516" s="64"/>
    </row>
    <row r="9517" spans="1:5">
      <c r="A9517" s="64"/>
      <c r="B9517" s="69"/>
      <c r="C9517" s="64"/>
      <c r="D9517" s="64"/>
      <c r="E9517" s="64"/>
    </row>
    <row r="9518" spans="1:5">
      <c r="A9518" s="64"/>
      <c r="B9518" s="69"/>
      <c r="C9518" s="64"/>
      <c r="D9518" s="64"/>
      <c r="E9518" s="64"/>
    </row>
    <row r="9519" spans="1:5">
      <c r="A9519" s="64"/>
      <c r="B9519" s="69"/>
      <c r="C9519" s="64"/>
      <c r="D9519" s="64"/>
      <c r="E9519" s="64"/>
    </row>
    <row r="9520" spans="1:5">
      <c r="A9520" s="64"/>
      <c r="B9520" s="69"/>
      <c r="C9520" s="64"/>
      <c r="D9520" s="64"/>
      <c r="E9520" s="64"/>
    </row>
    <row r="9521" spans="1:5">
      <c r="A9521" s="64"/>
      <c r="B9521" s="69"/>
      <c r="C9521" s="64"/>
      <c r="D9521" s="64"/>
      <c r="E9521" s="64"/>
    </row>
    <row r="9522" spans="1:5">
      <c r="A9522" s="64"/>
      <c r="B9522" s="69"/>
      <c r="C9522" s="64"/>
      <c r="D9522" s="64"/>
      <c r="E9522" s="64"/>
    </row>
    <row r="9523" spans="1:5">
      <c r="A9523" s="64"/>
      <c r="B9523" s="69"/>
      <c r="C9523" s="64"/>
      <c r="D9523" s="64"/>
      <c r="E9523" s="64"/>
    </row>
    <row r="9524" spans="1:5">
      <c r="A9524" s="64"/>
      <c r="B9524" s="69"/>
      <c r="C9524" s="64"/>
      <c r="D9524" s="64"/>
      <c r="E9524" s="64"/>
    </row>
    <row r="9525" spans="1:5">
      <c r="A9525" s="64"/>
      <c r="B9525" s="69"/>
      <c r="C9525" s="64"/>
      <c r="D9525" s="64"/>
      <c r="E9525" s="64"/>
    </row>
    <row r="9526" spans="1:5">
      <c r="A9526" s="64"/>
      <c r="B9526" s="69"/>
      <c r="C9526" s="64"/>
      <c r="D9526" s="64"/>
      <c r="E9526" s="64"/>
    </row>
    <row r="9527" spans="1:5">
      <c r="A9527" s="64"/>
      <c r="B9527" s="69"/>
      <c r="C9527" s="64"/>
      <c r="D9527" s="64"/>
      <c r="E9527" s="64"/>
    </row>
    <row r="9528" spans="1:5">
      <c r="A9528" s="64"/>
      <c r="B9528" s="69"/>
      <c r="C9528" s="64"/>
      <c r="D9528" s="64"/>
      <c r="E9528" s="64"/>
    </row>
    <row r="9529" spans="1:5">
      <c r="A9529" s="64"/>
      <c r="B9529" s="69"/>
      <c r="C9529" s="64"/>
      <c r="D9529" s="64"/>
      <c r="E9529" s="64"/>
    </row>
    <row r="9530" spans="1:5">
      <c r="A9530" s="64"/>
      <c r="B9530" s="69"/>
      <c r="C9530" s="64"/>
      <c r="D9530" s="64"/>
      <c r="E9530" s="64"/>
    </row>
    <row r="9531" spans="1:5">
      <c r="A9531" s="64"/>
      <c r="B9531" s="69"/>
      <c r="C9531" s="64"/>
      <c r="D9531" s="64"/>
      <c r="E9531" s="64"/>
    </row>
    <row r="9532" spans="1:5">
      <c r="A9532" s="64"/>
      <c r="B9532" s="69"/>
      <c r="C9532" s="64"/>
      <c r="D9532" s="64"/>
      <c r="E9532" s="64"/>
    </row>
    <row r="9533" spans="1:5">
      <c r="A9533" s="64"/>
      <c r="B9533" s="69"/>
      <c r="C9533" s="64"/>
      <c r="D9533" s="64"/>
      <c r="E9533" s="64"/>
    </row>
    <row r="9534" spans="1:5">
      <c r="A9534" s="64"/>
      <c r="B9534" s="69"/>
      <c r="C9534" s="64"/>
      <c r="D9534" s="64"/>
      <c r="E9534" s="64"/>
    </row>
    <row r="9535" spans="1:5">
      <c r="A9535" s="64"/>
      <c r="B9535" s="69"/>
      <c r="C9535" s="64"/>
      <c r="D9535" s="64"/>
      <c r="E9535" s="64"/>
    </row>
    <row r="9536" spans="1:5">
      <c r="A9536" s="64"/>
      <c r="B9536" s="69"/>
      <c r="C9536" s="64"/>
      <c r="D9536" s="64"/>
      <c r="E9536" s="64"/>
    </row>
    <row r="9537" spans="1:5">
      <c r="A9537" s="64"/>
      <c r="B9537" s="69"/>
      <c r="C9537" s="64"/>
      <c r="D9537" s="64"/>
      <c r="E9537" s="64"/>
    </row>
    <row r="9538" spans="1:5">
      <c r="A9538" s="64"/>
      <c r="B9538" s="69"/>
      <c r="C9538" s="64"/>
      <c r="D9538" s="64"/>
      <c r="E9538" s="64"/>
    </row>
    <row r="9539" spans="1:5">
      <c r="A9539" s="64"/>
      <c r="B9539" s="69"/>
      <c r="C9539" s="64"/>
      <c r="D9539" s="64"/>
      <c r="E9539" s="64"/>
    </row>
    <row r="9540" spans="1:5">
      <c r="A9540" s="64"/>
      <c r="B9540" s="69"/>
      <c r="C9540" s="64"/>
      <c r="D9540" s="64"/>
      <c r="E9540" s="64"/>
    </row>
    <row r="9541" spans="1:5">
      <c r="A9541" s="64"/>
      <c r="B9541" s="69"/>
      <c r="C9541" s="64"/>
      <c r="D9541" s="64"/>
      <c r="E9541" s="64"/>
    </row>
    <row r="9542" spans="1:5">
      <c r="A9542" s="64"/>
      <c r="B9542" s="69"/>
      <c r="C9542" s="64"/>
      <c r="D9542" s="64"/>
      <c r="E9542" s="64"/>
    </row>
    <row r="9543" spans="1:5">
      <c r="A9543" s="64"/>
      <c r="B9543" s="69"/>
      <c r="C9543" s="64"/>
      <c r="D9543" s="64"/>
      <c r="E9543" s="64"/>
    </row>
    <row r="9544" spans="1:5">
      <c r="A9544" s="64"/>
      <c r="B9544" s="69"/>
      <c r="C9544" s="64"/>
      <c r="D9544" s="64"/>
      <c r="E9544" s="64"/>
    </row>
    <row r="9545" spans="1:5">
      <c r="A9545" s="64"/>
      <c r="B9545" s="69"/>
      <c r="C9545" s="64"/>
      <c r="D9545" s="64"/>
      <c r="E9545" s="64"/>
    </row>
    <row r="9546" spans="1:5">
      <c r="A9546" s="64"/>
      <c r="B9546" s="69"/>
      <c r="C9546" s="64"/>
      <c r="D9546" s="64"/>
      <c r="E9546" s="64"/>
    </row>
    <row r="9547" spans="1:5">
      <c r="A9547" s="64"/>
      <c r="B9547" s="69"/>
      <c r="C9547" s="64"/>
      <c r="D9547" s="64"/>
      <c r="E9547" s="64"/>
    </row>
    <row r="9548" spans="1:5">
      <c r="A9548" s="64"/>
      <c r="B9548" s="69"/>
      <c r="C9548" s="64"/>
      <c r="D9548" s="64"/>
      <c r="E9548" s="64"/>
    </row>
    <row r="9549" spans="1:5">
      <c r="A9549" s="64"/>
      <c r="B9549" s="69"/>
      <c r="C9549" s="64"/>
      <c r="D9549" s="64"/>
      <c r="E9549" s="64"/>
    </row>
    <row r="9550" spans="1:5">
      <c r="A9550" s="64"/>
      <c r="B9550" s="69"/>
      <c r="C9550" s="64"/>
      <c r="D9550" s="64"/>
      <c r="E9550" s="64"/>
    </row>
    <row r="9551" spans="1:5">
      <c r="A9551" s="64"/>
      <c r="B9551" s="69"/>
      <c r="C9551" s="64"/>
      <c r="D9551" s="64"/>
      <c r="E9551" s="64"/>
    </row>
    <row r="9552" spans="1:5">
      <c r="A9552" s="64"/>
      <c r="B9552" s="69"/>
      <c r="C9552" s="64"/>
      <c r="D9552" s="64"/>
      <c r="E9552" s="64"/>
    </row>
    <row r="9553" spans="1:5">
      <c r="A9553" s="64"/>
      <c r="B9553" s="69"/>
      <c r="C9553" s="64"/>
      <c r="D9553" s="64"/>
      <c r="E9553" s="64"/>
    </row>
    <row r="9554" spans="1:5">
      <c r="A9554" s="64"/>
      <c r="B9554" s="69"/>
      <c r="C9554" s="64"/>
      <c r="D9554" s="64"/>
      <c r="E9554" s="64"/>
    </row>
    <row r="9555" spans="1:5">
      <c r="A9555" s="64"/>
      <c r="B9555" s="69"/>
      <c r="C9555" s="64"/>
      <c r="D9555" s="64"/>
      <c r="E9555" s="64"/>
    </row>
    <row r="9556" spans="1:5">
      <c r="A9556" s="64"/>
      <c r="B9556" s="69"/>
      <c r="C9556" s="64"/>
      <c r="D9556" s="64"/>
      <c r="E9556" s="64"/>
    </row>
    <row r="9557" spans="1:5">
      <c r="A9557" s="64"/>
      <c r="B9557" s="69"/>
      <c r="C9557" s="64"/>
      <c r="D9557" s="64"/>
      <c r="E9557" s="64"/>
    </row>
    <row r="9558" spans="1:5">
      <c r="A9558" s="64"/>
      <c r="B9558" s="69"/>
      <c r="C9558" s="64"/>
      <c r="D9558" s="64"/>
      <c r="E9558" s="64"/>
    </row>
    <row r="9559" spans="1:5">
      <c r="A9559" s="64"/>
      <c r="B9559" s="69"/>
      <c r="C9559" s="64"/>
      <c r="D9559" s="64"/>
      <c r="E9559" s="64"/>
    </row>
    <row r="9560" spans="1:5">
      <c r="A9560" s="64"/>
      <c r="B9560" s="69"/>
      <c r="C9560" s="64"/>
      <c r="D9560" s="64"/>
      <c r="E9560" s="64"/>
    </row>
    <row r="9561" spans="1:5">
      <c r="A9561" s="64"/>
      <c r="B9561" s="69"/>
      <c r="C9561" s="64"/>
      <c r="D9561" s="64"/>
      <c r="E9561" s="64"/>
    </row>
    <row r="9562" spans="1:5">
      <c r="A9562" s="64"/>
      <c r="B9562" s="69"/>
      <c r="C9562" s="64"/>
      <c r="D9562" s="64"/>
      <c r="E9562" s="64"/>
    </row>
    <row r="9563" spans="1:5">
      <c r="A9563" s="64"/>
      <c r="B9563" s="69"/>
      <c r="C9563" s="64"/>
      <c r="D9563" s="64"/>
      <c r="E9563" s="64"/>
    </row>
    <row r="9564" spans="1:5">
      <c r="A9564" s="64"/>
      <c r="B9564" s="69"/>
      <c r="C9564" s="64"/>
      <c r="D9564" s="64"/>
      <c r="E9564" s="64"/>
    </row>
    <row r="9565" spans="1:5">
      <c r="A9565" s="64"/>
      <c r="B9565" s="69"/>
      <c r="C9565" s="64"/>
      <c r="D9565" s="64"/>
      <c r="E9565" s="64"/>
    </row>
    <row r="9566" spans="1:5">
      <c r="A9566" s="64"/>
      <c r="B9566" s="69"/>
      <c r="C9566" s="64"/>
      <c r="D9566" s="64"/>
      <c r="E9566" s="64"/>
    </row>
    <row r="9567" spans="1:5">
      <c r="A9567" s="64"/>
      <c r="B9567" s="69"/>
      <c r="C9567" s="64"/>
      <c r="D9567" s="64"/>
      <c r="E9567" s="64"/>
    </row>
    <row r="9568" spans="1:5">
      <c r="A9568" s="64"/>
      <c r="B9568" s="69"/>
      <c r="C9568" s="64"/>
      <c r="D9568" s="64"/>
      <c r="E9568" s="64"/>
    </row>
    <row r="9569" spans="1:5">
      <c r="A9569" s="64"/>
      <c r="B9569" s="69"/>
      <c r="C9569" s="64"/>
      <c r="D9569" s="64"/>
      <c r="E9569" s="64"/>
    </row>
    <row r="9570" spans="1:5">
      <c r="A9570" s="64"/>
      <c r="B9570" s="69"/>
      <c r="C9570" s="64"/>
      <c r="D9570" s="64"/>
      <c r="E9570" s="64"/>
    </row>
    <row r="9571" spans="1:5">
      <c r="A9571" s="64"/>
      <c r="B9571" s="69"/>
      <c r="C9571" s="64"/>
      <c r="D9571" s="64"/>
      <c r="E9571" s="64"/>
    </row>
    <row r="9572" spans="1:5">
      <c r="A9572" s="64"/>
      <c r="B9572" s="69"/>
      <c r="C9572" s="64"/>
      <c r="D9572" s="64"/>
      <c r="E9572" s="64"/>
    </row>
    <row r="9573" spans="1:5">
      <c r="A9573" s="64"/>
      <c r="B9573" s="69"/>
      <c r="C9573" s="64"/>
      <c r="D9573" s="64"/>
      <c r="E9573" s="64"/>
    </row>
    <row r="9574" spans="1:5">
      <c r="A9574" s="64"/>
      <c r="B9574" s="69"/>
      <c r="C9574" s="64"/>
      <c r="D9574" s="64"/>
      <c r="E9574" s="64"/>
    </row>
    <row r="9575" spans="1:5">
      <c r="A9575" s="64"/>
      <c r="B9575" s="69"/>
      <c r="C9575" s="64"/>
      <c r="D9575" s="64"/>
      <c r="E9575" s="64"/>
    </row>
    <row r="9576" spans="1:5">
      <c r="A9576" s="64"/>
      <c r="B9576" s="69"/>
      <c r="C9576" s="64"/>
      <c r="D9576" s="64"/>
      <c r="E9576" s="64"/>
    </row>
    <row r="9577" spans="1:5">
      <c r="A9577" s="64"/>
      <c r="B9577" s="69"/>
      <c r="C9577" s="64"/>
      <c r="D9577" s="64"/>
      <c r="E9577" s="64"/>
    </row>
    <row r="9578" spans="1:5">
      <c r="A9578" s="64"/>
      <c r="B9578" s="69"/>
      <c r="C9578" s="64"/>
      <c r="D9578" s="64"/>
      <c r="E9578" s="64"/>
    </row>
    <row r="9579" spans="1:5">
      <c r="A9579" s="64"/>
      <c r="B9579" s="69"/>
      <c r="C9579" s="64"/>
      <c r="D9579" s="64"/>
      <c r="E9579" s="64"/>
    </row>
    <row r="9580" spans="1:5">
      <c r="A9580" s="64"/>
      <c r="B9580" s="69"/>
      <c r="C9580" s="64"/>
      <c r="D9580" s="64"/>
      <c r="E9580" s="64"/>
    </row>
    <row r="9581" spans="1:5">
      <c r="A9581" s="64"/>
      <c r="B9581" s="69"/>
      <c r="C9581" s="64"/>
      <c r="D9581" s="64"/>
      <c r="E9581" s="64"/>
    </row>
    <row r="9582" spans="1:5">
      <c r="A9582" s="64"/>
      <c r="B9582" s="69"/>
      <c r="C9582" s="64"/>
      <c r="D9582" s="64"/>
      <c r="E9582" s="64"/>
    </row>
    <row r="9583" spans="1:5">
      <c r="A9583" s="64"/>
      <c r="B9583" s="69"/>
      <c r="C9583" s="64"/>
      <c r="D9583" s="64"/>
      <c r="E9583" s="64"/>
    </row>
    <row r="9584" spans="1:5">
      <c r="A9584" s="64"/>
      <c r="B9584" s="69"/>
      <c r="C9584" s="64"/>
      <c r="D9584" s="64"/>
      <c r="E9584" s="64"/>
    </row>
    <row r="9585" spans="1:5">
      <c r="A9585" s="64"/>
      <c r="B9585" s="69"/>
      <c r="C9585" s="64"/>
      <c r="D9585" s="64"/>
      <c r="E9585" s="64"/>
    </row>
    <row r="9586" spans="1:5">
      <c r="A9586" s="64"/>
      <c r="B9586" s="69"/>
      <c r="C9586" s="64"/>
      <c r="D9586" s="64"/>
      <c r="E9586" s="64"/>
    </row>
    <row r="9587" spans="1:5">
      <c r="A9587" s="64"/>
      <c r="B9587" s="69"/>
      <c r="C9587" s="64"/>
      <c r="D9587" s="64"/>
      <c r="E9587" s="64"/>
    </row>
    <row r="9588" spans="1:5">
      <c r="A9588" s="64"/>
      <c r="B9588" s="69"/>
      <c r="C9588" s="64"/>
      <c r="D9588" s="64"/>
      <c r="E9588" s="64"/>
    </row>
    <row r="9589" spans="1:5">
      <c r="A9589" s="64"/>
      <c r="B9589" s="69"/>
      <c r="C9589" s="64"/>
      <c r="D9589" s="64"/>
      <c r="E9589" s="64"/>
    </row>
    <row r="9590" spans="1:5">
      <c r="A9590" s="64"/>
      <c r="B9590" s="69"/>
      <c r="C9590" s="64"/>
      <c r="D9590" s="64"/>
      <c r="E9590" s="64"/>
    </row>
    <row r="9591" spans="1:5">
      <c r="A9591" s="64"/>
      <c r="B9591" s="69"/>
      <c r="C9591" s="64"/>
      <c r="D9591" s="64"/>
      <c r="E9591" s="64"/>
    </row>
    <row r="9592" spans="1:5">
      <c r="A9592" s="64"/>
      <c r="B9592" s="69"/>
      <c r="C9592" s="64"/>
      <c r="D9592" s="64"/>
      <c r="E9592" s="64"/>
    </row>
    <row r="9593" spans="1:5">
      <c r="A9593" s="64"/>
      <c r="B9593" s="69"/>
      <c r="C9593" s="64"/>
      <c r="D9593" s="64"/>
      <c r="E9593" s="64"/>
    </row>
    <row r="9594" spans="1:5">
      <c r="A9594" s="64"/>
      <c r="B9594" s="69"/>
      <c r="C9594" s="64"/>
      <c r="D9594" s="64"/>
      <c r="E9594" s="64"/>
    </row>
    <row r="9595" spans="1:5">
      <c r="A9595" s="64"/>
      <c r="B9595" s="69"/>
      <c r="C9595" s="64"/>
      <c r="D9595" s="64"/>
      <c r="E9595" s="64"/>
    </row>
    <row r="9596" spans="1:5">
      <c r="A9596" s="64"/>
      <c r="B9596" s="69"/>
      <c r="C9596" s="64"/>
      <c r="D9596" s="64"/>
      <c r="E9596" s="64"/>
    </row>
    <row r="9597" spans="1:5">
      <c r="A9597" s="64"/>
      <c r="B9597" s="69"/>
      <c r="C9597" s="64"/>
      <c r="D9597" s="64"/>
      <c r="E9597" s="64"/>
    </row>
    <row r="9598" spans="1:5">
      <c r="A9598" s="64"/>
      <c r="B9598" s="69"/>
      <c r="C9598" s="64"/>
      <c r="D9598" s="64"/>
      <c r="E9598" s="64"/>
    </row>
    <row r="9599" spans="1:5">
      <c r="A9599" s="64"/>
      <c r="B9599" s="69"/>
      <c r="C9599" s="64"/>
      <c r="D9599" s="64"/>
      <c r="E9599" s="64"/>
    </row>
    <row r="9600" spans="1:5">
      <c r="A9600" s="64"/>
      <c r="B9600" s="69"/>
      <c r="C9600" s="64"/>
      <c r="D9600" s="64"/>
      <c r="E9600" s="64"/>
    </row>
    <row r="9601" spans="1:5">
      <c r="A9601" s="64"/>
      <c r="B9601" s="69"/>
      <c r="C9601" s="64"/>
      <c r="D9601" s="64"/>
      <c r="E9601" s="64"/>
    </row>
    <row r="9602" spans="1:5">
      <c r="A9602" s="64"/>
      <c r="B9602" s="69"/>
      <c r="C9602" s="64"/>
      <c r="D9602" s="64"/>
      <c r="E9602" s="64"/>
    </row>
    <row r="9603" spans="1:5">
      <c r="A9603" s="64"/>
      <c r="B9603" s="69"/>
      <c r="C9603" s="64"/>
      <c r="D9603" s="64"/>
      <c r="E9603" s="64"/>
    </row>
    <row r="9604" spans="1:5">
      <c r="A9604" s="64"/>
      <c r="B9604" s="69"/>
      <c r="C9604" s="64"/>
      <c r="D9604" s="64"/>
      <c r="E9604" s="64"/>
    </row>
    <row r="9605" spans="1:5">
      <c r="A9605" s="64"/>
      <c r="B9605" s="69"/>
      <c r="C9605" s="64"/>
      <c r="D9605" s="64"/>
      <c r="E9605" s="64"/>
    </row>
    <row r="9606" spans="1:5">
      <c r="A9606" s="64"/>
      <c r="B9606" s="69"/>
      <c r="C9606" s="64"/>
      <c r="D9606" s="64"/>
      <c r="E9606" s="64"/>
    </row>
    <row r="9607" spans="1:5">
      <c r="A9607" s="64"/>
      <c r="B9607" s="69"/>
      <c r="C9607" s="64"/>
      <c r="D9607" s="64"/>
      <c r="E9607" s="64"/>
    </row>
    <row r="9608" spans="1:5">
      <c r="A9608" s="64"/>
      <c r="B9608" s="69"/>
      <c r="C9608" s="64"/>
      <c r="D9608" s="64"/>
      <c r="E9608" s="64"/>
    </row>
    <row r="9609" spans="1:5">
      <c r="A9609" s="64"/>
      <c r="B9609" s="69"/>
      <c r="C9609" s="64"/>
      <c r="D9609" s="64"/>
      <c r="E9609" s="64"/>
    </row>
    <row r="9610" spans="1:5">
      <c r="A9610" s="64"/>
      <c r="B9610" s="69"/>
      <c r="C9610" s="64"/>
      <c r="D9610" s="64"/>
      <c r="E9610" s="64"/>
    </row>
    <row r="9611" spans="1:5">
      <c r="A9611" s="64"/>
      <c r="B9611" s="69"/>
      <c r="C9611" s="64"/>
      <c r="D9611" s="64"/>
      <c r="E9611" s="64"/>
    </row>
    <row r="9612" spans="1:5">
      <c r="A9612" s="64"/>
      <c r="B9612" s="69"/>
      <c r="C9612" s="64"/>
      <c r="D9612" s="64"/>
      <c r="E9612" s="64"/>
    </row>
    <row r="9613" spans="1:5">
      <c r="A9613" s="64"/>
      <c r="B9613" s="69"/>
      <c r="C9613" s="64"/>
      <c r="D9613" s="64"/>
      <c r="E9613" s="64"/>
    </row>
    <row r="9614" spans="1:5">
      <c r="A9614" s="64"/>
      <c r="B9614" s="69"/>
      <c r="C9614" s="64"/>
      <c r="D9614" s="64"/>
      <c r="E9614" s="64"/>
    </row>
    <row r="9615" spans="1:5">
      <c r="A9615" s="64"/>
      <c r="B9615" s="69"/>
      <c r="C9615" s="64"/>
      <c r="D9615" s="64"/>
      <c r="E9615" s="64"/>
    </row>
    <row r="9616" spans="1:5">
      <c r="A9616" s="64"/>
      <c r="B9616" s="69"/>
      <c r="C9616" s="64"/>
      <c r="D9616" s="64"/>
      <c r="E9616" s="64"/>
    </row>
    <row r="9617" spans="1:5">
      <c r="A9617" s="64"/>
      <c r="B9617" s="69"/>
      <c r="C9617" s="64"/>
      <c r="D9617" s="64"/>
      <c r="E9617" s="64"/>
    </row>
    <row r="9618" spans="1:5">
      <c r="A9618" s="64"/>
      <c r="B9618" s="69"/>
      <c r="C9618" s="64"/>
      <c r="D9618" s="64"/>
      <c r="E9618" s="64"/>
    </row>
    <row r="9619" spans="1:5">
      <c r="A9619" s="64"/>
      <c r="B9619" s="69"/>
      <c r="C9619" s="64"/>
      <c r="D9619" s="64"/>
      <c r="E9619" s="64"/>
    </row>
    <row r="9620" spans="1:5">
      <c r="A9620" s="64"/>
      <c r="B9620" s="69"/>
      <c r="C9620" s="64"/>
      <c r="D9620" s="64"/>
      <c r="E9620" s="64"/>
    </row>
    <row r="9621" spans="1:5">
      <c r="A9621" s="64"/>
      <c r="B9621" s="69"/>
      <c r="C9621" s="64"/>
      <c r="D9621" s="64"/>
      <c r="E9621" s="64"/>
    </row>
    <row r="9622" spans="1:5">
      <c r="A9622" s="64"/>
      <c r="B9622" s="69"/>
      <c r="C9622" s="64"/>
      <c r="D9622" s="64"/>
      <c r="E9622" s="64"/>
    </row>
    <row r="9623" spans="1:5">
      <c r="A9623" s="64"/>
      <c r="B9623" s="69"/>
      <c r="C9623" s="64"/>
      <c r="D9623" s="64"/>
      <c r="E9623" s="64"/>
    </row>
    <row r="9624" spans="1:5">
      <c r="A9624" s="64"/>
      <c r="B9624" s="69"/>
      <c r="C9624" s="64"/>
      <c r="D9624" s="64"/>
      <c r="E9624" s="64"/>
    </row>
    <row r="9625" spans="1:5">
      <c r="A9625" s="64"/>
      <c r="B9625" s="69"/>
      <c r="C9625" s="64"/>
      <c r="D9625" s="64"/>
      <c r="E9625" s="64"/>
    </row>
    <row r="9626" spans="1:5">
      <c r="A9626" s="64"/>
      <c r="B9626" s="69"/>
      <c r="C9626" s="64"/>
      <c r="D9626" s="64"/>
      <c r="E9626" s="64"/>
    </row>
    <row r="9627" spans="1:5">
      <c r="A9627" s="64"/>
      <c r="B9627" s="69"/>
      <c r="C9627" s="64"/>
      <c r="D9627" s="64"/>
      <c r="E9627" s="64"/>
    </row>
    <row r="9628" spans="1:5">
      <c r="A9628" s="64"/>
      <c r="B9628" s="69"/>
      <c r="C9628" s="64"/>
      <c r="D9628" s="64"/>
      <c r="E9628" s="64"/>
    </row>
    <row r="9629" spans="1:5">
      <c r="A9629" s="64"/>
      <c r="B9629" s="69"/>
      <c r="C9629" s="64"/>
      <c r="D9629" s="64"/>
      <c r="E9629" s="64"/>
    </row>
    <row r="9630" spans="1:5">
      <c r="A9630" s="64"/>
      <c r="B9630" s="69"/>
      <c r="C9630" s="64"/>
      <c r="D9630" s="64"/>
      <c r="E9630" s="64"/>
    </row>
    <row r="9631" spans="1:5">
      <c r="A9631" s="64"/>
      <c r="B9631" s="69"/>
      <c r="C9631" s="64"/>
      <c r="D9631" s="64"/>
      <c r="E9631" s="64"/>
    </row>
    <row r="9632" spans="1:5">
      <c r="A9632" s="64"/>
      <c r="B9632" s="69"/>
      <c r="C9632" s="64"/>
      <c r="D9632" s="64"/>
      <c r="E9632" s="64"/>
    </row>
    <row r="9633" spans="1:5">
      <c r="A9633" s="64"/>
      <c r="B9633" s="69"/>
      <c r="C9633" s="64"/>
      <c r="D9633" s="64"/>
      <c r="E9633" s="64"/>
    </row>
    <row r="9634" spans="1:5">
      <c r="A9634" s="64"/>
      <c r="B9634" s="69"/>
      <c r="C9634" s="64"/>
      <c r="D9634" s="64"/>
      <c r="E9634" s="64"/>
    </row>
    <row r="9635" spans="1:5">
      <c r="A9635" s="64"/>
      <c r="B9635" s="69"/>
      <c r="C9635" s="64"/>
      <c r="D9635" s="64"/>
      <c r="E9635" s="64"/>
    </row>
    <row r="9636" spans="1:5">
      <c r="A9636" s="64"/>
      <c r="B9636" s="69"/>
      <c r="C9636" s="64"/>
      <c r="D9636" s="64"/>
      <c r="E9636" s="64"/>
    </row>
    <row r="9637" spans="1:5">
      <c r="A9637" s="64"/>
      <c r="B9637" s="69"/>
      <c r="C9637" s="64"/>
      <c r="D9637" s="64"/>
      <c r="E9637" s="64"/>
    </row>
    <row r="9638" spans="1:5">
      <c r="A9638" s="64"/>
      <c r="B9638" s="69"/>
      <c r="C9638" s="64"/>
      <c r="D9638" s="64"/>
      <c r="E9638" s="64"/>
    </row>
    <row r="9639" spans="1:5">
      <c r="A9639" s="64"/>
      <c r="B9639" s="69"/>
      <c r="C9639" s="64"/>
      <c r="D9639" s="64"/>
      <c r="E9639" s="64"/>
    </row>
    <row r="9640" spans="1:5">
      <c r="A9640" s="64"/>
      <c r="B9640" s="69"/>
      <c r="C9640" s="64"/>
      <c r="D9640" s="64"/>
      <c r="E9640" s="64"/>
    </row>
    <row r="9641" spans="1:5">
      <c r="A9641" s="64"/>
      <c r="B9641" s="69"/>
      <c r="C9641" s="64"/>
      <c r="D9641" s="64"/>
      <c r="E9641" s="64"/>
    </row>
    <row r="9642" spans="1:5">
      <c r="A9642" s="64"/>
      <c r="B9642" s="69"/>
      <c r="C9642" s="64"/>
      <c r="D9642" s="64"/>
      <c r="E9642" s="64"/>
    </row>
    <row r="9643" spans="1:5">
      <c r="A9643" s="64"/>
      <c r="B9643" s="69"/>
      <c r="C9643" s="64"/>
      <c r="D9643" s="64"/>
      <c r="E9643" s="64"/>
    </row>
    <row r="9644" spans="1:5">
      <c r="A9644" s="64"/>
      <c r="B9644" s="69"/>
      <c r="C9644" s="64"/>
      <c r="D9644" s="64"/>
      <c r="E9644" s="64"/>
    </row>
    <row r="9645" spans="1:5">
      <c r="A9645" s="64"/>
      <c r="B9645" s="69"/>
      <c r="C9645" s="64"/>
      <c r="D9645" s="64"/>
      <c r="E9645" s="64"/>
    </row>
    <row r="9646" spans="1:5">
      <c r="A9646" s="64"/>
      <c r="B9646" s="69"/>
      <c r="C9646" s="64"/>
      <c r="D9646" s="64"/>
      <c r="E9646" s="64"/>
    </row>
    <row r="9647" spans="1:5">
      <c r="A9647" s="64"/>
      <c r="B9647" s="69"/>
      <c r="C9647" s="64"/>
      <c r="D9647" s="64"/>
      <c r="E9647" s="64"/>
    </row>
    <row r="9648" spans="1:5">
      <c r="A9648" s="64"/>
      <c r="B9648" s="69"/>
      <c r="C9648" s="64"/>
      <c r="D9648" s="64"/>
      <c r="E9648" s="64"/>
    </row>
    <row r="9649" spans="1:5">
      <c r="A9649" s="64"/>
      <c r="B9649" s="69"/>
      <c r="C9649" s="64"/>
      <c r="D9649" s="64"/>
      <c r="E9649" s="64"/>
    </row>
    <row r="9650" spans="1:5">
      <c r="A9650" s="64"/>
      <c r="B9650" s="69"/>
      <c r="C9650" s="64"/>
      <c r="D9650" s="64"/>
      <c r="E9650" s="64"/>
    </row>
    <row r="9651" spans="1:5">
      <c r="A9651" s="64"/>
      <c r="B9651" s="69"/>
      <c r="C9651" s="64"/>
      <c r="D9651" s="64"/>
      <c r="E9651" s="64"/>
    </row>
    <row r="9652" spans="1:5">
      <c r="A9652" s="64"/>
      <c r="B9652" s="69"/>
      <c r="C9652" s="64"/>
      <c r="D9652" s="64"/>
      <c r="E9652" s="64"/>
    </row>
    <row r="9653" spans="1:5">
      <c r="A9653" s="64"/>
      <c r="B9653" s="69"/>
      <c r="C9653" s="64"/>
      <c r="D9653" s="64"/>
      <c r="E9653" s="64"/>
    </row>
    <row r="9654" spans="1:5">
      <c r="A9654" s="64"/>
      <c r="B9654" s="69"/>
      <c r="C9654" s="64"/>
      <c r="D9654" s="64"/>
      <c r="E9654" s="64"/>
    </row>
    <row r="9655" spans="1:5">
      <c r="A9655" s="64"/>
      <c r="B9655" s="69"/>
      <c r="C9655" s="64"/>
      <c r="D9655" s="64"/>
      <c r="E9655" s="64"/>
    </row>
    <row r="9656" spans="1:5">
      <c r="A9656" s="64"/>
      <c r="B9656" s="69"/>
      <c r="C9656" s="64"/>
      <c r="D9656" s="64"/>
      <c r="E9656" s="64"/>
    </row>
    <row r="9657" spans="1:5">
      <c r="A9657" s="64"/>
      <c r="B9657" s="69"/>
      <c r="C9657" s="64"/>
      <c r="D9657" s="64"/>
      <c r="E9657" s="64"/>
    </row>
    <row r="9658" spans="1:5">
      <c r="A9658" s="64"/>
      <c r="B9658" s="69"/>
      <c r="C9658" s="64"/>
      <c r="D9658" s="64"/>
      <c r="E9658" s="64"/>
    </row>
    <row r="9659" spans="1:5">
      <c r="A9659" s="64"/>
      <c r="B9659" s="69"/>
      <c r="C9659" s="64"/>
      <c r="D9659" s="64"/>
      <c r="E9659" s="64"/>
    </row>
    <row r="9660" spans="1:5">
      <c r="A9660" s="64"/>
      <c r="B9660" s="69"/>
      <c r="C9660" s="64"/>
      <c r="D9660" s="64"/>
      <c r="E9660" s="64"/>
    </row>
    <row r="9661" spans="1:5">
      <c r="A9661" s="64"/>
      <c r="B9661" s="69"/>
      <c r="C9661" s="64"/>
      <c r="D9661" s="64"/>
      <c r="E9661" s="64"/>
    </row>
    <row r="9662" spans="1:5">
      <c r="A9662" s="64"/>
      <c r="B9662" s="69"/>
      <c r="C9662" s="64"/>
      <c r="D9662" s="64"/>
      <c r="E9662" s="64"/>
    </row>
    <row r="9663" spans="1:5">
      <c r="A9663" s="64"/>
      <c r="B9663" s="69"/>
      <c r="C9663" s="64"/>
      <c r="D9663" s="64"/>
      <c r="E9663" s="64"/>
    </row>
    <row r="9664" spans="1:5">
      <c r="A9664" s="64"/>
      <c r="B9664" s="69"/>
      <c r="C9664" s="64"/>
      <c r="D9664" s="64"/>
      <c r="E9664" s="64"/>
    </row>
    <row r="9665" spans="1:5">
      <c r="A9665" s="64"/>
      <c r="B9665" s="69"/>
      <c r="C9665" s="64"/>
      <c r="D9665" s="64"/>
      <c r="E9665" s="64"/>
    </row>
    <row r="9666" spans="1:5">
      <c r="A9666" s="64"/>
      <c r="B9666" s="69"/>
      <c r="C9666" s="64"/>
      <c r="D9666" s="64"/>
      <c r="E9666" s="64"/>
    </row>
    <row r="9667" spans="1:5">
      <c r="A9667" s="64"/>
      <c r="B9667" s="69"/>
      <c r="C9667" s="64"/>
      <c r="D9667" s="64"/>
      <c r="E9667" s="64"/>
    </row>
    <row r="9668" spans="1:5">
      <c r="A9668" s="64"/>
      <c r="B9668" s="69"/>
      <c r="C9668" s="64"/>
      <c r="D9668" s="64"/>
      <c r="E9668" s="64"/>
    </row>
    <row r="9669" spans="1:5">
      <c r="A9669" s="64"/>
      <c r="B9669" s="69"/>
      <c r="C9669" s="64"/>
      <c r="D9669" s="64"/>
      <c r="E9669" s="64"/>
    </row>
    <row r="9670" spans="1:5">
      <c r="A9670" s="64"/>
      <c r="B9670" s="69"/>
      <c r="C9670" s="64"/>
      <c r="D9670" s="64"/>
      <c r="E9670" s="64"/>
    </row>
    <row r="9671" spans="1:5">
      <c r="A9671" s="64"/>
      <c r="B9671" s="69"/>
      <c r="C9671" s="64"/>
      <c r="D9671" s="64"/>
      <c r="E9671" s="64"/>
    </row>
    <row r="9672" spans="1:5">
      <c r="A9672" s="64"/>
      <c r="B9672" s="69"/>
      <c r="C9672" s="64"/>
      <c r="D9672" s="64"/>
      <c r="E9672" s="64"/>
    </row>
    <row r="9673" spans="1:5">
      <c r="A9673" s="64"/>
      <c r="B9673" s="69"/>
      <c r="C9673" s="64"/>
      <c r="D9673" s="64"/>
      <c r="E9673" s="64"/>
    </row>
    <row r="9674" spans="1:5">
      <c r="A9674" s="64"/>
      <c r="B9674" s="69"/>
      <c r="C9674" s="64"/>
      <c r="D9674" s="64"/>
      <c r="E9674" s="64"/>
    </row>
    <row r="9675" spans="1:5">
      <c r="A9675" s="64"/>
      <c r="B9675" s="69"/>
      <c r="C9675" s="64"/>
      <c r="D9675" s="64"/>
      <c r="E9675" s="64"/>
    </row>
    <row r="9676" spans="1:5">
      <c r="A9676" s="64"/>
      <c r="B9676" s="69"/>
      <c r="C9676" s="64"/>
      <c r="D9676" s="64"/>
      <c r="E9676" s="64"/>
    </row>
    <row r="9677" spans="1:5">
      <c r="A9677" s="64"/>
      <c r="B9677" s="69"/>
      <c r="C9677" s="64"/>
      <c r="D9677" s="64"/>
      <c r="E9677" s="64"/>
    </row>
    <row r="9678" spans="1:5">
      <c r="A9678" s="64"/>
      <c r="B9678" s="69"/>
      <c r="C9678" s="64"/>
      <c r="D9678" s="64"/>
      <c r="E9678" s="64"/>
    </row>
    <row r="9679" spans="1:5">
      <c r="A9679" s="64"/>
      <c r="B9679" s="69"/>
      <c r="C9679" s="64"/>
      <c r="D9679" s="64"/>
      <c r="E9679" s="64"/>
    </row>
    <row r="9680" spans="1:5">
      <c r="A9680" s="64"/>
      <c r="B9680" s="69"/>
      <c r="C9680" s="64"/>
      <c r="D9680" s="64"/>
      <c r="E9680" s="64"/>
    </row>
    <row r="9681" spans="1:5">
      <c r="A9681" s="64"/>
      <c r="B9681" s="69"/>
      <c r="C9681" s="64"/>
      <c r="D9681" s="64"/>
      <c r="E9681" s="64"/>
    </row>
    <row r="9682" spans="1:5">
      <c r="A9682" s="64"/>
      <c r="B9682" s="69"/>
      <c r="C9682" s="64"/>
      <c r="D9682" s="64"/>
      <c r="E9682" s="64"/>
    </row>
    <row r="9683" spans="1:5">
      <c r="A9683" s="64"/>
      <c r="B9683" s="69"/>
      <c r="C9683" s="64"/>
      <c r="D9683" s="64"/>
      <c r="E9683" s="64"/>
    </row>
    <row r="9684" spans="1:5">
      <c r="A9684" s="64"/>
      <c r="B9684" s="69"/>
      <c r="C9684" s="64"/>
      <c r="D9684" s="64"/>
      <c r="E9684" s="64"/>
    </row>
    <row r="9685" spans="1:5">
      <c r="A9685" s="64"/>
      <c r="B9685" s="69"/>
      <c r="C9685" s="64"/>
      <c r="D9685" s="64"/>
      <c r="E9685" s="64"/>
    </row>
    <row r="9686" spans="1:5">
      <c r="A9686" s="64"/>
      <c r="B9686" s="69"/>
      <c r="C9686" s="64"/>
      <c r="D9686" s="64"/>
      <c r="E9686" s="64"/>
    </row>
    <row r="9687" spans="1:5">
      <c r="A9687" s="64"/>
      <c r="B9687" s="69"/>
      <c r="C9687" s="64"/>
      <c r="D9687" s="64"/>
      <c r="E9687" s="64"/>
    </row>
    <row r="9688" spans="1:5">
      <c r="A9688" s="64"/>
      <c r="B9688" s="69"/>
      <c r="C9688" s="64"/>
      <c r="D9688" s="64"/>
      <c r="E9688" s="64"/>
    </row>
    <row r="9689" spans="1:5">
      <c r="A9689" s="64"/>
      <c r="B9689" s="69"/>
      <c r="C9689" s="64"/>
      <c r="D9689" s="64"/>
      <c r="E9689" s="64"/>
    </row>
    <row r="9690" spans="1:5">
      <c r="A9690" s="64"/>
      <c r="B9690" s="69"/>
      <c r="C9690" s="64"/>
      <c r="D9690" s="64"/>
      <c r="E9690" s="64"/>
    </row>
    <row r="9691" spans="1:5">
      <c r="A9691" s="64"/>
      <c r="B9691" s="69"/>
      <c r="C9691" s="64"/>
      <c r="D9691" s="64"/>
      <c r="E9691" s="64"/>
    </row>
    <row r="9692" spans="1:5">
      <c r="A9692" s="64"/>
      <c r="B9692" s="69"/>
      <c r="C9692" s="64"/>
      <c r="D9692" s="64"/>
      <c r="E9692" s="64"/>
    </row>
    <row r="9693" spans="1:5">
      <c r="A9693" s="64"/>
      <c r="B9693" s="69"/>
      <c r="C9693" s="64"/>
      <c r="D9693" s="64"/>
      <c r="E9693" s="64"/>
    </row>
    <row r="9694" spans="1:5">
      <c r="A9694" s="64"/>
      <c r="B9694" s="69"/>
      <c r="C9694" s="64"/>
      <c r="D9694" s="64"/>
      <c r="E9694" s="64"/>
    </row>
    <row r="9695" spans="1:5">
      <c r="A9695" s="64"/>
      <c r="B9695" s="69"/>
      <c r="C9695" s="64"/>
      <c r="D9695" s="64"/>
      <c r="E9695" s="64"/>
    </row>
    <row r="9696" spans="1:5">
      <c r="A9696" s="64"/>
      <c r="B9696" s="69"/>
      <c r="C9696" s="64"/>
      <c r="D9696" s="64"/>
      <c r="E9696" s="64"/>
    </row>
    <row r="9697" spans="1:5">
      <c r="A9697" s="64"/>
      <c r="B9697" s="69"/>
      <c r="C9697" s="64"/>
      <c r="D9697" s="64"/>
      <c r="E9697" s="64"/>
    </row>
    <row r="9698" spans="1:5">
      <c r="A9698" s="64"/>
      <c r="B9698" s="69"/>
      <c r="C9698" s="64"/>
      <c r="D9698" s="64"/>
      <c r="E9698" s="64"/>
    </row>
    <row r="9699" spans="1:5">
      <c r="A9699" s="64"/>
      <c r="B9699" s="69"/>
      <c r="C9699" s="64"/>
      <c r="D9699" s="64"/>
      <c r="E9699" s="64"/>
    </row>
    <row r="9700" spans="1:5">
      <c r="A9700" s="64"/>
      <c r="B9700" s="69"/>
      <c r="C9700" s="64"/>
      <c r="D9700" s="64"/>
      <c r="E9700" s="64"/>
    </row>
    <row r="9701" spans="1:5">
      <c r="A9701" s="64"/>
      <c r="B9701" s="69"/>
      <c r="C9701" s="64"/>
      <c r="D9701" s="64"/>
      <c r="E9701" s="64"/>
    </row>
    <row r="9702" spans="1:5">
      <c r="A9702" s="64"/>
      <c r="B9702" s="69"/>
      <c r="C9702" s="64"/>
      <c r="D9702" s="64"/>
      <c r="E9702" s="64"/>
    </row>
    <row r="9703" spans="1:5">
      <c r="A9703" s="64"/>
      <c r="B9703" s="69"/>
      <c r="C9703" s="64"/>
      <c r="D9703" s="64"/>
      <c r="E9703" s="64"/>
    </row>
    <row r="9704" spans="1:5">
      <c r="A9704" s="64"/>
      <c r="B9704" s="69"/>
      <c r="C9704" s="64"/>
      <c r="D9704" s="64"/>
      <c r="E9704" s="64"/>
    </row>
    <row r="9705" spans="1:5">
      <c r="A9705" s="64"/>
      <c r="B9705" s="69"/>
      <c r="C9705" s="64"/>
      <c r="D9705" s="64"/>
      <c r="E9705" s="64"/>
    </row>
    <row r="9706" spans="1:5">
      <c r="A9706" s="64"/>
      <c r="B9706" s="69"/>
      <c r="C9706" s="64"/>
      <c r="D9706" s="64"/>
      <c r="E9706" s="64"/>
    </row>
    <row r="9707" spans="1:5">
      <c r="A9707" s="64"/>
      <c r="B9707" s="69"/>
      <c r="C9707" s="64"/>
      <c r="D9707" s="64"/>
      <c r="E9707" s="64"/>
    </row>
    <row r="9708" spans="1:5">
      <c r="A9708" s="64"/>
      <c r="B9708" s="69"/>
      <c r="C9708" s="64"/>
      <c r="D9708" s="64"/>
      <c r="E9708" s="64"/>
    </row>
    <row r="9709" spans="1:5">
      <c r="A9709" s="64"/>
      <c r="B9709" s="69"/>
      <c r="C9709" s="64"/>
      <c r="D9709" s="64"/>
      <c r="E9709" s="64"/>
    </row>
    <row r="9710" spans="1:5">
      <c r="A9710" s="64"/>
      <c r="B9710" s="69"/>
      <c r="C9710" s="64"/>
      <c r="D9710" s="64"/>
      <c r="E9710" s="64"/>
    </row>
    <row r="9711" spans="1:5">
      <c r="A9711" s="64"/>
      <c r="B9711" s="69"/>
      <c r="C9711" s="64"/>
      <c r="D9711" s="64"/>
      <c r="E9711" s="64"/>
    </row>
    <row r="9712" spans="1:5">
      <c r="A9712" s="64"/>
      <c r="B9712" s="69"/>
      <c r="C9712" s="64"/>
      <c r="D9712" s="64"/>
      <c r="E9712" s="64"/>
    </row>
    <row r="9713" spans="1:5">
      <c r="A9713" s="64"/>
      <c r="B9713" s="69"/>
      <c r="C9713" s="64"/>
      <c r="D9713" s="64"/>
      <c r="E9713" s="64"/>
    </row>
    <row r="9714" spans="1:5">
      <c r="A9714" s="64"/>
      <c r="B9714" s="69"/>
      <c r="C9714" s="64"/>
      <c r="D9714" s="64"/>
      <c r="E9714" s="64"/>
    </row>
    <row r="9715" spans="1:5">
      <c r="A9715" s="64"/>
      <c r="B9715" s="69"/>
      <c r="C9715" s="64"/>
      <c r="D9715" s="64"/>
      <c r="E9715" s="64"/>
    </row>
    <row r="9716" spans="1:5">
      <c r="A9716" s="64"/>
      <c r="B9716" s="69"/>
      <c r="C9716" s="64"/>
      <c r="D9716" s="64"/>
      <c r="E9716" s="64"/>
    </row>
    <row r="9717" spans="1:5">
      <c r="A9717" s="64"/>
      <c r="B9717" s="69"/>
      <c r="C9717" s="64"/>
      <c r="D9717" s="64"/>
      <c r="E9717" s="64"/>
    </row>
    <row r="9718" spans="1:5">
      <c r="A9718" s="64"/>
      <c r="B9718" s="69"/>
      <c r="C9718" s="64"/>
      <c r="D9718" s="64"/>
      <c r="E9718" s="64"/>
    </row>
    <row r="9719" spans="1:5">
      <c r="A9719" s="64"/>
      <c r="B9719" s="69"/>
      <c r="C9719" s="64"/>
      <c r="D9719" s="64"/>
      <c r="E9719" s="64"/>
    </row>
    <row r="9720" spans="1:5">
      <c r="A9720" s="64"/>
      <c r="B9720" s="69"/>
      <c r="C9720" s="64"/>
      <c r="D9720" s="64"/>
      <c r="E9720" s="64"/>
    </row>
    <row r="9721" spans="1:5">
      <c r="A9721" s="64"/>
      <c r="B9721" s="69"/>
      <c r="C9721" s="64"/>
      <c r="D9721" s="64"/>
      <c r="E9721" s="64"/>
    </row>
    <row r="9722" spans="1:5">
      <c r="A9722" s="64"/>
      <c r="B9722" s="69"/>
      <c r="C9722" s="64"/>
      <c r="D9722" s="64"/>
      <c r="E9722" s="64"/>
    </row>
    <row r="9723" spans="1:5">
      <c r="A9723" s="64"/>
      <c r="B9723" s="69"/>
      <c r="C9723" s="64"/>
      <c r="D9723" s="64"/>
      <c r="E9723" s="64"/>
    </row>
    <row r="9724" spans="1:5">
      <c r="A9724" s="64"/>
      <c r="B9724" s="69"/>
      <c r="C9724" s="64"/>
      <c r="D9724" s="64"/>
      <c r="E9724" s="64"/>
    </row>
    <row r="9725" spans="1:5">
      <c r="A9725" s="64"/>
      <c r="B9725" s="69"/>
      <c r="C9725" s="64"/>
      <c r="D9725" s="64"/>
      <c r="E9725" s="64"/>
    </row>
    <row r="9726" spans="1:5">
      <c r="A9726" s="64"/>
      <c r="B9726" s="69"/>
      <c r="C9726" s="64"/>
      <c r="D9726" s="64"/>
      <c r="E9726" s="64"/>
    </row>
    <row r="9727" spans="1:5">
      <c r="A9727" s="64"/>
      <c r="B9727" s="69"/>
      <c r="C9727" s="64"/>
      <c r="D9727" s="64"/>
      <c r="E9727" s="64"/>
    </row>
    <row r="9728" spans="1:5">
      <c r="A9728" s="64"/>
      <c r="B9728" s="69"/>
      <c r="C9728" s="64"/>
      <c r="D9728" s="64"/>
      <c r="E9728" s="64"/>
    </row>
    <row r="9729" spans="1:5">
      <c r="A9729" s="64"/>
      <c r="B9729" s="69"/>
      <c r="C9729" s="64"/>
      <c r="D9729" s="64"/>
      <c r="E9729" s="64"/>
    </row>
    <row r="9730" spans="1:5">
      <c r="A9730" s="64"/>
      <c r="B9730" s="69"/>
      <c r="C9730" s="64"/>
      <c r="D9730" s="64"/>
      <c r="E9730" s="64"/>
    </row>
    <row r="9731" spans="1:5">
      <c r="A9731" s="64"/>
      <c r="B9731" s="69"/>
      <c r="C9731" s="64"/>
      <c r="D9731" s="64"/>
      <c r="E9731" s="64"/>
    </row>
    <row r="9732" spans="1:5">
      <c r="A9732" s="64"/>
      <c r="B9732" s="69"/>
      <c r="C9732" s="64"/>
      <c r="D9732" s="64"/>
      <c r="E9732" s="64"/>
    </row>
    <row r="9733" spans="1:5">
      <c r="A9733" s="64"/>
      <c r="B9733" s="69"/>
      <c r="C9733" s="64"/>
      <c r="D9733" s="64"/>
      <c r="E9733" s="64"/>
    </row>
    <row r="9734" spans="1:5">
      <c r="A9734" s="64"/>
      <c r="B9734" s="69"/>
      <c r="C9734" s="64"/>
      <c r="D9734" s="64"/>
      <c r="E9734" s="64"/>
    </row>
    <row r="9735" spans="1:5">
      <c r="A9735" s="64"/>
      <c r="B9735" s="69"/>
      <c r="C9735" s="64"/>
      <c r="D9735" s="64"/>
      <c r="E9735" s="64"/>
    </row>
    <row r="9736" spans="1:5">
      <c r="A9736" s="64"/>
      <c r="B9736" s="69"/>
      <c r="C9736" s="64"/>
      <c r="D9736" s="64"/>
      <c r="E9736" s="64"/>
    </row>
    <row r="9737" spans="1:5">
      <c r="A9737" s="64"/>
      <c r="B9737" s="69"/>
      <c r="C9737" s="64"/>
      <c r="D9737" s="64"/>
      <c r="E9737" s="64"/>
    </row>
    <row r="9738" spans="1:5">
      <c r="A9738" s="64"/>
      <c r="B9738" s="69"/>
      <c r="C9738" s="64"/>
      <c r="D9738" s="64"/>
      <c r="E9738" s="64"/>
    </row>
    <row r="9739" spans="1:5">
      <c r="A9739" s="64"/>
      <c r="B9739" s="69"/>
      <c r="C9739" s="64"/>
      <c r="D9739" s="64"/>
      <c r="E9739" s="64"/>
    </row>
    <row r="9740" spans="1:5">
      <c r="A9740" s="64"/>
      <c r="B9740" s="69"/>
      <c r="C9740" s="64"/>
      <c r="D9740" s="64"/>
      <c r="E9740" s="64"/>
    </row>
    <row r="9741" spans="1:5">
      <c r="A9741" s="64"/>
      <c r="B9741" s="69"/>
      <c r="C9741" s="64"/>
      <c r="D9741" s="64"/>
      <c r="E9741" s="64"/>
    </row>
    <row r="9742" spans="1:5">
      <c r="A9742" s="64"/>
      <c r="B9742" s="69"/>
      <c r="C9742" s="64"/>
      <c r="D9742" s="64"/>
      <c r="E9742" s="64"/>
    </row>
    <row r="9743" spans="1:5">
      <c r="A9743" s="64"/>
      <c r="B9743" s="69"/>
      <c r="C9743" s="64"/>
      <c r="D9743" s="64"/>
      <c r="E9743" s="64"/>
    </row>
    <row r="9744" spans="1:5">
      <c r="A9744" s="64"/>
      <c r="B9744" s="69"/>
      <c r="C9744" s="64"/>
      <c r="D9744" s="64"/>
      <c r="E9744" s="64"/>
    </row>
    <row r="9745" spans="1:5">
      <c r="A9745" s="64"/>
      <c r="B9745" s="69"/>
      <c r="C9745" s="64"/>
      <c r="D9745" s="64"/>
      <c r="E9745" s="64"/>
    </row>
    <row r="9746" spans="1:5">
      <c r="A9746" s="64"/>
      <c r="B9746" s="69"/>
      <c r="C9746" s="64"/>
      <c r="D9746" s="64"/>
      <c r="E9746" s="64"/>
    </row>
    <row r="9747" spans="1:5">
      <c r="A9747" s="64"/>
      <c r="B9747" s="69"/>
      <c r="C9747" s="64"/>
      <c r="D9747" s="64"/>
      <c r="E9747" s="64"/>
    </row>
    <row r="9748" spans="1:5">
      <c r="A9748" s="64"/>
      <c r="B9748" s="69"/>
      <c r="C9748" s="64"/>
      <c r="D9748" s="64"/>
      <c r="E9748" s="64"/>
    </row>
    <row r="9749" spans="1:5">
      <c r="A9749" s="64"/>
      <c r="B9749" s="69"/>
      <c r="C9749" s="64"/>
      <c r="D9749" s="64"/>
      <c r="E9749" s="64"/>
    </row>
    <row r="9750" spans="1:5">
      <c r="A9750" s="64"/>
      <c r="B9750" s="69"/>
      <c r="C9750" s="64"/>
      <c r="D9750" s="64"/>
      <c r="E9750" s="64"/>
    </row>
    <row r="9751" spans="1:5">
      <c r="A9751" s="64"/>
      <c r="B9751" s="69"/>
      <c r="C9751" s="64"/>
      <c r="D9751" s="64"/>
      <c r="E9751" s="64"/>
    </row>
    <row r="9752" spans="1:5">
      <c r="A9752" s="64"/>
      <c r="B9752" s="69"/>
      <c r="C9752" s="64"/>
      <c r="D9752" s="64"/>
      <c r="E9752" s="64"/>
    </row>
    <row r="9753" spans="1:5">
      <c r="A9753" s="64"/>
      <c r="B9753" s="69"/>
      <c r="C9753" s="64"/>
      <c r="D9753" s="64"/>
      <c r="E9753" s="64"/>
    </row>
    <row r="9754" spans="1:5">
      <c r="A9754" s="64"/>
      <c r="B9754" s="69"/>
      <c r="C9754" s="64"/>
      <c r="D9754" s="64"/>
      <c r="E9754" s="64"/>
    </row>
    <row r="9755" spans="1:5">
      <c r="A9755" s="64"/>
      <c r="B9755" s="69"/>
      <c r="C9755" s="64"/>
      <c r="D9755" s="64"/>
      <c r="E9755" s="64"/>
    </row>
    <row r="9756" spans="1:5">
      <c r="A9756" s="64"/>
      <c r="B9756" s="69"/>
      <c r="C9756" s="64"/>
      <c r="D9756" s="64"/>
      <c r="E9756" s="64"/>
    </row>
    <row r="9757" spans="1:5">
      <c r="A9757" s="64"/>
      <c r="B9757" s="69"/>
      <c r="C9757" s="64"/>
      <c r="D9757" s="64"/>
      <c r="E9757" s="64"/>
    </row>
    <row r="9758" spans="1:5">
      <c r="A9758" s="64"/>
      <c r="B9758" s="69"/>
      <c r="C9758" s="64"/>
      <c r="D9758" s="64"/>
      <c r="E9758" s="64"/>
    </row>
    <row r="9759" spans="1:5">
      <c r="A9759" s="64"/>
      <c r="B9759" s="69"/>
      <c r="C9759" s="64"/>
      <c r="D9759" s="64"/>
      <c r="E9759" s="64"/>
    </row>
    <row r="9760" spans="1:5">
      <c r="A9760" s="64"/>
      <c r="B9760" s="69"/>
      <c r="C9760" s="64"/>
      <c r="D9760" s="64"/>
      <c r="E9760" s="64"/>
    </row>
    <row r="9761" spans="1:5">
      <c r="A9761" s="64"/>
      <c r="B9761" s="69"/>
      <c r="C9761" s="64"/>
      <c r="D9761" s="64"/>
      <c r="E9761" s="64"/>
    </row>
    <row r="9762" spans="1:5">
      <c r="A9762" s="64"/>
      <c r="B9762" s="69"/>
      <c r="C9762" s="64"/>
      <c r="D9762" s="64"/>
      <c r="E9762" s="64"/>
    </row>
    <row r="9763" spans="1:5">
      <c r="A9763" s="64"/>
      <c r="B9763" s="69"/>
      <c r="C9763" s="64"/>
      <c r="D9763" s="64"/>
      <c r="E9763" s="64"/>
    </row>
    <row r="9764" spans="1:5">
      <c r="A9764" s="64"/>
      <c r="B9764" s="69"/>
      <c r="C9764" s="64"/>
      <c r="D9764" s="64"/>
      <c r="E9764" s="64"/>
    </row>
    <row r="9765" spans="1:5">
      <c r="A9765" s="64"/>
      <c r="B9765" s="69"/>
      <c r="C9765" s="64"/>
      <c r="D9765" s="64"/>
      <c r="E9765" s="64"/>
    </row>
    <row r="9766" spans="1:5">
      <c r="A9766" s="64"/>
      <c r="B9766" s="69"/>
      <c r="C9766" s="64"/>
      <c r="D9766" s="64"/>
      <c r="E9766" s="64"/>
    </row>
    <row r="9767" spans="1:5">
      <c r="A9767" s="64"/>
      <c r="B9767" s="69"/>
      <c r="C9767" s="64"/>
      <c r="D9767" s="64"/>
      <c r="E9767" s="64"/>
    </row>
    <row r="9768" spans="1:5">
      <c r="A9768" s="64"/>
      <c r="B9768" s="69"/>
      <c r="C9768" s="64"/>
      <c r="D9768" s="64"/>
      <c r="E9768" s="64"/>
    </row>
    <row r="9769" spans="1:5">
      <c r="A9769" s="64"/>
      <c r="B9769" s="69"/>
      <c r="C9769" s="64"/>
      <c r="D9769" s="64"/>
      <c r="E9769" s="64"/>
    </row>
    <row r="9770" spans="1:5">
      <c r="A9770" s="64"/>
      <c r="B9770" s="69"/>
      <c r="C9770" s="64"/>
      <c r="D9770" s="64"/>
      <c r="E9770" s="64"/>
    </row>
    <row r="9771" spans="1:5">
      <c r="A9771" s="64"/>
      <c r="B9771" s="69"/>
      <c r="C9771" s="64"/>
      <c r="D9771" s="64"/>
      <c r="E9771" s="64"/>
    </row>
    <row r="9772" spans="1:5">
      <c r="A9772" s="64"/>
      <c r="B9772" s="69"/>
      <c r="C9772" s="64"/>
      <c r="D9772" s="64"/>
      <c r="E9772" s="64"/>
    </row>
    <row r="9773" spans="1:5">
      <c r="A9773" s="64"/>
      <c r="B9773" s="69"/>
      <c r="C9773" s="64"/>
      <c r="D9773" s="64"/>
      <c r="E9773" s="64"/>
    </row>
    <row r="9774" spans="1:5">
      <c r="A9774" s="64"/>
      <c r="B9774" s="69"/>
      <c r="C9774" s="64"/>
      <c r="D9774" s="64"/>
      <c r="E9774" s="64"/>
    </row>
    <row r="9775" spans="1:5">
      <c r="A9775" s="64"/>
      <c r="B9775" s="69"/>
      <c r="C9775" s="64"/>
      <c r="D9775" s="64"/>
      <c r="E9775" s="64"/>
    </row>
    <row r="9776" spans="1:5">
      <c r="A9776" s="64"/>
      <c r="B9776" s="69"/>
      <c r="C9776" s="64"/>
      <c r="D9776" s="64"/>
      <c r="E9776" s="64"/>
    </row>
    <row r="9777" spans="1:5">
      <c r="A9777" s="64"/>
      <c r="B9777" s="69"/>
      <c r="C9777" s="64"/>
      <c r="D9777" s="64"/>
      <c r="E9777" s="64"/>
    </row>
    <row r="9778" spans="1:5">
      <c r="A9778" s="64"/>
      <c r="B9778" s="69"/>
      <c r="C9778" s="64"/>
      <c r="D9778" s="64"/>
      <c r="E9778" s="64"/>
    </row>
    <row r="9779" spans="1:5">
      <c r="A9779" s="64"/>
      <c r="B9779" s="69"/>
      <c r="C9779" s="64"/>
      <c r="D9779" s="64"/>
      <c r="E9779" s="64"/>
    </row>
    <row r="9780" spans="1:5">
      <c r="A9780" s="64"/>
      <c r="B9780" s="69"/>
      <c r="C9780" s="64"/>
      <c r="D9780" s="64"/>
      <c r="E9780" s="64"/>
    </row>
    <row r="9781" spans="1:5">
      <c r="A9781" s="64"/>
      <c r="B9781" s="69"/>
      <c r="C9781" s="64"/>
      <c r="D9781" s="64"/>
      <c r="E9781" s="64"/>
    </row>
    <row r="9782" spans="1:5">
      <c r="A9782" s="64"/>
      <c r="B9782" s="69"/>
      <c r="C9782" s="64"/>
      <c r="D9782" s="64"/>
      <c r="E9782" s="64"/>
    </row>
    <row r="9783" spans="1:5">
      <c r="A9783" s="64"/>
      <c r="B9783" s="69"/>
      <c r="C9783" s="64"/>
      <c r="D9783" s="64"/>
      <c r="E9783" s="64"/>
    </row>
    <row r="9784" spans="1:5">
      <c r="A9784" s="64"/>
      <c r="B9784" s="69"/>
      <c r="C9784" s="64"/>
      <c r="D9784" s="64"/>
      <c r="E9784" s="64"/>
    </row>
    <row r="9785" spans="1:5">
      <c r="A9785" s="64"/>
      <c r="B9785" s="69"/>
      <c r="C9785" s="64"/>
      <c r="D9785" s="64"/>
      <c r="E9785" s="64"/>
    </row>
    <row r="9786" spans="1:5">
      <c r="A9786" s="64"/>
      <c r="B9786" s="69"/>
      <c r="C9786" s="64"/>
      <c r="D9786" s="64"/>
      <c r="E9786" s="64"/>
    </row>
    <row r="9787" spans="1:5">
      <c r="A9787" s="64"/>
      <c r="B9787" s="69"/>
      <c r="C9787" s="64"/>
      <c r="D9787" s="64"/>
      <c r="E9787" s="64"/>
    </row>
    <row r="9788" spans="1:5">
      <c r="A9788" s="64"/>
      <c r="B9788" s="69"/>
      <c r="C9788" s="64"/>
      <c r="D9788" s="64"/>
      <c r="E9788" s="64"/>
    </row>
    <row r="9789" spans="1:5">
      <c r="A9789" s="64"/>
      <c r="B9789" s="69"/>
      <c r="C9789" s="64"/>
      <c r="D9789" s="64"/>
      <c r="E9789" s="64"/>
    </row>
    <row r="9790" spans="1:5">
      <c r="A9790" s="64"/>
      <c r="B9790" s="69"/>
      <c r="C9790" s="64"/>
      <c r="D9790" s="64"/>
      <c r="E9790" s="64"/>
    </row>
    <row r="9791" spans="1:5">
      <c r="A9791" s="64"/>
      <c r="B9791" s="69"/>
      <c r="C9791" s="64"/>
      <c r="D9791" s="64"/>
      <c r="E9791" s="64"/>
    </row>
    <row r="9792" spans="1:5">
      <c r="A9792" s="64"/>
      <c r="B9792" s="69"/>
      <c r="C9792" s="64"/>
      <c r="D9792" s="64"/>
      <c r="E9792" s="64"/>
    </row>
    <row r="9793" spans="1:5">
      <c r="A9793" s="64"/>
      <c r="B9793" s="69"/>
      <c r="C9793" s="64"/>
      <c r="D9793" s="64"/>
      <c r="E9793" s="64"/>
    </row>
    <row r="9794" spans="1:5">
      <c r="A9794" s="64"/>
      <c r="B9794" s="69"/>
      <c r="C9794" s="64"/>
      <c r="D9794" s="64"/>
      <c r="E9794" s="64"/>
    </row>
    <row r="9795" spans="1:5">
      <c r="A9795" s="64"/>
      <c r="B9795" s="69"/>
      <c r="C9795" s="64"/>
      <c r="D9795" s="64"/>
      <c r="E9795" s="64"/>
    </row>
    <row r="9796" spans="1:5">
      <c r="A9796" s="64"/>
      <c r="B9796" s="69"/>
      <c r="C9796" s="64"/>
      <c r="D9796" s="64"/>
      <c r="E9796" s="64"/>
    </row>
    <row r="9797" spans="1:5">
      <c r="A9797" s="64"/>
      <c r="B9797" s="69"/>
      <c r="C9797" s="64"/>
      <c r="D9797" s="64"/>
      <c r="E9797" s="64"/>
    </row>
    <row r="9798" spans="1:5">
      <c r="A9798" s="64"/>
      <c r="B9798" s="69"/>
      <c r="C9798" s="64"/>
      <c r="D9798" s="64"/>
      <c r="E9798" s="64"/>
    </row>
    <row r="9799" spans="1:5">
      <c r="A9799" s="64"/>
      <c r="B9799" s="69"/>
      <c r="C9799" s="64"/>
      <c r="D9799" s="64"/>
      <c r="E9799" s="64"/>
    </row>
    <row r="9800" spans="1:5">
      <c r="A9800" s="64"/>
      <c r="B9800" s="69"/>
      <c r="C9800" s="64"/>
      <c r="D9800" s="64"/>
      <c r="E9800" s="64"/>
    </row>
    <row r="9801" spans="1:5">
      <c r="A9801" s="64"/>
      <c r="B9801" s="69"/>
      <c r="C9801" s="64"/>
      <c r="D9801" s="64"/>
      <c r="E9801" s="64"/>
    </row>
    <row r="9802" spans="1:5">
      <c r="A9802" s="64"/>
      <c r="B9802" s="69"/>
      <c r="C9802" s="64"/>
      <c r="D9802" s="64"/>
      <c r="E9802" s="64"/>
    </row>
    <row r="9803" spans="1:5">
      <c r="A9803" s="64"/>
      <c r="B9803" s="69"/>
      <c r="C9803" s="64"/>
      <c r="D9803" s="64"/>
      <c r="E9803" s="64"/>
    </row>
    <row r="9804" spans="1:5">
      <c r="A9804" s="64"/>
      <c r="B9804" s="69"/>
      <c r="C9804" s="64"/>
      <c r="D9804" s="64"/>
      <c r="E9804" s="64"/>
    </row>
    <row r="9805" spans="1:5">
      <c r="A9805" s="64"/>
      <c r="B9805" s="69"/>
      <c r="C9805" s="64"/>
      <c r="D9805" s="64"/>
      <c r="E9805" s="64"/>
    </row>
    <row r="9806" spans="1:5">
      <c r="A9806" s="64"/>
      <c r="B9806" s="69"/>
      <c r="C9806" s="64"/>
      <c r="D9806" s="64"/>
      <c r="E9806" s="64"/>
    </row>
    <row r="9807" spans="1:5">
      <c r="A9807" s="64"/>
      <c r="B9807" s="69"/>
      <c r="C9807" s="64"/>
      <c r="D9807" s="64"/>
      <c r="E9807" s="64"/>
    </row>
    <row r="9808" spans="1:5">
      <c r="A9808" s="64"/>
      <c r="B9808" s="69"/>
      <c r="C9808" s="64"/>
      <c r="D9808" s="64"/>
      <c r="E9808" s="64"/>
    </row>
    <row r="9809" spans="1:5">
      <c r="A9809" s="64"/>
      <c r="B9809" s="69"/>
      <c r="C9809" s="64"/>
      <c r="D9809" s="64"/>
      <c r="E9809" s="64"/>
    </row>
    <row r="9810" spans="1:5">
      <c r="A9810" s="64"/>
      <c r="B9810" s="69"/>
      <c r="C9810" s="64"/>
      <c r="D9810" s="64"/>
      <c r="E9810" s="64"/>
    </row>
    <row r="9811" spans="1:5">
      <c r="A9811" s="64"/>
      <c r="B9811" s="69"/>
      <c r="C9811" s="64"/>
      <c r="D9811" s="64"/>
      <c r="E9811" s="64"/>
    </row>
    <row r="9812" spans="1:5">
      <c r="A9812" s="64"/>
      <c r="B9812" s="69"/>
      <c r="C9812" s="64"/>
      <c r="D9812" s="64"/>
      <c r="E9812" s="64"/>
    </row>
    <row r="9813" spans="1:5">
      <c r="A9813" s="64"/>
      <c r="B9813" s="69"/>
      <c r="C9813" s="64"/>
      <c r="D9813" s="64"/>
      <c r="E9813" s="64"/>
    </row>
    <row r="9814" spans="1:5">
      <c r="A9814" s="64"/>
      <c r="B9814" s="69"/>
      <c r="C9814" s="64"/>
      <c r="D9814" s="64"/>
      <c r="E9814" s="64"/>
    </row>
    <row r="9815" spans="1:5">
      <c r="A9815" s="64"/>
      <c r="B9815" s="69"/>
      <c r="C9815" s="64"/>
      <c r="D9815" s="64"/>
      <c r="E9815" s="64"/>
    </row>
    <row r="9816" spans="1:5">
      <c r="A9816" s="64"/>
      <c r="B9816" s="69"/>
      <c r="C9816" s="64"/>
      <c r="D9816" s="64"/>
      <c r="E9816" s="64"/>
    </row>
    <row r="9817" spans="1:5">
      <c r="A9817" s="64"/>
      <c r="B9817" s="69"/>
      <c r="C9817" s="64"/>
      <c r="D9817" s="64"/>
      <c r="E9817" s="64"/>
    </row>
    <row r="9818" spans="1:5">
      <c r="A9818" s="64"/>
      <c r="B9818" s="69"/>
      <c r="C9818" s="64"/>
      <c r="D9818" s="64"/>
      <c r="E9818" s="64"/>
    </row>
    <row r="9819" spans="1:5">
      <c r="A9819" s="64"/>
      <c r="B9819" s="69"/>
      <c r="C9819" s="64"/>
      <c r="D9819" s="64"/>
      <c r="E9819" s="64"/>
    </row>
    <row r="9820" spans="1:5">
      <c r="A9820" s="64"/>
      <c r="B9820" s="69"/>
      <c r="C9820" s="64"/>
      <c r="D9820" s="64"/>
      <c r="E9820" s="64"/>
    </row>
    <row r="9821" spans="1:5">
      <c r="A9821" s="64"/>
      <c r="B9821" s="69"/>
      <c r="C9821" s="64"/>
      <c r="D9821" s="64"/>
      <c r="E9821" s="64"/>
    </row>
    <row r="9822" spans="1:5">
      <c r="A9822" s="64"/>
      <c r="B9822" s="69"/>
      <c r="C9822" s="64"/>
      <c r="D9822" s="64"/>
      <c r="E9822" s="64"/>
    </row>
    <row r="9823" spans="1:5">
      <c r="A9823" s="64"/>
      <c r="B9823" s="69"/>
      <c r="C9823" s="64"/>
      <c r="D9823" s="64"/>
      <c r="E9823" s="64"/>
    </row>
    <row r="9824" spans="1:5">
      <c r="A9824" s="64"/>
      <c r="B9824" s="69"/>
      <c r="C9824" s="64"/>
      <c r="D9824" s="64"/>
      <c r="E9824" s="64"/>
    </row>
    <row r="9825" spans="1:5">
      <c r="A9825" s="64"/>
      <c r="B9825" s="69"/>
      <c r="C9825" s="64"/>
      <c r="D9825" s="64"/>
      <c r="E9825" s="64"/>
    </row>
    <row r="9826" spans="1:5">
      <c r="A9826" s="64"/>
      <c r="B9826" s="69"/>
      <c r="C9826" s="64"/>
      <c r="D9826" s="64"/>
      <c r="E9826" s="64"/>
    </row>
    <row r="9827" spans="1:5">
      <c r="A9827" s="64"/>
      <c r="B9827" s="69"/>
      <c r="C9827" s="64"/>
      <c r="D9827" s="64"/>
      <c r="E9827" s="64"/>
    </row>
    <row r="9828" spans="1:5">
      <c r="A9828" s="64"/>
      <c r="B9828" s="69"/>
      <c r="C9828" s="64"/>
      <c r="D9828" s="64"/>
      <c r="E9828" s="64"/>
    </row>
    <row r="9829" spans="1:5">
      <c r="A9829" s="64"/>
      <c r="B9829" s="69"/>
      <c r="C9829" s="64"/>
      <c r="D9829" s="64"/>
      <c r="E9829" s="64"/>
    </row>
    <row r="9830" spans="1:5">
      <c r="A9830" s="64"/>
      <c r="B9830" s="69"/>
      <c r="C9830" s="64"/>
      <c r="D9830" s="64"/>
      <c r="E9830" s="64"/>
    </row>
    <row r="9831" spans="1:5">
      <c r="A9831" s="64"/>
      <c r="B9831" s="69"/>
      <c r="C9831" s="64"/>
      <c r="D9831" s="64"/>
      <c r="E9831" s="64"/>
    </row>
    <row r="9832" spans="1:5">
      <c r="A9832" s="64"/>
      <c r="B9832" s="69"/>
      <c r="C9832" s="64"/>
      <c r="D9832" s="64"/>
      <c r="E9832" s="64"/>
    </row>
    <row r="9833" spans="1:5">
      <c r="A9833" s="64"/>
      <c r="B9833" s="69"/>
      <c r="C9833" s="64"/>
      <c r="D9833" s="64"/>
      <c r="E9833" s="64"/>
    </row>
    <row r="9834" spans="1:5">
      <c r="A9834" s="64"/>
      <c r="B9834" s="69"/>
      <c r="C9834" s="64"/>
      <c r="D9834" s="64"/>
      <c r="E9834" s="64"/>
    </row>
    <row r="9835" spans="1:5">
      <c r="A9835" s="64"/>
      <c r="B9835" s="69"/>
      <c r="C9835" s="64"/>
      <c r="D9835" s="64"/>
      <c r="E9835" s="64"/>
    </row>
    <row r="9836" spans="1:5">
      <c r="A9836" s="64"/>
      <c r="B9836" s="69"/>
      <c r="C9836" s="64"/>
      <c r="D9836" s="64"/>
      <c r="E9836" s="64"/>
    </row>
    <row r="9837" spans="1:5">
      <c r="A9837" s="64"/>
      <c r="B9837" s="69"/>
      <c r="C9837" s="64"/>
      <c r="D9837" s="64"/>
      <c r="E9837" s="64"/>
    </row>
    <row r="9838" spans="1:5">
      <c r="A9838" s="64"/>
      <c r="B9838" s="69"/>
      <c r="C9838" s="64"/>
      <c r="D9838" s="64"/>
      <c r="E9838" s="64"/>
    </row>
    <row r="9839" spans="1:5">
      <c r="A9839" s="64"/>
      <c r="B9839" s="69"/>
      <c r="C9839" s="64"/>
      <c r="D9839" s="64"/>
      <c r="E9839" s="64"/>
    </row>
    <row r="9840" spans="1:5">
      <c r="A9840" s="64"/>
      <c r="B9840" s="69"/>
      <c r="C9840" s="64"/>
      <c r="D9840" s="64"/>
      <c r="E9840" s="64"/>
    </row>
    <row r="9841" spans="1:5">
      <c r="A9841" s="64"/>
      <c r="B9841" s="69"/>
      <c r="C9841" s="64"/>
      <c r="D9841" s="64"/>
      <c r="E9841" s="64"/>
    </row>
    <row r="9842" spans="1:5">
      <c r="A9842" s="64"/>
      <c r="B9842" s="69"/>
      <c r="C9842" s="64"/>
      <c r="D9842" s="64"/>
      <c r="E9842" s="64"/>
    </row>
    <row r="9843" spans="1:5">
      <c r="A9843" s="64"/>
      <c r="B9843" s="69"/>
      <c r="C9843" s="64"/>
      <c r="D9843" s="64"/>
      <c r="E9843" s="64"/>
    </row>
    <row r="9844" spans="1:5">
      <c r="A9844" s="64"/>
      <c r="B9844" s="69"/>
      <c r="C9844" s="64"/>
      <c r="D9844" s="64"/>
      <c r="E9844" s="64"/>
    </row>
    <row r="9845" spans="1:5">
      <c r="A9845" s="64"/>
      <c r="B9845" s="69"/>
      <c r="C9845" s="64"/>
      <c r="D9845" s="64"/>
      <c r="E9845" s="64"/>
    </row>
    <row r="9846" spans="1:5">
      <c r="A9846" s="64"/>
      <c r="B9846" s="69"/>
      <c r="C9846" s="64"/>
      <c r="D9846" s="64"/>
      <c r="E9846" s="64"/>
    </row>
    <row r="9847" spans="1:5">
      <c r="A9847" s="64"/>
      <c r="B9847" s="69"/>
      <c r="C9847" s="64"/>
      <c r="D9847" s="64"/>
      <c r="E9847" s="64"/>
    </row>
    <row r="9848" spans="1:5">
      <c r="A9848" s="64"/>
      <c r="B9848" s="69"/>
      <c r="C9848" s="64"/>
      <c r="D9848" s="64"/>
      <c r="E9848" s="64"/>
    </row>
    <row r="9849" spans="1:5">
      <c r="A9849" s="64"/>
      <c r="B9849" s="69"/>
      <c r="C9849" s="64"/>
      <c r="D9849" s="64"/>
      <c r="E9849" s="64"/>
    </row>
    <row r="9850" spans="1:5">
      <c r="A9850" s="64"/>
      <c r="B9850" s="69"/>
      <c r="C9850" s="64"/>
      <c r="D9850" s="64"/>
      <c r="E9850" s="64"/>
    </row>
    <row r="9851" spans="1:5">
      <c r="A9851" s="64"/>
      <c r="B9851" s="69"/>
      <c r="C9851" s="64"/>
      <c r="D9851" s="64"/>
      <c r="E9851" s="64"/>
    </row>
    <row r="9852" spans="1:5">
      <c r="A9852" s="64"/>
      <c r="B9852" s="69"/>
      <c r="C9852" s="64"/>
      <c r="D9852" s="64"/>
      <c r="E9852" s="64"/>
    </row>
    <row r="9853" spans="1:5">
      <c r="A9853" s="64"/>
      <c r="B9853" s="69"/>
      <c r="C9853" s="64"/>
      <c r="D9853" s="64"/>
      <c r="E9853" s="64"/>
    </row>
    <row r="9854" spans="1:5">
      <c r="A9854" s="64"/>
      <c r="B9854" s="69"/>
      <c r="C9854" s="64"/>
      <c r="D9854" s="64"/>
      <c r="E9854" s="64"/>
    </row>
    <row r="9855" spans="1:5">
      <c r="A9855" s="64"/>
      <c r="B9855" s="69"/>
      <c r="C9855" s="64"/>
      <c r="D9855" s="64"/>
      <c r="E9855" s="64"/>
    </row>
    <row r="9856" spans="1:5">
      <c r="A9856" s="64"/>
      <c r="B9856" s="69"/>
      <c r="C9856" s="64"/>
      <c r="D9856" s="64"/>
      <c r="E9856" s="64"/>
    </row>
    <row r="9857" spans="1:5">
      <c r="A9857" s="64"/>
      <c r="B9857" s="69"/>
      <c r="C9857" s="64"/>
      <c r="D9857" s="64"/>
      <c r="E9857" s="64"/>
    </row>
    <row r="9858" spans="1:5">
      <c r="A9858" s="64"/>
      <c r="B9858" s="69"/>
      <c r="C9858" s="64"/>
      <c r="D9858" s="64"/>
      <c r="E9858" s="64"/>
    </row>
    <row r="9859" spans="1:5">
      <c r="A9859" s="64"/>
      <c r="B9859" s="69"/>
      <c r="C9859" s="64"/>
      <c r="D9859" s="64"/>
      <c r="E9859" s="64"/>
    </row>
    <row r="9860" spans="1:5">
      <c r="A9860" s="64"/>
      <c r="B9860" s="69"/>
      <c r="C9860" s="64"/>
      <c r="D9860" s="64"/>
      <c r="E9860" s="64"/>
    </row>
    <row r="9861" spans="1:5">
      <c r="A9861" s="64"/>
      <c r="B9861" s="69"/>
      <c r="C9861" s="64"/>
      <c r="D9861" s="64"/>
      <c r="E9861" s="64"/>
    </row>
    <row r="9862" spans="1:5">
      <c r="A9862" s="64"/>
      <c r="B9862" s="69"/>
      <c r="C9862" s="64"/>
      <c r="D9862" s="64"/>
      <c r="E9862" s="64"/>
    </row>
    <row r="9863" spans="1:5">
      <c r="A9863" s="64"/>
      <c r="B9863" s="69"/>
      <c r="C9863" s="64"/>
      <c r="D9863" s="64"/>
      <c r="E9863" s="64"/>
    </row>
    <row r="9864" spans="1:5">
      <c r="A9864" s="64"/>
      <c r="B9864" s="69"/>
      <c r="C9864" s="64"/>
      <c r="D9864" s="64"/>
      <c r="E9864" s="64"/>
    </row>
    <row r="9865" spans="1:5">
      <c r="A9865" s="64"/>
      <c r="B9865" s="69"/>
      <c r="C9865" s="64"/>
      <c r="D9865" s="64"/>
      <c r="E9865" s="64"/>
    </row>
    <row r="9866" spans="1:5">
      <c r="A9866" s="64"/>
      <c r="B9866" s="69"/>
      <c r="C9866" s="64"/>
      <c r="D9866" s="64"/>
      <c r="E9866" s="64"/>
    </row>
    <row r="9867" spans="1:5">
      <c r="A9867" s="64"/>
      <c r="B9867" s="69"/>
      <c r="C9867" s="64"/>
      <c r="D9867" s="64"/>
      <c r="E9867" s="64"/>
    </row>
    <row r="9868" spans="1:5">
      <c r="A9868" s="64"/>
      <c r="B9868" s="69"/>
      <c r="C9868" s="64"/>
      <c r="D9868" s="64"/>
      <c r="E9868" s="64"/>
    </row>
    <row r="9869" spans="1:5">
      <c r="A9869" s="64"/>
      <c r="B9869" s="69"/>
      <c r="C9869" s="64"/>
      <c r="D9869" s="64"/>
      <c r="E9869" s="64"/>
    </row>
    <row r="9870" spans="1:5">
      <c r="A9870" s="64"/>
      <c r="B9870" s="69"/>
      <c r="C9870" s="64"/>
      <c r="D9870" s="64"/>
      <c r="E9870" s="64"/>
    </row>
    <row r="9871" spans="1:5">
      <c r="A9871" s="64"/>
      <c r="B9871" s="69"/>
      <c r="C9871" s="64"/>
      <c r="D9871" s="64"/>
      <c r="E9871" s="64"/>
    </row>
    <row r="9872" spans="1:5">
      <c r="A9872" s="64"/>
      <c r="B9872" s="69"/>
      <c r="C9872" s="64"/>
      <c r="D9872" s="64"/>
      <c r="E9872" s="64"/>
    </row>
    <row r="9873" spans="1:5">
      <c r="A9873" s="64"/>
      <c r="B9873" s="69"/>
      <c r="C9873" s="64"/>
      <c r="D9873" s="64"/>
      <c r="E9873" s="64"/>
    </row>
    <row r="9874" spans="1:5">
      <c r="A9874" s="64"/>
      <c r="B9874" s="69"/>
      <c r="C9874" s="64"/>
      <c r="D9874" s="64"/>
      <c r="E9874" s="64"/>
    </row>
    <row r="9875" spans="1:5">
      <c r="A9875" s="64"/>
      <c r="B9875" s="69"/>
      <c r="C9875" s="64"/>
      <c r="D9875" s="64"/>
      <c r="E9875" s="64"/>
    </row>
    <row r="9876" spans="1:5">
      <c r="A9876" s="64"/>
      <c r="B9876" s="69"/>
      <c r="C9876" s="64"/>
      <c r="D9876" s="64"/>
      <c r="E9876" s="64"/>
    </row>
    <row r="9877" spans="1:5">
      <c r="A9877" s="64"/>
      <c r="B9877" s="69"/>
      <c r="C9877" s="64"/>
      <c r="D9877" s="64"/>
      <c r="E9877" s="64"/>
    </row>
    <row r="9878" spans="1:5">
      <c r="A9878" s="64"/>
      <c r="B9878" s="69"/>
      <c r="C9878" s="64"/>
      <c r="D9878" s="64"/>
      <c r="E9878" s="64"/>
    </row>
    <row r="9879" spans="1:5">
      <c r="A9879" s="64"/>
      <c r="B9879" s="69"/>
      <c r="C9879" s="64"/>
      <c r="D9879" s="64"/>
      <c r="E9879" s="64"/>
    </row>
    <row r="9880" spans="1:5">
      <c r="A9880" s="64"/>
      <c r="B9880" s="69"/>
      <c r="C9880" s="64"/>
      <c r="D9880" s="64"/>
      <c r="E9880" s="64"/>
    </row>
    <row r="9881" spans="1:5">
      <c r="A9881" s="64"/>
      <c r="B9881" s="69"/>
      <c r="C9881" s="64"/>
      <c r="D9881" s="64"/>
      <c r="E9881" s="64"/>
    </row>
    <row r="9882" spans="1:5">
      <c r="A9882" s="64"/>
      <c r="B9882" s="69"/>
      <c r="C9882" s="64"/>
      <c r="D9882" s="64"/>
      <c r="E9882" s="64"/>
    </row>
    <row r="9883" spans="1:5">
      <c r="A9883" s="64"/>
      <c r="B9883" s="69"/>
      <c r="C9883" s="64"/>
      <c r="D9883" s="64"/>
      <c r="E9883" s="64"/>
    </row>
    <row r="9884" spans="1:5">
      <c r="A9884" s="64"/>
      <c r="B9884" s="69"/>
      <c r="C9884" s="64"/>
      <c r="D9884" s="64"/>
      <c r="E9884" s="64"/>
    </row>
    <row r="9885" spans="1:5">
      <c r="A9885" s="64"/>
      <c r="B9885" s="69"/>
      <c r="C9885" s="64"/>
      <c r="D9885" s="64"/>
      <c r="E9885" s="64"/>
    </row>
    <row r="9886" spans="1:5">
      <c r="A9886" s="64"/>
      <c r="B9886" s="69"/>
      <c r="C9886" s="64"/>
      <c r="D9886" s="64"/>
      <c r="E9886" s="64"/>
    </row>
    <row r="9887" spans="1:5">
      <c r="A9887" s="64"/>
      <c r="B9887" s="69"/>
      <c r="C9887" s="64"/>
      <c r="D9887" s="64"/>
      <c r="E9887" s="64"/>
    </row>
    <row r="9888" spans="1:5">
      <c r="A9888" s="64"/>
      <c r="B9888" s="69"/>
      <c r="C9888" s="64"/>
      <c r="D9888" s="64"/>
      <c r="E9888" s="64"/>
    </row>
    <row r="9889" spans="1:5">
      <c r="A9889" s="64"/>
      <c r="B9889" s="69"/>
      <c r="C9889" s="64"/>
      <c r="D9889" s="64"/>
      <c r="E9889" s="64"/>
    </row>
    <row r="9890" spans="1:5">
      <c r="A9890" s="64"/>
      <c r="B9890" s="69"/>
      <c r="C9890" s="64"/>
      <c r="D9890" s="64"/>
      <c r="E9890" s="64"/>
    </row>
    <row r="9891" spans="1:5">
      <c r="A9891" s="64"/>
      <c r="B9891" s="69"/>
      <c r="C9891" s="64"/>
      <c r="D9891" s="64"/>
      <c r="E9891" s="64"/>
    </row>
    <row r="9892" spans="1:5">
      <c r="A9892" s="64"/>
      <c r="B9892" s="69"/>
      <c r="C9892" s="64"/>
      <c r="D9892" s="64"/>
      <c r="E9892" s="64"/>
    </row>
    <row r="9893" spans="1:5">
      <c r="A9893" s="64"/>
      <c r="B9893" s="69"/>
      <c r="C9893" s="64"/>
      <c r="D9893" s="64"/>
      <c r="E9893" s="64"/>
    </row>
    <row r="9894" spans="1:5">
      <c r="A9894" s="64"/>
      <c r="B9894" s="69"/>
      <c r="C9894" s="64"/>
      <c r="D9894" s="64"/>
      <c r="E9894" s="64"/>
    </row>
    <row r="9895" spans="1:5">
      <c r="A9895" s="64"/>
      <c r="B9895" s="69"/>
      <c r="C9895" s="64"/>
      <c r="D9895" s="64"/>
      <c r="E9895" s="64"/>
    </row>
    <row r="9896" spans="1:5">
      <c r="A9896" s="64"/>
      <c r="B9896" s="69"/>
      <c r="C9896" s="64"/>
      <c r="D9896" s="64"/>
      <c r="E9896" s="64"/>
    </row>
    <row r="9897" spans="1:5">
      <c r="A9897" s="64"/>
      <c r="B9897" s="69"/>
      <c r="C9897" s="64"/>
      <c r="D9897" s="64"/>
      <c r="E9897" s="64"/>
    </row>
    <row r="9898" spans="1:5">
      <c r="A9898" s="64"/>
      <c r="B9898" s="69"/>
      <c r="C9898" s="64"/>
      <c r="D9898" s="64"/>
      <c r="E9898" s="64"/>
    </row>
    <row r="9899" spans="1:5">
      <c r="A9899" s="64"/>
      <c r="B9899" s="69"/>
      <c r="C9899" s="64"/>
      <c r="D9899" s="64"/>
      <c r="E9899" s="64"/>
    </row>
    <row r="9900" spans="1:5">
      <c r="A9900" s="64"/>
      <c r="B9900" s="69"/>
      <c r="C9900" s="64"/>
      <c r="D9900" s="64"/>
      <c r="E9900" s="64"/>
    </row>
    <row r="9901" spans="1:5">
      <c r="A9901" s="64"/>
      <c r="B9901" s="69"/>
      <c r="C9901" s="64"/>
      <c r="D9901" s="64"/>
      <c r="E9901" s="64"/>
    </row>
    <row r="9902" spans="1:5">
      <c r="A9902" s="64"/>
      <c r="B9902" s="69"/>
      <c r="C9902" s="64"/>
      <c r="D9902" s="64"/>
      <c r="E9902" s="64"/>
    </row>
  </sheetData>
  <phoneticPr fontId="1" type="noConversion"/>
  <dataValidations count="2">
    <dataValidation type="decimal" allowBlank="1" showInputMessage="1" showErrorMessage="1" sqref="E2:E8975">
      <formula1>0</formula1>
      <formula2>1</formula2>
    </dataValidation>
    <dataValidation type="list" allowBlank="1" showInputMessage="1" showErrorMessage="1" sqref="K1:K2">
      <formula1>"Y,N"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EI89"/>
  <sheetViews>
    <sheetView zoomScaleNormal="100" workbookViewId="0">
      <pane xSplit="5" ySplit="13" topLeftCell="BB14" activePane="bottomRight" state="frozen"/>
      <selection pane="topRight" activeCell="F1" sqref="F1"/>
      <selection pane="bottomLeft" activeCell="A14" sqref="A14"/>
      <selection pane="bottomRight"/>
    </sheetView>
  </sheetViews>
  <sheetFormatPr defaultRowHeight="16.5"/>
  <cols>
    <col min="1" max="1" width="32.625" style="12" customWidth="1"/>
    <col min="2" max="2" width="11.875" style="12" customWidth="1"/>
    <col min="3" max="3" width="12" style="12" customWidth="1"/>
    <col min="4" max="4" width="9.75" style="12" bestFit="1" customWidth="1"/>
    <col min="5" max="5" width="9.75" style="12" customWidth="1"/>
    <col min="6" max="7" width="9.75" style="12" bestFit="1" customWidth="1"/>
    <col min="8" max="8" width="8" style="12" bestFit="1" customWidth="1"/>
    <col min="9" max="9" width="9.625" style="12" bestFit="1" customWidth="1"/>
    <col min="10" max="11" width="8" style="12" bestFit="1" customWidth="1"/>
    <col min="12" max="13" width="9.625" style="12" bestFit="1" customWidth="1"/>
    <col min="14" max="14" width="10.625" hidden="1" customWidth="1"/>
    <col min="15" max="25" width="10.625" style="12" hidden="1" customWidth="1"/>
    <col min="26" max="26" width="1.625" style="12" customWidth="1"/>
    <col min="27" max="297" width="1.875" style="12" customWidth="1"/>
    <col min="298" max="16384" width="9" style="12"/>
  </cols>
  <sheetData>
    <row r="1" spans="1:138" ht="17.25">
      <c r="A1" s="76"/>
      <c r="F1" s="15"/>
      <c r="G1" s="15"/>
      <c r="J1" s="15"/>
      <c r="K1" s="15"/>
    </row>
    <row r="2" spans="1:138" ht="17.25" hidden="1">
      <c r="A2" s="70" t="s">
        <v>255</v>
      </c>
      <c r="B2" s="72" t="s">
        <v>311</v>
      </c>
      <c r="F2" s="15"/>
      <c r="J2" s="15"/>
      <c r="K2" s="15"/>
    </row>
    <row r="3" spans="1:138" s="15" customFormat="1" ht="17.25">
      <c r="A3" s="70" t="s">
        <v>312</v>
      </c>
      <c r="B3" s="73"/>
      <c r="C3" s="71"/>
    </row>
    <row r="4" spans="1:138" s="15" customFormat="1" ht="17.25">
      <c r="A4" s="70" t="s">
        <v>258</v>
      </c>
      <c r="B4" s="73"/>
    </row>
    <row r="5" spans="1:138" s="15" customFormat="1" ht="17.25" hidden="1" customHeight="1">
      <c r="A5" s="70"/>
      <c r="B5" s="73"/>
    </row>
    <row r="6" spans="1:138" s="15" customFormat="1" ht="17.25" hidden="1" customHeight="1">
      <c r="A6" s="70"/>
      <c r="B6" s="73"/>
    </row>
    <row r="7" spans="1:138" s="15" customFormat="1" ht="17.25">
      <c r="A7" s="70" t="s">
        <v>256</v>
      </c>
      <c r="B7" s="105"/>
      <c r="C7" s="106"/>
      <c r="D7" s="106"/>
      <c r="K7" s="71"/>
    </row>
    <row r="8" spans="1:138" s="15" customFormat="1" ht="17.25">
      <c r="A8" s="70" t="s">
        <v>257</v>
      </c>
      <c r="B8" s="74"/>
      <c r="C8" s="12"/>
    </row>
    <row r="9" spans="1:138" s="15" customFormat="1" ht="17.25" hidden="1">
      <c r="A9" s="70" t="s">
        <v>260</v>
      </c>
      <c r="B9" s="75" t="s">
        <v>309</v>
      </c>
      <c r="C9" s="12"/>
    </row>
    <row r="11" spans="1:138" ht="23.25" customHeight="1">
      <c r="A11" s="108" t="s">
        <v>155</v>
      </c>
      <c r="B11" s="103" t="s">
        <v>156</v>
      </c>
      <c r="C11" s="89" t="s">
        <v>308</v>
      </c>
      <c r="D11" s="90"/>
      <c r="E11" s="112"/>
      <c r="F11" s="103" t="s">
        <v>165</v>
      </c>
      <c r="G11" s="103"/>
      <c r="H11" s="103" t="s">
        <v>310</v>
      </c>
      <c r="I11" s="103" t="s">
        <v>313</v>
      </c>
      <c r="J11" s="111" t="s">
        <v>314</v>
      </c>
      <c r="K11" s="111" t="s">
        <v>315</v>
      </c>
      <c r="L11" s="107" t="s">
        <v>317</v>
      </c>
      <c r="M11" s="107" t="s">
        <v>316</v>
      </c>
      <c r="AA11" s="100" t="s">
        <v>166</v>
      </c>
      <c r="AB11" s="100"/>
      <c r="AC11" s="100"/>
      <c r="AD11" s="100"/>
      <c r="AE11" s="100" t="s">
        <v>167</v>
      </c>
      <c r="AF11" s="100"/>
      <c r="AG11" s="100"/>
      <c r="AH11" s="100"/>
      <c r="AI11" s="100" t="s">
        <v>168</v>
      </c>
      <c r="AJ11" s="100"/>
      <c r="AK11" s="100"/>
      <c r="AL11" s="100"/>
      <c r="AM11" s="100" t="s">
        <v>169</v>
      </c>
      <c r="AN11" s="100"/>
      <c r="AO11" s="100"/>
      <c r="AP11" s="100"/>
      <c r="AQ11" s="100" t="s">
        <v>170</v>
      </c>
      <c r="AR11" s="100"/>
      <c r="AS11" s="100"/>
      <c r="AT11" s="100"/>
      <c r="AU11" s="100" t="s">
        <v>171</v>
      </c>
      <c r="AV11" s="100"/>
      <c r="AW11" s="100"/>
      <c r="AX11" s="100"/>
      <c r="AY11" s="100" t="s">
        <v>172</v>
      </c>
      <c r="AZ11" s="100"/>
      <c r="BA11" s="100"/>
      <c r="BB11" s="100"/>
      <c r="BC11" s="100" t="s">
        <v>173</v>
      </c>
      <c r="BD11" s="100"/>
      <c r="BE11" s="100"/>
      <c r="BF11" s="100"/>
      <c r="BG11" s="100" t="s">
        <v>174</v>
      </c>
      <c r="BH11" s="100"/>
      <c r="BI11" s="100"/>
      <c r="BJ11" s="100"/>
      <c r="BK11" s="100" t="s">
        <v>175</v>
      </c>
      <c r="BL11" s="100"/>
      <c r="BM11" s="100"/>
      <c r="BN11" s="100"/>
      <c r="BO11" s="100" t="s">
        <v>272</v>
      </c>
      <c r="BP11" s="100"/>
      <c r="BQ11" s="100"/>
      <c r="BR11" s="100"/>
      <c r="BS11" s="100" t="s">
        <v>274</v>
      </c>
      <c r="BT11" s="100"/>
      <c r="BU11" s="100"/>
      <c r="BV11" s="100"/>
      <c r="BW11" s="100" t="s">
        <v>276</v>
      </c>
      <c r="BX11" s="100"/>
      <c r="BY11" s="100"/>
      <c r="BZ11" s="100"/>
      <c r="CA11" s="100" t="s">
        <v>278</v>
      </c>
      <c r="CB11" s="100"/>
      <c r="CC11" s="100"/>
      <c r="CD11" s="100"/>
      <c r="CE11" s="100" t="s">
        <v>280</v>
      </c>
      <c r="CF11" s="100"/>
      <c r="CG11" s="100"/>
      <c r="CH11" s="100"/>
      <c r="CI11" s="100" t="s">
        <v>282</v>
      </c>
      <c r="CJ11" s="100"/>
      <c r="CK11" s="100"/>
      <c r="CL11" s="100"/>
      <c r="CM11" s="100" t="s">
        <v>284</v>
      </c>
      <c r="CN11" s="100"/>
      <c r="CO11" s="100"/>
      <c r="CP11" s="100"/>
      <c r="CQ11" s="100" t="s">
        <v>286</v>
      </c>
      <c r="CR11" s="100"/>
      <c r="CS11" s="100"/>
      <c r="CT11" s="100"/>
      <c r="CU11" s="100" t="s">
        <v>288</v>
      </c>
      <c r="CV11" s="100"/>
      <c r="CW11" s="100"/>
      <c r="CX11" s="100"/>
      <c r="CY11" s="100" t="s">
        <v>290</v>
      </c>
      <c r="CZ11" s="100"/>
      <c r="DA11" s="100"/>
      <c r="DB11" s="100"/>
      <c r="DC11" s="100" t="s">
        <v>292</v>
      </c>
      <c r="DD11" s="100"/>
      <c r="DE11" s="100"/>
      <c r="DF11" s="100"/>
      <c r="DG11" s="100" t="s">
        <v>294</v>
      </c>
      <c r="DH11" s="100"/>
      <c r="DI11" s="100"/>
      <c r="DJ11" s="100"/>
      <c r="DK11" s="100" t="s">
        <v>296</v>
      </c>
      <c r="DL11" s="100"/>
      <c r="DM11" s="100"/>
      <c r="DN11" s="100"/>
      <c r="DO11" s="100" t="s">
        <v>298</v>
      </c>
      <c r="DP11" s="100"/>
      <c r="DQ11" s="100"/>
      <c r="DR11" s="100"/>
      <c r="DS11" s="100" t="s">
        <v>300</v>
      </c>
      <c r="DT11" s="100"/>
      <c r="DU11" s="100"/>
      <c r="DV11" s="100"/>
      <c r="DW11" s="100" t="s">
        <v>302</v>
      </c>
      <c r="DX11" s="100"/>
      <c r="DY11" s="100"/>
      <c r="DZ11" s="100"/>
      <c r="EA11" s="100" t="s">
        <v>304</v>
      </c>
      <c r="EB11" s="100"/>
      <c r="EC11" s="100"/>
      <c r="ED11" s="100"/>
      <c r="EE11" s="100" t="s">
        <v>306</v>
      </c>
      <c r="EF11" s="100"/>
      <c r="EG11" s="100"/>
      <c r="EH11" s="100"/>
    </row>
    <row r="12" spans="1:138" ht="36" customHeight="1">
      <c r="A12" s="108"/>
      <c r="B12" s="103"/>
      <c r="C12" s="103" t="s">
        <v>157</v>
      </c>
      <c r="D12" s="103" t="s">
        <v>158</v>
      </c>
      <c r="E12" s="103" t="s">
        <v>253</v>
      </c>
      <c r="F12" s="103" t="s">
        <v>157</v>
      </c>
      <c r="G12" s="103" t="s">
        <v>158</v>
      </c>
      <c r="H12" s="103"/>
      <c r="I12" s="103"/>
      <c r="J12" s="103"/>
      <c r="K12" s="103"/>
      <c r="L12" s="108"/>
      <c r="M12" s="108"/>
      <c r="AA12" s="101" t="s">
        <v>261</v>
      </c>
      <c r="AB12" s="102"/>
      <c r="AC12" s="102"/>
      <c r="AD12" s="102"/>
      <c r="AE12" s="101" t="s">
        <v>262</v>
      </c>
      <c r="AF12" s="102"/>
      <c r="AG12" s="102"/>
      <c r="AH12" s="102"/>
      <c r="AI12" s="101" t="s">
        <v>263</v>
      </c>
      <c r="AJ12" s="102"/>
      <c r="AK12" s="102"/>
      <c r="AL12" s="102"/>
      <c r="AM12" s="101" t="s">
        <v>264</v>
      </c>
      <c r="AN12" s="102"/>
      <c r="AO12" s="102"/>
      <c r="AP12" s="102"/>
      <c r="AQ12" s="101" t="s">
        <v>265</v>
      </c>
      <c r="AR12" s="102"/>
      <c r="AS12" s="102"/>
      <c r="AT12" s="102"/>
      <c r="AU12" s="101" t="s">
        <v>266</v>
      </c>
      <c r="AV12" s="102"/>
      <c r="AW12" s="102"/>
      <c r="AX12" s="102"/>
      <c r="AY12" s="101" t="s">
        <v>267</v>
      </c>
      <c r="AZ12" s="102"/>
      <c r="BA12" s="102"/>
      <c r="BB12" s="102"/>
      <c r="BC12" s="101" t="s">
        <v>268</v>
      </c>
      <c r="BD12" s="102"/>
      <c r="BE12" s="102"/>
      <c r="BF12" s="102"/>
      <c r="BG12" s="101" t="s">
        <v>269</v>
      </c>
      <c r="BH12" s="102"/>
      <c r="BI12" s="102"/>
      <c r="BJ12" s="102"/>
      <c r="BK12" s="101" t="s">
        <v>270</v>
      </c>
      <c r="BL12" s="102"/>
      <c r="BM12" s="102"/>
      <c r="BN12" s="102"/>
      <c r="BO12" s="101" t="s">
        <v>271</v>
      </c>
      <c r="BP12" s="102"/>
      <c r="BQ12" s="102"/>
      <c r="BR12" s="102"/>
      <c r="BS12" s="101" t="s">
        <v>273</v>
      </c>
      <c r="BT12" s="102"/>
      <c r="BU12" s="102"/>
      <c r="BV12" s="102"/>
      <c r="BW12" s="101" t="s">
        <v>275</v>
      </c>
      <c r="BX12" s="102"/>
      <c r="BY12" s="102"/>
      <c r="BZ12" s="102"/>
      <c r="CA12" s="101" t="s">
        <v>277</v>
      </c>
      <c r="CB12" s="102"/>
      <c r="CC12" s="102"/>
      <c r="CD12" s="102"/>
      <c r="CE12" s="101" t="s">
        <v>279</v>
      </c>
      <c r="CF12" s="102"/>
      <c r="CG12" s="102"/>
      <c r="CH12" s="102"/>
      <c r="CI12" s="101" t="s">
        <v>281</v>
      </c>
      <c r="CJ12" s="102"/>
      <c r="CK12" s="102"/>
      <c r="CL12" s="102"/>
      <c r="CM12" s="101" t="s">
        <v>283</v>
      </c>
      <c r="CN12" s="102"/>
      <c r="CO12" s="102"/>
      <c r="CP12" s="102"/>
      <c r="CQ12" s="101" t="s">
        <v>285</v>
      </c>
      <c r="CR12" s="102"/>
      <c r="CS12" s="102"/>
      <c r="CT12" s="102"/>
      <c r="CU12" s="101" t="s">
        <v>287</v>
      </c>
      <c r="CV12" s="102"/>
      <c r="CW12" s="102"/>
      <c r="CX12" s="102"/>
      <c r="CY12" s="101" t="s">
        <v>289</v>
      </c>
      <c r="CZ12" s="102"/>
      <c r="DA12" s="102"/>
      <c r="DB12" s="102"/>
      <c r="DC12" s="101" t="s">
        <v>291</v>
      </c>
      <c r="DD12" s="102"/>
      <c r="DE12" s="102"/>
      <c r="DF12" s="102"/>
      <c r="DG12" s="101" t="s">
        <v>293</v>
      </c>
      <c r="DH12" s="102"/>
      <c r="DI12" s="102"/>
      <c r="DJ12" s="102"/>
      <c r="DK12" s="101" t="s">
        <v>295</v>
      </c>
      <c r="DL12" s="102"/>
      <c r="DM12" s="102"/>
      <c r="DN12" s="102"/>
      <c r="DO12" s="101" t="s">
        <v>297</v>
      </c>
      <c r="DP12" s="102"/>
      <c r="DQ12" s="102"/>
      <c r="DR12" s="102"/>
      <c r="DS12" s="101" t="s">
        <v>299</v>
      </c>
      <c r="DT12" s="102"/>
      <c r="DU12" s="102"/>
      <c r="DV12" s="102"/>
      <c r="DW12" s="101" t="s">
        <v>301</v>
      </c>
      <c r="DX12" s="102"/>
      <c r="DY12" s="102"/>
      <c r="DZ12" s="102"/>
      <c r="EA12" s="101" t="s">
        <v>303</v>
      </c>
      <c r="EB12" s="102"/>
      <c r="EC12" s="102"/>
      <c r="ED12" s="102"/>
      <c r="EE12" s="101" t="s">
        <v>305</v>
      </c>
      <c r="EF12" s="102"/>
      <c r="EG12" s="102"/>
      <c r="EH12" s="102"/>
    </row>
    <row r="13" spans="1:138" ht="9" customHeight="1">
      <c r="A13" s="104"/>
      <c r="B13" s="104"/>
      <c r="C13" s="110"/>
      <c r="D13" s="110"/>
      <c r="E13" s="109"/>
      <c r="F13" s="110"/>
      <c r="G13" s="110"/>
      <c r="H13" s="104"/>
      <c r="I13" s="104"/>
      <c r="J13" s="104"/>
      <c r="K13" s="104"/>
      <c r="L13" s="109"/>
      <c r="M13" s="109"/>
      <c r="N13" s="10"/>
      <c r="O13" s="78"/>
      <c r="AA13" s="16">
        <v>43100</v>
      </c>
      <c r="AB13" s="16">
        <v>43107</v>
      </c>
      <c r="AC13" s="16">
        <v>43114</v>
      </c>
      <c r="AD13" s="16">
        <v>43121</v>
      </c>
      <c r="AE13" s="16">
        <v>43128</v>
      </c>
      <c r="AF13" s="16">
        <v>43135</v>
      </c>
      <c r="AG13" s="16">
        <v>43142</v>
      </c>
      <c r="AH13" s="16">
        <v>43149</v>
      </c>
      <c r="AI13" s="16">
        <v>43156</v>
      </c>
      <c r="AJ13" s="16">
        <v>43163</v>
      </c>
      <c r="AK13" s="16">
        <v>43170</v>
      </c>
      <c r="AL13" s="16">
        <v>43177</v>
      </c>
      <c r="AM13" s="16">
        <v>43184</v>
      </c>
      <c r="AN13" s="16">
        <v>43191</v>
      </c>
      <c r="AO13" s="16">
        <v>43198</v>
      </c>
      <c r="AP13" s="16">
        <v>43205</v>
      </c>
      <c r="AQ13" s="16">
        <v>43212</v>
      </c>
      <c r="AR13" s="16">
        <v>43219</v>
      </c>
      <c r="AS13" s="16">
        <v>43226</v>
      </c>
      <c r="AT13" s="16">
        <v>43233</v>
      </c>
      <c r="AU13" s="16">
        <v>43240</v>
      </c>
      <c r="AV13" s="16">
        <v>43247</v>
      </c>
      <c r="AW13" s="16">
        <v>43254</v>
      </c>
      <c r="AX13" s="16">
        <v>43261</v>
      </c>
      <c r="AY13" s="16">
        <v>43268</v>
      </c>
      <c r="AZ13" s="16">
        <v>43275</v>
      </c>
      <c r="BA13" s="16">
        <v>43282</v>
      </c>
      <c r="BB13" s="16">
        <v>43289</v>
      </c>
      <c r="BC13" s="16">
        <v>43296</v>
      </c>
      <c r="BD13" s="16">
        <v>43303</v>
      </c>
      <c r="BE13" s="16">
        <v>43310</v>
      </c>
      <c r="BF13" s="16">
        <v>43317</v>
      </c>
      <c r="BG13" s="16">
        <v>43324</v>
      </c>
      <c r="BH13" s="16">
        <v>43331</v>
      </c>
      <c r="BI13" s="16">
        <v>43338</v>
      </c>
      <c r="BJ13" s="16">
        <v>43345</v>
      </c>
      <c r="BK13" s="16">
        <v>43352</v>
      </c>
      <c r="BL13" s="16">
        <v>43359</v>
      </c>
      <c r="BM13" s="16">
        <v>43366</v>
      </c>
      <c r="BN13" s="16">
        <v>43373</v>
      </c>
      <c r="BO13" s="16">
        <v>43380</v>
      </c>
      <c r="BP13" s="16">
        <v>43387</v>
      </c>
      <c r="BQ13" s="16">
        <v>43394</v>
      </c>
      <c r="BR13" s="16">
        <v>43401</v>
      </c>
      <c r="BS13" s="16">
        <v>43408</v>
      </c>
      <c r="BT13" s="16">
        <v>43415</v>
      </c>
      <c r="BU13" s="16">
        <v>43422</v>
      </c>
      <c r="BV13" s="16">
        <v>43429</v>
      </c>
      <c r="BW13" s="16">
        <v>43436</v>
      </c>
      <c r="BX13" s="16">
        <v>43443</v>
      </c>
      <c r="BY13" s="16">
        <v>43450</v>
      </c>
      <c r="BZ13" s="16">
        <v>43457</v>
      </c>
      <c r="CA13" s="16">
        <v>43464</v>
      </c>
      <c r="CB13" s="16">
        <v>43471</v>
      </c>
      <c r="CC13" s="16">
        <v>43478</v>
      </c>
      <c r="CD13" s="16">
        <v>43485</v>
      </c>
      <c r="CE13" s="16">
        <v>43492</v>
      </c>
      <c r="CF13" s="16">
        <v>43499</v>
      </c>
      <c r="CG13" s="16">
        <v>43506</v>
      </c>
      <c r="CH13" s="16">
        <v>43513</v>
      </c>
      <c r="CI13" s="16">
        <v>43520</v>
      </c>
      <c r="CJ13" s="16">
        <v>43527</v>
      </c>
      <c r="CK13" s="16">
        <v>43534</v>
      </c>
      <c r="CL13" s="16">
        <v>43541</v>
      </c>
      <c r="CM13" s="16">
        <v>43548</v>
      </c>
      <c r="CN13" s="16">
        <v>43555</v>
      </c>
      <c r="CO13" s="16">
        <v>43562</v>
      </c>
      <c r="CP13" s="16">
        <v>43569</v>
      </c>
      <c r="CQ13" s="16">
        <v>43576</v>
      </c>
      <c r="CR13" s="16">
        <v>43583</v>
      </c>
      <c r="CS13" s="16">
        <v>43590</v>
      </c>
      <c r="CT13" s="16">
        <v>43597</v>
      </c>
      <c r="CU13" s="16">
        <v>43604</v>
      </c>
      <c r="CV13" s="16">
        <v>43611</v>
      </c>
      <c r="CW13" s="16">
        <v>43618</v>
      </c>
      <c r="CX13" s="16">
        <v>43625</v>
      </c>
      <c r="CY13" s="16">
        <v>43632</v>
      </c>
      <c r="CZ13" s="16">
        <v>43639</v>
      </c>
      <c r="DA13" s="16">
        <v>43646</v>
      </c>
      <c r="DB13" s="16">
        <v>43653</v>
      </c>
      <c r="DC13" s="16">
        <v>43660</v>
      </c>
      <c r="DD13" s="16">
        <v>43667</v>
      </c>
      <c r="DE13" s="16">
        <v>43674</v>
      </c>
      <c r="DF13" s="16">
        <v>43681</v>
      </c>
      <c r="DG13" s="16">
        <v>43688</v>
      </c>
      <c r="DH13" s="16">
        <v>43695</v>
      </c>
      <c r="DI13" s="16">
        <v>43702</v>
      </c>
      <c r="DJ13" s="16">
        <v>43709</v>
      </c>
      <c r="DK13" s="16">
        <v>43716</v>
      </c>
      <c r="DL13" s="16">
        <v>43723</v>
      </c>
      <c r="DM13" s="16">
        <v>43730</v>
      </c>
      <c r="DN13" s="16">
        <v>43737</v>
      </c>
      <c r="DO13" s="16">
        <v>43744</v>
      </c>
      <c r="DP13" s="16">
        <v>43751</v>
      </c>
      <c r="DQ13" s="16">
        <v>43758</v>
      </c>
      <c r="DR13" s="16">
        <v>43765</v>
      </c>
      <c r="DS13" s="16">
        <v>43772</v>
      </c>
      <c r="DT13" s="16">
        <v>43779</v>
      </c>
      <c r="DU13" s="16">
        <v>43786</v>
      </c>
      <c r="DV13" s="16">
        <v>43793</v>
      </c>
      <c r="DW13" s="16">
        <v>43800</v>
      </c>
      <c r="DX13" s="16">
        <v>43807</v>
      </c>
      <c r="DY13" s="16">
        <v>43814</v>
      </c>
      <c r="DZ13" s="16">
        <v>43821</v>
      </c>
      <c r="EA13" s="16">
        <v>43828</v>
      </c>
      <c r="EB13" s="16">
        <v>43835</v>
      </c>
      <c r="EC13" s="16">
        <v>43842</v>
      </c>
      <c r="ED13" s="16">
        <v>43849</v>
      </c>
      <c r="EE13" s="16">
        <v>43856</v>
      </c>
      <c r="EF13" s="16">
        <v>43863</v>
      </c>
      <c r="EG13" s="16">
        <v>43870</v>
      </c>
      <c r="EH13" s="16">
        <v>43877</v>
      </c>
    </row>
    <row r="14" spans="1:138">
      <c r="A14" s="12" t="s">
        <v>1</v>
      </c>
      <c r="B14" s="12" t="s">
        <v>307</v>
      </c>
      <c r="C14" s="78">
        <v>43102</v>
      </c>
      <c r="D14" s="78">
        <v>43585</v>
      </c>
      <c r="E14" s="79">
        <v>0.83333333333333337</v>
      </c>
      <c r="F14" s="78">
        <v>43102</v>
      </c>
      <c r="G14" s="78">
        <v>43616</v>
      </c>
      <c r="H14" s="12">
        <v>6</v>
      </c>
      <c r="I14" s="12">
        <v>161.16999999999999</v>
      </c>
      <c r="J14" s="80">
        <f>NETWORKDAYS(C14,D14)</f>
        <v>346</v>
      </c>
      <c r="K14" s="80">
        <f>NETWORKDAYS(F14,G14)</f>
        <v>369</v>
      </c>
      <c r="L14" s="79">
        <f>IFERROR(K14/J14,"")</f>
        <v>1.0664739884393064</v>
      </c>
      <c r="M14" s="79">
        <f>IFERROR(I14/(J14*E14),"")</f>
        <v>0.55897109826589586</v>
      </c>
      <c r="N14" s="10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 t="s">
        <v>411</v>
      </c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</row>
    <row r="15" spans="1:138">
      <c r="A15" s="12" t="s">
        <v>1</v>
      </c>
      <c r="B15" s="12" t="s">
        <v>18</v>
      </c>
      <c r="C15" s="78">
        <v>43435</v>
      </c>
      <c r="D15" s="78">
        <v>43585</v>
      </c>
      <c r="E15" s="79">
        <v>1</v>
      </c>
      <c r="F15" s="78">
        <v>43440</v>
      </c>
      <c r="G15" s="78">
        <v>43595</v>
      </c>
      <c r="H15" s="12">
        <v>1</v>
      </c>
      <c r="I15" s="12">
        <v>112</v>
      </c>
      <c r="J15" s="80">
        <f t="shared" ref="J15:J76" si="0">NETWORKDAYS(C15,D15)</f>
        <v>107</v>
      </c>
      <c r="K15" s="80">
        <f t="shared" ref="K15:K76" si="1">NETWORKDAYS(F15,G15)</f>
        <v>112</v>
      </c>
      <c r="L15" s="79">
        <f t="shared" ref="L15:L76" si="2">IFERROR(K15/J15,"")</f>
        <v>1.0467289719626167</v>
      </c>
      <c r="M15" s="79">
        <f t="shared" ref="M15:M76" si="3">IFERROR(I15/(J15*E15),"")</f>
        <v>1.0467289719626167</v>
      </c>
      <c r="N15" s="10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 t="s">
        <v>412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</row>
    <row r="16" spans="1:138">
      <c r="A16" s="12" t="s">
        <v>1</v>
      </c>
      <c r="B16" s="12" t="s">
        <v>19</v>
      </c>
      <c r="C16" s="78">
        <v>43409</v>
      </c>
      <c r="D16" s="78">
        <v>43585</v>
      </c>
      <c r="E16" s="79">
        <v>1</v>
      </c>
      <c r="F16" s="78">
        <v>43409</v>
      </c>
      <c r="G16" s="78">
        <v>43588</v>
      </c>
      <c r="H16" s="12">
        <v>1</v>
      </c>
      <c r="I16" s="12">
        <v>130</v>
      </c>
      <c r="J16" s="80">
        <f t="shared" si="0"/>
        <v>127</v>
      </c>
      <c r="K16" s="80">
        <f t="shared" si="1"/>
        <v>130</v>
      </c>
      <c r="L16" s="79">
        <f t="shared" si="2"/>
        <v>1.0236220472440944</v>
      </c>
      <c r="M16" s="79">
        <f t="shared" si="3"/>
        <v>1.0236220472440944</v>
      </c>
      <c r="N16" s="10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 t="s">
        <v>413</v>
      </c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</row>
    <row r="17" spans="1:138">
      <c r="A17" s="12" t="s">
        <v>1</v>
      </c>
      <c r="B17" s="12" t="s">
        <v>20</v>
      </c>
      <c r="C17" s="78">
        <v>43427</v>
      </c>
      <c r="D17" s="78">
        <v>43585</v>
      </c>
      <c r="E17" s="79">
        <v>1</v>
      </c>
      <c r="F17" s="78">
        <v>43427</v>
      </c>
      <c r="G17" s="78">
        <v>43595</v>
      </c>
      <c r="H17" s="12">
        <v>1</v>
      </c>
      <c r="I17" s="12">
        <v>121</v>
      </c>
      <c r="J17" s="80">
        <f t="shared" si="0"/>
        <v>113</v>
      </c>
      <c r="K17" s="80">
        <f t="shared" si="1"/>
        <v>121</v>
      </c>
      <c r="L17" s="79">
        <f t="shared" si="2"/>
        <v>1.0707964601769913</v>
      </c>
      <c r="M17" s="79">
        <f t="shared" si="3"/>
        <v>1.0707964601769913</v>
      </c>
      <c r="N17" s="10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 t="s">
        <v>414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</row>
    <row r="18" spans="1:138">
      <c r="A18" s="12" t="s">
        <v>1</v>
      </c>
      <c r="B18" s="12" t="s">
        <v>21</v>
      </c>
      <c r="C18" s="78"/>
      <c r="D18" s="78"/>
      <c r="E18" s="79"/>
      <c r="F18" s="78">
        <v>43467</v>
      </c>
      <c r="G18" s="78">
        <v>43616</v>
      </c>
      <c r="H18" s="12">
        <v>1</v>
      </c>
      <c r="I18" s="12">
        <v>108</v>
      </c>
      <c r="J18" s="80">
        <f t="shared" si="0"/>
        <v>0</v>
      </c>
      <c r="K18" s="80">
        <f t="shared" si="1"/>
        <v>108</v>
      </c>
      <c r="L18" s="79" t="str">
        <f t="shared" si="2"/>
        <v/>
      </c>
      <c r="M18" s="79" t="str">
        <f t="shared" si="3"/>
        <v/>
      </c>
      <c r="N18" s="10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</row>
    <row r="19" spans="1:138">
      <c r="A19" s="12" t="s">
        <v>1</v>
      </c>
      <c r="B19" s="12" t="s">
        <v>22</v>
      </c>
      <c r="C19" s="78">
        <v>43409</v>
      </c>
      <c r="D19" s="78">
        <v>43585</v>
      </c>
      <c r="E19" s="79">
        <v>1</v>
      </c>
      <c r="F19" s="78">
        <v>43409</v>
      </c>
      <c r="G19" s="78">
        <v>43616</v>
      </c>
      <c r="H19" s="12">
        <v>1</v>
      </c>
      <c r="I19" s="12">
        <v>150</v>
      </c>
      <c r="J19" s="80">
        <f t="shared" si="0"/>
        <v>127</v>
      </c>
      <c r="K19" s="80">
        <f t="shared" si="1"/>
        <v>150</v>
      </c>
      <c r="L19" s="79">
        <f t="shared" si="2"/>
        <v>1.1811023622047243</v>
      </c>
      <c r="M19" s="79">
        <f t="shared" si="3"/>
        <v>1.1811023622047243</v>
      </c>
      <c r="N19" s="10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 t="s">
        <v>415</v>
      </c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</row>
    <row r="20" spans="1:138">
      <c r="A20" s="12" t="s">
        <v>1</v>
      </c>
      <c r="B20" s="12" t="s">
        <v>23</v>
      </c>
      <c r="C20" s="78">
        <v>43102</v>
      </c>
      <c r="D20" s="78">
        <v>43585</v>
      </c>
      <c r="E20" s="79">
        <v>1</v>
      </c>
      <c r="F20" s="78">
        <v>43102</v>
      </c>
      <c r="G20" s="78">
        <v>43585</v>
      </c>
      <c r="H20" s="12">
        <v>1</v>
      </c>
      <c r="I20" s="12">
        <v>346</v>
      </c>
      <c r="J20" s="80">
        <f t="shared" si="0"/>
        <v>346</v>
      </c>
      <c r="K20" s="80">
        <f t="shared" si="1"/>
        <v>346</v>
      </c>
      <c r="L20" s="79">
        <f t="shared" si="2"/>
        <v>1</v>
      </c>
      <c r="M20" s="79">
        <f t="shared" si="3"/>
        <v>1</v>
      </c>
      <c r="N20" s="10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 t="s">
        <v>416</v>
      </c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</row>
    <row r="21" spans="1:138">
      <c r="A21" s="12" t="s">
        <v>25</v>
      </c>
      <c r="B21" s="12" t="s">
        <v>307</v>
      </c>
      <c r="C21" s="78">
        <v>43263</v>
      </c>
      <c r="D21" s="78">
        <v>43492</v>
      </c>
      <c r="E21" s="79">
        <v>1</v>
      </c>
      <c r="F21" s="78">
        <v>43263</v>
      </c>
      <c r="G21" s="78">
        <v>43495</v>
      </c>
      <c r="H21" s="12">
        <v>1</v>
      </c>
      <c r="I21" s="12">
        <v>167</v>
      </c>
      <c r="J21" s="80">
        <f t="shared" si="0"/>
        <v>164</v>
      </c>
      <c r="K21" s="80">
        <f t="shared" si="1"/>
        <v>167</v>
      </c>
      <c r="L21" s="79">
        <f t="shared" si="2"/>
        <v>1.0182926829268293</v>
      </c>
      <c r="M21" s="79">
        <f t="shared" si="3"/>
        <v>1.0182926829268293</v>
      </c>
      <c r="N21" s="10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 t="s">
        <v>417</v>
      </c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</row>
    <row r="22" spans="1:138">
      <c r="A22" s="12" t="s">
        <v>25</v>
      </c>
      <c r="B22" s="12" t="s">
        <v>26</v>
      </c>
      <c r="C22" s="78">
        <v>43263</v>
      </c>
      <c r="D22" s="78">
        <v>43492</v>
      </c>
      <c r="E22" s="79">
        <v>1</v>
      </c>
      <c r="F22" s="78">
        <v>43263</v>
      </c>
      <c r="G22" s="78">
        <v>43495</v>
      </c>
      <c r="H22" s="12">
        <v>1</v>
      </c>
      <c r="I22" s="12">
        <v>167</v>
      </c>
      <c r="J22" s="80">
        <f t="shared" si="0"/>
        <v>164</v>
      </c>
      <c r="K22" s="80">
        <f t="shared" si="1"/>
        <v>167</v>
      </c>
      <c r="L22" s="79">
        <f t="shared" si="2"/>
        <v>1.0182926829268293</v>
      </c>
      <c r="M22" s="79">
        <f t="shared" si="3"/>
        <v>1.0182926829268293</v>
      </c>
      <c r="N22" s="10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 t="s">
        <v>418</v>
      </c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</row>
    <row r="23" spans="1:138">
      <c r="A23" s="12" t="s">
        <v>24</v>
      </c>
      <c r="B23" s="12" t="s">
        <v>307</v>
      </c>
      <c r="C23" s="78">
        <v>43220</v>
      </c>
      <c r="D23" s="78">
        <v>43480</v>
      </c>
      <c r="E23" s="79">
        <v>1</v>
      </c>
      <c r="F23" s="78">
        <v>43220</v>
      </c>
      <c r="G23" s="78">
        <v>43514</v>
      </c>
      <c r="H23" s="12">
        <v>4</v>
      </c>
      <c r="I23" s="12">
        <v>171.75</v>
      </c>
      <c r="J23" s="80">
        <f t="shared" si="0"/>
        <v>187</v>
      </c>
      <c r="K23" s="80">
        <f t="shared" si="1"/>
        <v>211</v>
      </c>
      <c r="L23" s="79">
        <f t="shared" si="2"/>
        <v>1.1283422459893049</v>
      </c>
      <c r="M23" s="79">
        <f t="shared" si="3"/>
        <v>0.91844919786096257</v>
      </c>
      <c r="N23" s="10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 t="s">
        <v>419</v>
      </c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</row>
    <row r="24" spans="1:138">
      <c r="A24" s="12" t="s">
        <v>24</v>
      </c>
      <c r="B24" s="12" t="s">
        <v>3</v>
      </c>
      <c r="C24" s="78">
        <v>43220</v>
      </c>
      <c r="D24" s="78">
        <v>43480</v>
      </c>
      <c r="E24" s="79">
        <v>1</v>
      </c>
      <c r="F24" s="78">
        <v>43220</v>
      </c>
      <c r="G24" s="78">
        <v>43497</v>
      </c>
      <c r="H24" s="12">
        <v>1</v>
      </c>
      <c r="I24" s="12">
        <v>200</v>
      </c>
      <c r="J24" s="80">
        <f t="shared" si="0"/>
        <v>187</v>
      </c>
      <c r="K24" s="80">
        <f t="shared" si="1"/>
        <v>200</v>
      </c>
      <c r="L24" s="79">
        <f t="shared" si="2"/>
        <v>1.0695187165775402</v>
      </c>
      <c r="M24" s="79">
        <f t="shared" si="3"/>
        <v>1.0695187165775402</v>
      </c>
      <c r="N24" s="10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 t="s">
        <v>420</v>
      </c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</row>
    <row r="25" spans="1:138">
      <c r="A25" s="12" t="s">
        <v>24</v>
      </c>
      <c r="B25" s="12" t="s">
        <v>7</v>
      </c>
      <c r="C25" s="78">
        <v>43220</v>
      </c>
      <c r="D25" s="78">
        <v>43480</v>
      </c>
      <c r="E25" s="79">
        <v>1</v>
      </c>
      <c r="F25" s="78">
        <v>43220</v>
      </c>
      <c r="G25" s="78">
        <v>43509</v>
      </c>
      <c r="H25" s="12">
        <v>1</v>
      </c>
      <c r="I25" s="12">
        <v>208</v>
      </c>
      <c r="J25" s="80">
        <f t="shared" si="0"/>
        <v>187</v>
      </c>
      <c r="K25" s="80">
        <f t="shared" si="1"/>
        <v>208</v>
      </c>
      <c r="L25" s="79">
        <f t="shared" si="2"/>
        <v>1.1122994652406417</v>
      </c>
      <c r="M25" s="79">
        <f t="shared" si="3"/>
        <v>1.1122994652406417</v>
      </c>
      <c r="N25" s="10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 t="s">
        <v>421</v>
      </c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</row>
    <row r="26" spans="1:138">
      <c r="A26" s="12" t="s">
        <v>24</v>
      </c>
      <c r="B26" s="12" t="s">
        <v>9</v>
      </c>
      <c r="C26" s="78">
        <v>43312</v>
      </c>
      <c r="D26" s="78">
        <v>43480</v>
      </c>
      <c r="E26" s="79">
        <v>1</v>
      </c>
      <c r="F26" s="78">
        <v>43290</v>
      </c>
      <c r="G26" s="78">
        <v>43514</v>
      </c>
      <c r="H26" s="12">
        <v>1</v>
      </c>
      <c r="I26" s="12">
        <v>161</v>
      </c>
      <c r="J26" s="80">
        <f t="shared" si="0"/>
        <v>121</v>
      </c>
      <c r="K26" s="80">
        <f t="shared" si="1"/>
        <v>161</v>
      </c>
      <c r="L26" s="79">
        <f t="shared" si="2"/>
        <v>1.3305785123966942</v>
      </c>
      <c r="M26" s="79">
        <f t="shared" si="3"/>
        <v>1.3305785123966942</v>
      </c>
      <c r="N26" s="10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 t="s">
        <v>422</v>
      </c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</row>
    <row r="27" spans="1:138">
      <c r="A27" s="12" t="s">
        <v>24</v>
      </c>
      <c r="B27" s="12" t="s">
        <v>11</v>
      </c>
      <c r="C27" s="78">
        <v>43346</v>
      </c>
      <c r="D27" s="78">
        <v>43434</v>
      </c>
      <c r="E27" s="79">
        <v>1</v>
      </c>
      <c r="F27" s="78">
        <v>43348</v>
      </c>
      <c r="G27" s="78">
        <v>43511</v>
      </c>
      <c r="H27" s="12">
        <v>1</v>
      </c>
      <c r="I27" s="12">
        <v>118</v>
      </c>
      <c r="J27" s="80">
        <f t="shared" si="0"/>
        <v>65</v>
      </c>
      <c r="K27" s="80">
        <f t="shared" si="1"/>
        <v>118</v>
      </c>
      <c r="L27" s="79">
        <f t="shared" si="2"/>
        <v>1.8153846153846154</v>
      </c>
      <c r="M27" s="79">
        <f t="shared" si="3"/>
        <v>1.8153846153846154</v>
      </c>
      <c r="N27" s="10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 t="s">
        <v>423</v>
      </c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</row>
    <row r="28" spans="1:138">
      <c r="A28" s="12" t="s">
        <v>48</v>
      </c>
      <c r="B28" s="12" t="s">
        <v>307</v>
      </c>
      <c r="C28" s="78">
        <v>43472</v>
      </c>
      <c r="D28" s="78">
        <v>43546</v>
      </c>
      <c r="E28" s="79">
        <v>0.8</v>
      </c>
      <c r="F28" s="78">
        <v>43472</v>
      </c>
      <c r="G28" s="78">
        <v>43546</v>
      </c>
      <c r="H28" s="12">
        <v>2</v>
      </c>
      <c r="I28" s="12">
        <v>32.299999999999997</v>
      </c>
      <c r="J28" s="80">
        <f t="shared" si="0"/>
        <v>55</v>
      </c>
      <c r="K28" s="80">
        <f t="shared" si="1"/>
        <v>55</v>
      </c>
      <c r="L28" s="79">
        <f t="shared" si="2"/>
        <v>1</v>
      </c>
      <c r="M28" s="79">
        <f t="shared" si="3"/>
        <v>0.73409090909090902</v>
      </c>
      <c r="N28" s="10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 t="s">
        <v>424</v>
      </c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</row>
    <row r="29" spans="1:138">
      <c r="A29" s="12" t="s">
        <v>48</v>
      </c>
      <c r="B29" s="12" t="s">
        <v>3</v>
      </c>
      <c r="C29" s="78">
        <v>43507</v>
      </c>
      <c r="D29" s="78">
        <v>43546</v>
      </c>
      <c r="E29" s="79">
        <v>0.6</v>
      </c>
      <c r="F29" s="78">
        <v>43507</v>
      </c>
      <c r="G29" s="78">
        <v>43546</v>
      </c>
      <c r="H29" s="12">
        <v>1</v>
      </c>
      <c r="I29" s="12">
        <v>14.6</v>
      </c>
      <c r="J29" s="80">
        <f t="shared" si="0"/>
        <v>30</v>
      </c>
      <c r="K29" s="80">
        <f t="shared" si="1"/>
        <v>30</v>
      </c>
      <c r="L29" s="79">
        <f t="shared" si="2"/>
        <v>1</v>
      </c>
      <c r="M29" s="79">
        <f t="shared" si="3"/>
        <v>0.81111111111111112</v>
      </c>
      <c r="N29" s="10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 t="s">
        <v>425</v>
      </c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</row>
    <row r="30" spans="1:138">
      <c r="A30" s="12" t="s">
        <v>48</v>
      </c>
      <c r="B30" s="12" t="s">
        <v>2</v>
      </c>
      <c r="C30" s="78">
        <v>43472</v>
      </c>
      <c r="D30" s="78">
        <v>43539</v>
      </c>
      <c r="E30" s="79">
        <v>1</v>
      </c>
      <c r="F30" s="78">
        <v>43472</v>
      </c>
      <c r="G30" s="78">
        <v>43539</v>
      </c>
      <c r="H30" s="12">
        <v>1</v>
      </c>
      <c r="I30" s="12">
        <v>50</v>
      </c>
      <c r="J30" s="80">
        <f t="shared" si="0"/>
        <v>50</v>
      </c>
      <c r="K30" s="80">
        <f t="shared" si="1"/>
        <v>50</v>
      </c>
      <c r="L30" s="79">
        <f t="shared" si="2"/>
        <v>1</v>
      </c>
      <c r="M30" s="79">
        <f t="shared" si="3"/>
        <v>1</v>
      </c>
      <c r="N30" s="10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 t="s">
        <v>426</v>
      </c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</row>
    <row r="31" spans="1:138">
      <c r="A31" s="12" t="s">
        <v>4</v>
      </c>
      <c r="B31" s="12" t="s">
        <v>307</v>
      </c>
      <c r="C31" s="78">
        <v>43191</v>
      </c>
      <c r="D31" s="78">
        <v>43434</v>
      </c>
      <c r="E31" s="79">
        <v>1</v>
      </c>
      <c r="F31" s="78">
        <v>43228</v>
      </c>
      <c r="G31" s="78">
        <v>43518</v>
      </c>
      <c r="H31" s="12">
        <v>1</v>
      </c>
      <c r="I31" s="12">
        <v>209</v>
      </c>
      <c r="J31" s="80">
        <f t="shared" si="0"/>
        <v>175</v>
      </c>
      <c r="K31" s="80">
        <f t="shared" si="1"/>
        <v>209</v>
      </c>
      <c r="L31" s="79">
        <f t="shared" si="2"/>
        <v>1.1942857142857144</v>
      </c>
      <c r="M31" s="79">
        <f t="shared" si="3"/>
        <v>1.1942857142857144</v>
      </c>
      <c r="N31" s="10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 t="s">
        <v>427</v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</row>
    <row r="32" spans="1:138">
      <c r="A32" s="12" t="s">
        <v>4</v>
      </c>
      <c r="B32" s="12" t="s">
        <v>5</v>
      </c>
      <c r="C32" s="78">
        <v>43191</v>
      </c>
      <c r="D32" s="78">
        <v>43434</v>
      </c>
      <c r="E32" s="79">
        <v>1</v>
      </c>
      <c r="F32" s="78">
        <v>43228</v>
      </c>
      <c r="G32" s="78">
        <v>43518</v>
      </c>
      <c r="H32" s="12">
        <v>1</v>
      </c>
      <c r="I32" s="12">
        <v>209</v>
      </c>
      <c r="J32" s="80">
        <f t="shared" si="0"/>
        <v>175</v>
      </c>
      <c r="K32" s="80">
        <f t="shared" si="1"/>
        <v>209</v>
      </c>
      <c r="L32" s="79">
        <f t="shared" si="2"/>
        <v>1.1942857142857144</v>
      </c>
      <c r="M32" s="79">
        <f t="shared" si="3"/>
        <v>1.1942857142857144</v>
      </c>
      <c r="N32" s="10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 t="s">
        <v>428</v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</row>
    <row r="33" spans="1:139">
      <c r="A33" s="12" t="s">
        <v>49</v>
      </c>
      <c r="B33" s="12" t="s">
        <v>307</v>
      </c>
      <c r="C33" s="78">
        <v>43398</v>
      </c>
      <c r="D33" s="78">
        <v>43455</v>
      </c>
      <c r="E33" s="79">
        <v>1</v>
      </c>
      <c r="F33" s="78">
        <v>43398</v>
      </c>
      <c r="G33" s="78">
        <v>43469</v>
      </c>
      <c r="H33" s="12">
        <v>1</v>
      </c>
      <c r="I33" s="12">
        <v>52</v>
      </c>
      <c r="J33" s="80">
        <f t="shared" si="0"/>
        <v>42</v>
      </c>
      <c r="K33" s="80">
        <f t="shared" si="1"/>
        <v>52</v>
      </c>
      <c r="L33" s="79">
        <f t="shared" si="2"/>
        <v>1.2380952380952381</v>
      </c>
      <c r="M33" s="79">
        <f t="shared" si="3"/>
        <v>1.2380952380952381</v>
      </c>
      <c r="N33" s="10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 t="s">
        <v>429</v>
      </c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</row>
    <row r="34" spans="1:139">
      <c r="A34" s="12" t="s">
        <v>49</v>
      </c>
      <c r="B34" s="12" t="s">
        <v>10</v>
      </c>
      <c r="C34" s="78">
        <v>43398</v>
      </c>
      <c r="D34" s="78">
        <v>43455</v>
      </c>
      <c r="E34" s="79">
        <v>1</v>
      </c>
      <c r="F34" s="78">
        <v>43398</v>
      </c>
      <c r="G34" s="78">
        <v>43469</v>
      </c>
      <c r="H34" s="12">
        <v>1</v>
      </c>
      <c r="I34" s="12">
        <v>52</v>
      </c>
      <c r="J34" s="80">
        <f t="shared" si="0"/>
        <v>42</v>
      </c>
      <c r="K34" s="80">
        <f t="shared" si="1"/>
        <v>52</v>
      </c>
      <c r="L34" s="79">
        <f t="shared" si="2"/>
        <v>1.2380952380952381</v>
      </c>
      <c r="M34" s="79">
        <f t="shared" si="3"/>
        <v>1.2380952380952381</v>
      </c>
      <c r="N34" s="10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 t="s">
        <v>430</v>
      </c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</row>
    <row r="35" spans="1:139">
      <c r="A35" s="12" t="s">
        <v>6</v>
      </c>
      <c r="B35" s="12" t="s">
        <v>307</v>
      </c>
      <c r="C35" s="78">
        <v>43535</v>
      </c>
      <c r="D35" s="78">
        <v>43871</v>
      </c>
      <c r="E35" s="79">
        <v>1</v>
      </c>
      <c r="F35" s="78">
        <v>43536</v>
      </c>
      <c r="G35" s="78">
        <v>43871</v>
      </c>
      <c r="H35" s="12">
        <v>6</v>
      </c>
      <c r="I35" s="12">
        <v>182.5</v>
      </c>
      <c r="J35" s="80">
        <f t="shared" si="0"/>
        <v>241</v>
      </c>
      <c r="K35" s="80">
        <f t="shared" si="1"/>
        <v>240</v>
      </c>
      <c r="L35" s="79">
        <f t="shared" si="2"/>
        <v>0.99585062240663902</v>
      </c>
      <c r="M35" s="79">
        <f t="shared" si="3"/>
        <v>0.75726141078838172</v>
      </c>
      <c r="N35" s="10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2" t="s">
        <v>431</v>
      </c>
    </row>
    <row r="36" spans="1:139">
      <c r="A36" s="12" t="s">
        <v>6</v>
      </c>
      <c r="B36" s="12" t="s">
        <v>7</v>
      </c>
      <c r="C36" s="78">
        <v>43535</v>
      </c>
      <c r="D36" s="78">
        <v>43871</v>
      </c>
      <c r="E36" s="79">
        <v>1</v>
      </c>
      <c r="F36" s="78">
        <v>43536</v>
      </c>
      <c r="G36" s="78">
        <v>43871</v>
      </c>
      <c r="H36" s="12">
        <v>1</v>
      </c>
      <c r="I36" s="12">
        <v>240</v>
      </c>
      <c r="J36" s="80">
        <f t="shared" si="0"/>
        <v>241</v>
      </c>
      <c r="K36" s="80">
        <f t="shared" si="1"/>
        <v>240</v>
      </c>
      <c r="L36" s="79">
        <f t="shared" si="2"/>
        <v>0.99585062240663902</v>
      </c>
      <c r="M36" s="79">
        <f t="shared" si="3"/>
        <v>0.99585062240663902</v>
      </c>
      <c r="N36" s="10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2" t="s">
        <v>432</v>
      </c>
    </row>
    <row r="37" spans="1:139">
      <c r="A37" s="12" t="s">
        <v>6</v>
      </c>
      <c r="B37" s="12" t="s">
        <v>5</v>
      </c>
      <c r="C37" s="78">
        <v>43549</v>
      </c>
      <c r="D37" s="78">
        <v>43809</v>
      </c>
      <c r="E37" s="79">
        <v>1</v>
      </c>
      <c r="F37" s="78">
        <v>43536</v>
      </c>
      <c r="G37" s="78">
        <v>43809</v>
      </c>
      <c r="H37" s="12">
        <v>1</v>
      </c>
      <c r="I37" s="12">
        <v>196</v>
      </c>
      <c r="J37" s="80">
        <f t="shared" si="0"/>
        <v>187</v>
      </c>
      <c r="K37" s="80">
        <f t="shared" si="1"/>
        <v>196</v>
      </c>
      <c r="L37" s="79">
        <f t="shared" si="2"/>
        <v>1.0481283422459893</v>
      </c>
      <c r="M37" s="79">
        <f t="shared" si="3"/>
        <v>1.0481283422459893</v>
      </c>
      <c r="N37" s="10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 t="s">
        <v>433</v>
      </c>
      <c r="EA37" s="17"/>
      <c r="EB37" s="17"/>
      <c r="EC37" s="17"/>
      <c r="ED37" s="17"/>
      <c r="EE37" s="17"/>
      <c r="EF37" s="17"/>
      <c r="EG37" s="17"/>
      <c r="EH37" s="17"/>
    </row>
    <row r="38" spans="1:139">
      <c r="A38" s="12" t="s">
        <v>6</v>
      </c>
      <c r="B38" s="12" t="s">
        <v>8</v>
      </c>
      <c r="C38" s="78">
        <v>43549</v>
      </c>
      <c r="D38" s="78">
        <v>43871</v>
      </c>
      <c r="E38" s="79">
        <v>1</v>
      </c>
      <c r="F38" s="78">
        <v>43556</v>
      </c>
      <c r="G38" s="78">
        <v>43871</v>
      </c>
      <c r="H38" s="12">
        <v>1</v>
      </c>
      <c r="I38" s="12">
        <v>226</v>
      </c>
      <c r="J38" s="80">
        <f t="shared" si="0"/>
        <v>231</v>
      </c>
      <c r="K38" s="80">
        <f t="shared" si="1"/>
        <v>226</v>
      </c>
      <c r="L38" s="79">
        <f t="shared" si="2"/>
        <v>0.97835497835497831</v>
      </c>
      <c r="M38" s="79">
        <f t="shared" si="3"/>
        <v>0.97835497835497831</v>
      </c>
      <c r="N38" s="10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2" t="s">
        <v>434</v>
      </c>
    </row>
    <row r="39" spans="1:139">
      <c r="A39" s="12" t="s">
        <v>6</v>
      </c>
      <c r="B39" s="12" t="s">
        <v>9</v>
      </c>
      <c r="C39" s="78">
        <v>43535</v>
      </c>
      <c r="D39" s="78">
        <v>43840</v>
      </c>
      <c r="E39" s="79">
        <v>1</v>
      </c>
      <c r="F39" s="78">
        <v>43536</v>
      </c>
      <c r="G39" s="78">
        <v>43840</v>
      </c>
      <c r="H39" s="12">
        <v>1</v>
      </c>
      <c r="I39" s="12">
        <v>219</v>
      </c>
      <c r="J39" s="80">
        <f t="shared" si="0"/>
        <v>220</v>
      </c>
      <c r="K39" s="80">
        <f t="shared" si="1"/>
        <v>219</v>
      </c>
      <c r="L39" s="79">
        <f t="shared" si="2"/>
        <v>0.99545454545454548</v>
      </c>
      <c r="M39" s="79">
        <f t="shared" si="3"/>
        <v>0.99545454545454548</v>
      </c>
      <c r="N39" s="10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 t="s">
        <v>435</v>
      </c>
      <c r="EE39" s="17"/>
      <c r="EF39" s="17"/>
      <c r="EG39" s="17"/>
      <c r="EH39" s="17"/>
    </row>
    <row r="40" spans="1:139">
      <c r="A40" s="12" t="s">
        <v>6</v>
      </c>
      <c r="B40" s="12" t="s">
        <v>10</v>
      </c>
      <c r="C40" s="78">
        <v>43535</v>
      </c>
      <c r="D40" s="78">
        <v>43595</v>
      </c>
      <c r="E40" s="79">
        <v>1</v>
      </c>
      <c r="F40" s="78">
        <v>43536</v>
      </c>
      <c r="G40" s="78">
        <v>43595</v>
      </c>
      <c r="H40" s="12">
        <v>1</v>
      </c>
      <c r="I40" s="12">
        <v>44</v>
      </c>
      <c r="J40" s="80">
        <f t="shared" si="0"/>
        <v>45</v>
      </c>
      <c r="K40" s="80">
        <f t="shared" si="1"/>
        <v>44</v>
      </c>
      <c r="L40" s="79">
        <f t="shared" si="2"/>
        <v>0.97777777777777775</v>
      </c>
      <c r="M40" s="79">
        <f t="shared" si="3"/>
        <v>0.97777777777777775</v>
      </c>
      <c r="N40" s="10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 t="s">
        <v>436</v>
      </c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</row>
    <row r="41" spans="1:139">
      <c r="A41" s="12" t="s">
        <v>6</v>
      </c>
      <c r="B41" s="12" t="s">
        <v>11</v>
      </c>
      <c r="C41" s="78">
        <v>43535</v>
      </c>
      <c r="D41" s="78">
        <v>43779</v>
      </c>
      <c r="E41" s="79">
        <v>1</v>
      </c>
      <c r="F41" s="78">
        <v>43542</v>
      </c>
      <c r="G41" s="78">
        <v>43777</v>
      </c>
      <c r="H41" s="12">
        <v>1</v>
      </c>
      <c r="I41" s="12">
        <v>170</v>
      </c>
      <c r="J41" s="80">
        <f t="shared" si="0"/>
        <v>175</v>
      </c>
      <c r="K41" s="80">
        <f t="shared" si="1"/>
        <v>170</v>
      </c>
      <c r="L41" s="79">
        <f t="shared" si="2"/>
        <v>0.97142857142857142</v>
      </c>
      <c r="M41" s="79">
        <f t="shared" si="3"/>
        <v>0.97142857142857142</v>
      </c>
      <c r="N41" s="10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 t="s">
        <v>437</v>
      </c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</row>
    <row r="42" spans="1:139">
      <c r="A42" s="12" t="s">
        <v>12</v>
      </c>
      <c r="B42" s="12" t="s">
        <v>307</v>
      </c>
      <c r="C42" s="78">
        <v>43199</v>
      </c>
      <c r="D42" s="78">
        <v>43473</v>
      </c>
      <c r="E42" s="79">
        <v>1</v>
      </c>
      <c r="F42" s="78">
        <v>43199</v>
      </c>
      <c r="G42" s="78">
        <v>43518</v>
      </c>
      <c r="H42" s="12">
        <v>2</v>
      </c>
      <c r="I42" s="12">
        <v>198.5</v>
      </c>
      <c r="J42" s="80">
        <f t="shared" si="0"/>
        <v>197</v>
      </c>
      <c r="K42" s="80">
        <f t="shared" si="1"/>
        <v>230</v>
      </c>
      <c r="L42" s="79">
        <f t="shared" si="2"/>
        <v>1.1675126903553299</v>
      </c>
      <c r="M42" s="79">
        <f t="shared" si="3"/>
        <v>1.0076142131979695</v>
      </c>
      <c r="N42" s="10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 t="s">
        <v>438</v>
      </c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</row>
    <row r="43" spans="1:139">
      <c r="A43" s="12" t="s">
        <v>12</v>
      </c>
      <c r="B43" s="12" t="s">
        <v>13</v>
      </c>
      <c r="C43" s="78">
        <v>43199</v>
      </c>
      <c r="D43" s="78">
        <v>43473</v>
      </c>
      <c r="E43" s="79">
        <v>1</v>
      </c>
      <c r="F43" s="78">
        <v>43199</v>
      </c>
      <c r="G43" s="78">
        <v>43518</v>
      </c>
      <c r="H43" s="12">
        <v>1</v>
      </c>
      <c r="I43" s="12">
        <v>230</v>
      </c>
      <c r="J43" s="80">
        <f t="shared" si="0"/>
        <v>197</v>
      </c>
      <c r="K43" s="80">
        <f t="shared" si="1"/>
        <v>230</v>
      </c>
      <c r="L43" s="79">
        <f t="shared" si="2"/>
        <v>1.1675126903553299</v>
      </c>
      <c r="M43" s="79">
        <f t="shared" si="3"/>
        <v>1.1675126903553299</v>
      </c>
      <c r="N43" s="10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 t="s">
        <v>439</v>
      </c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</row>
    <row r="44" spans="1:139">
      <c r="A44" s="12" t="s">
        <v>12</v>
      </c>
      <c r="B44" s="12" t="s">
        <v>14</v>
      </c>
      <c r="C44" s="78">
        <v>43229</v>
      </c>
      <c r="D44" s="78">
        <v>43442</v>
      </c>
      <c r="E44" s="79">
        <v>1</v>
      </c>
      <c r="F44" s="78">
        <v>43248</v>
      </c>
      <c r="G44" s="78">
        <v>43480</v>
      </c>
      <c r="H44" s="12">
        <v>1</v>
      </c>
      <c r="I44" s="12">
        <v>167</v>
      </c>
      <c r="J44" s="80">
        <f t="shared" si="0"/>
        <v>153</v>
      </c>
      <c r="K44" s="80">
        <f t="shared" si="1"/>
        <v>167</v>
      </c>
      <c r="L44" s="79">
        <f t="shared" si="2"/>
        <v>1.0915032679738561</v>
      </c>
      <c r="M44" s="79">
        <f t="shared" si="3"/>
        <v>1.0915032679738561</v>
      </c>
      <c r="N44" s="10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 t="s">
        <v>440</v>
      </c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</row>
    <row r="45" spans="1:139">
      <c r="A45" s="12" t="s">
        <v>15</v>
      </c>
      <c r="B45" s="12" t="s">
        <v>307</v>
      </c>
      <c r="C45" s="78">
        <v>43472</v>
      </c>
      <c r="D45" s="78">
        <v>43714</v>
      </c>
      <c r="E45" s="79">
        <v>1</v>
      </c>
      <c r="F45" s="78">
        <v>43472</v>
      </c>
      <c r="G45" s="78">
        <v>43735</v>
      </c>
      <c r="H45" s="12">
        <v>4</v>
      </c>
      <c r="I45" s="12">
        <v>125</v>
      </c>
      <c r="J45" s="80">
        <f t="shared" si="0"/>
        <v>175</v>
      </c>
      <c r="K45" s="80">
        <f t="shared" si="1"/>
        <v>190</v>
      </c>
      <c r="L45" s="79">
        <f t="shared" si="2"/>
        <v>1.0857142857142856</v>
      </c>
      <c r="M45" s="79">
        <f t="shared" si="3"/>
        <v>0.7142857142857143</v>
      </c>
      <c r="N45" s="10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 t="s">
        <v>441</v>
      </c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17"/>
      <c r="EF45" s="17"/>
      <c r="EG45" s="17"/>
      <c r="EH45" s="17"/>
    </row>
    <row r="46" spans="1:139">
      <c r="A46" s="12" t="s">
        <v>15</v>
      </c>
      <c r="B46" s="12" t="s">
        <v>16</v>
      </c>
      <c r="C46" s="78">
        <v>43472</v>
      </c>
      <c r="D46" s="78">
        <v>43714</v>
      </c>
      <c r="E46" s="79">
        <v>1</v>
      </c>
      <c r="F46" s="78">
        <v>43472</v>
      </c>
      <c r="G46" s="78">
        <v>43735</v>
      </c>
      <c r="H46" s="12">
        <v>1</v>
      </c>
      <c r="I46" s="12">
        <v>190</v>
      </c>
      <c r="J46" s="80">
        <f t="shared" si="0"/>
        <v>175</v>
      </c>
      <c r="K46" s="80">
        <f t="shared" si="1"/>
        <v>190</v>
      </c>
      <c r="L46" s="79">
        <f t="shared" si="2"/>
        <v>1.0857142857142856</v>
      </c>
      <c r="M46" s="79">
        <f t="shared" si="3"/>
        <v>1.0857142857142856</v>
      </c>
      <c r="N46" s="10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 t="s">
        <v>442</v>
      </c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</row>
    <row r="47" spans="1:139">
      <c r="A47" s="12" t="s">
        <v>15</v>
      </c>
      <c r="B47" s="12" t="s">
        <v>10</v>
      </c>
      <c r="C47" s="78">
        <v>43472</v>
      </c>
      <c r="D47" s="78">
        <v>43532</v>
      </c>
      <c r="E47" s="79">
        <v>1</v>
      </c>
      <c r="F47" s="78">
        <v>43472</v>
      </c>
      <c r="G47" s="78">
        <v>43532</v>
      </c>
      <c r="H47" s="12">
        <v>1</v>
      </c>
      <c r="I47" s="12">
        <v>45</v>
      </c>
      <c r="J47" s="80">
        <f t="shared" si="0"/>
        <v>45</v>
      </c>
      <c r="K47" s="80">
        <f t="shared" si="1"/>
        <v>45</v>
      </c>
      <c r="L47" s="79">
        <f t="shared" si="2"/>
        <v>1</v>
      </c>
      <c r="M47" s="79">
        <f t="shared" si="3"/>
        <v>1</v>
      </c>
      <c r="N47" s="10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s">
        <v>443</v>
      </c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</row>
    <row r="48" spans="1:139">
      <c r="A48" s="12" t="s">
        <v>15</v>
      </c>
      <c r="B48" s="12" t="s">
        <v>14</v>
      </c>
      <c r="C48" s="78">
        <v>43514</v>
      </c>
      <c r="D48" s="78">
        <v>43665</v>
      </c>
      <c r="E48" s="79">
        <v>1</v>
      </c>
      <c r="F48" s="78">
        <v>43514</v>
      </c>
      <c r="G48" s="78">
        <v>43735</v>
      </c>
      <c r="H48" s="12">
        <v>1</v>
      </c>
      <c r="I48" s="12">
        <v>160</v>
      </c>
      <c r="J48" s="80">
        <f t="shared" si="0"/>
        <v>110</v>
      </c>
      <c r="K48" s="80">
        <f t="shared" si="1"/>
        <v>160</v>
      </c>
      <c r="L48" s="79">
        <f t="shared" si="2"/>
        <v>1.4545454545454546</v>
      </c>
      <c r="M48" s="79">
        <f t="shared" si="3"/>
        <v>1.4545454545454546</v>
      </c>
      <c r="N48" s="10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 t="s">
        <v>444</v>
      </c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</row>
    <row r="49" spans="1:138">
      <c r="A49" s="12" t="s">
        <v>15</v>
      </c>
      <c r="B49" s="12" t="s">
        <v>17</v>
      </c>
      <c r="C49" s="78">
        <v>43472</v>
      </c>
      <c r="D49" s="78">
        <v>43622</v>
      </c>
      <c r="E49" s="79">
        <v>1</v>
      </c>
      <c r="F49" s="78">
        <v>43472</v>
      </c>
      <c r="G49" s="78">
        <v>43616</v>
      </c>
      <c r="H49" s="12">
        <v>1</v>
      </c>
      <c r="I49" s="12">
        <v>105</v>
      </c>
      <c r="J49" s="80">
        <f t="shared" si="0"/>
        <v>109</v>
      </c>
      <c r="K49" s="80">
        <f t="shared" si="1"/>
        <v>105</v>
      </c>
      <c r="L49" s="79">
        <f t="shared" si="2"/>
        <v>0.96330275229357798</v>
      </c>
      <c r="M49" s="79">
        <f t="shared" si="3"/>
        <v>0.96330275229357798</v>
      </c>
      <c r="N49" s="10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 t="s">
        <v>445</v>
      </c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</row>
    <row r="50" spans="1:138">
      <c r="A50" s="12" t="s">
        <v>42</v>
      </c>
      <c r="B50" s="12" t="s">
        <v>307</v>
      </c>
      <c r="C50" s="78">
        <v>43409</v>
      </c>
      <c r="D50" s="78">
        <v>43646</v>
      </c>
      <c r="E50" s="79">
        <v>1</v>
      </c>
      <c r="F50" s="78">
        <v>43349</v>
      </c>
      <c r="G50" s="78">
        <v>43644</v>
      </c>
      <c r="H50" s="12">
        <v>3</v>
      </c>
      <c r="I50" s="12">
        <v>183.67</v>
      </c>
      <c r="J50" s="80">
        <f t="shared" si="0"/>
        <v>170</v>
      </c>
      <c r="K50" s="80">
        <f t="shared" si="1"/>
        <v>212</v>
      </c>
      <c r="L50" s="79">
        <f t="shared" si="2"/>
        <v>1.2470588235294118</v>
      </c>
      <c r="M50" s="79">
        <f t="shared" si="3"/>
        <v>1.0804117647058822</v>
      </c>
      <c r="N50" s="10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 t="s">
        <v>446</v>
      </c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</row>
    <row r="51" spans="1:138">
      <c r="A51" s="12" t="s">
        <v>42</v>
      </c>
      <c r="B51" s="12" t="s">
        <v>43</v>
      </c>
      <c r="C51" s="78">
        <v>43409</v>
      </c>
      <c r="D51" s="78">
        <v>43646</v>
      </c>
      <c r="E51" s="79">
        <v>1</v>
      </c>
      <c r="F51" s="78">
        <v>43405</v>
      </c>
      <c r="G51" s="78">
        <v>43644</v>
      </c>
      <c r="H51" s="12">
        <v>1</v>
      </c>
      <c r="I51" s="12">
        <v>172</v>
      </c>
      <c r="J51" s="80">
        <f t="shared" si="0"/>
        <v>170</v>
      </c>
      <c r="K51" s="80">
        <f t="shared" si="1"/>
        <v>172</v>
      </c>
      <c r="L51" s="79">
        <f t="shared" si="2"/>
        <v>1.0117647058823529</v>
      </c>
      <c r="M51" s="79">
        <f t="shared" si="3"/>
        <v>1.0117647058823529</v>
      </c>
      <c r="N51" s="10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 t="s">
        <v>447</v>
      </c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17"/>
      <c r="EF51" s="17"/>
      <c r="EG51" s="17"/>
      <c r="EH51" s="17"/>
    </row>
    <row r="52" spans="1:138">
      <c r="A52" s="12" t="s">
        <v>42</v>
      </c>
      <c r="B52" s="12" t="s">
        <v>44</v>
      </c>
      <c r="C52" s="78">
        <v>43409</v>
      </c>
      <c r="D52" s="78">
        <v>43646</v>
      </c>
      <c r="E52" s="79">
        <v>1</v>
      </c>
      <c r="F52" s="78">
        <v>43349</v>
      </c>
      <c r="G52" s="78">
        <v>43644</v>
      </c>
      <c r="H52" s="12">
        <v>1</v>
      </c>
      <c r="I52" s="12">
        <v>212</v>
      </c>
      <c r="J52" s="80">
        <f t="shared" si="0"/>
        <v>170</v>
      </c>
      <c r="K52" s="80">
        <f t="shared" si="1"/>
        <v>212</v>
      </c>
      <c r="L52" s="79">
        <f t="shared" si="2"/>
        <v>1.2470588235294118</v>
      </c>
      <c r="M52" s="79">
        <f t="shared" si="3"/>
        <v>1.2470588235294118</v>
      </c>
      <c r="N52" s="10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 t="s">
        <v>448</v>
      </c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</row>
    <row r="53" spans="1:138">
      <c r="A53" s="12" t="s">
        <v>42</v>
      </c>
      <c r="B53" s="12" t="s">
        <v>45</v>
      </c>
      <c r="C53" s="78">
        <v>43409</v>
      </c>
      <c r="D53" s="78">
        <v>43646</v>
      </c>
      <c r="E53" s="79">
        <v>1</v>
      </c>
      <c r="F53" s="78">
        <v>43412</v>
      </c>
      <c r="G53" s="78">
        <v>43644</v>
      </c>
      <c r="H53" s="12">
        <v>1</v>
      </c>
      <c r="I53" s="12">
        <v>167</v>
      </c>
      <c r="J53" s="80">
        <f t="shared" si="0"/>
        <v>170</v>
      </c>
      <c r="K53" s="80">
        <f t="shared" si="1"/>
        <v>167</v>
      </c>
      <c r="L53" s="79">
        <f t="shared" si="2"/>
        <v>0.98235294117647054</v>
      </c>
      <c r="M53" s="79">
        <f t="shared" si="3"/>
        <v>0.98235294117647054</v>
      </c>
      <c r="N53" s="10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 t="s">
        <v>449</v>
      </c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</row>
    <row r="54" spans="1:138">
      <c r="A54" s="12" t="s">
        <v>38</v>
      </c>
      <c r="B54" s="12" t="s">
        <v>307</v>
      </c>
      <c r="C54" s="78">
        <v>43255</v>
      </c>
      <c r="D54" s="78">
        <v>43555</v>
      </c>
      <c r="E54" s="79">
        <v>1</v>
      </c>
      <c r="F54" s="78">
        <v>43255</v>
      </c>
      <c r="G54" s="78">
        <v>43560</v>
      </c>
      <c r="H54" s="12">
        <v>4</v>
      </c>
      <c r="I54" s="12">
        <v>181</v>
      </c>
      <c r="J54" s="80">
        <f t="shared" si="0"/>
        <v>215</v>
      </c>
      <c r="K54" s="80">
        <f t="shared" si="1"/>
        <v>220</v>
      </c>
      <c r="L54" s="79">
        <f t="shared" si="2"/>
        <v>1.0232558139534884</v>
      </c>
      <c r="M54" s="79">
        <f t="shared" si="3"/>
        <v>0.8418604651162791</v>
      </c>
      <c r="N54" s="10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 t="s">
        <v>450</v>
      </c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</row>
    <row r="55" spans="1:138">
      <c r="A55" s="12" t="s">
        <v>38</v>
      </c>
      <c r="B55" s="12" t="s">
        <v>30</v>
      </c>
      <c r="C55" s="78">
        <v>43408</v>
      </c>
      <c r="D55" s="78">
        <v>43555</v>
      </c>
      <c r="E55" s="79">
        <v>1</v>
      </c>
      <c r="F55" s="78">
        <v>43381</v>
      </c>
      <c r="G55" s="78">
        <v>43531</v>
      </c>
      <c r="H55" s="12">
        <v>1</v>
      </c>
      <c r="I55" s="12">
        <v>109</v>
      </c>
      <c r="J55" s="80">
        <f t="shared" si="0"/>
        <v>105</v>
      </c>
      <c r="K55" s="80">
        <f t="shared" si="1"/>
        <v>109</v>
      </c>
      <c r="L55" s="79">
        <f t="shared" si="2"/>
        <v>1.0380952380952382</v>
      </c>
      <c r="M55" s="79">
        <f t="shared" si="3"/>
        <v>1.0380952380952382</v>
      </c>
      <c r="N55" s="10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 t="s">
        <v>451</v>
      </c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</row>
    <row r="56" spans="1:138">
      <c r="A56" s="12" t="s">
        <v>38</v>
      </c>
      <c r="B56" s="12" t="s">
        <v>39</v>
      </c>
      <c r="C56" s="78">
        <v>43255</v>
      </c>
      <c r="D56" s="78">
        <v>43555</v>
      </c>
      <c r="E56" s="79">
        <v>1</v>
      </c>
      <c r="F56" s="78">
        <v>43255</v>
      </c>
      <c r="G56" s="78">
        <v>43560</v>
      </c>
      <c r="H56" s="12">
        <v>1</v>
      </c>
      <c r="I56" s="12">
        <v>220</v>
      </c>
      <c r="J56" s="80">
        <f t="shared" si="0"/>
        <v>215</v>
      </c>
      <c r="K56" s="80">
        <f t="shared" si="1"/>
        <v>220</v>
      </c>
      <c r="L56" s="79">
        <f t="shared" si="2"/>
        <v>1.0232558139534884</v>
      </c>
      <c r="M56" s="79">
        <f t="shared" si="3"/>
        <v>1.0232558139534884</v>
      </c>
      <c r="N56" s="10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 t="s">
        <v>452</v>
      </c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</row>
    <row r="57" spans="1:138">
      <c r="A57" s="12" t="s">
        <v>38</v>
      </c>
      <c r="B57" s="12" t="s">
        <v>40</v>
      </c>
      <c r="C57" s="78">
        <v>43255</v>
      </c>
      <c r="D57" s="78">
        <v>43555</v>
      </c>
      <c r="E57" s="79">
        <v>1</v>
      </c>
      <c r="F57" s="78">
        <v>43255</v>
      </c>
      <c r="G57" s="78">
        <v>43560</v>
      </c>
      <c r="H57" s="12">
        <v>1</v>
      </c>
      <c r="I57" s="12">
        <v>220</v>
      </c>
      <c r="J57" s="80">
        <f t="shared" si="0"/>
        <v>215</v>
      </c>
      <c r="K57" s="80">
        <f t="shared" si="1"/>
        <v>220</v>
      </c>
      <c r="L57" s="79">
        <f t="shared" si="2"/>
        <v>1.0232558139534884</v>
      </c>
      <c r="M57" s="79">
        <f t="shared" si="3"/>
        <v>1.0232558139534884</v>
      </c>
      <c r="N57" s="10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 t="s">
        <v>453</v>
      </c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</row>
    <row r="58" spans="1:138">
      <c r="A58" s="12" t="s">
        <v>38</v>
      </c>
      <c r="B58" s="12" t="s">
        <v>41</v>
      </c>
      <c r="C58" s="78">
        <v>43316</v>
      </c>
      <c r="D58" s="78">
        <v>43555</v>
      </c>
      <c r="E58" s="79">
        <v>1</v>
      </c>
      <c r="F58" s="78">
        <v>43318</v>
      </c>
      <c r="G58" s="78">
        <v>43560</v>
      </c>
      <c r="H58" s="12">
        <v>1</v>
      </c>
      <c r="I58" s="12">
        <v>175</v>
      </c>
      <c r="J58" s="80">
        <f t="shared" si="0"/>
        <v>170</v>
      </c>
      <c r="K58" s="80">
        <f t="shared" si="1"/>
        <v>175</v>
      </c>
      <c r="L58" s="79">
        <f t="shared" si="2"/>
        <v>1.0294117647058822</v>
      </c>
      <c r="M58" s="79">
        <f t="shared" si="3"/>
        <v>1.0294117647058822</v>
      </c>
      <c r="N58" s="10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 t="s">
        <v>454</v>
      </c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</row>
    <row r="59" spans="1:138">
      <c r="A59" s="12" t="s">
        <v>46</v>
      </c>
      <c r="B59" s="12" t="s">
        <v>307</v>
      </c>
      <c r="C59" s="78">
        <v>43563</v>
      </c>
      <c r="D59" s="78">
        <v>43799</v>
      </c>
      <c r="E59" s="79">
        <v>0.33333333333333331</v>
      </c>
      <c r="F59" s="78">
        <v>43563</v>
      </c>
      <c r="G59" s="78">
        <v>43798</v>
      </c>
      <c r="H59" s="12">
        <v>3</v>
      </c>
      <c r="I59" s="12">
        <v>66</v>
      </c>
      <c r="J59" s="80">
        <f t="shared" si="0"/>
        <v>170</v>
      </c>
      <c r="K59" s="80">
        <f t="shared" si="1"/>
        <v>170</v>
      </c>
      <c r="L59" s="79">
        <f t="shared" si="2"/>
        <v>1</v>
      </c>
      <c r="M59" s="79">
        <f t="shared" si="3"/>
        <v>1.1647058823529413</v>
      </c>
      <c r="N59" s="10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 t="s">
        <v>455</v>
      </c>
      <c r="DY59" s="17"/>
      <c r="DZ59" s="17"/>
      <c r="EA59" s="17"/>
      <c r="EB59" s="17"/>
      <c r="EC59" s="17"/>
      <c r="ED59" s="17"/>
      <c r="EE59" s="17"/>
      <c r="EF59" s="17"/>
      <c r="EG59" s="17"/>
      <c r="EH59" s="17"/>
    </row>
    <row r="60" spans="1:138">
      <c r="A60" s="12" t="s">
        <v>46</v>
      </c>
      <c r="B60" s="12" t="s">
        <v>30</v>
      </c>
      <c r="C60" s="78"/>
      <c r="D60" s="78"/>
      <c r="E60" s="79"/>
      <c r="F60" s="78">
        <v>43563</v>
      </c>
      <c r="G60" s="78">
        <v>43585</v>
      </c>
      <c r="H60" s="12">
        <v>1</v>
      </c>
      <c r="I60" s="12">
        <v>17</v>
      </c>
      <c r="J60" s="80">
        <f t="shared" si="0"/>
        <v>0</v>
      </c>
      <c r="K60" s="80">
        <f t="shared" si="1"/>
        <v>17</v>
      </c>
      <c r="L60" s="79" t="str">
        <f t="shared" si="2"/>
        <v/>
      </c>
      <c r="M60" s="79" t="str">
        <f t="shared" si="3"/>
        <v/>
      </c>
      <c r="N60" s="10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</row>
    <row r="61" spans="1:138">
      <c r="A61" s="12" t="s">
        <v>46</v>
      </c>
      <c r="B61" s="12" t="s">
        <v>41</v>
      </c>
      <c r="C61" s="78"/>
      <c r="D61" s="78"/>
      <c r="E61" s="79"/>
      <c r="F61" s="78">
        <v>43563</v>
      </c>
      <c r="G61" s="78">
        <v>43577</v>
      </c>
      <c r="H61" s="12">
        <v>1</v>
      </c>
      <c r="I61" s="12">
        <v>11</v>
      </c>
      <c r="J61" s="80">
        <f t="shared" si="0"/>
        <v>0</v>
      </c>
      <c r="K61" s="80">
        <f t="shared" si="1"/>
        <v>11</v>
      </c>
      <c r="L61" s="79" t="str">
        <f t="shared" si="2"/>
        <v/>
      </c>
      <c r="M61" s="79" t="str">
        <f t="shared" si="3"/>
        <v/>
      </c>
      <c r="N61" s="10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</row>
    <row r="62" spans="1:138">
      <c r="A62" s="12" t="s">
        <v>46</v>
      </c>
      <c r="B62" s="12" t="s">
        <v>47</v>
      </c>
      <c r="C62" s="78">
        <v>43563</v>
      </c>
      <c r="D62" s="78">
        <v>43799</v>
      </c>
      <c r="E62" s="79">
        <v>1</v>
      </c>
      <c r="F62" s="78">
        <v>43563</v>
      </c>
      <c r="G62" s="78">
        <v>43798</v>
      </c>
      <c r="H62" s="12">
        <v>1</v>
      </c>
      <c r="I62" s="12">
        <v>170</v>
      </c>
      <c r="J62" s="80">
        <f t="shared" si="0"/>
        <v>170</v>
      </c>
      <c r="K62" s="80">
        <f t="shared" si="1"/>
        <v>170</v>
      </c>
      <c r="L62" s="79">
        <f t="shared" si="2"/>
        <v>1</v>
      </c>
      <c r="M62" s="79">
        <f t="shared" si="3"/>
        <v>1</v>
      </c>
      <c r="N62" s="10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 t="s">
        <v>456</v>
      </c>
      <c r="DY62" s="17"/>
      <c r="DZ62" s="17"/>
      <c r="EA62" s="17"/>
      <c r="EB62" s="17"/>
      <c r="EC62" s="17"/>
      <c r="ED62" s="17"/>
      <c r="EE62" s="17"/>
      <c r="EF62" s="17"/>
      <c r="EG62" s="17"/>
      <c r="EH62" s="17"/>
    </row>
    <row r="63" spans="1:138">
      <c r="A63" s="12" t="s">
        <v>27</v>
      </c>
      <c r="B63" s="12" t="s">
        <v>307</v>
      </c>
      <c r="C63" s="78">
        <v>43328</v>
      </c>
      <c r="D63" s="78">
        <v>43571</v>
      </c>
      <c r="E63" s="79">
        <v>0.6</v>
      </c>
      <c r="F63" s="78">
        <v>43328</v>
      </c>
      <c r="G63" s="78">
        <v>43644</v>
      </c>
      <c r="H63" s="12">
        <v>10</v>
      </c>
      <c r="I63" s="12">
        <v>144.6</v>
      </c>
      <c r="J63" s="80">
        <f t="shared" si="0"/>
        <v>174</v>
      </c>
      <c r="K63" s="80">
        <f t="shared" si="1"/>
        <v>227</v>
      </c>
      <c r="L63" s="79">
        <f t="shared" si="2"/>
        <v>1.3045977011494252</v>
      </c>
      <c r="M63" s="79">
        <f t="shared" si="3"/>
        <v>1.385057471264368</v>
      </c>
      <c r="N63" s="10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 t="s">
        <v>457</v>
      </c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</row>
    <row r="64" spans="1:138">
      <c r="A64" s="12" t="s">
        <v>27</v>
      </c>
      <c r="B64" s="12" t="s">
        <v>18</v>
      </c>
      <c r="C64" s="78">
        <v>43359</v>
      </c>
      <c r="D64" s="78">
        <v>43539</v>
      </c>
      <c r="E64" s="79">
        <v>1</v>
      </c>
      <c r="F64" s="78">
        <v>43346</v>
      </c>
      <c r="G64" s="78">
        <v>43553</v>
      </c>
      <c r="H64" s="12">
        <v>1</v>
      </c>
      <c r="I64" s="12">
        <v>150</v>
      </c>
      <c r="J64" s="80">
        <f t="shared" si="0"/>
        <v>130</v>
      </c>
      <c r="K64" s="80">
        <f t="shared" si="1"/>
        <v>150</v>
      </c>
      <c r="L64" s="79">
        <f t="shared" si="2"/>
        <v>1.1538461538461537</v>
      </c>
      <c r="M64" s="79">
        <f t="shared" si="3"/>
        <v>1.1538461538461537</v>
      </c>
      <c r="N64" s="10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 t="s">
        <v>458</v>
      </c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</row>
    <row r="65" spans="1:138">
      <c r="A65" s="12" t="s">
        <v>27</v>
      </c>
      <c r="B65" s="12" t="s">
        <v>28</v>
      </c>
      <c r="C65" s="78">
        <v>43328</v>
      </c>
      <c r="D65" s="78">
        <v>43511</v>
      </c>
      <c r="E65" s="79">
        <v>1</v>
      </c>
      <c r="F65" s="78">
        <v>43346</v>
      </c>
      <c r="G65" s="78">
        <v>43644</v>
      </c>
      <c r="H65" s="12">
        <v>1</v>
      </c>
      <c r="I65" s="12">
        <v>215</v>
      </c>
      <c r="J65" s="80">
        <f t="shared" si="0"/>
        <v>132</v>
      </c>
      <c r="K65" s="80">
        <f t="shared" si="1"/>
        <v>215</v>
      </c>
      <c r="L65" s="79">
        <f t="shared" si="2"/>
        <v>1.6287878787878789</v>
      </c>
      <c r="M65" s="79">
        <f t="shared" si="3"/>
        <v>1.6287878787878789</v>
      </c>
      <c r="N65" s="10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 t="s">
        <v>459</v>
      </c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</row>
    <row r="66" spans="1:138">
      <c r="A66" s="12" t="s">
        <v>27</v>
      </c>
      <c r="B66" s="12" t="s">
        <v>29</v>
      </c>
      <c r="C66" s="78">
        <v>43328</v>
      </c>
      <c r="D66" s="78">
        <v>43571</v>
      </c>
      <c r="E66" s="79">
        <v>1</v>
      </c>
      <c r="F66" s="78">
        <v>43328</v>
      </c>
      <c r="G66" s="78">
        <v>43644</v>
      </c>
      <c r="H66" s="12">
        <v>1</v>
      </c>
      <c r="I66" s="12">
        <v>227</v>
      </c>
      <c r="J66" s="80">
        <f t="shared" si="0"/>
        <v>174</v>
      </c>
      <c r="K66" s="80">
        <f t="shared" si="1"/>
        <v>227</v>
      </c>
      <c r="L66" s="79">
        <f t="shared" si="2"/>
        <v>1.3045977011494252</v>
      </c>
      <c r="M66" s="79">
        <f t="shared" si="3"/>
        <v>1.3045977011494252</v>
      </c>
      <c r="N66" s="10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 t="s">
        <v>460</v>
      </c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17"/>
      <c r="EF66" s="17"/>
      <c r="EG66" s="17"/>
      <c r="EH66" s="17"/>
    </row>
    <row r="67" spans="1:138">
      <c r="A67" s="12" t="s">
        <v>27</v>
      </c>
      <c r="B67" s="12" t="s">
        <v>30</v>
      </c>
      <c r="C67" s="78"/>
      <c r="D67" s="78"/>
      <c r="E67" s="79"/>
      <c r="F67" s="78">
        <v>43535</v>
      </c>
      <c r="G67" s="78">
        <v>43546</v>
      </c>
      <c r="H67" s="12">
        <v>1</v>
      </c>
      <c r="I67" s="12">
        <v>10</v>
      </c>
      <c r="J67" s="80">
        <f t="shared" si="0"/>
        <v>0</v>
      </c>
      <c r="K67" s="80">
        <f t="shared" si="1"/>
        <v>10</v>
      </c>
      <c r="L67" s="79" t="str">
        <f t="shared" si="2"/>
        <v/>
      </c>
      <c r="M67" s="79" t="str">
        <f t="shared" si="3"/>
        <v/>
      </c>
      <c r="N67" s="10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</row>
    <row r="68" spans="1:138">
      <c r="A68" s="12" t="s">
        <v>27</v>
      </c>
      <c r="B68" s="12" t="s">
        <v>31</v>
      </c>
      <c r="C68" s="78"/>
      <c r="D68" s="78"/>
      <c r="E68" s="79"/>
      <c r="F68" s="78">
        <v>43557</v>
      </c>
      <c r="G68" s="78">
        <v>43644</v>
      </c>
      <c r="H68" s="12">
        <v>1</v>
      </c>
      <c r="I68" s="12">
        <v>64</v>
      </c>
      <c r="J68" s="80">
        <f t="shared" si="0"/>
        <v>0</v>
      </c>
      <c r="K68" s="80">
        <f t="shared" si="1"/>
        <v>64</v>
      </c>
      <c r="L68" s="79" t="str">
        <f t="shared" si="2"/>
        <v/>
      </c>
      <c r="M68" s="79" t="str">
        <f t="shared" si="3"/>
        <v/>
      </c>
      <c r="N68" s="10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</row>
    <row r="69" spans="1:138">
      <c r="A69" s="12" t="s">
        <v>27</v>
      </c>
      <c r="B69" s="12" t="s">
        <v>32</v>
      </c>
      <c r="C69" s="78">
        <v>43374</v>
      </c>
      <c r="D69" s="78">
        <v>43571</v>
      </c>
      <c r="E69" s="79">
        <v>1</v>
      </c>
      <c r="F69" s="78">
        <v>43374</v>
      </c>
      <c r="G69" s="78">
        <v>43644</v>
      </c>
      <c r="H69" s="12">
        <v>1</v>
      </c>
      <c r="I69" s="12">
        <v>195</v>
      </c>
      <c r="J69" s="80">
        <f t="shared" si="0"/>
        <v>142</v>
      </c>
      <c r="K69" s="80">
        <f t="shared" si="1"/>
        <v>195</v>
      </c>
      <c r="L69" s="79">
        <f t="shared" si="2"/>
        <v>1.3732394366197183</v>
      </c>
      <c r="M69" s="79">
        <f t="shared" si="3"/>
        <v>1.3732394366197183</v>
      </c>
      <c r="N69" s="10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 t="s">
        <v>461</v>
      </c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17"/>
      <c r="EB69" s="17"/>
      <c r="EC69" s="17"/>
      <c r="ED69" s="17"/>
      <c r="EE69" s="17"/>
      <c r="EF69" s="17"/>
      <c r="EG69" s="17"/>
      <c r="EH69" s="17"/>
    </row>
    <row r="70" spans="1:138">
      <c r="A70" s="12" t="s">
        <v>27</v>
      </c>
      <c r="B70" s="12" t="s">
        <v>8</v>
      </c>
      <c r="C70" s="78"/>
      <c r="D70" s="78"/>
      <c r="E70" s="79"/>
      <c r="F70" s="78">
        <v>43467</v>
      </c>
      <c r="G70" s="78">
        <v>43551</v>
      </c>
      <c r="H70" s="12">
        <v>1</v>
      </c>
      <c r="I70" s="12">
        <v>61</v>
      </c>
      <c r="J70" s="80">
        <f t="shared" si="0"/>
        <v>0</v>
      </c>
      <c r="K70" s="80">
        <f t="shared" si="1"/>
        <v>61</v>
      </c>
      <c r="L70" s="79" t="str">
        <f t="shared" si="2"/>
        <v/>
      </c>
      <c r="M70" s="79" t="str">
        <f t="shared" si="3"/>
        <v/>
      </c>
      <c r="N70" s="10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</row>
    <row r="71" spans="1:138">
      <c r="A71" s="12" t="s">
        <v>27</v>
      </c>
      <c r="B71" s="12" t="s">
        <v>33</v>
      </c>
      <c r="C71" s="78">
        <v>43359</v>
      </c>
      <c r="D71" s="78">
        <v>43571</v>
      </c>
      <c r="E71" s="79">
        <v>1</v>
      </c>
      <c r="F71" s="78">
        <v>43370</v>
      </c>
      <c r="G71" s="78">
        <v>43644</v>
      </c>
      <c r="H71" s="12">
        <v>1</v>
      </c>
      <c r="I71" s="12">
        <v>197</v>
      </c>
      <c r="J71" s="80">
        <f t="shared" si="0"/>
        <v>152</v>
      </c>
      <c r="K71" s="80">
        <f t="shared" si="1"/>
        <v>197</v>
      </c>
      <c r="L71" s="79">
        <f t="shared" si="2"/>
        <v>1.2960526315789473</v>
      </c>
      <c r="M71" s="79">
        <f t="shared" si="3"/>
        <v>1.2960526315789473</v>
      </c>
      <c r="N71" s="10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 t="s">
        <v>462</v>
      </c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17"/>
      <c r="EF71" s="17"/>
      <c r="EG71" s="17"/>
      <c r="EH71" s="17"/>
    </row>
    <row r="72" spans="1:138">
      <c r="A72" s="12" t="s">
        <v>27</v>
      </c>
      <c r="B72" s="12" t="s">
        <v>34</v>
      </c>
      <c r="C72" s="78">
        <v>43359</v>
      </c>
      <c r="D72" s="78">
        <v>43571</v>
      </c>
      <c r="E72" s="79">
        <v>1</v>
      </c>
      <c r="F72" s="78">
        <v>43360</v>
      </c>
      <c r="G72" s="78">
        <v>43600</v>
      </c>
      <c r="H72" s="12">
        <v>1</v>
      </c>
      <c r="I72" s="12">
        <v>173</v>
      </c>
      <c r="J72" s="80">
        <f t="shared" si="0"/>
        <v>152</v>
      </c>
      <c r="K72" s="80">
        <f t="shared" si="1"/>
        <v>173</v>
      </c>
      <c r="L72" s="79">
        <f t="shared" si="2"/>
        <v>1.138157894736842</v>
      </c>
      <c r="M72" s="79">
        <f t="shared" si="3"/>
        <v>1.138157894736842</v>
      </c>
      <c r="N72" s="10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 t="s">
        <v>463</v>
      </c>
      <c r="CW72" s="17"/>
      <c r="CX72" s="17"/>
      <c r="CY72" s="17"/>
      <c r="CZ72" s="17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7"/>
      <c r="EA72" s="17"/>
      <c r="EB72" s="17"/>
      <c r="EC72" s="17"/>
      <c r="ED72" s="17"/>
      <c r="EE72" s="17"/>
      <c r="EF72" s="17"/>
      <c r="EG72" s="17"/>
      <c r="EH72" s="17"/>
    </row>
    <row r="73" spans="1:138">
      <c r="A73" s="12" t="s">
        <v>27</v>
      </c>
      <c r="B73" s="12" t="s">
        <v>35</v>
      </c>
      <c r="C73" s="78"/>
      <c r="D73" s="78"/>
      <c r="E73" s="79"/>
      <c r="F73" s="78">
        <v>43370</v>
      </c>
      <c r="G73" s="78">
        <v>43585</v>
      </c>
      <c r="H73" s="12">
        <v>1</v>
      </c>
      <c r="I73" s="12">
        <v>154</v>
      </c>
      <c r="J73" s="80">
        <f t="shared" si="0"/>
        <v>0</v>
      </c>
      <c r="K73" s="80">
        <f t="shared" si="1"/>
        <v>154</v>
      </c>
      <c r="L73" s="79" t="str">
        <f t="shared" si="2"/>
        <v/>
      </c>
      <c r="M73" s="79" t="str">
        <f t="shared" si="3"/>
        <v/>
      </c>
      <c r="N73" s="10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</row>
    <row r="74" spans="1:138">
      <c r="A74" s="12" t="s">
        <v>36</v>
      </c>
      <c r="B74" s="12" t="s">
        <v>307</v>
      </c>
      <c r="C74" s="78">
        <v>43514</v>
      </c>
      <c r="D74" s="78">
        <v>43616</v>
      </c>
      <c r="E74" s="79">
        <v>0.5</v>
      </c>
      <c r="F74" s="78">
        <v>43514</v>
      </c>
      <c r="G74" s="78">
        <v>43616</v>
      </c>
      <c r="H74" s="12">
        <v>2</v>
      </c>
      <c r="I74" s="12">
        <v>59.5</v>
      </c>
      <c r="J74" s="80">
        <f t="shared" si="0"/>
        <v>75</v>
      </c>
      <c r="K74" s="80">
        <f t="shared" si="1"/>
        <v>75</v>
      </c>
      <c r="L74" s="79">
        <f t="shared" si="2"/>
        <v>1</v>
      </c>
      <c r="M74" s="79">
        <f t="shared" si="3"/>
        <v>1.5866666666666667</v>
      </c>
      <c r="N74" s="10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 t="s">
        <v>464</v>
      </c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</row>
    <row r="75" spans="1:138">
      <c r="A75" s="12" t="s">
        <v>36</v>
      </c>
      <c r="B75" s="12" t="s">
        <v>26</v>
      </c>
      <c r="C75" s="78">
        <v>43514</v>
      </c>
      <c r="D75" s="78">
        <v>43616</v>
      </c>
      <c r="E75" s="79">
        <v>1</v>
      </c>
      <c r="F75" s="78">
        <v>43514</v>
      </c>
      <c r="G75" s="78">
        <v>43616</v>
      </c>
      <c r="H75" s="12">
        <v>1</v>
      </c>
      <c r="I75" s="12">
        <v>75</v>
      </c>
      <c r="J75" s="80">
        <f t="shared" si="0"/>
        <v>75</v>
      </c>
      <c r="K75" s="80">
        <f t="shared" si="1"/>
        <v>75</v>
      </c>
      <c r="L75" s="79">
        <f t="shared" si="2"/>
        <v>1</v>
      </c>
      <c r="M75" s="79">
        <f t="shared" si="3"/>
        <v>1</v>
      </c>
      <c r="N75" s="10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 t="s">
        <v>465</v>
      </c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</row>
    <row r="76" spans="1:138">
      <c r="A76" s="12" t="s">
        <v>36</v>
      </c>
      <c r="B76" s="12" t="s">
        <v>37</v>
      </c>
      <c r="C76" s="78"/>
      <c r="D76" s="78"/>
      <c r="E76" s="79"/>
      <c r="F76" s="78">
        <v>43557</v>
      </c>
      <c r="G76" s="78">
        <v>43616</v>
      </c>
      <c r="H76" s="12">
        <v>1</v>
      </c>
      <c r="I76" s="12">
        <v>44</v>
      </c>
      <c r="J76" s="80">
        <f t="shared" si="0"/>
        <v>0</v>
      </c>
      <c r="K76" s="80">
        <f t="shared" si="1"/>
        <v>44</v>
      </c>
      <c r="L76" s="79" t="str">
        <f t="shared" si="2"/>
        <v/>
      </c>
      <c r="M76" s="79" t="str">
        <f t="shared" si="3"/>
        <v/>
      </c>
      <c r="N76" s="10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</row>
    <row r="77" spans="1:138">
      <c r="C77" s="78"/>
      <c r="D77" s="78"/>
      <c r="E77" s="79"/>
      <c r="F77" s="78"/>
      <c r="G77" s="78"/>
      <c r="J77" s="80"/>
      <c r="K77" s="80"/>
      <c r="L77" s="79"/>
      <c r="M77" s="79"/>
      <c r="N77" s="10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</row>
    <row r="78" spans="1:138"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</row>
    <row r="79" spans="1:138"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</row>
    <row r="80" spans="1:138"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</row>
    <row r="81" spans="27:138"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</row>
    <row r="82" spans="27:138"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</row>
    <row r="83" spans="27:138"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17"/>
      <c r="EB83" s="17"/>
      <c r="EC83" s="17"/>
      <c r="ED83" s="17"/>
      <c r="EE83" s="17"/>
      <c r="EF83" s="17"/>
      <c r="EG83" s="17"/>
      <c r="EH83" s="17"/>
    </row>
    <row r="84" spans="27:138"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7"/>
      <c r="EA84" s="17"/>
      <c r="EB84" s="17"/>
      <c r="EC84" s="17"/>
      <c r="ED84" s="17"/>
      <c r="EE84" s="17"/>
      <c r="EF84" s="17"/>
      <c r="EG84" s="17"/>
      <c r="EH84" s="17"/>
    </row>
    <row r="85" spans="27:138"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17"/>
      <c r="EF85" s="17"/>
      <c r="EG85" s="17"/>
      <c r="EH85" s="17"/>
    </row>
    <row r="86" spans="27:138"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</row>
    <row r="87" spans="27:138"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</row>
    <row r="88" spans="27:138"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  <c r="DX88" s="17"/>
      <c r="DY88" s="17"/>
      <c r="DZ88" s="17"/>
      <c r="EA88" s="17"/>
      <c r="EB88" s="17"/>
      <c r="EC88" s="17"/>
      <c r="ED88" s="17"/>
      <c r="EE88" s="17"/>
      <c r="EF88" s="17"/>
      <c r="EG88" s="17"/>
      <c r="EH88" s="17"/>
    </row>
    <row r="89" spans="27:138"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</row>
  </sheetData>
  <sortState ref="A10:EI58">
    <sortCondition ref="B10:B58"/>
  </sortState>
  <mergeCells count="72">
    <mergeCell ref="A11:A13"/>
    <mergeCell ref="B11:B13"/>
    <mergeCell ref="C12:C13"/>
    <mergeCell ref="D12:D13"/>
    <mergeCell ref="F12:F13"/>
    <mergeCell ref="E12:E13"/>
    <mergeCell ref="C11:E11"/>
    <mergeCell ref="F11:G11"/>
    <mergeCell ref="AI11:AL11"/>
    <mergeCell ref="AI12:AL12"/>
    <mergeCell ref="AA11:AD11"/>
    <mergeCell ref="AA12:AD12"/>
    <mergeCell ref="AE11:AH11"/>
    <mergeCell ref="AE12:AH12"/>
    <mergeCell ref="B7:D7"/>
    <mergeCell ref="L11:L13"/>
    <mergeCell ref="M11:M13"/>
    <mergeCell ref="G12:G13"/>
    <mergeCell ref="J11:J13"/>
    <mergeCell ref="K11:K13"/>
    <mergeCell ref="AM12:AP12"/>
    <mergeCell ref="AQ11:AT11"/>
    <mergeCell ref="AQ12:AT12"/>
    <mergeCell ref="AU11:AX11"/>
    <mergeCell ref="AU12:AX12"/>
    <mergeCell ref="AM11:AP11"/>
    <mergeCell ref="AY11:BB11"/>
    <mergeCell ref="AY12:BB12"/>
    <mergeCell ref="BC11:BF11"/>
    <mergeCell ref="BC12:BF12"/>
    <mergeCell ref="BG11:BJ11"/>
    <mergeCell ref="BG12:BJ12"/>
    <mergeCell ref="BW11:BZ11"/>
    <mergeCell ref="BW12:BZ12"/>
    <mergeCell ref="BK11:BN11"/>
    <mergeCell ref="BK12:BN12"/>
    <mergeCell ref="BO11:BR11"/>
    <mergeCell ref="BO12:BR12"/>
    <mergeCell ref="BS11:BV11"/>
    <mergeCell ref="BS12:BV12"/>
    <mergeCell ref="CU11:CX11"/>
    <mergeCell ref="CU12:CX12"/>
    <mergeCell ref="CI11:CL11"/>
    <mergeCell ref="CI12:CL12"/>
    <mergeCell ref="CM11:CP11"/>
    <mergeCell ref="CM12:CP12"/>
    <mergeCell ref="CQ11:CT11"/>
    <mergeCell ref="CQ12:CT12"/>
    <mergeCell ref="EA11:ED11"/>
    <mergeCell ref="EA12:ED12"/>
    <mergeCell ref="DG11:DJ11"/>
    <mergeCell ref="DG12:DJ12"/>
    <mergeCell ref="DK11:DN11"/>
    <mergeCell ref="DK12:DN12"/>
    <mergeCell ref="DO11:DR11"/>
    <mergeCell ref="DO12:DR12"/>
    <mergeCell ref="EE11:EH11"/>
    <mergeCell ref="EE12:EH12"/>
    <mergeCell ref="DC11:DF11"/>
    <mergeCell ref="DC12:DF12"/>
    <mergeCell ref="H11:H13"/>
    <mergeCell ref="I11:I13"/>
    <mergeCell ref="CY11:DB11"/>
    <mergeCell ref="CY12:DB12"/>
    <mergeCell ref="CA11:CD11"/>
    <mergeCell ref="CA12:CD12"/>
    <mergeCell ref="CE11:CH11"/>
    <mergeCell ref="CE12:CH12"/>
    <mergeCell ref="DS11:DV11"/>
    <mergeCell ref="DS12:DV12"/>
    <mergeCell ref="DW11:DZ11"/>
    <mergeCell ref="DW12:DZ12"/>
  </mergeCells>
  <phoneticPr fontId="1" type="noConversion"/>
  <dataValidations count="3">
    <dataValidation type="list" allowBlank="1" showInputMessage="1" showErrorMessage="1" error="기간,실투입 중 선택" prompt="기간, 실투입" sqref="B2">
      <formula1>"기간,실투입"</formula1>
    </dataValidation>
    <dataValidation type="list" allowBlank="1" showInputMessage="1" showErrorMessage="1" error="프로젝트별,인력별,전체 중 선택" prompt="프로젝트별_x000a_인력별_x000a_전체" sqref="B9">
      <formula1>"프로젝트별,인력별,전체"</formula1>
    </dataValidation>
    <dataValidation type="date" allowBlank="1" showInputMessage="1" showErrorMessage="1" error="YYYY-MM-DD 형식의 날짜로 입력하십시요" promptTitle="날짜형식 입력" prompt="YYYY-MM-DD 형식의 날짜로 입력하십시요" sqref="B3:B4">
      <formula1>40179</formula1>
      <formula2>73415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 filterMode="1"/>
  <dimension ref="A2:I21"/>
  <sheetViews>
    <sheetView workbookViewId="0">
      <selection activeCell="H11" sqref="H11"/>
    </sheetView>
  </sheetViews>
  <sheetFormatPr defaultRowHeight="16.5"/>
  <cols>
    <col min="7" max="8" width="11.125" bestFit="1" customWidth="1"/>
  </cols>
  <sheetData>
    <row r="2" spans="1:9">
      <c r="A2" t="s">
        <v>159</v>
      </c>
      <c r="B2">
        <f>C2+D2</f>
        <v>2</v>
      </c>
      <c r="C2">
        <v>1</v>
      </c>
      <c r="D2">
        <v>1</v>
      </c>
      <c r="G2" s="10">
        <v>36892</v>
      </c>
      <c r="H2" s="10">
        <v>37256</v>
      </c>
      <c r="I2">
        <f>H2-G2+1</f>
        <v>365</v>
      </c>
    </row>
    <row r="3" spans="1:9">
      <c r="A3" t="s">
        <v>159</v>
      </c>
      <c r="B3">
        <f>C3+D3</f>
        <v>5</v>
      </c>
      <c r="C3">
        <v>2</v>
      </c>
      <c r="D3">
        <v>3</v>
      </c>
      <c r="H3" s="10">
        <v>36923</v>
      </c>
      <c r="I3">
        <f>H3-G2</f>
        <v>31</v>
      </c>
    </row>
    <row r="4" spans="1:9">
      <c r="A4" t="s">
        <v>159</v>
      </c>
    </row>
    <row r="5" spans="1:9">
      <c r="A5" t="s">
        <v>159</v>
      </c>
    </row>
    <row r="8" spans="1:9">
      <c r="C8" t="s">
        <v>160</v>
      </c>
      <c r="D8" t="s">
        <v>161</v>
      </c>
      <c r="E8" t="s">
        <v>162</v>
      </c>
      <c r="F8" t="s">
        <v>163</v>
      </c>
    </row>
    <row r="9" spans="1:9" hidden="1">
      <c r="C9">
        <v>1</v>
      </c>
      <c r="D9">
        <v>2</v>
      </c>
      <c r="E9">
        <v>3</v>
      </c>
      <c r="F9">
        <v>4</v>
      </c>
    </row>
    <row r="10" spans="1:9">
      <c r="C10">
        <v>1</v>
      </c>
      <c r="D10">
        <v>3</v>
      </c>
      <c r="E10">
        <v>2</v>
      </c>
      <c r="F10">
        <v>4</v>
      </c>
    </row>
    <row r="11" spans="1:9">
      <c r="C11">
        <v>2</v>
      </c>
      <c r="D11">
        <v>3</v>
      </c>
      <c r="E11">
        <v>4</v>
      </c>
      <c r="F11">
        <v>3</v>
      </c>
    </row>
    <row r="15" spans="1:9">
      <c r="D15">
        <v>1</v>
      </c>
      <c r="E15">
        <v>3</v>
      </c>
      <c r="F15">
        <v>2</v>
      </c>
      <c r="G15">
        <v>4</v>
      </c>
    </row>
    <row r="16" spans="1:9">
      <c r="D16">
        <v>2</v>
      </c>
      <c r="E16">
        <v>3</v>
      </c>
      <c r="F16">
        <v>4</v>
      </c>
      <c r="G16">
        <v>3</v>
      </c>
    </row>
    <row r="21" spans="4:4">
      <c r="D21" s="11"/>
    </row>
  </sheetData>
  <autoFilter ref="C8:F11">
    <filterColumn colId="1">
      <filters>
        <filter val="3"/>
      </filters>
    </filterColumn>
  </autoFilter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A9"/>
  <sheetViews>
    <sheetView topLeftCell="O1" workbookViewId="0">
      <selection activeCell="AA9" sqref="AA9"/>
    </sheetView>
  </sheetViews>
  <sheetFormatPr defaultRowHeight="16.5"/>
  <sheetData>
    <row r="9" spans="27:27">
      <c r="AA9">
        <v>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T98"/>
  <sheetViews>
    <sheetView workbookViewId="0">
      <pane xSplit="5" ySplit="13" topLeftCell="G14" activePane="bottomRight" state="frozen"/>
      <selection pane="topRight" activeCell="F1" sqref="F1"/>
      <selection pane="bottomLeft" activeCell="A14" sqref="A14"/>
      <selection pane="bottomRight"/>
    </sheetView>
  </sheetViews>
  <sheetFormatPr defaultRowHeight="16.5"/>
  <cols>
    <col min="1" max="1" width="28" style="12" customWidth="1"/>
    <col min="2" max="2" width="33.125" style="12" customWidth="1"/>
    <col min="3" max="3" width="12" style="12" customWidth="1"/>
    <col min="4" max="4" width="9.75" style="12" bestFit="1" customWidth="1"/>
    <col min="5" max="5" width="9.75" style="12" customWidth="1"/>
    <col min="6" max="7" width="9.75" style="12" bestFit="1" customWidth="1"/>
    <col min="8" max="9" width="8" style="12" bestFit="1" customWidth="1"/>
    <col min="10" max="11" width="9.75" style="12" bestFit="1" customWidth="1"/>
    <col min="12" max="12" width="8" style="12" bestFit="1" customWidth="1"/>
    <col min="13" max="13" width="9.625" style="12" bestFit="1" customWidth="1"/>
    <col min="14" max="14" width="10.625" style="12" hidden="1" customWidth="1"/>
    <col min="15" max="15" width="10.625" hidden="1" customWidth="1"/>
    <col min="16" max="25" width="10.625" style="12" hidden="1" customWidth="1"/>
    <col min="26" max="26" width="1.625" style="12" customWidth="1"/>
    <col min="27" max="297" width="1.875" style="12" customWidth="1"/>
    <col min="298" max="16384" width="9" style="12"/>
  </cols>
  <sheetData>
    <row r="1" spans="1:46" ht="17.25">
      <c r="A1" s="76"/>
      <c r="F1" s="15"/>
      <c r="G1" s="15"/>
      <c r="I1" s="15"/>
      <c r="K1" s="15"/>
      <c r="L1" s="15"/>
    </row>
    <row r="2" spans="1:46" ht="17.25" hidden="1">
      <c r="A2" s="70" t="s">
        <v>255</v>
      </c>
      <c r="B2" s="72" t="s">
        <v>311</v>
      </c>
      <c r="F2" s="15"/>
      <c r="I2" s="15"/>
      <c r="K2" s="15"/>
      <c r="L2" s="15"/>
    </row>
    <row r="3" spans="1:46" s="15" customFormat="1" ht="17.25" hidden="1">
      <c r="A3" s="70" t="s">
        <v>259</v>
      </c>
      <c r="B3" s="73"/>
      <c r="C3" s="71"/>
    </row>
    <row r="4" spans="1:46" s="15" customFormat="1" ht="17.25" hidden="1">
      <c r="A4" s="70" t="s">
        <v>258</v>
      </c>
      <c r="B4" s="73"/>
    </row>
    <row r="5" spans="1:46" s="15" customFormat="1" ht="17.25">
      <c r="A5" s="70" t="s">
        <v>318</v>
      </c>
      <c r="B5" s="73">
        <v>43466</v>
      </c>
    </row>
    <row r="6" spans="1:46" s="15" customFormat="1" ht="17.25">
      <c r="A6" s="70" t="s">
        <v>319</v>
      </c>
      <c r="B6" s="73">
        <v>43585</v>
      </c>
    </row>
    <row r="7" spans="1:46" s="15" customFormat="1" ht="17.25">
      <c r="A7" s="70" t="s">
        <v>256</v>
      </c>
      <c r="B7" s="105"/>
      <c r="C7" s="106"/>
      <c r="D7" s="106"/>
      <c r="I7" s="71"/>
      <c r="L7" s="71"/>
    </row>
    <row r="8" spans="1:46" s="15" customFormat="1" ht="17.25" customHeight="1">
      <c r="A8" s="70" t="s">
        <v>257</v>
      </c>
      <c r="B8" s="74"/>
      <c r="C8" s="12"/>
    </row>
    <row r="9" spans="1:46" s="15" customFormat="1" ht="17.25" hidden="1">
      <c r="A9" s="70" t="s">
        <v>260</v>
      </c>
      <c r="B9" s="75" t="s">
        <v>309</v>
      </c>
      <c r="C9" s="12"/>
    </row>
    <row r="11" spans="1:46">
      <c r="A11" s="108" t="s">
        <v>321</v>
      </c>
      <c r="B11" s="103" t="s">
        <v>320</v>
      </c>
      <c r="C11" s="89" t="s">
        <v>308</v>
      </c>
      <c r="D11" s="90"/>
      <c r="E11" s="112"/>
      <c r="F11" s="103" t="s">
        <v>165</v>
      </c>
      <c r="G11" s="103"/>
      <c r="H11" s="111" t="s">
        <v>325</v>
      </c>
      <c r="I11" s="111" t="s">
        <v>326</v>
      </c>
      <c r="J11" s="103" t="s">
        <v>322</v>
      </c>
      <c r="K11" s="103"/>
      <c r="L11" s="111" t="s">
        <v>323</v>
      </c>
      <c r="M11" s="107" t="s">
        <v>324</v>
      </c>
      <c r="N11" s="107"/>
      <c r="AA11" s="100" t="s">
        <v>166</v>
      </c>
      <c r="AB11" s="100"/>
      <c r="AC11" s="100"/>
      <c r="AD11" s="100"/>
      <c r="AE11" s="100" t="s">
        <v>167</v>
      </c>
      <c r="AF11" s="100"/>
      <c r="AG11" s="100"/>
      <c r="AH11" s="100"/>
      <c r="AI11" s="100" t="s">
        <v>168</v>
      </c>
      <c r="AJ11" s="100"/>
      <c r="AK11" s="100"/>
      <c r="AL11" s="100"/>
      <c r="AM11" s="100" t="s">
        <v>169</v>
      </c>
      <c r="AN11" s="100"/>
      <c r="AO11" s="100"/>
      <c r="AP11" s="100"/>
      <c r="AQ11" s="100" t="s">
        <v>170</v>
      </c>
      <c r="AR11" s="100"/>
      <c r="AS11" s="100"/>
      <c r="AT11" s="100"/>
    </row>
    <row r="12" spans="1:46" ht="16.5" customHeight="1">
      <c r="A12" s="108"/>
      <c r="B12" s="103"/>
      <c r="C12" s="103" t="s">
        <v>157</v>
      </c>
      <c r="D12" s="103" t="s">
        <v>158</v>
      </c>
      <c r="E12" s="103" t="s">
        <v>236</v>
      </c>
      <c r="F12" s="103" t="s">
        <v>157</v>
      </c>
      <c r="G12" s="103" t="s">
        <v>158</v>
      </c>
      <c r="H12" s="103"/>
      <c r="I12" s="103"/>
      <c r="J12" s="103" t="s">
        <v>157</v>
      </c>
      <c r="K12" s="103" t="s">
        <v>158</v>
      </c>
      <c r="L12" s="103"/>
      <c r="M12" s="108"/>
      <c r="N12" s="108"/>
      <c r="AA12" s="101" t="s">
        <v>277</v>
      </c>
      <c r="AB12" s="102"/>
      <c r="AC12" s="102"/>
      <c r="AD12" s="102"/>
      <c r="AE12" s="101" t="s">
        <v>279</v>
      </c>
      <c r="AF12" s="102"/>
      <c r="AG12" s="102"/>
      <c r="AH12" s="102"/>
      <c r="AI12" s="101" t="s">
        <v>281</v>
      </c>
      <c r="AJ12" s="102"/>
      <c r="AK12" s="102"/>
      <c r="AL12" s="102"/>
      <c r="AM12" s="101" t="s">
        <v>283</v>
      </c>
      <c r="AN12" s="102"/>
      <c r="AO12" s="102"/>
      <c r="AP12" s="102"/>
      <c r="AQ12" s="101" t="s">
        <v>285</v>
      </c>
      <c r="AR12" s="102"/>
      <c r="AS12" s="102"/>
      <c r="AT12" s="102"/>
    </row>
    <row r="13" spans="1:46">
      <c r="A13" s="104"/>
      <c r="B13" s="104"/>
      <c r="C13" s="110"/>
      <c r="D13" s="110"/>
      <c r="E13" s="109"/>
      <c r="F13" s="110"/>
      <c r="G13" s="110"/>
      <c r="H13" s="104"/>
      <c r="I13" s="104"/>
      <c r="J13" s="110"/>
      <c r="K13" s="110"/>
      <c r="L13" s="104"/>
      <c r="M13" s="109"/>
      <c r="N13" s="109"/>
      <c r="O13" s="10"/>
      <c r="P13" s="78"/>
      <c r="AA13" s="16">
        <v>43464</v>
      </c>
      <c r="AB13" s="16">
        <v>43471</v>
      </c>
      <c r="AC13" s="16">
        <v>43478</v>
      </c>
      <c r="AD13" s="16">
        <v>43485</v>
      </c>
      <c r="AE13" s="16">
        <v>43492</v>
      </c>
      <c r="AF13" s="16">
        <v>43499</v>
      </c>
      <c r="AG13" s="16">
        <v>43506</v>
      </c>
      <c r="AH13" s="16">
        <v>43513</v>
      </c>
      <c r="AI13" s="16">
        <v>43520</v>
      </c>
      <c r="AJ13" s="16">
        <v>43527</v>
      </c>
      <c r="AK13" s="16">
        <v>43534</v>
      </c>
      <c r="AL13" s="16">
        <v>43541</v>
      </c>
      <c r="AM13" s="16">
        <v>43548</v>
      </c>
      <c r="AN13" s="16">
        <v>43555</v>
      </c>
      <c r="AO13" s="16">
        <v>43562</v>
      </c>
      <c r="AP13" s="16">
        <v>43569</v>
      </c>
      <c r="AQ13" s="16">
        <v>43576</v>
      </c>
      <c r="AR13" s="16">
        <v>43583</v>
      </c>
      <c r="AS13" s="16">
        <v>43590</v>
      </c>
      <c r="AT13" s="28"/>
    </row>
    <row r="14" spans="1:46">
      <c r="A14" s="12" t="s">
        <v>3</v>
      </c>
      <c r="B14" s="12" t="s">
        <v>307</v>
      </c>
      <c r="C14" s="78">
        <v>43220</v>
      </c>
      <c r="D14" s="78">
        <v>43546</v>
      </c>
      <c r="E14" s="12">
        <v>0.8</v>
      </c>
      <c r="F14" s="78">
        <v>43220</v>
      </c>
      <c r="G14" s="78">
        <v>43546</v>
      </c>
      <c r="H14" s="80">
        <v>2</v>
      </c>
      <c r="I14" s="80">
        <v>38.6</v>
      </c>
      <c r="J14" s="78">
        <f>IF(F14&gt;$B$5,F14,$B$5)</f>
        <v>43466</v>
      </c>
      <c r="K14" s="78">
        <f>IF(G14&lt;$B$6,G14,$B$6)</f>
        <v>43546</v>
      </c>
      <c r="L14" s="79">
        <f>NETWORKDAYS(J14,K14)/NETWORKDAYS($B$5,$B$6)</f>
        <v>0.68604651162790697</v>
      </c>
      <c r="M14" s="79">
        <f>I14/NETWORKDAYS($B$5,$B$6)</f>
        <v>0.44883720930232562</v>
      </c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 t="s">
        <v>376</v>
      </c>
      <c r="AO14" s="17"/>
      <c r="AP14" s="17"/>
      <c r="AQ14" s="17"/>
      <c r="AR14" s="17"/>
      <c r="AS14" s="17"/>
    </row>
    <row r="15" spans="1:46">
      <c r="A15" s="12" t="s">
        <v>3</v>
      </c>
      <c r="B15" s="12" t="s">
        <v>48</v>
      </c>
      <c r="C15" s="78">
        <v>43507</v>
      </c>
      <c r="D15" s="78">
        <v>43546</v>
      </c>
      <c r="E15" s="12">
        <v>0.6</v>
      </c>
      <c r="F15" s="78">
        <v>43507</v>
      </c>
      <c r="G15" s="78">
        <v>43546</v>
      </c>
      <c r="H15" s="80">
        <v>1</v>
      </c>
      <c r="I15" s="80">
        <v>14.6</v>
      </c>
      <c r="J15" s="78">
        <f t="shared" ref="J15:J78" si="0">IF(F15&gt;$B$5,F15,$B$5)</f>
        <v>43507</v>
      </c>
      <c r="K15" s="78">
        <f t="shared" ref="K15:K78" si="1">IF(G15&lt;$B$6,G15,$B$6)</f>
        <v>43546</v>
      </c>
      <c r="L15" s="79">
        <f t="shared" ref="L15:L78" si="2">NETWORKDAYS(J15,K15)/NETWORKDAYS($B$5,$B$6)</f>
        <v>0.34883720930232559</v>
      </c>
      <c r="M15" s="79">
        <f t="shared" ref="M15:M78" si="3">I15/NETWORKDAYS($B$5,$B$6)</f>
        <v>0.16976744186046511</v>
      </c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 t="s">
        <v>327</v>
      </c>
      <c r="AO15" s="17"/>
      <c r="AP15" s="17"/>
      <c r="AQ15" s="17"/>
      <c r="AR15" s="17"/>
      <c r="AS15" s="17"/>
    </row>
    <row r="16" spans="1:46">
      <c r="A16" s="12" t="s">
        <v>3</v>
      </c>
      <c r="B16" s="12" t="s">
        <v>24</v>
      </c>
      <c r="C16" s="78">
        <v>43220</v>
      </c>
      <c r="D16" s="78">
        <v>43480</v>
      </c>
      <c r="E16" s="12">
        <v>1</v>
      </c>
      <c r="F16" s="78">
        <v>43220</v>
      </c>
      <c r="G16" s="78">
        <v>43497</v>
      </c>
      <c r="H16" s="80">
        <v>1</v>
      </c>
      <c r="I16" s="80">
        <v>24</v>
      </c>
      <c r="J16" s="78">
        <f t="shared" si="0"/>
        <v>43466</v>
      </c>
      <c r="K16" s="78">
        <f t="shared" si="1"/>
        <v>43497</v>
      </c>
      <c r="L16" s="79">
        <f t="shared" si="2"/>
        <v>0.27906976744186046</v>
      </c>
      <c r="M16" s="79">
        <f t="shared" si="3"/>
        <v>0.27906976744186046</v>
      </c>
      <c r="AA16" s="17"/>
      <c r="AB16" s="17"/>
      <c r="AC16" s="17"/>
      <c r="AD16" s="17"/>
      <c r="AE16" s="17"/>
      <c r="AF16" s="17"/>
      <c r="AG16" s="17" t="s">
        <v>328</v>
      </c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</row>
    <row r="17" spans="1:46">
      <c r="A17" s="12" t="s">
        <v>7</v>
      </c>
      <c r="B17" s="12" t="s">
        <v>307</v>
      </c>
      <c r="C17" s="78">
        <v>43220</v>
      </c>
      <c r="D17" s="78">
        <v>43871</v>
      </c>
      <c r="E17" s="12">
        <v>1</v>
      </c>
      <c r="F17" s="78">
        <v>43220</v>
      </c>
      <c r="G17" s="78">
        <v>43871</v>
      </c>
      <c r="H17" s="80">
        <v>2</v>
      </c>
      <c r="I17" s="80">
        <v>68</v>
      </c>
      <c r="J17" s="78">
        <f t="shared" si="0"/>
        <v>43466</v>
      </c>
      <c r="K17" s="78">
        <f t="shared" si="1"/>
        <v>43585</v>
      </c>
      <c r="L17" s="79">
        <f t="shared" si="2"/>
        <v>1</v>
      </c>
      <c r="M17" s="79">
        <f t="shared" si="3"/>
        <v>0.79069767441860461</v>
      </c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2" t="s">
        <v>377</v>
      </c>
    </row>
    <row r="18" spans="1:46">
      <c r="A18" s="12" t="s">
        <v>7</v>
      </c>
      <c r="B18" s="12" t="s">
        <v>6</v>
      </c>
      <c r="C18" s="78">
        <v>43535</v>
      </c>
      <c r="D18" s="78">
        <v>43871</v>
      </c>
      <c r="E18" s="12">
        <v>1</v>
      </c>
      <c r="F18" s="78">
        <v>43536</v>
      </c>
      <c r="G18" s="78">
        <v>43871</v>
      </c>
      <c r="H18" s="80">
        <v>1</v>
      </c>
      <c r="I18" s="80">
        <v>36</v>
      </c>
      <c r="J18" s="78">
        <f t="shared" si="0"/>
        <v>43536</v>
      </c>
      <c r="K18" s="78">
        <f t="shared" si="1"/>
        <v>43585</v>
      </c>
      <c r="L18" s="79">
        <f t="shared" si="2"/>
        <v>0.41860465116279072</v>
      </c>
      <c r="M18" s="79">
        <f t="shared" si="3"/>
        <v>0.41860465116279072</v>
      </c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2" t="s">
        <v>329</v>
      </c>
    </row>
    <row r="19" spans="1:46">
      <c r="A19" s="12" t="s">
        <v>7</v>
      </c>
      <c r="B19" s="12" t="s">
        <v>24</v>
      </c>
      <c r="C19" s="78">
        <v>43220</v>
      </c>
      <c r="D19" s="78">
        <v>43480</v>
      </c>
      <c r="E19" s="12">
        <v>1</v>
      </c>
      <c r="F19" s="78">
        <v>43220</v>
      </c>
      <c r="G19" s="78">
        <v>43509</v>
      </c>
      <c r="H19" s="80">
        <v>1</v>
      </c>
      <c r="I19" s="80">
        <v>32</v>
      </c>
      <c r="J19" s="78">
        <f t="shared" si="0"/>
        <v>43466</v>
      </c>
      <c r="K19" s="78">
        <f t="shared" si="1"/>
        <v>43509</v>
      </c>
      <c r="L19" s="79">
        <f t="shared" si="2"/>
        <v>0.37209302325581395</v>
      </c>
      <c r="M19" s="79">
        <f t="shared" si="3"/>
        <v>0.37209302325581395</v>
      </c>
      <c r="AA19" s="17"/>
      <c r="AB19" s="17"/>
      <c r="AC19" s="17"/>
      <c r="AD19" s="17"/>
      <c r="AE19" s="17"/>
      <c r="AF19" s="17"/>
      <c r="AG19" s="17"/>
      <c r="AH19" s="17" t="s">
        <v>330</v>
      </c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</row>
    <row r="20" spans="1:46">
      <c r="A20" s="12" t="s">
        <v>5</v>
      </c>
      <c r="B20" s="12" t="s">
        <v>307</v>
      </c>
      <c r="C20" s="78">
        <v>43191</v>
      </c>
      <c r="D20" s="78">
        <v>43809</v>
      </c>
      <c r="E20" s="12">
        <v>1</v>
      </c>
      <c r="F20" s="78">
        <v>43228</v>
      </c>
      <c r="G20" s="78">
        <v>43809</v>
      </c>
      <c r="H20" s="80">
        <v>2</v>
      </c>
      <c r="I20" s="80">
        <v>75</v>
      </c>
      <c r="J20" s="78">
        <f t="shared" si="0"/>
        <v>43466</v>
      </c>
      <c r="K20" s="78">
        <f t="shared" si="1"/>
        <v>43585</v>
      </c>
      <c r="L20" s="79">
        <f t="shared" si="2"/>
        <v>1</v>
      </c>
      <c r="M20" s="79">
        <f t="shared" si="3"/>
        <v>0.87209302325581395</v>
      </c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2" t="s">
        <v>378</v>
      </c>
    </row>
    <row r="21" spans="1:46">
      <c r="A21" s="12" t="s">
        <v>5</v>
      </c>
      <c r="B21" s="12" t="s">
        <v>4</v>
      </c>
      <c r="C21" s="78">
        <v>43191</v>
      </c>
      <c r="D21" s="78">
        <v>43434</v>
      </c>
      <c r="E21" s="12">
        <v>1</v>
      </c>
      <c r="F21" s="78">
        <v>43228</v>
      </c>
      <c r="G21" s="78">
        <v>43518</v>
      </c>
      <c r="H21" s="80">
        <v>1</v>
      </c>
      <c r="I21" s="80">
        <v>39</v>
      </c>
      <c r="J21" s="78">
        <f t="shared" si="0"/>
        <v>43466</v>
      </c>
      <c r="K21" s="78">
        <f t="shared" si="1"/>
        <v>43518</v>
      </c>
      <c r="L21" s="79">
        <f t="shared" si="2"/>
        <v>0.45348837209302323</v>
      </c>
      <c r="M21" s="79">
        <f t="shared" si="3"/>
        <v>0.45348837209302323</v>
      </c>
      <c r="AA21" s="17"/>
      <c r="AB21" s="17"/>
      <c r="AC21" s="17"/>
      <c r="AD21" s="17"/>
      <c r="AE21" s="17"/>
      <c r="AF21" s="17"/>
      <c r="AG21" s="17"/>
      <c r="AH21" s="17"/>
      <c r="AI21" s="17"/>
      <c r="AJ21" s="17" t="s">
        <v>331</v>
      </c>
      <c r="AK21" s="17"/>
      <c r="AL21" s="17"/>
      <c r="AM21" s="17"/>
      <c r="AN21" s="17"/>
      <c r="AO21" s="17"/>
      <c r="AP21" s="17"/>
      <c r="AQ21" s="17"/>
      <c r="AR21" s="17"/>
      <c r="AS21" s="17"/>
    </row>
    <row r="22" spans="1:46">
      <c r="A22" s="12" t="s">
        <v>5</v>
      </c>
      <c r="B22" s="12" t="s">
        <v>6</v>
      </c>
      <c r="C22" s="78">
        <v>43549</v>
      </c>
      <c r="D22" s="78">
        <v>43809</v>
      </c>
      <c r="E22" s="12">
        <v>1</v>
      </c>
      <c r="F22" s="78">
        <v>43536</v>
      </c>
      <c r="G22" s="78">
        <v>43809</v>
      </c>
      <c r="H22" s="80">
        <v>1</v>
      </c>
      <c r="I22" s="80">
        <v>36</v>
      </c>
      <c r="J22" s="78">
        <f t="shared" si="0"/>
        <v>43536</v>
      </c>
      <c r="K22" s="78">
        <f t="shared" si="1"/>
        <v>43585</v>
      </c>
      <c r="L22" s="79">
        <f t="shared" si="2"/>
        <v>0.41860465116279072</v>
      </c>
      <c r="M22" s="79">
        <f t="shared" si="3"/>
        <v>0.41860465116279072</v>
      </c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2" t="s">
        <v>332</v>
      </c>
    </row>
    <row r="23" spans="1:46">
      <c r="A23" s="12" t="s">
        <v>47</v>
      </c>
      <c r="B23" s="12" t="s">
        <v>307</v>
      </c>
      <c r="C23" s="78">
        <v>43563</v>
      </c>
      <c r="D23" s="78">
        <v>43799</v>
      </c>
      <c r="E23" s="12">
        <v>1</v>
      </c>
      <c r="F23" s="78">
        <v>43563</v>
      </c>
      <c r="G23" s="78">
        <v>43798</v>
      </c>
      <c r="H23" s="80">
        <v>1</v>
      </c>
      <c r="I23" s="80">
        <v>17</v>
      </c>
      <c r="J23" s="78">
        <f t="shared" si="0"/>
        <v>43563</v>
      </c>
      <c r="K23" s="78">
        <f t="shared" si="1"/>
        <v>43585</v>
      </c>
      <c r="L23" s="79">
        <f t="shared" si="2"/>
        <v>0.19767441860465115</v>
      </c>
      <c r="M23" s="79">
        <f t="shared" si="3"/>
        <v>0.19767441860465115</v>
      </c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 t="s">
        <v>379</v>
      </c>
    </row>
    <row r="24" spans="1:46">
      <c r="A24" s="12" t="s">
        <v>47</v>
      </c>
      <c r="B24" s="12" t="s">
        <v>46</v>
      </c>
      <c r="C24" s="78">
        <v>43563</v>
      </c>
      <c r="D24" s="78">
        <v>43799</v>
      </c>
      <c r="E24" s="12">
        <v>1</v>
      </c>
      <c r="F24" s="78">
        <v>43563</v>
      </c>
      <c r="G24" s="78">
        <v>43798</v>
      </c>
      <c r="H24" s="80">
        <v>1</v>
      </c>
      <c r="I24" s="80">
        <v>17</v>
      </c>
      <c r="J24" s="78">
        <f t="shared" si="0"/>
        <v>43563</v>
      </c>
      <c r="K24" s="78">
        <f t="shared" si="1"/>
        <v>43585</v>
      </c>
      <c r="L24" s="79">
        <f t="shared" si="2"/>
        <v>0.19767441860465115</v>
      </c>
      <c r="M24" s="79">
        <f t="shared" si="3"/>
        <v>0.19767441860465115</v>
      </c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2" t="s">
        <v>333</v>
      </c>
    </row>
    <row r="25" spans="1:46">
      <c r="A25" s="12" t="s">
        <v>35</v>
      </c>
      <c r="B25" s="12" t="s">
        <v>307</v>
      </c>
      <c r="C25" s="78"/>
      <c r="D25" s="78"/>
      <c r="F25" s="78">
        <v>43370</v>
      </c>
      <c r="G25" s="78">
        <v>43585</v>
      </c>
      <c r="H25" s="80">
        <v>1</v>
      </c>
      <c r="I25" s="80">
        <v>86</v>
      </c>
      <c r="J25" s="78">
        <f t="shared" si="0"/>
        <v>43466</v>
      </c>
      <c r="K25" s="78">
        <f t="shared" si="1"/>
        <v>43585</v>
      </c>
      <c r="L25" s="79">
        <f t="shared" si="2"/>
        <v>1</v>
      </c>
      <c r="M25" s="79">
        <f t="shared" si="3"/>
        <v>1</v>
      </c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2" t="s">
        <v>380</v>
      </c>
    </row>
    <row r="26" spans="1:46">
      <c r="A26" s="12" t="s">
        <v>35</v>
      </c>
      <c r="B26" s="12" t="s">
        <v>27</v>
      </c>
      <c r="C26" s="78"/>
      <c r="D26" s="78"/>
      <c r="F26" s="78">
        <v>43370</v>
      </c>
      <c r="G26" s="78">
        <v>43585</v>
      </c>
      <c r="H26" s="80">
        <v>1</v>
      </c>
      <c r="I26" s="80">
        <v>86</v>
      </c>
      <c r="J26" s="78">
        <f t="shared" si="0"/>
        <v>43466</v>
      </c>
      <c r="K26" s="78">
        <f t="shared" si="1"/>
        <v>43585</v>
      </c>
      <c r="L26" s="79">
        <f t="shared" si="2"/>
        <v>1</v>
      </c>
      <c r="M26" s="79">
        <f t="shared" si="3"/>
        <v>1</v>
      </c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2" t="s">
        <v>334</v>
      </c>
    </row>
    <row r="27" spans="1:46">
      <c r="A27" s="12" t="s">
        <v>16</v>
      </c>
      <c r="B27" s="12" t="s">
        <v>307</v>
      </c>
      <c r="C27" s="78">
        <v>43472</v>
      </c>
      <c r="D27" s="78">
        <v>43714</v>
      </c>
      <c r="E27" s="12">
        <v>1</v>
      </c>
      <c r="F27" s="78">
        <v>43472</v>
      </c>
      <c r="G27" s="78">
        <v>43735</v>
      </c>
      <c r="H27" s="80">
        <v>1</v>
      </c>
      <c r="I27" s="80">
        <v>82</v>
      </c>
      <c r="J27" s="78">
        <f t="shared" si="0"/>
        <v>43472</v>
      </c>
      <c r="K27" s="78">
        <f t="shared" si="1"/>
        <v>43585</v>
      </c>
      <c r="L27" s="79">
        <f t="shared" si="2"/>
        <v>0.95348837209302328</v>
      </c>
      <c r="M27" s="79">
        <f t="shared" si="3"/>
        <v>0.95348837209302328</v>
      </c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2" t="s">
        <v>381</v>
      </c>
    </row>
    <row r="28" spans="1:46">
      <c r="A28" s="12" t="s">
        <v>16</v>
      </c>
      <c r="B28" s="12" t="s">
        <v>15</v>
      </c>
      <c r="C28" s="78">
        <v>43472</v>
      </c>
      <c r="D28" s="78">
        <v>43714</v>
      </c>
      <c r="E28" s="12">
        <v>1</v>
      </c>
      <c r="F28" s="78">
        <v>43472</v>
      </c>
      <c r="G28" s="78">
        <v>43735</v>
      </c>
      <c r="H28" s="80">
        <v>1</v>
      </c>
      <c r="I28" s="80">
        <v>82</v>
      </c>
      <c r="J28" s="78">
        <f t="shared" si="0"/>
        <v>43472</v>
      </c>
      <c r="K28" s="78">
        <f t="shared" si="1"/>
        <v>43585</v>
      </c>
      <c r="L28" s="79">
        <f t="shared" si="2"/>
        <v>0.95348837209302328</v>
      </c>
      <c r="M28" s="79">
        <f t="shared" si="3"/>
        <v>0.95348837209302328</v>
      </c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2" t="s">
        <v>335</v>
      </c>
    </row>
    <row r="29" spans="1:46">
      <c r="A29" s="12" t="s">
        <v>19</v>
      </c>
      <c r="B29" s="12" t="s">
        <v>307</v>
      </c>
      <c r="C29" s="78">
        <v>43409</v>
      </c>
      <c r="D29" s="78">
        <v>43585</v>
      </c>
      <c r="E29" s="12">
        <v>1</v>
      </c>
      <c r="F29" s="78">
        <v>43409</v>
      </c>
      <c r="G29" s="78">
        <v>43588</v>
      </c>
      <c r="H29" s="80">
        <v>1</v>
      </c>
      <c r="I29" s="80">
        <v>86</v>
      </c>
      <c r="J29" s="78">
        <f t="shared" si="0"/>
        <v>43466</v>
      </c>
      <c r="K29" s="78">
        <f t="shared" si="1"/>
        <v>43585</v>
      </c>
      <c r="L29" s="79">
        <f t="shared" si="2"/>
        <v>1</v>
      </c>
      <c r="M29" s="79">
        <f t="shared" si="3"/>
        <v>1</v>
      </c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2" t="s">
        <v>382</v>
      </c>
    </row>
    <row r="30" spans="1:46">
      <c r="A30" s="12" t="s">
        <v>19</v>
      </c>
      <c r="B30" s="12" t="s">
        <v>1</v>
      </c>
      <c r="C30" s="78">
        <v>43409</v>
      </c>
      <c r="D30" s="78">
        <v>43585</v>
      </c>
      <c r="E30" s="12">
        <v>1</v>
      </c>
      <c r="F30" s="78">
        <v>43409</v>
      </c>
      <c r="G30" s="78">
        <v>43588</v>
      </c>
      <c r="H30" s="80">
        <v>1</v>
      </c>
      <c r="I30" s="80">
        <v>86</v>
      </c>
      <c r="J30" s="78">
        <f t="shared" si="0"/>
        <v>43466</v>
      </c>
      <c r="K30" s="78">
        <f t="shared" si="1"/>
        <v>43585</v>
      </c>
      <c r="L30" s="79">
        <f t="shared" si="2"/>
        <v>1</v>
      </c>
      <c r="M30" s="79">
        <f t="shared" si="3"/>
        <v>1</v>
      </c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2" t="s">
        <v>336</v>
      </c>
    </row>
    <row r="31" spans="1:46">
      <c r="A31" s="12" t="s">
        <v>41</v>
      </c>
      <c r="B31" s="12" t="s">
        <v>307</v>
      </c>
      <c r="C31" s="78">
        <v>43316</v>
      </c>
      <c r="D31" s="78">
        <v>43555</v>
      </c>
      <c r="E31" s="12">
        <v>0.5</v>
      </c>
      <c r="F31" s="78">
        <v>43318</v>
      </c>
      <c r="G31" s="78">
        <v>43577</v>
      </c>
      <c r="H31" s="80">
        <v>2</v>
      </c>
      <c r="I31" s="80">
        <v>80</v>
      </c>
      <c r="J31" s="78">
        <f t="shared" si="0"/>
        <v>43466</v>
      </c>
      <c r="K31" s="78">
        <f t="shared" si="1"/>
        <v>43577</v>
      </c>
      <c r="L31" s="79">
        <f t="shared" si="2"/>
        <v>0.93023255813953487</v>
      </c>
      <c r="M31" s="79">
        <f t="shared" si="3"/>
        <v>0.93023255813953487</v>
      </c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 t="s">
        <v>383</v>
      </c>
    </row>
    <row r="32" spans="1:46">
      <c r="A32" s="12" t="s">
        <v>41</v>
      </c>
      <c r="B32" s="12" t="s">
        <v>38</v>
      </c>
      <c r="C32" s="78">
        <v>43316</v>
      </c>
      <c r="D32" s="78">
        <v>43555</v>
      </c>
      <c r="E32" s="12">
        <v>1</v>
      </c>
      <c r="F32" s="78">
        <v>43318</v>
      </c>
      <c r="G32" s="78">
        <v>43560</v>
      </c>
      <c r="H32" s="80">
        <v>1</v>
      </c>
      <c r="I32" s="80">
        <v>69</v>
      </c>
      <c r="J32" s="78">
        <f t="shared" si="0"/>
        <v>43466</v>
      </c>
      <c r="K32" s="78">
        <f t="shared" si="1"/>
        <v>43560</v>
      </c>
      <c r="L32" s="79">
        <f t="shared" si="2"/>
        <v>0.80232558139534882</v>
      </c>
      <c r="M32" s="79">
        <f t="shared" si="3"/>
        <v>0.80232558139534882</v>
      </c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 t="s">
        <v>337</v>
      </c>
      <c r="AQ32" s="17"/>
      <c r="AR32" s="17"/>
      <c r="AS32" s="17"/>
    </row>
    <row r="33" spans="1:46">
      <c r="A33" s="12" t="s">
        <v>41</v>
      </c>
      <c r="B33" s="12" t="s">
        <v>46</v>
      </c>
      <c r="C33" s="78"/>
      <c r="D33" s="78"/>
      <c r="F33" s="78">
        <v>43563</v>
      </c>
      <c r="G33" s="78">
        <v>43577</v>
      </c>
      <c r="H33" s="80">
        <v>1</v>
      </c>
      <c r="I33" s="80">
        <v>11</v>
      </c>
      <c r="J33" s="78">
        <f t="shared" si="0"/>
        <v>43563</v>
      </c>
      <c r="K33" s="78">
        <f t="shared" si="1"/>
        <v>43577</v>
      </c>
      <c r="L33" s="79">
        <f t="shared" si="2"/>
        <v>0.12790697674418605</v>
      </c>
      <c r="M33" s="79">
        <f t="shared" si="3"/>
        <v>0.12790697674418605</v>
      </c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 t="s">
        <v>338</v>
      </c>
    </row>
    <row r="34" spans="1:46">
      <c r="A34" s="12" t="s">
        <v>8</v>
      </c>
      <c r="B34" s="12" t="s">
        <v>307</v>
      </c>
      <c r="C34" s="78">
        <v>43549</v>
      </c>
      <c r="D34" s="78">
        <v>43871</v>
      </c>
      <c r="E34" s="12">
        <v>0.5</v>
      </c>
      <c r="F34" s="78">
        <v>43467</v>
      </c>
      <c r="G34" s="78">
        <v>43871</v>
      </c>
      <c r="H34" s="80">
        <v>2</v>
      </c>
      <c r="I34" s="80">
        <v>83</v>
      </c>
      <c r="J34" s="78">
        <f t="shared" si="0"/>
        <v>43467</v>
      </c>
      <c r="K34" s="78">
        <f t="shared" si="1"/>
        <v>43585</v>
      </c>
      <c r="L34" s="79">
        <f t="shared" si="2"/>
        <v>0.98837209302325579</v>
      </c>
      <c r="M34" s="79">
        <f t="shared" si="3"/>
        <v>0.96511627906976749</v>
      </c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2" t="s">
        <v>384</v>
      </c>
    </row>
    <row r="35" spans="1:46">
      <c r="A35" s="12" t="s">
        <v>8</v>
      </c>
      <c r="B35" s="12" t="s">
        <v>6</v>
      </c>
      <c r="C35" s="78">
        <v>43549</v>
      </c>
      <c r="D35" s="78">
        <v>43871</v>
      </c>
      <c r="E35" s="12">
        <v>1</v>
      </c>
      <c r="F35" s="78">
        <v>43556</v>
      </c>
      <c r="G35" s="78">
        <v>43871</v>
      </c>
      <c r="H35" s="80">
        <v>1</v>
      </c>
      <c r="I35" s="80">
        <v>22</v>
      </c>
      <c r="J35" s="78">
        <f t="shared" si="0"/>
        <v>43556</v>
      </c>
      <c r="K35" s="78">
        <f t="shared" si="1"/>
        <v>43585</v>
      </c>
      <c r="L35" s="79">
        <f t="shared" si="2"/>
        <v>0.2558139534883721</v>
      </c>
      <c r="M35" s="79">
        <f t="shared" si="3"/>
        <v>0.2558139534883721</v>
      </c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2" t="s">
        <v>339</v>
      </c>
    </row>
    <row r="36" spans="1:46">
      <c r="A36" s="12" t="s">
        <v>8</v>
      </c>
      <c r="B36" s="12" t="s">
        <v>27</v>
      </c>
      <c r="C36" s="78"/>
      <c r="D36" s="78"/>
      <c r="F36" s="78">
        <v>43467</v>
      </c>
      <c r="G36" s="78">
        <v>43551</v>
      </c>
      <c r="H36" s="80">
        <v>1</v>
      </c>
      <c r="I36" s="80">
        <v>61</v>
      </c>
      <c r="J36" s="78">
        <f t="shared" si="0"/>
        <v>43467</v>
      </c>
      <c r="K36" s="78">
        <f t="shared" si="1"/>
        <v>43551</v>
      </c>
      <c r="L36" s="79">
        <f t="shared" si="2"/>
        <v>0.70930232558139539</v>
      </c>
      <c r="M36" s="79">
        <f t="shared" si="3"/>
        <v>0.70930232558139539</v>
      </c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 t="s">
        <v>340</v>
      </c>
      <c r="AP36" s="17"/>
      <c r="AQ36" s="17"/>
      <c r="AR36" s="17"/>
      <c r="AS36" s="17"/>
    </row>
    <row r="37" spans="1:46">
      <c r="A37" s="12" t="s">
        <v>43</v>
      </c>
      <c r="B37" s="12" t="s">
        <v>307</v>
      </c>
      <c r="C37" s="78">
        <v>43409</v>
      </c>
      <c r="D37" s="78">
        <v>43646</v>
      </c>
      <c r="E37" s="12">
        <v>1</v>
      </c>
      <c r="F37" s="78">
        <v>43405</v>
      </c>
      <c r="G37" s="78">
        <v>43644</v>
      </c>
      <c r="H37" s="80">
        <v>1</v>
      </c>
      <c r="I37" s="80">
        <v>86</v>
      </c>
      <c r="J37" s="78">
        <f t="shared" si="0"/>
        <v>43466</v>
      </c>
      <c r="K37" s="78">
        <f t="shared" si="1"/>
        <v>43585</v>
      </c>
      <c r="L37" s="79">
        <f t="shared" si="2"/>
        <v>1</v>
      </c>
      <c r="M37" s="79">
        <f t="shared" si="3"/>
        <v>1</v>
      </c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2" t="s">
        <v>385</v>
      </c>
    </row>
    <row r="38" spans="1:46">
      <c r="A38" s="12" t="s">
        <v>43</v>
      </c>
      <c r="B38" s="12" t="s">
        <v>42</v>
      </c>
      <c r="C38" s="78">
        <v>43409</v>
      </c>
      <c r="D38" s="78">
        <v>43646</v>
      </c>
      <c r="E38" s="12">
        <v>1</v>
      </c>
      <c r="F38" s="78">
        <v>43405</v>
      </c>
      <c r="G38" s="78">
        <v>43644</v>
      </c>
      <c r="H38" s="80">
        <v>1</v>
      </c>
      <c r="I38" s="80">
        <v>86</v>
      </c>
      <c r="J38" s="78">
        <f t="shared" si="0"/>
        <v>43466</v>
      </c>
      <c r="K38" s="78">
        <f t="shared" si="1"/>
        <v>43585</v>
      </c>
      <c r="L38" s="79">
        <f t="shared" si="2"/>
        <v>1</v>
      </c>
      <c r="M38" s="79">
        <f t="shared" si="3"/>
        <v>1</v>
      </c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2" t="s">
        <v>341</v>
      </c>
    </row>
    <row r="39" spans="1:46">
      <c r="A39" s="12" t="s">
        <v>30</v>
      </c>
      <c r="B39" s="12" t="s">
        <v>307</v>
      </c>
      <c r="C39" s="78">
        <v>43408</v>
      </c>
      <c r="D39" s="78">
        <v>43555</v>
      </c>
      <c r="E39" s="12">
        <v>0.33333333333333331</v>
      </c>
      <c r="F39" s="78">
        <v>43381</v>
      </c>
      <c r="G39" s="78">
        <v>43585</v>
      </c>
      <c r="H39" s="80">
        <v>3</v>
      </c>
      <c r="I39" s="80">
        <v>75</v>
      </c>
      <c r="J39" s="78">
        <f t="shared" si="0"/>
        <v>43466</v>
      </c>
      <c r="K39" s="78">
        <f t="shared" si="1"/>
        <v>43585</v>
      </c>
      <c r="L39" s="79">
        <f t="shared" si="2"/>
        <v>1</v>
      </c>
      <c r="M39" s="79">
        <f t="shared" si="3"/>
        <v>0.87209302325581395</v>
      </c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2" t="s">
        <v>386</v>
      </c>
    </row>
    <row r="40" spans="1:46">
      <c r="A40" s="12" t="s">
        <v>30</v>
      </c>
      <c r="B40" s="12" t="s">
        <v>27</v>
      </c>
      <c r="C40" s="78"/>
      <c r="D40" s="78"/>
      <c r="F40" s="78">
        <v>43535</v>
      </c>
      <c r="G40" s="78">
        <v>43546</v>
      </c>
      <c r="H40" s="80">
        <v>1</v>
      </c>
      <c r="I40" s="80">
        <v>10</v>
      </c>
      <c r="J40" s="78">
        <f t="shared" si="0"/>
        <v>43535</v>
      </c>
      <c r="K40" s="78">
        <f t="shared" si="1"/>
        <v>43546</v>
      </c>
      <c r="L40" s="79">
        <f t="shared" si="2"/>
        <v>0.11627906976744186</v>
      </c>
      <c r="M40" s="79">
        <f t="shared" si="3"/>
        <v>0.11627906976744186</v>
      </c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 t="s">
        <v>342</v>
      </c>
      <c r="AO40" s="17"/>
      <c r="AP40" s="17"/>
      <c r="AQ40" s="17"/>
      <c r="AR40" s="17"/>
      <c r="AS40" s="17"/>
    </row>
    <row r="41" spans="1:46">
      <c r="A41" s="12" t="s">
        <v>30</v>
      </c>
      <c r="B41" s="12" t="s">
        <v>38</v>
      </c>
      <c r="C41" s="78">
        <v>43408</v>
      </c>
      <c r="D41" s="78">
        <v>43555</v>
      </c>
      <c r="E41" s="12">
        <v>1</v>
      </c>
      <c r="F41" s="78">
        <v>43381</v>
      </c>
      <c r="G41" s="78">
        <v>43531</v>
      </c>
      <c r="H41" s="80">
        <v>1</v>
      </c>
      <c r="I41" s="80">
        <v>48</v>
      </c>
      <c r="J41" s="78">
        <f t="shared" si="0"/>
        <v>43466</v>
      </c>
      <c r="K41" s="78">
        <f t="shared" si="1"/>
        <v>43531</v>
      </c>
      <c r="L41" s="79">
        <f t="shared" si="2"/>
        <v>0.55813953488372092</v>
      </c>
      <c r="M41" s="79">
        <f t="shared" si="3"/>
        <v>0.55813953488372092</v>
      </c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 t="s">
        <v>343</v>
      </c>
      <c r="AM41" s="17"/>
      <c r="AN41" s="17"/>
      <c r="AO41" s="17"/>
      <c r="AP41" s="17"/>
      <c r="AQ41" s="17"/>
      <c r="AR41" s="17"/>
      <c r="AS41" s="17"/>
    </row>
    <row r="42" spans="1:46">
      <c r="A42" s="12" t="s">
        <v>30</v>
      </c>
      <c r="B42" s="12" t="s">
        <v>46</v>
      </c>
      <c r="C42" s="78"/>
      <c r="D42" s="78"/>
      <c r="F42" s="78">
        <v>43563</v>
      </c>
      <c r="G42" s="78">
        <v>43585</v>
      </c>
      <c r="H42" s="80">
        <v>1</v>
      </c>
      <c r="I42" s="80">
        <v>17</v>
      </c>
      <c r="J42" s="78">
        <f t="shared" si="0"/>
        <v>43563</v>
      </c>
      <c r="K42" s="78">
        <f t="shared" si="1"/>
        <v>43585</v>
      </c>
      <c r="L42" s="79">
        <f t="shared" si="2"/>
        <v>0.19767441860465115</v>
      </c>
      <c r="M42" s="79">
        <f t="shared" si="3"/>
        <v>0.19767441860465115</v>
      </c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2" t="s">
        <v>344</v>
      </c>
    </row>
    <row r="43" spans="1:46">
      <c r="A43" s="12" t="s">
        <v>28</v>
      </c>
      <c r="B43" s="12" t="s">
        <v>307</v>
      </c>
      <c r="C43" s="78">
        <v>43328</v>
      </c>
      <c r="D43" s="78">
        <v>43511</v>
      </c>
      <c r="E43" s="12">
        <v>1</v>
      </c>
      <c r="F43" s="78">
        <v>43346</v>
      </c>
      <c r="G43" s="78">
        <v>43644</v>
      </c>
      <c r="H43" s="80">
        <v>1</v>
      </c>
      <c r="I43" s="80">
        <v>86</v>
      </c>
      <c r="J43" s="78">
        <f t="shared" si="0"/>
        <v>43466</v>
      </c>
      <c r="K43" s="78">
        <f t="shared" si="1"/>
        <v>43585</v>
      </c>
      <c r="L43" s="79">
        <f t="shared" si="2"/>
        <v>1</v>
      </c>
      <c r="M43" s="79">
        <f t="shared" si="3"/>
        <v>1</v>
      </c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2" t="s">
        <v>387</v>
      </c>
    </row>
    <row r="44" spans="1:46">
      <c r="A44" s="12" t="s">
        <v>28</v>
      </c>
      <c r="B44" s="12" t="s">
        <v>27</v>
      </c>
      <c r="C44" s="78">
        <v>43328</v>
      </c>
      <c r="D44" s="78">
        <v>43511</v>
      </c>
      <c r="E44" s="12">
        <v>1</v>
      </c>
      <c r="F44" s="78">
        <v>43346</v>
      </c>
      <c r="G44" s="78">
        <v>43644</v>
      </c>
      <c r="H44" s="80">
        <v>1</v>
      </c>
      <c r="I44" s="80">
        <v>86</v>
      </c>
      <c r="J44" s="78">
        <f t="shared" si="0"/>
        <v>43466</v>
      </c>
      <c r="K44" s="78">
        <f t="shared" si="1"/>
        <v>43585</v>
      </c>
      <c r="L44" s="79">
        <f t="shared" si="2"/>
        <v>1</v>
      </c>
      <c r="M44" s="79">
        <f t="shared" si="3"/>
        <v>1</v>
      </c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2" t="s">
        <v>345</v>
      </c>
    </row>
    <row r="45" spans="1:46">
      <c r="A45" s="12" t="s">
        <v>29</v>
      </c>
      <c r="B45" s="12" t="s">
        <v>307</v>
      </c>
      <c r="C45" s="78">
        <v>43328</v>
      </c>
      <c r="D45" s="78">
        <v>43571</v>
      </c>
      <c r="E45" s="12">
        <v>1</v>
      </c>
      <c r="F45" s="78">
        <v>43328</v>
      </c>
      <c r="G45" s="78">
        <v>43644</v>
      </c>
      <c r="H45" s="80">
        <v>1</v>
      </c>
      <c r="I45" s="80">
        <v>86</v>
      </c>
      <c r="J45" s="78">
        <f t="shared" si="0"/>
        <v>43466</v>
      </c>
      <c r="K45" s="78">
        <f t="shared" si="1"/>
        <v>43585</v>
      </c>
      <c r="L45" s="79">
        <f t="shared" si="2"/>
        <v>1</v>
      </c>
      <c r="M45" s="79">
        <f t="shared" si="3"/>
        <v>1</v>
      </c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2" t="s">
        <v>388</v>
      </c>
    </row>
    <row r="46" spans="1:46">
      <c r="A46" s="12" t="s">
        <v>29</v>
      </c>
      <c r="B46" s="12" t="s">
        <v>27</v>
      </c>
      <c r="C46" s="78">
        <v>43328</v>
      </c>
      <c r="D46" s="78">
        <v>43571</v>
      </c>
      <c r="E46" s="12">
        <v>1</v>
      </c>
      <c r="F46" s="78">
        <v>43328</v>
      </c>
      <c r="G46" s="78">
        <v>43644</v>
      </c>
      <c r="H46" s="80">
        <v>1</v>
      </c>
      <c r="I46" s="80">
        <v>86</v>
      </c>
      <c r="J46" s="78">
        <f t="shared" si="0"/>
        <v>43466</v>
      </c>
      <c r="K46" s="78">
        <f t="shared" si="1"/>
        <v>43585</v>
      </c>
      <c r="L46" s="79">
        <f t="shared" si="2"/>
        <v>1</v>
      </c>
      <c r="M46" s="79">
        <f t="shared" si="3"/>
        <v>1</v>
      </c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2" t="s">
        <v>346</v>
      </c>
    </row>
    <row r="47" spans="1:46">
      <c r="A47" s="12" t="s">
        <v>31</v>
      </c>
      <c r="B47" s="12" t="s">
        <v>307</v>
      </c>
      <c r="C47" s="78"/>
      <c r="D47" s="78"/>
      <c r="F47" s="78">
        <v>43557</v>
      </c>
      <c r="G47" s="78">
        <v>43644</v>
      </c>
      <c r="H47" s="80">
        <v>1</v>
      </c>
      <c r="I47" s="80">
        <v>21</v>
      </c>
      <c r="J47" s="78">
        <f t="shared" si="0"/>
        <v>43557</v>
      </c>
      <c r="K47" s="78">
        <f t="shared" si="1"/>
        <v>43585</v>
      </c>
      <c r="L47" s="79">
        <f t="shared" si="2"/>
        <v>0.2441860465116279</v>
      </c>
      <c r="M47" s="79">
        <f t="shared" si="3"/>
        <v>0.2441860465116279</v>
      </c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2" t="s">
        <v>389</v>
      </c>
    </row>
    <row r="48" spans="1:46">
      <c r="A48" s="12" t="s">
        <v>31</v>
      </c>
      <c r="B48" s="12" t="s">
        <v>27</v>
      </c>
      <c r="C48" s="78"/>
      <c r="D48" s="78"/>
      <c r="F48" s="78">
        <v>43557</v>
      </c>
      <c r="G48" s="78">
        <v>43644</v>
      </c>
      <c r="H48" s="80">
        <v>1</v>
      </c>
      <c r="I48" s="80">
        <v>21</v>
      </c>
      <c r="J48" s="78">
        <f t="shared" si="0"/>
        <v>43557</v>
      </c>
      <c r="K48" s="78">
        <f t="shared" si="1"/>
        <v>43585</v>
      </c>
      <c r="L48" s="79">
        <f t="shared" si="2"/>
        <v>0.2441860465116279</v>
      </c>
      <c r="M48" s="79">
        <f t="shared" si="3"/>
        <v>0.2441860465116279</v>
      </c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2" t="s">
        <v>347</v>
      </c>
    </row>
    <row r="49" spans="1:46">
      <c r="A49" s="12" t="s">
        <v>18</v>
      </c>
      <c r="B49" s="12" t="s">
        <v>307</v>
      </c>
      <c r="C49" s="78">
        <v>43359</v>
      </c>
      <c r="D49" s="78">
        <v>43585</v>
      </c>
      <c r="E49" s="12">
        <v>1</v>
      </c>
      <c r="F49" s="78">
        <v>43346</v>
      </c>
      <c r="G49" s="78">
        <v>43595</v>
      </c>
      <c r="H49" s="80">
        <v>2</v>
      </c>
      <c r="I49" s="80">
        <v>150</v>
      </c>
      <c r="J49" s="78">
        <f t="shared" si="0"/>
        <v>43466</v>
      </c>
      <c r="K49" s="78">
        <f t="shared" si="1"/>
        <v>43585</v>
      </c>
      <c r="L49" s="79">
        <f t="shared" si="2"/>
        <v>1</v>
      </c>
      <c r="M49" s="79">
        <f t="shared" si="3"/>
        <v>1.7441860465116279</v>
      </c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2" t="s">
        <v>390</v>
      </c>
    </row>
    <row r="50" spans="1:46">
      <c r="A50" s="12" t="s">
        <v>18</v>
      </c>
      <c r="B50" s="12" t="s">
        <v>1</v>
      </c>
      <c r="C50" s="78">
        <v>43435</v>
      </c>
      <c r="D50" s="78">
        <v>43585</v>
      </c>
      <c r="E50" s="12">
        <v>1</v>
      </c>
      <c r="F50" s="78">
        <v>43440</v>
      </c>
      <c r="G50" s="78">
        <v>43595</v>
      </c>
      <c r="H50" s="80">
        <v>1</v>
      </c>
      <c r="I50" s="80">
        <v>86</v>
      </c>
      <c r="J50" s="78">
        <f t="shared" si="0"/>
        <v>43466</v>
      </c>
      <c r="K50" s="78">
        <f t="shared" si="1"/>
        <v>43585</v>
      </c>
      <c r="L50" s="79">
        <f t="shared" si="2"/>
        <v>1</v>
      </c>
      <c r="M50" s="79">
        <f t="shared" si="3"/>
        <v>1</v>
      </c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2" t="s">
        <v>348</v>
      </c>
    </row>
    <row r="51" spans="1:46">
      <c r="A51" s="12" t="s">
        <v>18</v>
      </c>
      <c r="B51" s="12" t="s">
        <v>27</v>
      </c>
      <c r="C51" s="78">
        <v>43359</v>
      </c>
      <c r="D51" s="78">
        <v>43539</v>
      </c>
      <c r="E51" s="12">
        <v>1</v>
      </c>
      <c r="F51" s="78">
        <v>43346</v>
      </c>
      <c r="G51" s="78">
        <v>43553</v>
      </c>
      <c r="H51" s="80">
        <v>1</v>
      </c>
      <c r="I51" s="80">
        <v>64</v>
      </c>
      <c r="J51" s="78">
        <f t="shared" si="0"/>
        <v>43466</v>
      </c>
      <c r="K51" s="78">
        <f t="shared" si="1"/>
        <v>43553</v>
      </c>
      <c r="L51" s="79">
        <f t="shared" si="2"/>
        <v>0.7441860465116279</v>
      </c>
      <c r="M51" s="79">
        <f t="shared" si="3"/>
        <v>0.7441860465116279</v>
      </c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 t="s">
        <v>349</v>
      </c>
      <c r="AP51" s="17"/>
      <c r="AQ51" s="17"/>
      <c r="AR51" s="17"/>
      <c r="AS51" s="17"/>
    </row>
    <row r="52" spans="1:46">
      <c r="A52" s="12" t="s">
        <v>39</v>
      </c>
      <c r="B52" s="12" t="s">
        <v>307</v>
      </c>
      <c r="C52" s="78">
        <v>43255</v>
      </c>
      <c r="D52" s="78">
        <v>43555</v>
      </c>
      <c r="E52" s="12">
        <v>1</v>
      </c>
      <c r="F52" s="78">
        <v>43255</v>
      </c>
      <c r="G52" s="78">
        <v>43560</v>
      </c>
      <c r="H52" s="80">
        <v>1</v>
      </c>
      <c r="I52" s="80">
        <v>69</v>
      </c>
      <c r="J52" s="78">
        <f t="shared" si="0"/>
        <v>43466</v>
      </c>
      <c r="K52" s="78">
        <f t="shared" si="1"/>
        <v>43560</v>
      </c>
      <c r="L52" s="79">
        <f t="shared" si="2"/>
        <v>0.80232558139534882</v>
      </c>
      <c r="M52" s="79">
        <f t="shared" si="3"/>
        <v>0.80232558139534882</v>
      </c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 t="s">
        <v>391</v>
      </c>
      <c r="AQ52" s="17"/>
      <c r="AR52" s="17"/>
      <c r="AS52" s="17"/>
    </row>
    <row r="53" spans="1:46">
      <c r="A53" s="12" t="s">
        <v>39</v>
      </c>
      <c r="B53" s="12" t="s">
        <v>38</v>
      </c>
      <c r="C53" s="78">
        <v>43255</v>
      </c>
      <c r="D53" s="78">
        <v>43555</v>
      </c>
      <c r="E53" s="12">
        <v>1</v>
      </c>
      <c r="F53" s="78">
        <v>43255</v>
      </c>
      <c r="G53" s="78">
        <v>43560</v>
      </c>
      <c r="H53" s="80">
        <v>1</v>
      </c>
      <c r="I53" s="80">
        <v>69</v>
      </c>
      <c r="J53" s="78">
        <f t="shared" si="0"/>
        <v>43466</v>
      </c>
      <c r="K53" s="78">
        <f t="shared" si="1"/>
        <v>43560</v>
      </c>
      <c r="L53" s="79">
        <f t="shared" si="2"/>
        <v>0.80232558139534882</v>
      </c>
      <c r="M53" s="79">
        <f t="shared" si="3"/>
        <v>0.80232558139534882</v>
      </c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 t="s">
        <v>350</v>
      </c>
      <c r="AQ53" s="17"/>
      <c r="AR53" s="17"/>
      <c r="AS53" s="17"/>
    </row>
    <row r="54" spans="1:46">
      <c r="A54" s="12" t="s">
        <v>32</v>
      </c>
      <c r="B54" s="12" t="s">
        <v>307</v>
      </c>
      <c r="C54" s="78">
        <v>43374</v>
      </c>
      <c r="D54" s="78">
        <v>43571</v>
      </c>
      <c r="E54" s="12">
        <v>1</v>
      </c>
      <c r="F54" s="78">
        <v>43374</v>
      </c>
      <c r="G54" s="78">
        <v>43644</v>
      </c>
      <c r="H54" s="80">
        <v>1</v>
      </c>
      <c r="I54" s="80">
        <v>86</v>
      </c>
      <c r="J54" s="78">
        <f t="shared" si="0"/>
        <v>43466</v>
      </c>
      <c r="K54" s="78">
        <f t="shared" si="1"/>
        <v>43585</v>
      </c>
      <c r="L54" s="79">
        <f t="shared" si="2"/>
        <v>1</v>
      </c>
      <c r="M54" s="79">
        <f t="shared" si="3"/>
        <v>1</v>
      </c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2" t="s">
        <v>392</v>
      </c>
    </row>
    <row r="55" spans="1:46">
      <c r="A55" s="12" t="s">
        <v>32</v>
      </c>
      <c r="B55" s="12" t="s">
        <v>27</v>
      </c>
      <c r="C55" s="78">
        <v>43374</v>
      </c>
      <c r="D55" s="78">
        <v>43571</v>
      </c>
      <c r="E55" s="12">
        <v>1</v>
      </c>
      <c r="F55" s="78">
        <v>43374</v>
      </c>
      <c r="G55" s="78">
        <v>43644</v>
      </c>
      <c r="H55" s="80">
        <v>1</v>
      </c>
      <c r="I55" s="80">
        <v>86</v>
      </c>
      <c r="J55" s="78">
        <f t="shared" si="0"/>
        <v>43466</v>
      </c>
      <c r="K55" s="78">
        <f t="shared" si="1"/>
        <v>43585</v>
      </c>
      <c r="L55" s="79">
        <f t="shared" si="2"/>
        <v>1</v>
      </c>
      <c r="M55" s="79">
        <f t="shared" si="3"/>
        <v>1</v>
      </c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2" t="s">
        <v>351</v>
      </c>
    </row>
    <row r="56" spans="1:46">
      <c r="A56" s="12" t="s">
        <v>37</v>
      </c>
      <c r="B56" s="12" t="s">
        <v>307</v>
      </c>
      <c r="C56" s="78"/>
      <c r="D56" s="78"/>
      <c r="F56" s="78">
        <v>43557</v>
      </c>
      <c r="G56" s="78">
        <v>43616</v>
      </c>
      <c r="H56" s="80">
        <v>1</v>
      </c>
      <c r="I56" s="80">
        <v>21</v>
      </c>
      <c r="J56" s="78">
        <f t="shared" si="0"/>
        <v>43557</v>
      </c>
      <c r="K56" s="78">
        <f t="shared" si="1"/>
        <v>43585</v>
      </c>
      <c r="L56" s="79">
        <f t="shared" si="2"/>
        <v>0.2441860465116279</v>
      </c>
      <c r="M56" s="79">
        <f t="shared" si="3"/>
        <v>0.2441860465116279</v>
      </c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2" t="s">
        <v>393</v>
      </c>
    </row>
    <row r="57" spans="1:46">
      <c r="A57" s="12" t="s">
        <v>37</v>
      </c>
      <c r="B57" s="12" t="s">
        <v>36</v>
      </c>
      <c r="C57" s="78"/>
      <c r="D57" s="78"/>
      <c r="F57" s="78">
        <v>43557</v>
      </c>
      <c r="G57" s="78">
        <v>43616</v>
      </c>
      <c r="H57" s="80">
        <v>1</v>
      </c>
      <c r="I57" s="80">
        <v>21</v>
      </c>
      <c r="J57" s="78">
        <f t="shared" si="0"/>
        <v>43557</v>
      </c>
      <c r="K57" s="78">
        <f t="shared" si="1"/>
        <v>43585</v>
      </c>
      <c r="L57" s="79">
        <f t="shared" si="2"/>
        <v>0.2441860465116279</v>
      </c>
      <c r="M57" s="79">
        <f t="shared" si="3"/>
        <v>0.2441860465116279</v>
      </c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2" t="s">
        <v>352</v>
      </c>
    </row>
    <row r="58" spans="1:46">
      <c r="A58" s="12" t="s">
        <v>11</v>
      </c>
      <c r="B58" s="12" t="s">
        <v>307</v>
      </c>
      <c r="C58" s="78">
        <v>43346</v>
      </c>
      <c r="D58" s="78">
        <v>43779</v>
      </c>
      <c r="E58" s="12">
        <v>1</v>
      </c>
      <c r="F58" s="78">
        <v>43348</v>
      </c>
      <c r="G58" s="78">
        <v>43777</v>
      </c>
      <c r="H58" s="80">
        <v>2</v>
      </c>
      <c r="I58" s="80">
        <v>66</v>
      </c>
      <c r="J58" s="78">
        <f t="shared" si="0"/>
        <v>43466</v>
      </c>
      <c r="K58" s="78">
        <f t="shared" si="1"/>
        <v>43585</v>
      </c>
      <c r="L58" s="79">
        <f t="shared" si="2"/>
        <v>1</v>
      </c>
      <c r="M58" s="79">
        <f t="shared" si="3"/>
        <v>0.76744186046511631</v>
      </c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2" t="s">
        <v>394</v>
      </c>
    </row>
    <row r="59" spans="1:46">
      <c r="A59" s="12" t="s">
        <v>11</v>
      </c>
      <c r="B59" s="12" t="s">
        <v>6</v>
      </c>
      <c r="C59" s="78">
        <v>43535</v>
      </c>
      <c r="D59" s="78">
        <v>43779</v>
      </c>
      <c r="E59" s="12">
        <v>1</v>
      </c>
      <c r="F59" s="78">
        <v>43542</v>
      </c>
      <c r="G59" s="78">
        <v>43777</v>
      </c>
      <c r="H59" s="80">
        <v>1</v>
      </c>
      <c r="I59" s="80">
        <v>32</v>
      </c>
      <c r="J59" s="78">
        <f t="shared" si="0"/>
        <v>43542</v>
      </c>
      <c r="K59" s="78">
        <f t="shared" si="1"/>
        <v>43585</v>
      </c>
      <c r="L59" s="79">
        <f t="shared" si="2"/>
        <v>0.37209302325581395</v>
      </c>
      <c r="M59" s="79">
        <f t="shared" si="3"/>
        <v>0.37209302325581395</v>
      </c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2" t="s">
        <v>353</v>
      </c>
    </row>
    <row r="60" spans="1:46">
      <c r="A60" s="12" t="s">
        <v>11</v>
      </c>
      <c r="B60" s="12" t="s">
        <v>24</v>
      </c>
      <c r="C60" s="78">
        <v>43346</v>
      </c>
      <c r="D60" s="78">
        <v>43434</v>
      </c>
      <c r="E60" s="12">
        <v>1</v>
      </c>
      <c r="F60" s="78">
        <v>43348</v>
      </c>
      <c r="G60" s="78">
        <v>43511</v>
      </c>
      <c r="H60" s="80">
        <v>1</v>
      </c>
      <c r="I60" s="80">
        <v>34</v>
      </c>
      <c r="J60" s="78">
        <f t="shared" si="0"/>
        <v>43466</v>
      </c>
      <c r="K60" s="78">
        <f t="shared" si="1"/>
        <v>43511</v>
      </c>
      <c r="L60" s="79">
        <f t="shared" si="2"/>
        <v>0.39534883720930231</v>
      </c>
      <c r="M60" s="79">
        <f t="shared" si="3"/>
        <v>0.39534883720930231</v>
      </c>
      <c r="AA60" s="17"/>
      <c r="AB60" s="17"/>
      <c r="AC60" s="17"/>
      <c r="AD60" s="17"/>
      <c r="AE60" s="17"/>
      <c r="AF60" s="17"/>
      <c r="AG60" s="17"/>
      <c r="AH60" s="17"/>
      <c r="AI60" s="17" t="s">
        <v>354</v>
      </c>
      <c r="AJ60" s="17"/>
      <c r="AK60" s="17"/>
      <c r="AL60" s="17"/>
      <c r="AM60" s="17"/>
      <c r="AN60" s="17"/>
      <c r="AO60" s="17"/>
      <c r="AP60" s="17"/>
      <c r="AQ60" s="17"/>
      <c r="AR60" s="17"/>
      <c r="AS60" s="17"/>
    </row>
    <row r="61" spans="1:46">
      <c r="A61" s="12" t="s">
        <v>22</v>
      </c>
      <c r="B61" s="12" t="s">
        <v>307</v>
      </c>
      <c r="C61" s="78">
        <v>43409</v>
      </c>
      <c r="D61" s="78">
        <v>43585</v>
      </c>
      <c r="E61" s="12">
        <v>1</v>
      </c>
      <c r="F61" s="78">
        <v>43409</v>
      </c>
      <c r="G61" s="78">
        <v>43616</v>
      </c>
      <c r="H61" s="80">
        <v>1</v>
      </c>
      <c r="I61" s="80">
        <v>86</v>
      </c>
      <c r="J61" s="78">
        <f t="shared" si="0"/>
        <v>43466</v>
      </c>
      <c r="K61" s="78">
        <f t="shared" si="1"/>
        <v>43585</v>
      </c>
      <c r="L61" s="79">
        <f t="shared" si="2"/>
        <v>1</v>
      </c>
      <c r="M61" s="79">
        <f t="shared" si="3"/>
        <v>1</v>
      </c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2" t="s">
        <v>395</v>
      </c>
    </row>
    <row r="62" spans="1:46">
      <c r="A62" s="12" t="s">
        <v>22</v>
      </c>
      <c r="B62" s="12" t="s">
        <v>1</v>
      </c>
      <c r="C62" s="78">
        <v>43409</v>
      </c>
      <c r="D62" s="78">
        <v>43585</v>
      </c>
      <c r="E62" s="12">
        <v>1</v>
      </c>
      <c r="F62" s="78">
        <v>43409</v>
      </c>
      <c r="G62" s="78">
        <v>43616</v>
      </c>
      <c r="H62" s="80">
        <v>1</v>
      </c>
      <c r="I62" s="80">
        <v>86</v>
      </c>
      <c r="J62" s="78">
        <f t="shared" si="0"/>
        <v>43466</v>
      </c>
      <c r="K62" s="78">
        <f t="shared" si="1"/>
        <v>43585</v>
      </c>
      <c r="L62" s="79">
        <f t="shared" si="2"/>
        <v>1</v>
      </c>
      <c r="M62" s="79">
        <f t="shared" si="3"/>
        <v>1</v>
      </c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2" t="s">
        <v>355</v>
      </c>
    </row>
    <row r="63" spans="1:46">
      <c r="A63" s="12" t="s">
        <v>23</v>
      </c>
      <c r="B63" s="12" t="s">
        <v>307</v>
      </c>
      <c r="C63" s="78">
        <v>43102</v>
      </c>
      <c r="D63" s="78">
        <v>43585</v>
      </c>
      <c r="E63" s="12">
        <v>1</v>
      </c>
      <c r="F63" s="78">
        <v>43102</v>
      </c>
      <c r="G63" s="78">
        <v>43585</v>
      </c>
      <c r="H63" s="80">
        <v>1</v>
      </c>
      <c r="I63" s="80">
        <v>86</v>
      </c>
      <c r="J63" s="78">
        <f t="shared" si="0"/>
        <v>43466</v>
      </c>
      <c r="K63" s="78">
        <f t="shared" si="1"/>
        <v>43585</v>
      </c>
      <c r="L63" s="79">
        <f t="shared" si="2"/>
        <v>1</v>
      </c>
      <c r="M63" s="79">
        <f t="shared" si="3"/>
        <v>1</v>
      </c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2" t="s">
        <v>396</v>
      </c>
    </row>
    <row r="64" spans="1:46">
      <c r="A64" s="12" t="s">
        <v>23</v>
      </c>
      <c r="B64" s="12" t="s">
        <v>1</v>
      </c>
      <c r="C64" s="78">
        <v>43102</v>
      </c>
      <c r="D64" s="78">
        <v>43585</v>
      </c>
      <c r="E64" s="12">
        <v>1</v>
      </c>
      <c r="F64" s="78">
        <v>43102</v>
      </c>
      <c r="G64" s="78">
        <v>43585</v>
      </c>
      <c r="H64" s="80">
        <v>1</v>
      </c>
      <c r="I64" s="80">
        <v>86</v>
      </c>
      <c r="J64" s="78">
        <f t="shared" si="0"/>
        <v>43466</v>
      </c>
      <c r="K64" s="78">
        <f t="shared" si="1"/>
        <v>43585</v>
      </c>
      <c r="L64" s="79">
        <f t="shared" si="2"/>
        <v>1</v>
      </c>
      <c r="M64" s="79">
        <f t="shared" si="3"/>
        <v>1</v>
      </c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2" t="s">
        <v>356</v>
      </c>
    </row>
    <row r="65" spans="1:46">
      <c r="A65" s="12" t="s">
        <v>2</v>
      </c>
      <c r="B65" s="12" t="s">
        <v>307</v>
      </c>
      <c r="C65" s="78">
        <v>43472</v>
      </c>
      <c r="D65" s="78">
        <v>43539</v>
      </c>
      <c r="E65" s="12">
        <v>1</v>
      </c>
      <c r="F65" s="78">
        <v>43472</v>
      </c>
      <c r="G65" s="78">
        <v>43539</v>
      </c>
      <c r="H65" s="80">
        <v>1</v>
      </c>
      <c r="I65" s="80">
        <v>50</v>
      </c>
      <c r="J65" s="78">
        <f t="shared" si="0"/>
        <v>43472</v>
      </c>
      <c r="K65" s="78">
        <f t="shared" si="1"/>
        <v>43539</v>
      </c>
      <c r="L65" s="79">
        <f t="shared" si="2"/>
        <v>0.58139534883720934</v>
      </c>
      <c r="M65" s="79">
        <f t="shared" si="3"/>
        <v>0.58139534883720934</v>
      </c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 t="s">
        <v>397</v>
      </c>
      <c r="AN65" s="17"/>
      <c r="AO65" s="17"/>
      <c r="AP65" s="17"/>
      <c r="AQ65" s="17"/>
      <c r="AR65" s="17"/>
      <c r="AS65" s="17"/>
    </row>
    <row r="66" spans="1:46">
      <c r="A66" s="12" t="s">
        <v>2</v>
      </c>
      <c r="B66" s="12" t="s">
        <v>48</v>
      </c>
      <c r="C66" s="78">
        <v>43472</v>
      </c>
      <c r="D66" s="78">
        <v>43539</v>
      </c>
      <c r="E66" s="12">
        <v>1</v>
      </c>
      <c r="F66" s="78">
        <v>43472</v>
      </c>
      <c r="G66" s="78">
        <v>43539</v>
      </c>
      <c r="H66" s="80">
        <v>1</v>
      </c>
      <c r="I66" s="80">
        <v>50</v>
      </c>
      <c r="J66" s="78">
        <f t="shared" si="0"/>
        <v>43472</v>
      </c>
      <c r="K66" s="78">
        <f t="shared" si="1"/>
        <v>43539</v>
      </c>
      <c r="L66" s="79">
        <f t="shared" si="2"/>
        <v>0.58139534883720934</v>
      </c>
      <c r="M66" s="79">
        <f t="shared" si="3"/>
        <v>0.58139534883720934</v>
      </c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 t="s">
        <v>357</v>
      </c>
      <c r="AN66" s="17"/>
      <c r="AO66" s="17"/>
      <c r="AP66" s="17"/>
      <c r="AQ66" s="17"/>
      <c r="AR66" s="17"/>
      <c r="AS66" s="17"/>
    </row>
    <row r="67" spans="1:46">
      <c r="A67" s="12" t="s">
        <v>17</v>
      </c>
      <c r="B67" s="12" t="s">
        <v>307</v>
      </c>
      <c r="C67" s="78">
        <v>43472</v>
      </c>
      <c r="D67" s="78">
        <v>43622</v>
      </c>
      <c r="E67" s="12">
        <v>1</v>
      </c>
      <c r="F67" s="78">
        <v>43472</v>
      </c>
      <c r="G67" s="78">
        <v>43616</v>
      </c>
      <c r="H67" s="80">
        <v>1</v>
      </c>
      <c r="I67" s="80">
        <v>82</v>
      </c>
      <c r="J67" s="78">
        <f t="shared" si="0"/>
        <v>43472</v>
      </c>
      <c r="K67" s="78">
        <f t="shared" si="1"/>
        <v>43585</v>
      </c>
      <c r="L67" s="79">
        <f t="shared" si="2"/>
        <v>0.95348837209302328</v>
      </c>
      <c r="M67" s="79">
        <f t="shared" si="3"/>
        <v>0.95348837209302328</v>
      </c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2" t="s">
        <v>398</v>
      </c>
    </row>
    <row r="68" spans="1:46">
      <c r="A68" s="12" t="s">
        <v>17</v>
      </c>
      <c r="B68" s="12" t="s">
        <v>15</v>
      </c>
      <c r="C68" s="78">
        <v>43472</v>
      </c>
      <c r="D68" s="78">
        <v>43622</v>
      </c>
      <c r="E68" s="12">
        <v>1</v>
      </c>
      <c r="F68" s="78">
        <v>43472</v>
      </c>
      <c r="G68" s="78">
        <v>43616</v>
      </c>
      <c r="H68" s="80">
        <v>1</v>
      </c>
      <c r="I68" s="80">
        <v>82</v>
      </c>
      <c r="J68" s="78">
        <f t="shared" si="0"/>
        <v>43472</v>
      </c>
      <c r="K68" s="78">
        <f t="shared" si="1"/>
        <v>43585</v>
      </c>
      <c r="L68" s="79">
        <f t="shared" si="2"/>
        <v>0.95348837209302328</v>
      </c>
      <c r="M68" s="79">
        <f t="shared" si="3"/>
        <v>0.95348837209302328</v>
      </c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2" t="s">
        <v>358</v>
      </c>
    </row>
    <row r="69" spans="1:46">
      <c r="A69" s="12" t="s">
        <v>20</v>
      </c>
      <c r="B69" s="12" t="s">
        <v>307</v>
      </c>
      <c r="C69" s="78">
        <v>43427</v>
      </c>
      <c r="D69" s="78">
        <v>43585</v>
      </c>
      <c r="E69" s="12">
        <v>1</v>
      </c>
      <c r="F69" s="78">
        <v>43427</v>
      </c>
      <c r="G69" s="78">
        <v>43595</v>
      </c>
      <c r="H69" s="80">
        <v>1</v>
      </c>
      <c r="I69" s="80">
        <v>86</v>
      </c>
      <c r="J69" s="78">
        <f t="shared" si="0"/>
        <v>43466</v>
      </c>
      <c r="K69" s="78">
        <f t="shared" si="1"/>
        <v>43585</v>
      </c>
      <c r="L69" s="79">
        <f t="shared" si="2"/>
        <v>1</v>
      </c>
      <c r="M69" s="79">
        <f t="shared" si="3"/>
        <v>1</v>
      </c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2" t="s">
        <v>399</v>
      </c>
    </row>
    <row r="70" spans="1:46">
      <c r="A70" s="12" t="s">
        <v>20</v>
      </c>
      <c r="B70" s="12" t="s">
        <v>1</v>
      </c>
      <c r="C70" s="78">
        <v>43427</v>
      </c>
      <c r="D70" s="78">
        <v>43585</v>
      </c>
      <c r="E70" s="12">
        <v>1</v>
      </c>
      <c r="F70" s="78">
        <v>43427</v>
      </c>
      <c r="G70" s="78">
        <v>43595</v>
      </c>
      <c r="H70" s="80">
        <v>1</v>
      </c>
      <c r="I70" s="80">
        <v>86</v>
      </c>
      <c r="J70" s="78">
        <f t="shared" si="0"/>
        <v>43466</v>
      </c>
      <c r="K70" s="78">
        <f t="shared" si="1"/>
        <v>43585</v>
      </c>
      <c r="L70" s="79">
        <f t="shared" si="2"/>
        <v>1</v>
      </c>
      <c r="M70" s="79">
        <f t="shared" si="3"/>
        <v>1</v>
      </c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2" t="s">
        <v>359</v>
      </c>
    </row>
    <row r="71" spans="1:46">
      <c r="A71" s="12" t="s">
        <v>34</v>
      </c>
      <c r="B71" s="12" t="s">
        <v>307</v>
      </c>
      <c r="C71" s="78">
        <v>43359</v>
      </c>
      <c r="D71" s="78">
        <v>43571</v>
      </c>
      <c r="E71" s="12">
        <v>1</v>
      </c>
      <c r="F71" s="78">
        <v>43360</v>
      </c>
      <c r="G71" s="78">
        <v>43600</v>
      </c>
      <c r="H71" s="80">
        <v>1</v>
      </c>
      <c r="I71" s="80">
        <v>86</v>
      </c>
      <c r="J71" s="78">
        <f t="shared" si="0"/>
        <v>43466</v>
      </c>
      <c r="K71" s="78">
        <f t="shared" si="1"/>
        <v>43585</v>
      </c>
      <c r="L71" s="79">
        <f t="shared" si="2"/>
        <v>1</v>
      </c>
      <c r="M71" s="79">
        <f t="shared" si="3"/>
        <v>1</v>
      </c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2" t="s">
        <v>400</v>
      </c>
    </row>
    <row r="72" spans="1:46">
      <c r="A72" s="12" t="s">
        <v>34</v>
      </c>
      <c r="B72" s="12" t="s">
        <v>27</v>
      </c>
      <c r="C72" s="78">
        <v>43359</v>
      </c>
      <c r="D72" s="78">
        <v>43571</v>
      </c>
      <c r="E72" s="12">
        <v>1</v>
      </c>
      <c r="F72" s="78">
        <v>43360</v>
      </c>
      <c r="G72" s="78">
        <v>43600</v>
      </c>
      <c r="H72" s="80">
        <v>1</v>
      </c>
      <c r="I72" s="80">
        <v>86</v>
      </c>
      <c r="J72" s="78">
        <f t="shared" si="0"/>
        <v>43466</v>
      </c>
      <c r="K72" s="78">
        <f t="shared" si="1"/>
        <v>43585</v>
      </c>
      <c r="L72" s="79">
        <f t="shared" si="2"/>
        <v>1</v>
      </c>
      <c r="M72" s="79">
        <f t="shared" si="3"/>
        <v>1</v>
      </c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2" t="s">
        <v>360</v>
      </c>
    </row>
    <row r="73" spans="1:46">
      <c r="A73" s="12" t="s">
        <v>21</v>
      </c>
      <c r="B73" s="12" t="s">
        <v>307</v>
      </c>
      <c r="C73" s="78"/>
      <c r="D73" s="78"/>
      <c r="F73" s="78">
        <v>43467</v>
      </c>
      <c r="G73" s="78">
        <v>43616</v>
      </c>
      <c r="H73" s="80">
        <v>1</v>
      </c>
      <c r="I73" s="80">
        <v>85</v>
      </c>
      <c r="J73" s="78">
        <f t="shared" si="0"/>
        <v>43467</v>
      </c>
      <c r="K73" s="78">
        <f t="shared" si="1"/>
        <v>43585</v>
      </c>
      <c r="L73" s="79">
        <f t="shared" si="2"/>
        <v>0.98837209302325579</v>
      </c>
      <c r="M73" s="79">
        <f t="shared" si="3"/>
        <v>0.98837209302325579</v>
      </c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2" t="s">
        <v>401</v>
      </c>
    </row>
    <row r="74" spans="1:46">
      <c r="A74" s="12" t="s">
        <v>21</v>
      </c>
      <c r="B74" s="12" t="s">
        <v>1</v>
      </c>
      <c r="C74" s="78"/>
      <c r="D74" s="78"/>
      <c r="F74" s="78">
        <v>43467</v>
      </c>
      <c r="G74" s="78">
        <v>43616</v>
      </c>
      <c r="H74" s="80">
        <v>1</v>
      </c>
      <c r="I74" s="80">
        <v>85</v>
      </c>
      <c r="J74" s="78">
        <f t="shared" si="0"/>
        <v>43467</v>
      </c>
      <c r="K74" s="78">
        <f t="shared" si="1"/>
        <v>43585</v>
      </c>
      <c r="L74" s="79">
        <f t="shared" si="2"/>
        <v>0.98837209302325579</v>
      </c>
      <c r="M74" s="79">
        <f t="shared" si="3"/>
        <v>0.98837209302325579</v>
      </c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2" t="s">
        <v>361</v>
      </c>
    </row>
    <row r="75" spans="1:46">
      <c r="A75" s="12" t="s">
        <v>10</v>
      </c>
      <c r="B75" s="12" t="s">
        <v>307</v>
      </c>
      <c r="C75" s="78">
        <v>43398</v>
      </c>
      <c r="D75" s="78">
        <v>43595</v>
      </c>
      <c r="E75" s="12">
        <v>1</v>
      </c>
      <c r="F75" s="78">
        <v>43398</v>
      </c>
      <c r="G75" s="78">
        <v>43595</v>
      </c>
      <c r="H75" s="80">
        <v>3</v>
      </c>
      <c r="I75" s="80">
        <v>85</v>
      </c>
      <c r="J75" s="78">
        <f t="shared" si="0"/>
        <v>43466</v>
      </c>
      <c r="K75" s="78">
        <f t="shared" si="1"/>
        <v>43585</v>
      </c>
      <c r="L75" s="79">
        <f t="shared" si="2"/>
        <v>1</v>
      </c>
      <c r="M75" s="79">
        <f t="shared" si="3"/>
        <v>0.98837209302325579</v>
      </c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2" t="s">
        <v>402</v>
      </c>
    </row>
    <row r="76" spans="1:46">
      <c r="A76" s="12" t="s">
        <v>10</v>
      </c>
      <c r="B76" s="12" t="s">
        <v>6</v>
      </c>
      <c r="C76" s="78">
        <v>43535</v>
      </c>
      <c r="D76" s="78">
        <v>43595</v>
      </c>
      <c r="E76" s="12">
        <v>1</v>
      </c>
      <c r="F76" s="78">
        <v>43536</v>
      </c>
      <c r="G76" s="78">
        <v>43595</v>
      </c>
      <c r="H76" s="80">
        <v>1</v>
      </c>
      <c r="I76" s="80">
        <v>36</v>
      </c>
      <c r="J76" s="78">
        <f t="shared" si="0"/>
        <v>43536</v>
      </c>
      <c r="K76" s="78">
        <f t="shared" si="1"/>
        <v>43585</v>
      </c>
      <c r="L76" s="79">
        <f t="shared" si="2"/>
        <v>0.41860465116279072</v>
      </c>
      <c r="M76" s="79">
        <f t="shared" si="3"/>
        <v>0.41860465116279072</v>
      </c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2" t="s">
        <v>362</v>
      </c>
    </row>
    <row r="77" spans="1:46">
      <c r="A77" s="12" t="s">
        <v>10</v>
      </c>
      <c r="B77" s="12" t="s">
        <v>15</v>
      </c>
      <c r="C77" s="78">
        <v>43472</v>
      </c>
      <c r="D77" s="78">
        <v>43532</v>
      </c>
      <c r="E77" s="12">
        <v>1</v>
      </c>
      <c r="F77" s="78">
        <v>43472</v>
      </c>
      <c r="G77" s="78">
        <v>43532</v>
      </c>
      <c r="H77" s="80">
        <v>1</v>
      </c>
      <c r="I77" s="80">
        <v>45</v>
      </c>
      <c r="J77" s="78">
        <f t="shared" si="0"/>
        <v>43472</v>
      </c>
      <c r="K77" s="78">
        <f t="shared" si="1"/>
        <v>43532</v>
      </c>
      <c r="L77" s="79">
        <f t="shared" si="2"/>
        <v>0.52325581395348841</v>
      </c>
      <c r="M77" s="79">
        <f t="shared" si="3"/>
        <v>0.52325581395348841</v>
      </c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 t="s">
        <v>363</v>
      </c>
      <c r="AM77" s="17"/>
      <c r="AN77" s="17"/>
      <c r="AO77" s="17"/>
      <c r="AP77" s="17"/>
      <c r="AQ77" s="17"/>
      <c r="AR77" s="17"/>
      <c r="AS77" s="17"/>
    </row>
    <row r="78" spans="1:46">
      <c r="A78" s="12" t="s">
        <v>10</v>
      </c>
      <c r="B78" s="12" t="s">
        <v>49</v>
      </c>
      <c r="C78" s="78">
        <v>43398</v>
      </c>
      <c r="D78" s="78">
        <v>43455</v>
      </c>
      <c r="E78" s="12">
        <v>1</v>
      </c>
      <c r="F78" s="78">
        <v>43398</v>
      </c>
      <c r="G78" s="78">
        <v>43469</v>
      </c>
      <c r="H78" s="80">
        <v>1</v>
      </c>
      <c r="I78" s="80">
        <v>4</v>
      </c>
      <c r="J78" s="78">
        <f t="shared" si="0"/>
        <v>43466</v>
      </c>
      <c r="K78" s="78">
        <f t="shared" si="1"/>
        <v>43469</v>
      </c>
      <c r="L78" s="79">
        <f t="shared" si="2"/>
        <v>4.6511627906976744E-2</v>
      </c>
      <c r="M78" s="79">
        <f t="shared" si="3"/>
        <v>4.6511627906976744E-2</v>
      </c>
      <c r="AA78" s="17"/>
      <c r="AB78" s="17" t="s">
        <v>364</v>
      </c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</row>
    <row r="79" spans="1:46">
      <c r="A79" s="12" t="s">
        <v>9</v>
      </c>
      <c r="B79" s="12" t="s">
        <v>307</v>
      </c>
      <c r="C79" s="78">
        <v>43312</v>
      </c>
      <c r="D79" s="78">
        <v>43840</v>
      </c>
      <c r="E79" s="12">
        <v>1</v>
      </c>
      <c r="F79" s="78">
        <v>43290</v>
      </c>
      <c r="G79" s="78">
        <v>43840</v>
      </c>
      <c r="H79" s="80">
        <v>2</v>
      </c>
      <c r="I79" s="80">
        <v>71</v>
      </c>
      <c r="J79" s="78">
        <f t="shared" ref="J79:J97" si="4">IF(F79&gt;$B$5,F79,$B$5)</f>
        <v>43466</v>
      </c>
      <c r="K79" s="78">
        <f t="shared" ref="K79:K97" si="5">IF(G79&lt;$B$6,G79,$B$6)</f>
        <v>43585</v>
      </c>
      <c r="L79" s="79">
        <f t="shared" ref="L79:L97" si="6">NETWORKDAYS(J79,K79)/NETWORKDAYS($B$5,$B$6)</f>
        <v>1</v>
      </c>
      <c r="M79" s="79">
        <f t="shared" ref="M79:M97" si="7">I79/NETWORKDAYS($B$5,$B$6)</f>
        <v>0.82558139534883723</v>
      </c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2" t="s">
        <v>403</v>
      </c>
    </row>
    <row r="80" spans="1:46">
      <c r="A80" s="12" t="s">
        <v>9</v>
      </c>
      <c r="B80" s="12" t="s">
        <v>6</v>
      </c>
      <c r="C80" s="78">
        <v>43535</v>
      </c>
      <c r="D80" s="78">
        <v>43840</v>
      </c>
      <c r="E80" s="12">
        <v>1</v>
      </c>
      <c r="F80" s="78">
        <v>43536</v>
      </c>
      <c r="G80" s="78">
        <v>43840</v>
      </c>
      <c r="H80" s="80">
        <v>1</v>
      </c>
      <c r="I80" s="80">
        <v>36</v>
      </c>
      <c r="J80" s="78">
        <f t="shared" si="4"/>
        <v>43536</v>
      </c>
      <c r="K80" s="78">
        <f t="shared" si="5"/>
        <v>43585</v>
      </c>
      <c r="L80" s="79">
        <f t="shared" si="6"/>
        <v>0.41860465116279072</v>
      </c>
      <c r="M80" s="79">
        <f t="shared" si="7"/>
        <v>0.41860465116279072</v>
      </c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2" t="s">
        <v>365</v>
      </c>
    </row>
    <row r="81" spans="1:46">
      <c r="A81" s="12" t="s">
        <v>9</v>
      </c>
      <c r="B81" s="12" t="s">
        <v>24</v>
      </c>
      <c r="C81" s="78">
        <v>43312</v>
      </c>
      <c r="D81" s="78">
        <v>43480</v>
      </c>
      <c r="E81" s="12">
        <v>1</v>
      </c>
      <c r="F81" s="78">
        <v>43290</v>
      </c>
      <c r="G81" s="78">
        <v>43514</v>
      </c>
      <c r="H81" s="80">
        <v>1</v>
      </c>
      <c r="I81" s="80">
        <v>35</v>
      </c>
      <c r="J81" s="78">
        <f t="shared" si="4"/>
        <v>43466</v>
      </c>
      <c r="K81" s="78">
        <f t="shared" si="5"/>
        <v>43514</v>
      </c>
      <c r="L81" s="79">
        <f t="shared" si="6"/>
        <v>0.40697674418604651</v>
      </c>
      <c r="M81" s="79">
        <f t="shared" si="7"/>
        <v>0.40697674418604651</v>
      </c>
      <c r="AA81" s="17"/>
      <c r="AB81" s="17"/>
      <c r="AC81" s="17"/>
      <c r="AD81" s="17"/>
      <c r="AE81" s="17"/>
      <c r="AF81" s="17"/>
      <c r="AG81" s="17"/>
      <c r="AH81" s="17"/>
      <c r="AI81" s="17" t="s">
        <v>366</v>
      </c>
      <c r="AJ81" s="17"/>
      <c r="AK81" s="17"/>
      <c r="AL81" s="17"/>
      <c r="AM81" s="17"/>
      <c r="AN81" s="17"/>
      <c r="AO81" s="17"/>
      <c r="AP81" s="17"/>
      <c r="AQ81" s="17"/>
      <c r="AR81" s="17"/>
      <c r="AS81" s="17"/>
    </row>
    <row r="82" spans="1:46">
      <c r="A82" s="12" t="s">
        <v>26</v>
      </c>
      <c r="B82" s="12" t="s">
        <v>307</v>
      </c>
      <c r="C82" s="78">
        <v>43263</v>
      </c>
      <c r="D82" s="78">
        <v>43616</v>
      </c>
      <c r="E82" s="12">
        <v>1</v>
      </c>
      <c r="F82" s="78">
        <v>43263</v>
      </c>
      <c r="G82" s="78">
        <v>43616</v>
      </c>
      <c r="H82" s="80">
        <v>2</v>
      </c>
      <c r="I82" s="80">
        <v>74</v>
      </c>
      <c r="J82" s="78">
        <f t="shared" si="4"/>
        <v>43466</v>
      </c>
      <c r="K82" s="78">
        <f t="shared" si="5"/>
        <v>43585</v>
      </c>
      <c r="L82" s="79">
        <f t="shared" si="6"/>
        <v>1</v>
      </c>
      <c r="M82" s="79">
        <f t="shared" si="7"/>
        <v>0.86046511627906974</v>
      </c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2" t="s">
        <v>404</v>
      </c>
    </row>
    <row r="83" spans="1:46">
      <c r="A83" s="12" t="s">
        <v>26</v>
      </c>
      <c r="B83" s="12" t="s">
        <v>25</v>
      </c>
      <c r="C83" s="78">
        <v>43263</v>
      </c>
      <c r="D83" s="78">
        <v>43492</v>
      </c>
      <c r="E83" s="12">
        <v>1</v>
      </c>
      <c r="F83" s="78">
        <v>43263</v>
      </c>
      <c r="G83" s="78">
        <v>43495</v>
      </c>
      <c r="H83" s="80">
        <v>1</v>
      </c>
      <c r="I83" s="80">
        <v>22</v>
      </c>
      <c r="J83" s="78">
        <f t="shared" si="4"/>
        <v>43466</v>
      </c>
      <c r="K83" s="78">
        <f t="shared" si="5"/>
        <v>43495</v>
      </c>
      <c r="L83" s="79">
        <f t="shared" si="6"/>
        <v>0.2558139534883721</v>
      </c>
      <c r="M83" s="79">
        <f t="shared" si="7"/>
        <v>0.2558139534883721</v>
      </c>
      <c r="AA83" s="17"/>
      <c r="AB83" s="17"/>
      <c r="AC83" s="17"/>
      <c r="AD83" s="17"/>
      <c r="AE83" s="17"/>
      <c r="AF83" s="17" t="s">
        <v>367</v>
      </c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</row>
    <row r="84" spans="1:46">
      <c r="A84" s="12" t="s">
        <v>26</v>
      </c>
      <c r="B84" s="12" t="s">
        <v>36</v>
      </c>
      <c r="C84" s="78">
        <v>43514</v>
      </c>
      <c r="D84" s="78">
        <v>43616</v>
      </c>
      <c r="E84" s="12">
        <v>1</v>
      </c>
      <c r="F84" s="78">
        <v>43514</v>
      </c>
      <c r="G84" s="78">
        <v>43616</v>
      </c>
      <c r="H84" s="80">
        <v>1</v>
      </c>
      <c r="I84" s="80">
        <v>52</v>
      </c>
      <c r="J84" s="78">
        <f t="shared" si="4"/>
        <v>43514</v>
      </c>
      <c r="K84" s="78">
        <f t="shared" si="5"/>
        <v>43585</v>
      </c>
      <c r="L84" s="79">
        <f t="shared" si="6"/>
        <v>0.60465116279069764</v>
      </c>
      <c r="M84" s="79">
        <f t="shared" si="7"/>
        <v>0.60465116279069764</v>
      </c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2" t="s">
        <v>368</v>
      </c>
    </row>
    <row r="85" spans="1:46">
      <c r="A85" s="12" t="s">
        <v>45</v>
      </c>
      <c r="B85" s="12" t="s">
        <v>307</v>
      </c>
      <c r="C85" s="78">
        <v>43409</v>
      </c>
      <c r="D85" s="78">
        <v>43646</v>
      </c>
      <c r="E85" s="12">
        <v>1</v>
      </c>
      <c r="F85" s="78">
        <v>43412</v>
      </c>
      <c r="G85" s="78">
        <v>43644</v>
      </c>
      <c r="H85" s="80">
        <v>1</v>
      </c>
      <c r="I85" s="80">
        <v>86</v>
      </c>
      <c r="J85" s="78">
        <f t="shared" si="4"/>
        <v>43466</v>
      </c>
      <c r="K85" s="78">
        <f t="shared" si="5"/>
        <v>43585</v>
      </c>
      <c r="L85" s="79">
        <f t="shared" si="6"/>
        <v>1</v>
      </c>
      <c r="M85" s="79">
        <f t="shared" si="7"/>
        <v>1</v>
      </c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2" t="s">
        <v>405</v>
      </c>
    </row>
    <row r="86" spans="1:46">
      <c r="A86" s="12" t="s">
        <v>45</v>
      </c>
      <c r="B86" s="12" t="s">
        <v>42</v>
      </c>
      <c r="C86" s="78">
        <v>43409</v>
      </c>
      <c r="D86" s="78">
        <v>43646</v>
      </c>
      <c r="E86" s="12">
        <v>1</v>
      </c>
      <c r="F86" s="78">
        <v>43412</v>
      </c>
      <c r="G86" s="78">
        <v>43644</v>
      </c>
      <c r="H86" s="80">
        <v>1</v>
      </c>
      <c r="I86" s="80">
        <v>86</v>
      </c>
      <c r="J86" s="78">
        <f t="shared" si="4"/>
        <v>43466</v>
      </c>
      <c r="K86" s="78">
        <f t="shared" si="5"/>
        <v>43585</v>
      </c>
      <c r="L86" s="79">
        <f t="shared" si="6"/>
        <v>1</v>
      </c>
      <c r="M86" s="79">
        <f t="shared" si="7"/>
        <v>1</v>
      </c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2" t="s">
        <v>369</v>
      </c>
    </row>
    <row r="87" spans="1:46">
      <c r="A87" s="12" t="s">
        <v>13</v>
      </c>
      <c r="B87" s="12" t="s">
        <v>307</v>
      </c>
      <c r="C87" s="78">
        <v>43199</v>
      </c>
      <c r="D87" s="78">
        <v>43473</v>
      </c>
      <c r="E87" s="12">
        <v>1</v>
      </c>
      <c r="F87" s="78">
        <v>43199</v>
      </c>
      <c r="G87" s="78">
        <v>43518</v>
      </c>
      <c r="H87" s="80">
        <v>1</v>
      </c>
      <c r="I87" s="80">
        <v>39</v>
      </c>
      <c r="J87" s="78">
        <f t="shared" si="4"/>
        <v>43466</v>
      </c>
      <c r="K87" s="78">
        <f t="shared" si="5"/>
        <v>43518</v>
      </c>
      <c r="L87" s="79">
        <f t="shared" si="6"/>
        <v>0.45348837209302323</v>
      </c>
      <c r="M87" s="79">
        <f t="shared" si="7"/>
        <v>0.45348837209302323</v>
      </c>
      <c r="AA87" s="17"/>
      <c r="AB87" s="17"/>
      <c r="AC87" s="17"/>
      <c r="AD87" s="17"/>
      <c r="AE87" s="17"/>
      <c r="AF87" s="17"/>
      <c r="AG87" s="17"/>
      <c r="AH87" s="17"/>
      <c r="AI87" s="17"/>
      <c r="AJ87" s="17" t="s">
        <v>406</v>
      </c>
      <c r="AK87" s="17"/>
      <c r="AL87" s="17"/>
      <c r="AM87" s="17"/>
      <c r="AN87" s="17"/>
      <c r="AO87" s="17"/>
      <c r="AP87" s="17"/>
      <c r="AQ87" s="17"/>
      <c r="AR87" s="17"/>
      <c r="AS87" s="17"/>
    </row>
    <row r="88" spans="1:46">
      <c r="A88" s="12" t="s">
        <v>13</v>
      </c>
      <c r="B88" s="12" t="s">
        <v>12</v>
      </c>
      <c r="C88" s="78">
        <v>43199</v>
      </c>
      <c r="D88" s="78">
        <v>43473</v>
      </c>
      <c r="E88" s="12">
        <v>1</v>
      </c>
      <c r="F88" s="78">
        <v>43199</v>
      </c>
      <c r="G88" s="78">
        <v>43518</v>
      </c>
      <c r="H88" s="80">
        <v>1</v>
      </c>
      <c r="I88" s="80">
        <v>39</v>
      </c>
      <c r="J88" s="78">
        <f t="shared" si="4"/>
        <v>43466</v>
      </c>
      <c r="K88" s="78">
        <f t="shared" si="5"/>
        <v>43518</v>
      </c>
      <c r="L88" s="79">
        <f t="shared" si="6"/>
        <v>0.45348837209302323</v>
      </c>
      <c r="M88" s="79">
        <f t="shared" si="7"/>
        <v>0.45348837209302323</v>
      </c>
      <c r="AA88" s="17"/>
      <c r="AB88" s="17"/>
      <c r="AC88" s="17"/>
      <c r="AD88" s="17"/>
      <c r="AE88" s="17"/>
      <c r="AF88" s="17"/>
      <c r="AG88" s="17"/>
      <c r="AH88" s="17"/>
      <c r="AI88" s="17"/>
      <c r="AJ88" s="17" t="s">
        <v>370</v>
      </c>
      <c r="AK88" s="17"/>
      <c r="AL88" s="17"/>
      <c r="AM88" s="17"/>
      <c r="AN88" s="17"/>
      <c r="AO88" s="17"/>
      <c r="AP88" s="17"/>
      <c r="AQ88" s="17"/>
      <c r="AR88" s="17"/>
      <c r="AS88" s="17"/>
    </row>
    <row r="89" spans="1:46">
      <c r="A89" s="12" t="s">
        <v>44</v>
      </c>
      <c r="B89" s="12" t="s">
        <v>307</v>
      </c>
      <c r="C89" s="78">
        <v>43409</v>
      </c>
      <c r="D89" s="78">
        <v>43646</v>
      </c>
      <c r="E89" s="12">
        <v>1</v>
      </c>
      <c r="F89" s="78">
        <v>43349</v>
      </c>
      <c r="G89" s="78">
        <v>43644</v>
      </c>
      <c r="H89" s="80">
        <v>1</v>
      </c>
      <c r="I89" s="80">
        <v>86</v>
      </c>
      <c r="J89" s="78">
        <f t="shared" si="4"/>
        <v>43466</v>
      </c>
      <c r="K89" s="78">
        <f t="shared" si="5"/>
        <v>43585</v>
      </c>
      <c r="L89" s="79">
        <f t="shared" si="6"/>
        <v>1</v>
      </c>
      <c r="M89" s="79">
        <f t="shared" si="7"/>
        <v>1</v>
      </c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2" t="s">
        <v>407</v>
      </c>
    </row>
    <row r="90" spans="1:46">
      <c r="A90" s="12" t="s">
        <v>44</v>
      </c>
      <c r="B90" s="12" t="s">
        <v>42</v>
      </c>
      <c r="C90" s="78">
        <v>43409</v>
      </c>
      <c r="D90" s="78">
        <v>43646</v>
      </c>
      <c r="E90" s="12">
        <v>1</v>
      </c>
      <c r="F90" s="78">
        <v>43349</v>
      </c>
      <c r="G90" s="78">
        <v>43644</v>
      </c>
      <c r="H90" s="80">
        <v>1</v>
      </c>
      <c r="I90" s="80">
        <v>86</v>
      </c>
      <c r="J90" s="78">
        <f t="shared" si="4"/>
        <v>43466</v>
      </c>
      <c r="K90" s="78">
        <f t="shared" si="5"/>
        <v>43585</v>
      </c>
      <c r="L90" s="79">
        <f t="shared" si="6"/>
        <v>1</v>
      </c>
      <c r="M90" s="79">
        <f t="shared" si="7"/>
        <v>1</v>
      </c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2" t="s">
        <v>371</v>
      </c>
    </row>
    <row r="91" spans="1:46">
      <c r="A91" s="12" t="s">
        <v>14</v>
      </c>
      <c r="B91" s="12" t="s">
        <v>307</v>
      </c>
      <c r="C91" s="78">
        <v>43229</v>
      </c>
      <c r="D91" s="78">
        <v>43665</v>
      </c>
      <c r="E91" s="12">
        <v>1</v>
      </c>
      <c r="F91" s="78">
        <v>43248</v>
      </c>
      <c r="G91" s="78">
        <v>43735</v>
      </c>
      <c r="H91" s="80">
        <v>2</v>
      </c>
      <c r="I91" s="80">
        <v>63</v>
      </c>
      <c r="J91" s="78">
        <f t="shared" si="4"/>
        <v>43466</v>
      </c>
      <c r="K91" s="78">
        <f t="shared" si="5"/>
        <v>43585</v>
      </c>
      <c r="L91" s="79">
        <f t="shared" si="6"/>
        <v>1</v>
      </c>
      <c r="M91" s="79">
        <f t="shared" si="7"/>
        <v>0.73255813953488369</v>
      </c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2" t="s">
        <v>408</v>
      </c>
    </row>
    <row r="92" spans="1:46">
      <c r="A92" s="12" t="s">
        <v>14</v>
      </c>
      <c r="B92" s="12" t="s">
        <v>12</v>
      </c>
      <c r="C92" s="78">
        <v>43229</v>
      </c>
      <c r="D92" s="78">
        <v>43442</v>
      </c>
      <c r="E92" s="12">
        <v>1</v>
      </c>
      <c r="F92" s="78">
        <v>43248</v>
      </c>
      <c r="G92" s="78">
        <v>43480</v>
      </c>
      <c r="H92" s="80">
        <v>1</v>
      </c>
      <c r="I92" s="80">
        <v>11</v>
      </c>
      <c r="J92" s="78">
        <f t="shared" si="4"/>
        <v>43466</v>
      </c>
      <c r="K92" s="78">
        <f t="shared" si="5"/>
        <v>43480</v>
      </c>
      <c r="L92" s="79">
        <f t="shared" si="6"/>
        <v>0.12790697674418605</v>
      </c>
      <c r="M92" s="79">
        <f t="shared" si="7"/>
        <v>0.12790697674418605</v>
      </c>
      <c r="AA92" s="17"/>
      <c r="AB92" s="17"/>
      <c r="AC92" s="17"/>
      <c r="AD92" s="17" t="s">
        <v>372</v>
      </c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</row>
    <row r="93" spans="1:46">
      <c r="A93" s="12" t="s">
        <v>14</v>
      </c>
      <c r="B93" s="12" t="s">
        <v>15</v>
      </c>
      <c r="C93" s="78">
        <v>43514</v>
      </c>
      <c r="D93" s="78">
        <v>43665</v>
      </c>
      <c r="E93" s="12">
        <v>1</v>
      </c>
      <c r="F93" s="78">
        <v>43514</v>
      </c>
      <c r="G93" s="78">
        <v>43735</v>
      </c>
      <c r="H93" s="80">
        <v>1</v>
      </c>
      <c r="I93" s="80">
        <v>52</v>
      </c>
      <c r="J93" s="78">
        <f t="shared" si="4"/>
        <v>43514</v>
      </c>
      <c r="K93" s="78">
        <f t="shared" si="5"/>
        <v>43585</v>
      </c>
      <c r="L93" s="79">
        <f t="shared" si="6"/>
        <v>0.60465116279069764</v>
      </c>
      <c r="M93" s="79">
        <f t="shared" si="7"/>
        <v>0.60465116279069764</v>
      </c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2" t="s">
        <v>373</v>
      </c>
    </row>
    <row r="94" spans="1:46">
      <c r="A94" s="12" t="s">
        <v>33</v>
      </c>
      <c r="B94" s="12" t="s">
        <v>307</v>
      </c>
      <c r="C94" s="78">
        <v>43359</v>
      </c>
      <c r="D94" s="78">
        <v>43571</v>
      </c>
      <c r="E94" s="12">
        <v>1</v>
      </c>
      <c r="F94" s="78">
        <v>43370</v>
      </c>
      <c r="G94" s="78">
        <v>43644</v>
      </c>
      <c r="H94" s="80">
        <v>1</v>
      </c>
      <c r="I94" s="80">
        <v>86</v>
      </c>
      <c r="J94" s="78">
        <f t="shared" si="4"/>
        <v>43466</v>
      </c>
      <c r="K94" s="78">
        <f t="shared" si="5"/>
        <v>43585</v>
      </c>
      <c r="L94" s="79">
        <f t="shared" si="6"/>
        <v>1</v>
      </c>
      <c r="M94" s="79">
        <f t="shared" si="7"/>
        <v>1</v>
      </c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2" t="s">
        <v>409</v>
      </c>
    </row>
    <row r="95" spans="1:46">
      <c r="A95" s="12" t="s">
        <v>33</v>
      </c>
      <c r="B95" s="12" t="s">
        <v>27</v>
      </c>
      <c r="C95" s="78">
        <v>43359</v>
      </c>
      <c r="D95" s="78">
        <v>43571</v>
      </c>
      <c r="E95" s="12">
        <v>1</v>
      </c>
      <c r="F95" s="78">
        <v>43370</v>
      </c>
      <c r="G95" s="78">
        <v>43644</v>
      </c>
      <c r="H95" s="80">
        <v>1</v>
      </c>
      <c r="I95" s="80">
        <v>86</v>
      </c>
      <c r="J95" s="78">
        <f t="shared" si="4"/>
        <v>43466</v>
      </c>
      <c r="K95" s="78">
        <f t="shared" si="5"/>
        <v>43585</v>
      </c>
      <c r="L95" s="79">
        <f t="shared" si="6"/>
        <v>1</v>
      </c>
      <c r="M95" s="79">
        <f t="shared" si="7"/>
        <v>1</v>
      </c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2" t="s">
        <v>374</v>
      </c>
    </row>
    <row r="96" spans="1:46">
      <c r="A96" s="12" t="s">
        <v>40</v>
      </c>
      <c r="B96" s="12" t="s">
        <v>307</v>
      </c>
      <c r="C96" s="78">
        <v>43255</v>
      </c>
      <c r="D96" s="78">
        <v>43555</v>
      </c>
      <c r="E96" s="12">
        <v>1</v>
      </c>
      <c r="F96" s="78">
        <v>43255</v>
      </c>
      <c r="G96" s="78">
        <v>43560</v>
      </c>
      <c r="H96" s="80">
        <v>1</v>
      </c>
      <c r="I96" s="80">
        <v>69</v>
      </c>
      <c r="J96" s="78">
        <f t="shared" si="4"/>
        <v>43466</v>
      </c>
      <c r="K96" s="78">
        <f t="shared" si="5"/>
        <v>43560</v>
      </c>
      <c r="L96" s="79">
        <f t="shared" si="6"/>
        <v>0.80232558139534882</v>
      </c>
      <c r="M96" s="79">
        <f t="shared" si="7"/>
        <v>0.80232558139534882</v>
      </c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 t="s">
        <v>410</v>
      </c>
      <c r="AQ96" s="17"/>
      <c r="AR96" s="17"/>
      <c r="AS96" s="17"/>
    </row>
    <row r="97" spans="1:45">
      <c r="A97" s="12" t="s">
        <v>40</v>
      </c>
      <c r="B97" s="12" t="s">
        <v>38</v>
      </c>
      <c r="C97" s="78">
        <v>43255</v>
      </c>
      <c r="D97" s="78">
        <v>43555</v>
      </c>
      <c r="E97" s="12">
        <v>1</v>
      </c>
      <c r="F97" s="78">
        <v>43255</v>
      </c>
      <c r="G97" s="78">
        <v>43560</v>
      </c>
      <c r="H97" s="80">
        <v>1</v>
      </c>
      <c r="I97" s="80">
        <v>69</v>
      </c>
      <c r="J97" s="78">
        <f t="shared" si="4"/>
        <v>43466</v>
      </c>
      <c r="K97" s="78">
        <f t="shared" si="5"/>
        <v>43560</v>
      </c>
      <c r="L97" s="79">
        <f t="shared" si="6"/>
        <v>0.80232558139534882</v>
      </c>
      <c r="M97" s="79">
        <f t="shared" si="7"/>
        <v>0.80232558139534882</v>
      </c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 t="s">
        <v>375</v>
      </c>
      <c r="AQ97" s="17"/>
      <c r="AR97" s="17"/>
      <c r="AS97" s="17"/>
    </row>
    <row r="98" spans="1:45">
      <c r="C98" s="78"/>
      <c r="D98" s="78"/>
      <c r="F98" s="78"/>
      <c r="G98" s="78"/>
      <c r="H98" s="80"/>
      <c r="I98" s="80"/>
      <c r="J98" s="78"/>
      <c r="K98" s="78"/>
      <c r="L98" s="79"/>
      <c r="M98" s="79"/>
    </row>
  </sheetData>
  <sortState ref="A10:M58">
    <sortCondition ref="B10:B58"/>
    <sortCondition ref="A10:A58"/>
  </sortState>
  <mergeCells count="28">
    <mergeCell ref="B7:D7"/>
    <mergeCell ref="A11:A13"/>
    <mergeCell ref="B11:B13"/>
    <mergeCell ref="C11:E11"/>
    <mergeCell ref="F11:G11"/>
    <mergeCell ref="H11:H13"/>
    <mergeCell ref="I11:I13"/>
    <mergeCell ref="L11:L13"/>
    <mergeCell ref="M11:M13"/>
    <mergeCell ref="N11:N13"/>
    <mergeCell ref="J11:K11"/>
    <mergeCell ref="J12:J13"/>
    <mergeCell ref="K12:K13"/>
    <mergeCell ref="C12:C13"/>
    <mergeCell ref="D12:D13"/>
    <mergeCell ref="E12:E13"/>
    <mergeCell ref="F12:F13"/>
    <mergeCell ref="G12:G13"/>
    <mergeCell ref="AM12:AP12"/>
    <mergeCell ref="AQ11:AT11"/>
    <mergeCell ref="AQ12:AT12"/>
    <mergeCell ref="AA12:AD12"/>
    <mergeCell ref="AE11:AH11"/>
    <mergeCell ref="AE12:AH12"/>
    <mergeCell ref="AI11:AL11"/>
    <mergeCell ref="AI12:AL12"/>
    <mergeCell ref="AA11:AD11"/>
    <mergeCell ref="AM11:AP11"/>
  </mergeCells>
  <phoneticPr fontId="1" type="noConversion"/>
  <dataValidations count="3">
    <dataValidation type="list" allowBlank="1" showInputMessage="1" showErrorMessage="1" error="프로젝트별,인력별,전체 중 선택" prompt="프로젝트별_x000a_인력별_x000a_전체" sqref="B9">
      <formula1>"프로젝트별,인력별,전체"</formula1>
    </dataValidation>
    <dataValidation type="list" allowBlank="1" showInputMessage="1" showErrorMessage="1" error="기간,실투입 중 선택" prompt="기간, 실투입" sqref="B2">
      <formula1>"기간,실투입"</formula1>
    </dataValidation>
    <dataValidation type="date" allowBlank="1" showInputMessage="1" showErrorMessage="1" error="YYYY-MM-DD 형식의 날짜로 입력하십시요" promptTitle="날짜형식 입력" prompt="YYYY-MM-DD 형식의 날짜로 입력하십시요" sqref="B5:B6">
      <formula1>40179</formula1>
      <formula2>73415</formula2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L354"/>
  <sheetViews>
    <sheetView workbookViewId="0">
      <selection activeCell="H22" sqref="H22"/>
    </sheetView>
  </sheetViews>
  <sheetFormatPr defaultRowHeight="16.5"/>
  <cols>
    <col min="3" max="5" width="11.125" bestFit="1" customWidth="1"/>
    <col min="6" max="6" width="6.375" bestFit="1" customWidth="1"/>
    <col min="7" max="7" width="7.5" bestFit="1" customWidth="1"/>
    <col min="9" max="10" width="14.5" customWidth="1"/>
    <col min="11" max="11" width="11.875" customWidth="1"/>
    <col min="12" max="12" width="14.5" customWidth="1"/>
  </cols>
  <sheetData>
    <row r="1" spans="1:12" ht="27">
      <c r="A1" s="27" t="s">
        <v>233</v>
      </c>
      <c r="B1" s="77" t="s">
        <v>466</v>
      </c>
      <c r="C1" s="77" t="s">
        <v>313</v>
      </c>
      <c r="D1" s="81" t="s">
        <v>469</v>
      </c>
      <c r="E1" s="81" t="s">
        <v>468</v>
      </c>
      <c r="F1" s="81" t="s">
        <v>467</v>
      </c>
      <c r="G1" s="81" t="s">
        <v>470</v>
      </c>
      <c r="K1" s="29" t="s">
        <v>0</v>
      </c>
      <c r="L1" t="s">
        <v>471</v>
      </c>
    </row>
    <row r="2" spans="1:12">
      <c r="A2" t="s">
        <v>3</v>
      </c>
      <c r="B2" t="s">
        <v>182</v>
      </c>
      <c r="C2">
        <v>1</v>
      </c>
      <c r="D2" t="str">
        <f>B2&amp;"-01"</f>
        <v>2018-04-01</v>
      </c>
      <c r="E2" t="str">
        <f>TEXT(EOMONTH(DATEVALUE(D2),0),"YYYY-MM-DD")</f>
        <v>2018-04-30</v>
      </c>
      <c r="F2">
        <f>NETWORKDAYS(D2,E2)</f>
        <v>21</v>
      </c>
      <c r="G2">
        <f>ROUND(C2/F2*100,2)</f>
        <v>4.76</v>
      </c>
    </row>
    <row r="3" spans="1:12">
      <c r="A3" t="s">
        <v>3</v>
      </c>
      <c r="B3" t="s">
        <v>183</v>
      </c>
      <c r="C3">
        <v>23</v>
      </c>
      <c r="D3" t="str">
        <f t="shared" ref="D3:D66" si="0">B3&amp;"-01"</f>
        <v>2018-05-01</v>
      </c>
      <c r="E3" t="str">
        <f t="shared" ref="E3:E66" si="1">TEXT(EOMONTH(DATEVALUE(D3),0),"YYYY-MM-DD")</f>
        <v>2018-05-31</v>
      </c>
      <c r="F3">
        <f t="shared" ref="F3:F66" si="2">NETWORKDAYS(D3,E3)</f>
        <v>23</v>
      </c>
      <c r="G3">
        <f t="shared" ref="G3:G66" si="3">ROUND(C3/F3*100,2)</f>
        <v>100</v>
      </c>
      <c r="K3" s="29" t="s">
        <v>205</v>
      </c>
      <c r="L3" t="s">
        <v>472</v>
      </c>
    </row>
    <row r="4" spans="1:12">
      <c r="A4" t="s">
        <v>3</v>
      </c>
      <c r="B4" t="s">
        <v>184</v>
      </c>
      <c r="C4">
        <v>21</v>
      </c>
      <c r="D4" t="str">
        <f t="shared" si="0"/>
        <v>2018-06-01</v>
      </c>
      <c r="E4" t="str">
        <f t="shared" si="1"/>
        <v>2018-06-30</v>
      </c>
      <c r="F4">
        <f t="shared" si="2"/>
        <v>21</v>
      </c>
      <c r="G4">
        <f t="shared" si="3"/>
        <v>100</v>
      </c>
      <c r="K4" s="30" t="s">
        <v>179</v>
      </c>
      <c r="L4" s="31">
        <v>95.65</v>
      </c>
    </row>
    <row r="5" spans="1:12">
      <c r="A5" t="s">
        <v>3</v>
      </c>
      <c r="B5" t="s">
        <v>185</v>
      </c>
      <c r="C5">
        <v>22</v>
      </c>
      <c r="D5" t="str">
        <f t="shared" si="0"/>
        <v>2018-07-01</v>
      </c>
      <c r="E5" t="str">
        <f t="shared" si="1"/>
        <v>2018-07-31</v>
      </c>
      <c r="F5">
        <f t="shared" si="2"/>
        <v>22</v>
      </c>
      <c r="G5">
        <f t="shared" si="3"/>
        <v>100</v>
      </c>
      <c r="K5" s="30" t="s">
        <v>180</v>
      </c>
      <c r="L5" s="31">
        <v>100</v>
      </c>
    </row>
    <row r="6" spans="1:12">
      <c r="A6" t="s">
        <v>3</v>
      </c>
      <c r="B6" t="s">
        <v>186</v>
      </c>
      <c r="C6">
        <v>23</v>
      </c>
      <c r="D6" t="str">
        <f t="shared" si="0"/>
        <v>2018-08-01</v>
      </c>
      <c r="E6" t="str">
        <f t="shared" si="1"/>
        <v>2018-08-31</v>
      </c>
      <c r="F6">
        <f t="shared" si="2"/>
        <v>23</v>
      </c>
      <c r="G6">
        <f t="shared" si="3"/>
        <v>100</v>
      </c>
      <c r="K6" s="30" t="s">
        <v>181</v>
      </c>
      <c r="L6" s="31">
        <v>100</v>
      </c>
    </row>
    <row r="7" spans="1:12">
      <c r="A7" t="s">
        <v>3</v>
      </c>
      <c r="B7" t="s">
        <v>187</v>
      </c>
      <c r="C7">
        <v>20</v>
      </c>
      <c r="D7" t="str">
        <f t="shared" si="0"/>
        <v>2018-09-01</v>
      </c>
      <c r="E7" t="str">
        <f t="shared" si="1"/>
        <v>2018-09-30</v>
      </c>
      <c r="F7">
        <f t="shared" si="2"/>
        <v>20</v>
      </c>
      <c r="G7">
        <f t="shared" si="3"/>
        <v>100</v>
      </c>
      <c r="K7" s="30" t="s">
        <v>182</v>
      </c>
      <c r="L7" s="31">
        <v>46.427499999999995</v>
      </c>
    </row>
    <row r="8" spans="1:12">
      <c r="A8" t="s">
        <v>3</v>
      </c>
      <c r="B8" t="s">
        <v>188</v>
      </c>
      <c r="C8">
        <v>23</v>
      </c>
      <c r="D8" t="str">
        <f t="shared" si="0"/>
        <v>2018-10-01</v>
      </c>
      <c r="E8" t="str">
        <f t="shared" si="1"/>
        <v>2018-10-31</v>
      </c>
      <c r="F8">
        <f t="shared" si="2"/>
        <v>23</v>
      </c>
      <c r="G8">
        <f t="shared" si="3"/>
        <v>100</v>
      </c>
      <c r="K8" s="30" t="s">
        <v>183</v>
      </c>
      <c r="L8" s="31">
        <v>82.608333333333334</v>
      </c>
    </row>
    <row r="9" spans="1:12">
      <c r="A9" t="s">
        <v>3</v>
      </c>
      <c r="B9" t="s">
        <v>189</v>
      </c>
      <c r="C9">
        <v>22</v>
      </c>
      <c r="D9" t="str">
        <f t="shared" si="0"/>
        <v>2018-11-01</v>
      </c>
      <c r="E9" t="str">
        <f t="shared" si="1"/>
        <v>2018-11-30</v>
      </c>
      <c r="F9">
        <f t="shared" si="2"/>
        <v>22</v>
      </c>
      <c r="G9">
        <f t="shared" si="3"/>
        <v>100</v>
      </c>
      <c r="K9" s="30" t="s">
        <v>184</v>
      </c>
      <c r="L9" s="31">
        <v>95.23888888888888</v>
      </c>
    </row>
    <row r="10" spans="1:12">
      <c r="A10" t="s">
        <v>3</v>
      </c>
      <c r="B10" t="s">
        <v>190</v>
      </c>
      <c r="C10">
        <v>21</v>
      </c>
      <c r="D10" t="str">
        <f t="shared" si="0"/>
        <v>2018-12-01</v>
      </c>
      <c r="E10" t="str">
        <f t="shared" si="1"/>
        <v>2018-12-31</v>
      </c>
      <c r="F10">
        <f t="shared" si="2"/>
        <v>21</v>
      </c>
      <c r="G10">
        <f t="shared" si="3"/>
        <v>100</v>
      </c>
      <c r="K10" s="30" t="s">
        <v>185</v>
      </c>
      <c r="L10" s="31">
        <v>97.727000000000004</v>
      </c>
    </row>
    <row r="11" spans="1:12">
      <c r="A11" t="s">
        <v>3</v>
      </c>
      <c r="B11" t="s">
        <v>191</v>
      </c>
      <c r="C11">
        <v>23</v>
      </c>
      <c r="D11" t="str">
        <f t="shared" si="0"/>
        <v>2019-01-01</v>
      </c>
      <c r="E11" t="str">
        <f t="shared" si="1"/>
        <v>2019-01-31</v>
      </c>
      <c r="F11">
        <f t="shared" si="2"/>
        <v>23</v>
      </c>
      <c r="G11">
        <f t="shared" si="3"/>
        <v>100</v>
      </c>
      <c r="K11" s="30" t="s">
        <v>186</v>
      </c>
      <c r="L11" s="31">
        <v>94.927500000000009</v>
      </c>
    </row>
    <row r="12" spans="1:12">
      <c r="A12" t="s">
        <v>3</v>
      </c>
      <c r="B12" t="s">
        <v>192</v>
      </c>
      <c r="C12">
        <v>7.6</v>
      </c>
      <c r="D12" t="str">
        <f t="shared" si="0"/>
        <v>2019-02-01</v>
      </c>
      <c r="E12" t="str">
        <f t="shared" si="1"/>
        <v>2019-02-28</v>
      </c>
      <c r="F12">
        <f t="shared" si="2"/>
        <v>20</v>
      </c>
      <c r="G12">
        <f t="shared" si="3"/>
        <v>38</v>
      </c>
      <c r="K12" s="30" t="s">
        <v>187</v>
      </c>
      <c r="L12" s="31">
        <v>86.578947368421055</v>
      </c>
    </row>
    <row r="13" spans="1:12">
      <c r="A13" t="s">
        <v>3</v>
      </c>
      <c r="B13" t="s">
        <v>193</v>
      </c>
      <c r="C13">
        <v>8</v>
      </c>
      <c r="D13" t="str">
        <f t="shared" si="0"/>
        <v>2019-03-01</v>
      </c>
      <c r="E13" t="str">
        <f t="shared" si="1"/>
        <v>2019-03-31</v>
      </c>
      <c r="F13">
        <f t="shared" si="2"/>
        <v>21</v>
      </c>
      <c r="G13">
        <f t="shared" si="3"/>
        <v>38.1</v>
      </c>
      <c r="K13" s="30" t="s">
        <v>188</v>
      </c>
      <c r="L13" s="31">
        <v>95.454545454545453</v>
      </c>
    </row>
    <row r="14" spans="1:12">
      <c r="A14" t="s">
        <v>7</v>
      </c>
      <c r="B14" t="s">
        <v>182</v>
      </c>
      <c r="C14">
        <v>1</v>
      </c>
      <c r="D14" t="str">
        <f t="shared" si="0"/>
        <v>2018-04-01</v>
      </c>
      <c r="E14" t="str">
        <f t="shared" si="1"/>
        <v>2018-04-30</v>
      </c>
      <c r="F14">
        <f t="shared" si="2"/>
        <v>21</v>
      </c>
      <c r="G14">
        <f t="shared" si="3"/>
        <v>4.76</v>
      </c>
      <c r="K14" s="30" t="s">
        <v>189</v>
      </c>
      <c r="L14" s="31">
        <v>95.791111111111121</v>
      </c>
    </row>
    <row r="15" spans="1:12">
      <c r="A15" t="s">
        <v>7</v>
      </c>
      <c r="B15" t="s">
        <v>183</v>
      </c>
      <c r="C15">
        <v>23</v>
      </c>
      <c r="D15" t="str">
        <f t="shared" si="0"/>
        <v>2018-05-01</v>
      </c>
      <c r="E15" t="str">
        <f t="shared" si="1"/>
        <v>2018-05-31</v>
      </c>
      <c r="F15">
        <f t="shared" si="2"/>
        <v>23</v>
      </c>
      <c r="G15">
        <f t="shared" si="3"/>
        <v>100</v>
      </c>
      <c r="K15" s="30" t="s">
        <v>190</v>
      </c>
      <c r="L15" s="31">
        <v>103.17444444444445</v>
      </c>
    </row>
    <row r="16" spans="1:12">
      <c r="A16" t="s">
        <v>7</v>
      </c>
      <c r="B16" t="s">
        <v>184</v>
      </c>
      <c r="C16">
        <v>21</v>
      </c>
      <c r="D16" t="str">
        <f t="shared" si="0"/>
        <v>2018-06-01</v>
      </c>
      <c r="E16" t="str">
        <f t="shared" si="1"/>
        <v>2018-06-30</v>
      </c>
      <c r="F16">
        <f t="shared" si="2"/>
        <v>21</v>
      </c>
      <c r="G16">
        <f t="shared" si="3"/>
        <v>100</v>
      </c>
      <c r="K16" s="30" t="s">
        <v>191</v>
      </c>
      <c r="L16" s="31">
        <v>99.45656249999999</v>
      </c>
    </row>
    <row r="17" spans="1:12">
      <c r="A17" t="s">
        <v>7</v>
      </c>
      <c r="B17" t="s">
        <v>185</v>
      </c>
      <c r="C17">
        <v>22</v>
      </c>
      <c r="D17" t="str">
        <f t="shared" si="0"/>
        <v>2018-07-01</v>
      </c>
      <c r="E17" t="str">
        <f t="shared" si="1"/>
        <v>2018-07-31</v>
      </c>
      <c r="F17">
        <f t="shared" si="2"/>
        <v>22</v>
      </c>
      <c r="G17">
        <f t="shared" si="3"/>
        <v>100</v>
      </c>
      <c r="K17" s="30" t="s">
        <v>192</v>
      </c>
      <c r="L17" s="31">
        <v>92.125</v>
      </c>
    </row>
    <row r="18" spans="1:12">
      <c r="A18" t="s">
        <v>7</v>
      </c>
      <c r="B18" t="s">
        <v>186</v>
      </c>
      <c r="C18">
        <v>23</v>
      </c>
      <c r="D18" t="str">
        <f t="shared" si="0"/>
        <v>2018-08-01</v>
      </c>
      <c r="E18" t="str">
        <f t="shared" si="1"/>
        <v>2018-08-31</v>
      </c>
      <c r="F18">
        <f t="shared" si="2"/>
        <v>23</v>
      </c>
      <c r="G18">
        <f t="shared" si="3"/>
        <v>100</v>
      </c>
      <c r="K18" s="30" t="s">
        <v>193</v>
      </c>
      <c r="L18" s="31">
        <v>93.395483870967752</v>
      </c>
    </row>
    <row r="19" spans="1:12">
      <c r="A19" t="s">
        <v>7</v>
      </c>
      <c r="B19" t="s">
        <v>187</v>
      </c>
      <c r="C19">
        <v>20</v>
      </c>
      <c r="D19" t="str">
        <f t="shared" si="0"/>
        <v>2018-09-01</v>
      </c>
      <c r="E19" t="str">
        <f t="shared" si="1"/>
        <v>2018-09-30</v>
      </c>
      <c r="F19">
        <f t="shared" si="2"/>
        <v>20</v>
      </c>
      <c r="G19">
        <f t="shared" si="3"/>
        <v>100</v>
      </c>
      <c r="K19" s="30" t="s">
        <v>194</v>
      </c>
      <c r="L19" s="31">
        <v>94.867741935483878</v>
      </c>
    </row>
    <row r="20" spans="1:12">
      <c r="A20" t="s">
        <v>7</v>
      </c>
      <c r="B20" t="s">
        <v>188</v>
      </c>
      <c r="C20">
        <v>23</v>
      </c>
      <c r="D20" t="str">
        <f t="shared" si="0"/>
        <v>2018-10-01</v>
      </c>
      <c r="E20" t="str">
        <f t="shared" si="1"/>
        <v>2018-10-31</v>
      </c>
      <c r="F20">
        <f t="shared" si="2"/>
        <v>23</v>
      </c>
      <c r="G20">
        <f t="shared" si="3"/>
        <v>100</v>
      </c>
      <c r="K20" s="30" t="s">
        <v>195</v>
      </c>
      <c r="L20" s="31">
        <v>87.123461538461541</v>
      </c>
    </row>
    <row r="21" spans="1:12">
      <c r="A21" t="s">
        <v>7</v>
      </c>
      <c r="B21" t="s">
        <v>189</v>
      </c>
      <c r="C21">
        <v>22</v>
      </c>
      <c r="D21" t="str">
        <f t="shared" si="0"/>
        <v>2018-11-01</v>
      </c>
      <c r="E21" t="str">
        <f t="shared" si="1"/>
        <v>2018-11-30</v>
      </c>
      <c r="F21">
        <f t="shared" si="2"/>
        <v>22</v>
      </c>
      <c r="G21">
        <f t="shared" si="3"/>
        <v>100</v>
      </c>
      <c r="K21" s="30" t="s">
        <v>197</v>
      </c>
      <c r="L21" s="31">
        <v>100</v>
      </c>
    </row>
    <row r="22" spans="1:12">
      <c r="A22" t="s">
        <v>7</v>
      </c>
      <c r="B22" t="s">
        <v>190</v>
      </c>
      <c r="C22">
        <v>21</v>
      </c>
      <c r="D22" t="str">
        <f t="shared" si="0"/>
        <v>2018-12-01</v>
      </c>
      <c r="E22" t="str">
        <f t="shared" si="1"/>
        <v>2018-12-31</v>
      </c>
      <c r="F22">
        <f t="shared" si="2"/>
        <v>21</v>
      </c>
      <c r="G22">
        <f t="shared" si="3"/>
        <v>100</v>
      </c>
      <c r="K22" s="30" t="s">
        <v>198</v>
      </c>
      <c r="L22" s="31">
        <v>100</v>
      </c>
    </row>
    <row r="23" spans="1:12">
      <c r="A23" t="s">
        <v>7</v>
      </c>
      <c r="B23" t="s">
        <v>191</v>
      </c>
      <c r="C23">
        <v>23</v>
      </c>
      <c r="D23" t="str">
        <f t="shared" si="0"/>
        <v>2019-01-01</v>
      </c>
      <c r="E23" t="str">
        <f t="shared" si="1"/>
        <v>2019-01-31</v>
      </c>
      <c r="F23">
        <f t="shared" si="2"/>
        <v>23</v>
      </c>
      <c r="G23">
        <f t="shared" si="3"/>
        <v>100</v>
      </c>
      <c r="K23" s="30" t="s">
        <v>199</v>
      </c>
      <c r="L23" s="31">
        <v>100</v>
      </c>
    </row>
    <row r="24" spans="1:12">
      <c r="A24" t="s">
        <v>7</v>
      </c>
      <c r="B24" t="s">
        <v>192</v>
      </c>
      <c r="C24">
        <v>9</v>
      </c>
      <c r="D24" t="str">
        <f t="shared" si="0"/>
        <v>2019-02-01</v>
      </c>
      <c r="E24" t="str">
        <f t="shared" si="1"/>
        <v>2019-02-28</v>
      </c>
      <c r="F24">
        <f t="shared" si="2"/>
        <v>20</v>
      </c>
      <c r="G24">
        <f t="shared" si="3"/>
        <v>45</v>
      </c>
      <c r="K24" s="30" t="s">
        <v>200</v>
      </c>
      <c r="L24" s="31">
        <v>98.81</v>
      </c>
    </row>
    <row r="25" spans="1:12">
      <c r="A25" t="s">
        <v>7</v>
      </c>
      <c r="B25" t="s">
        <v>193</v>
      </c>
      <c r="C25">
        <v>14</v>
      </c>
      <c r="D25" t="str">
        <f t="shared" si="0"/>
        <v>2019-03-01</v>
      </c>
      <c r="E25" t="str">
        <f t="shared" si="1"/>
        <v>2019-03-31</v>
      </c>
      <c r="F25">
        <f t="shared" si="2"/>
        <v>21</v>
      </c>
      <c r="G25">
        <f t="shared" si="3"/>
        <v>66.67</v>
      </c>
      <c r="K25" s="30" t="s">
        <v>201</v>
      </c>
      <c r="L25" s="31">
        <v>100</v>
      </c>
    </row>
    <row r="26" spans="1:12">
      <c r="A26" t="s">
        <v>7</v>
      </c>
      <c r="B26" t="s">
        <v>194</v>
      </c>
      <c r="C26">
        <v>22</v>
      </c>
      <c r="D26" t="str">
        <f t="shared" si="0"/>
        <v>2019-04-01</v>
      </c>
      <c r="E26" t="str">
        <f t="shared" si="1"/>
        <v>2019-04-30</v>
      </c>
      <c r="F26">
        <f t="shared" si="2"/>
        <v>22</v>
      </c>
      <c r="G26">
        <f t="shared" si="3"/>
        <v>100</v>
      </c>
      <c r="K26" s="30" t="s">
        <v>202</v>
      </c>
      <c r="L26" s="31">
        <v>88.094999999999985</v>
      </c>
    </row>
    <row r="27" spans="1:12">
      <c r="A27" t="s">
        <v>7</v>
      </c>
      <c r="B27" t="s">
        <v>195</v>
      </c>
      <c r="C27">
        <v>23</v>
      </c>
      <c r="D27" t="str">
        <f t="shared" si="0"/>
        <v>2019-05-01</v>
      </c>
      <c r="E27" t="str">
        <f t="shared" si="1"/>
        <v>2019-05-31</v>
      </c>
      <c r="F27">
        <f t="shared" si="2"/>
        <v>23</v>
      </c>
      <c r="G27">
        <f t="shared" si="3"/>
        <v>100</v>
      </c>
      <c r="K27" s="30" t="s">
        <v>203</v>
      </c>
      <c r="L27" s="31">
        <v>82.954999999999998</v>
      </c>
    </row>
    <row r="28" spans="1:12">
      <c r="A28" t="s">
        <v>7</v>
      </c>
      <c r="B28" t="s">
        <v>197</v>
      </c>
      <c r="C28">
        <v>20</v>
      </c>
      <c r="D28" t="str">
        <f t="shared" si="0"/>
        <v>2019-06-01</v>
      </c>
      <c r="E28" t="str">
        <f t="shared" si="1"/>
        <v>2019-06-30</v>
      </c>
      <c r="F28">
        <f t="shared" si="2"/>
        <v>20</v>
      </c>
      <c r="G28">
        <f t="shared" si="3"/>
        <v>100</v>
      </c>
      <c r="K28" s="30" t="s">
        <v>196</v>
      </c>
      <c r="L28" s="31">
        <v>78.260000000000005</v>
      </c>
    </row>
    <row r="29" spans="1:12">
      <c r="A29" t="s">
        <v>7</v>
      </c>
      <c r="B29" t="s">
        <v>198</v>
      </c>
      <c r="C29">
        <v>23</v>
      </c>
      <c r="D29" t="str">
        <f t="shared" si="0"/>
        <v>2019-07-01</v>
      </c>
      <c r="E29" t="str">
        <f t="shared" si="1"/>
        <v>2019-07-31</v>
      </c>
      <c r="F29">
        <f t="shared" si="2"/>
        <v>23</v>
      </c>
      <c r="G29">
        <f t="shared" si="3"/>
        <v>100</v>
      </c>
      <c r="K29" s="30" t="s">
        <v>204</v>
      </c>
      <c r="L29" s="31">
        <v>30</v>
      </c>
    </row>
    <row r="30" spans="1:12">
      <c r="A30" t="s">
        <v>7</v>
      </c>
      <c r="B30" t="s">
        <v>199</v>
      </c>
      <c r="C30">
        <v>22</v>
      </c>
      <c r="D30" t="str">
        <f t="shared" si="0"/>
        <v>2019-08-01</v>
      </c>
      <c r="E30" t="str">
        <f t="shared" si="1"/>
        <v>2019-08-31</v>
      </c>
      <c r="F30">
        <f t="shared" si="2"/>
        <v>22</v>
      </c>
      <c r="G30">
        <f t="shared" si="3"/>
        <v>100</v>
      </c>
      <c r="K30" s="30" t="s">
        <v>206</v>
      </c>
      <c r="L30" s="31">
        <v>93.878579545454528</v>
      </c>
    </row>
    <row r="31" spans="1:12">
      <c r="A31" t="s">
        <v>7</v>
      </c>
      <c r="B31" t="s">
        <v>200</v>
      </c>
      <c r="C31">
        <v>21</v>
      </c>
      <c r="D31" t="str">
        <f t="shared" si="0"/>
        <v>2019-09-01</v>
      </c>
      <c r="E31" t="str">
        <f t="shared" si="1"/>
        <v>2019-09-30</v>
      </c>
      <c r="F31">
        <f t="shared" si="2"/>
        <v>21</v>
      </c>
      <c r="G31">
        <f t="shared" si="3"/>
        <v>100</v>
      </c>
    </row>
    <row r="32" spans="1:12">
      <c r="A32" t="s">
        <v>7</v>
      </c>
      <c r="B32" t="s">
        <v>201</v>
      </c>
      <c r="C32">
        <v>23</v>
      </c>
      <c r="D32" t="str">
        <f t="shared" si="0"/>
        <v>2019-10-01</v>
      </c>
      <c r="E32" t="str">
        <f t="shared" si="1"/>
        <v>2019-10-31</v>
      </c>
      <c r="F32">
        <f t="shared" si="2"/>
        <v>23</v>
      </c>
      <c r="G32">
        <f t="shared" si="3"/>
        <v>100</v>
      </c>
    </row>
    <row r="33" spans="1:7">
      <c r="A33" t="s">
        <v>7</v>
      </c>
      <c r="B33" t="s">
        <v>202</v>
      </c>
      <c r="C33">
        <v>21</v>
      </c>
      <c r="D33" t="str">
        <f t="shared" si="0"/>
        <v>2019-11-01</v>
      </c>
      <c r="E33" t="str">
        <f t="shared" si="1"/>
        <v>2019-11-30</v>
      </c>
      <c r="F33">
        <f t="shared" si="2"/>
        <v>21</v>
      </c>
      <c r="G33">
        <f t="shared" si="3"/>
        <v>100</v>
      </c>
    </row>
    <row r="34" spans="1:7">
      <c r="A34" t="s">
        <v>7</v>
      </c>
      <c r="B34" t="s">
        <v>203</v>
      </c>
      <c r="C34">
        <v>22</v>
      </c>
      <c r="D34" t="str">
        <f t="shared" si="0"/>
        <v>2019-12-01</v>
      </c>
      <c r="E34" t="str">
        <f t="shared" si="1"/>
        <v>2019-12-31</v>
      </c>
      <c r="F34">
        <f t="shared" si="2"/>
        <v>22</v>
      </c>
      <c r="G34">
        <f t="shared" si="3"/>
        <v>100</v>
      </c>
    </row>
    <row r="35" spans="1:7">
      <c r="A35" t="s">
        <v>7</v>
      </c>
      <c r="B35" t="s">
        <v>196</v>
      </c>
      <c r="C35">
        <v>23</v>
      </c>
      <c r="D35" t="str">
        <f t="shared" si="0"/>
        <v>2020-01-01</v>
      </c>
      <c r="E35" t="str">
        <f t="shared" si="1"/>
        <v>2020-01-31</v>
      </c>
      <c r="F35">
        <f t="shared" si="2"/>
        <v>23</v>
      </c>
      <c r="G35">
        <f t="shared" si="3"/>
        <v>100</v>
      </c>
    </row>
    <row r="36" spans="1:7">
      <c r="A36" t="s">
        <v>7</v>
      </c>
      <c r="B36" t="s">
        <v>204</v>
      </c>
      <c r="C36">
        <v>6</v>
      </c>
      <c r="D36" t="str">
        <f t="shared" si="0"/>
        <v>2020-02-01</v>
      </c>
      <c r="E36" t="str">
        <f t="shared" si="1"/>
        <v>2020-02-29</v>
      </c>
      <c r="F36">
        <f t="shared" si="2"/>
        <v>20</v>
      </c>
      <c r="G36">
        <f t="shared" si="3"/>
        <v>30</v>
      </c>
    </row>
    <row r="37" spans="1:7">
      <c r="A37" t="s">
        <v>5</v>
      </c>
      <c r="B37" t="s">
        <v>183</v>
      </c>
      <c r="C37">
        <v>18</v>
      </c>
      <c r="D37" t="str">
        <f t="shared" si="0"/>
        <v>2018-05-01</v>
      </c>
      <c r="E37" t="str">
        <f t="shared" si="1"/>
        <v>2018-05-31</v>
      </c>
      <c r="F37">
        <f t="shared" si="2"/>
        <v>23</v>
      </c>
      <c r="G37">
        <f t="shared" si="3"/>
        <v>78.260000000000005</v>
      </c>
    </row>
    <row r="38" spans="1:7">
      <c r="A38" t="s">
        <v>5</v>
      </c>
      <c r="B38" t="s">
        <v>184</v>
      </c>
      <c r="C38">
        <v>21</v>
      </c>
      <c r="D38" t="str">
        <f t="shared" si="0"/>
        <v>2018-06-01</v>
      </c>
      <c r="E38" t="str">
        <f t="shared" si="1"/>
        <v>2018-06-30</v>
      </c>
      <c r="F38">
        <f t="shared" si="2"/>
        <v>21</v>
      </c>
      <c r="G38">
        <f t="shared" si="3"/>
        <v>100</v>
      </c>
    </row>
    <row r="39" spans="1:7">
      <c r="A39" t="s">
        <v>5</v>
      </c>
      <c r="B39" t="s">
        <v>185</v>
      </c>
      <c r="C39">
        <v>22</v>
      </c>
      <c r="D39" t="str">
        <f t="shared" si="0"/>
        <v>2018-07-01</v>
      </c>
      <c r="E39" t="str">
        <f t="shared" si="1"/>
        <v>2018-07-31</v>
      </c>
      <c r="F39">
        <f t="shared" si="2"/>
        <v>22</v>
      </c>
      <c r="G39">
        <f t="shared" si="3"/>
        <v>100</v>
      </c>
    </row>
    <row r="40" spans="1:7">
      <c r="A40" t="s">
        <v>5</v>
      </c>
      <c r="B40" t="s">
        <v>186</v>
      </c>
      <c r="C40">
        <v>23</v>
      </c>
      <c r="D40" t="str">
        <f t="shared" si="0"/>
        <v>2018-08-01</v>
      </c>
      <c r="E40" t="str">
        <f t="shared" si="1"/>
        <v>2018-08-31</v>
      </c>
      <c r="F40">
        <f t="shared" si="2"/>
        <v>23</v>
      </c>
      <c r="G40">
        <f t="shared" si="3"/>
        <v>100</v>
      </c>
    </row>
    <row r="41" spans="1:7">
      <c r="A41" t="s">
        <v>5</v>
      </c>
      <c r="B41" t="s">
        <v>187</v>
      </c>
      <c r="C41">
        <v>20</v>
      </c>
      <c r="D41" t="str">
        <f t="shared" si="0"/>
        <v>2018-09-01</v>
      </c>
      <c r="E41" t="str">
        <f t="shared" si="1"/>
        <v>2018-09-30</v>
      </c>
      <c r="F41">
        <f t="shared" si="2"/>
        <v>20</v>
      </c>
      <c r="G41">
        <f t="shared" si="3"/>
        <v>100</v>
      </c>
    </row>
    <row r="42" spans="1:7">
      <c r="A42" t="s">
        <v>5</v>
      </c>
      <c r="B42" t="s">
        <v>188</v>
      </c>
      <c r="C42">
        <v>23</v>
      </c>
      <c r="D42" t="str">
        <f t="shared" si="0"/>
        <v>2018-10-01</v>
      </c>
      <c r="E42" t="str">
        <f t="shared" si="1"/>
        <v>2018-10-31</v>
      </c>
      <c r="F42">
        <f t="shared" si="2"/>
        <v>23</v>
      </c>
      <c r="G42">
        <f t="shared" si="3"/>
        <v>100</v>
      </c>
    </row>
    <row r="43" spans="1:7">
      <c r="A43" t="s">
        <v>5</v>
      </c>
      <c r="B43" t="s">
        <v>189</v>
      </c>
      <c r="C43">
        <v>22</v>
      </c>
      <c r="D43" t="str">
        <f t="shared" si="0"/>
        <v>2018-11-01</v>
      </c>
      <c r="E43" t="str">
        <f t="shared" si="1"/>
        <v>2018-11-30</v>
      </c>
      <c r="F43">
        <f t="shared" si="2"/>
        <v>22</v>
      </c>
      <c r="G43">
        <f t="shared" si="3"/>
        <v>100</v>
      </c>
    </row>
    <row r="44" spans="1:7">
      <c r="A44" t="s">
        <v>5</v>
      </c>
      <c r="B44" t="s">
        <v>190</v>
      </c>
      <c r="C44">
        <v>21</v>
      </c>
      <c r="D44" t="str">
        <f t="shared" si="0"/>
        <v>2018-12-01</v>
      </c>
      <c r="E44" t="str">
        <f t="shared" si="1"/>
        <v>2018-12-31</v>
      </c>
      <c r="F44">
        <f t="shared" si="2"/>
        <v>21</v>
      </c>
      <c r="G44">
        <f t="shared" si="3"/>
        <v>100</v>
      </c>
    </row>
    <row r="45" spans="1:7">
      <c r="A45" t="s">
        <v>5</v>
      </c>
      <c r="B45" t="s">
        <v>191</v>
      </c>
      <c r="C45">
        <v>23</v>
      </c>
      <c r="D45" t="str">
        <f t="shared" si="0"/>
        <v>2019-01-01</v>
      </c>
      <c r="E45" t="str">
        <f t="shared" si="1"/>
        <v>2019-01-31</v>
      </c>
      <c r="F45">
        <f t="shared" si="2"/>
        <v>23</v>
      </c>
      <c r="G45">
        <f t="shared" si="3"/>
        <v>100</v>
      </c>
    </row>
    <row r="46" spans="1:7">
      <c r="A46" t="s">
        <v>5</v>
      </c>
      <c r="B46" t="s">
        <v>192</v>
      </c>
      <c r="C46">
        <v>16</v>
      </c>
      <c r="D46" t="str">
        <f t="shared" si="0"/>
        <v>2019-02-01</v>
      </c>
      <c r="E46" t="str">
        <f t="shared" si="1"/>
        <v>2019-02-28</v>
      </c>
      <c r="F46">
        <f t="shared" si="2"/>
        <v>20</v>
      </c>
      <c r="G46">
        <f t="shared" si="3"/>
        <v>80</v>
      </c>
    </row>
    <row r="47" spans="1:7">
      <c r="A47" t="s">
        <v>5</v>
      </c>
      <c r="B47" t="s">
        <v>193</v>
      </c>
      <c r="C47">
        <v>14</v>
      </c>
      <c r="D47" t="str">
        <f t="shared" si="0"/>
        <v>2019-03-01</v>
      </c>
      <c r="E47" t="str">
        <f t="shared" si="1"/>
        <v>2019-03-31</v>
      </c>
      <c r="F47">
        <f t="shared" si="2"/>
        <v>21</v>
      </c>
      <c r="G47">
        <f t="shared" si="3"/>
        <v>66.67</v>
      </c>
    </row>
    <row r="48" spans="1:7">
      <c r="A48" t="s">
        <v>5</v>
      </c>
      <c r="B48" t="s">
        <v>194</v>
      </c>
      <c r="C48">
        <v>22</v>
      </c>
      <c r="D48" t="str">
        <f t="shared" si="0"/>
        <v>2019-04-01</v>
      </c>
      <c r="E48" t="str">
        <f t="shared" si="1"/>
        <v>2019-04-30</v>
      </c>
      <c r="F48">
        <f t="shared" si="2"/>
        <v>22</v>
      </c>
      <c r="G48">
        <f t="shared" si="3"/>
        <v>100</v>
      </c>
    </row>
    <row r="49" spans="1:7">
      <c r="A49" t="s">
        <v>5</v>
      </c>
      <c r="B49" t="s">
        <v>195</v>
      </c>
      <c r="C49">
        <v>23</v>
      </c>
      <c r="D49" t="str">
        <f t="shared" si="0"/>
        <v>2019-05-01</v>
      </c>
      <c r="E49" t="str">
        <f t="shared" si="1"/>
        <v>2019-05-31</v>
      </c>
      <c r="F49">
        <f t="shared" si="2"/>
        <v>23</v>
      </c>
      <c r="G49">
        <f t="shared" si="3"/>
        <v>100</v>
      </c>
    </row>
    <row r="50" spans="1:7">
      <c r="A50" t="s">
        <v>5</v>
      </c>
      <c r="B50" t="s">
        <v>197</v>
      </c>
      <c r="C50">
        <v>20</v>
      </c>
      <c r="D50" t="str">
        <f t="shared" si="0"/>
        <v>2019-06-01</v>
      </c>
      <c r="E50" t="str">
        <f t="shared" si="1"/>
        <v>2019-06-30</v>
      </c>
      <c r="F50">
        <f t="shared" si="2"/>
        <v>20</v>
      </c>
      <c r="G50">
        <f t="shared" si="3"/>
        <v>100</v>
      </c>
    </row>
    <row r="51" spans="1:7">
      <c r="A51" t="s">
        <v>5</v>
      </c>
      <c r="B51" t="s">
        <v>198</v>
      </c>
      <c r="C51">
        <v>23</v>
      </c>
      <c r="D51" t="str">
        <f t="shared" si="0"/>
        <v>2019-07-01</v>
      </c>
      <c r="E51" t="str">
        <f t="shared" si="1"/>
        <v>2019-07-31</v>
      </c>
      <c r="F51">
        <f t="shared" si="2"/>
        <v>23</v>
      </c>
      <c r="G51">
        <f t="shared" si="3"/>
        <v>100</v>
      </c>
    </row>
    <row r="52" spans="1:7">
      <c r="A52" t="s">
        <v>5</v>
      </c>
      <c r="B52" t="s">
        <v>199</v>
      </c>
      <c r="C52">
        <v>22</v>
      </c>
      <c r="D52" t="str">
        <f t="shared" si="0"/>
        <v>2019-08-01</v>
      </c>
      <c r="E52" t="str">
        <f t="shared" si="1"/>
        <v>2019-08-31</v>
      </c>
      <c r="F52">
        <f t="shared" si="2"/>
        <v>22</v>
      </c>
      <c r="G52">
        <f t="shared" si="3"/>
        <v>100</v>
      </c>
    </row>
    <row r="53" spans="1:7">
      <c r="A53" t="s">
        <v>5</v>
      </c>
      <c r="B53" t="s">
        <v>200</v>
      </c>
      <c r="C53">
        <v>21</v>
      </c>
      <c r="D53" t="str">
        <f t="shared" si="0"/>
        <v>2019-09-01</v>
      </c>
      <c r="E53" t="str">
        <f t="shared" si="1"/>
        <v>2019-09-30</v>
      </c>
      <c r="F53">
        <f t="shared" si="2"/>
        <v>21</v>
      </c>
      <c r="G53">
        <f t="shared" si="3"/>
        <v>100</v>
      </c>
    </row>
    <row r="54" spans="1:7">
      <c r="A54" t="s">
        <v>5</v>
      </c>
      <c r="B54" t="s">
        <v>201</v>
      </c>
      <c r="C54">
        <v>23</v>
      </c>
      <c r="D54" t="str">
        <f t="shared" si="0"/>
        <v>2019-10-01</v>
      </c>
      <c r="E54" t="str">
        <f t="shared" si="1"/>
        <v>2019-10-31</v>
      </c>
      <c r="F54">
        <f t="shared" si="2"/>
        <v>23</v>
      </c>
      <c r="G54">
        <f t="shared" si="3"/>
        <v>100</v>
      </c>
    </row>
    <row r="55" spans="1:7">
      <c r="A55" t="s">
        <v>5</v>
      </c>
      <c r="B55" t="s">
        <v>202</v>
      </c>
      <c r="C55">
        <v>21</v>
      </c>
      <c r="D55" t="str">
        <f t="shared" si="0"/>
        <v>2019-11-01</v>
      </c>
      <c r="E55" t="str">
        <f t="shared" si="1"/>
        <v>2019-11-30</v>
      </c>
      <c r="F55">
        <f t="shared" si="2"/>
        <v>21</v>
      </c>
      <c r="G55">
        <f t="shared" si="3"/>
        <v>100</v>
      </c>
    </row>
    <row r="56" spans="1:7">
      <c r="A56" t="s">
        <v>5</v>
      </c>
      <c r="B56" t="s">
        <v>203</v>
      </c>
      <c r="C56">
        <v>7</v>
      </c>
      <c r="D56" t="str">
        <f t="shared" si="0"/>
        <v>2019-12-01</v>
      </c>
      <c r="E56" t="str">
        <f t="shared" si="1"/>
        <v>2019-12-31</v>
      </c>
      <c r="F56">
        <f t="shared" si="2"/>
        <v>22</v>
      </c>
      <c r="G56">
        <f t="shared" si="3"/>
        <v>31.82</v>
      </c>
    </row>
    <row r="57" spans="1:7">
      <c r="A57" t="s">
        <v>47</v>
      </c>
      <c r="B57" t="s">
        <v>194</v>
      </c>
      <c r="C57">
        <v>17</v>
      </c>
      <c r="D57" t="str">
        <f t="shared" si="0"/>
        <v>2019-04-01</v>
      </c>
      <c r="E57" t="str">
        <f t="shared" si="1"/>
        <v>2019-04-30</v>
      </c>
      <c r="F57">
        <f t="shared" si="2"/>
        <v>22</v>
      </c>
      <c r="G57">
        <f t="shared" si="3"/>
        <v>77.27</v>
      </c>
    </row>
    <row r="58" spans="1:7">
      <c r="A58" t="s">
        <v>47</v>
      </c>
      <c r="B58" t="s">
        <v>195</v>
      </c>
      <c r="C58">
        <v>23</v>
      </c>
      <c r="D58" t="str">
        <f t="shared" si="0"/>
        <v>2019-05-01</v>
      </c>
      <c r="E58" t="str">
        <f t="shared" si="1"/>
        <v>2019-05-31</v>
      </c>
      <c r="F58">
        <f t="shared" si="2"/>
        <v>23</v>
      </c>
      <c r="G58">
        <f t="shared" si="3"/>
        <v>100</v>
      </c>
    </row>
    <row r="59" spans="1:7">
      <c r="A59" t="s">
        <v>47</v>
      </c>
      <c r="B59" t="s">
        <v>197</v>
      </c>
      <c r="C59">
        <v>20</v>
      </c>
      <c r="D59" t="str">
        <f t="shared" si="0"/>
        <v>2019-06-01</v>
      </c>
      <c r="E59" t="str">
        <f t="shared" si="1"/>
        <v>2019-06-30</v>
      </c>
      <c r="F59">
        <f t="shared" si="2"/>
        <v>20</v>
      </c>
      <c r="G59">
        <f t="shared" si="3"/>
        <v>100</v>
      </c>
    </row>
    <row r="60" spans="1:7">
      <c r="A60" t="s">
        <v>47</v>
      </c>
      <c r="B60" t="s">
        <v>198</v>
      </c>
      <c r="C60">
        <v>23</v>
      </c>
      <c r="D60" t="str">
        <f t="shared" si="0"/>
        <v>2019-07-01</v>
      </c>
      <c r="E60" t="str">
        <f t="shared" si="1"/>
        <v>2019-07-31</v>
      </c>
      <c r="F60">
        <f t="shared" si="2"/>
        <v>23</v>
      </c>
      <c r="G60">
        <f t="shared" si="3"/>
        <v>100</v>
      </c>
    </row>
    <row r="61" spans="1:7">
      <c r="A61" t="s">
        <v>47</v>
      </c>
      <c r="B61" t="s">
        <v>199</v>
      </c>
      <c r="C61">
        <v>22</v>
      </c>
      <c r="D61" t="str">
        <f t="shared" si="0"/>
        <v>2019-08-01</v>
      </c>
      <c r="E61" t="str">
        <f t="shared" si="1"/>
        <v>2019-08-31</v>
      </c>
      <c r="F61">
        <f t="shared" si="2"/>
        <v>22</v>
      </c>
      <c r="G61">
        <f t="shared" si="3"/>
        <v>100</v>
      </c>
    </row>
    <row r="62" spans="1:7">
      <c r="A62" t="s">
        <v>47</v>
      </c>
      <c r="B62" t="s">
        <v>200</v>
      </c>
      <c r="C62">
        <v>21</v>
      </c>
      <c r="D62" t="str">
        <f t="shared" si="0"/>
        <v>2019-09-01</v>
      </c>
      <c r="E62" t="str">
        <f t="shared" si="1"/>
        <v>2019-09-30</v>
      </c>
      <c r="F62">
        <f t="shared" si="2"/>
        <v>21</v>
      </c>
      <c r="G62">
        <f t="shared" si="3"/>
        <v>100</v>
      </c>
    </row>
    <row r="63" spans="1:7">
      <c r="A63" t="s">
        <v>47</v>
      </c>
      <c r="B63" t="s">
        <v>201</v>
      </c>
      <c r="C63">
        <v>23</v>
      </c>
      <c r="D63" t="str">
        <f t="shared" si="0"/>
        <v>2019-10-01</v>
      </c>
      <c r="E63" t="str">
        <f t="shared" si="1"/>
        <v>2019-10-31</v>
      </c>
      <c r="F63">
        <f t="shared" si="2"/>
        <v>23</v>
      </c>
      <c r="G63">
        <f t="shared" si="3"/>
        <v>100</v>
      </c>
    </row>
    <row r="64" spans="1:7">
      <c r="A64" t="s">
        <v>47</v>
      </c>
      <c r="B64" t="s">
        <v>202</v>
      </c>
      <c r="C64">
        <v>21</v>
      </c>
      <c r="D64" t="str">
        <f t="shared" si="0"/>
        <v>2019-11-01</v>
      </c>
      <c r="E64" t="str">
        <f t="shared" si="1"/>
        <v>2019-11-30</v>
      </c>
      <c r="F64">
        <f t="shared" si="2"/>
        <v>21</v>
      </c>
      <c r="G64">
        <f t="shared" si="3"/>
        <v>100</v>
      </c>
    </row>
    <row r="65" spans="1:7">
      <c r="A65" t="s">
        <v>35</v>
      </c>
      <c r="B65" t="s">
        <v>187</v>
      </c>
      <c r="C65">
        <v>2</v>
      </c>
      <c r="D65" t="str">
        <f t="shared" si="0"/>
        <v>2018-09-01</v>
      </c>
      <c r="E65" t="str">
        <f t="shared" si="1"/>
        <v>2018-09-30</v>
      </c>
      <c r="F65">
        <f t="shared" si="2"/>
        <v>20</v>
      </c>
      <c r="G65">
        <f t="shared" si="3"/>
        <v>10</v>
      </c>
    </row>
    <row r="66" spans="1:7">
      <c r="A66" t="s">
        <v>35</v>
      </c>
      <c r="B66" t="s">
        <v>188</v>
      </c>
      <c r="C66">
        <v>23</v>
      </c>
      <c r="D66" t="str">
        <f t="shared" si="0"/>
        <v>2018-10-01</v>
      </c>
      <c r="E66" t="str">
        <f t="shared" si="1"/>
        <v>2018-10-31</v>
      </c>
      <c r="F66">
        <f t="shared" si="2"/>
        <v>23</v>
      </c>
      <c r="G66">
        <f t="shared" si="3"/>
        <v>100</v>
      </c>
    </row>
    <row r="67" spans="1:7">
      <c r="A67" t="s">
        <v>35</v>
      </c>
      <c r="B67" t="s">
        <v>189</v>
      </c>
      <c r="C67">
        <v>22</v>
      </c>
      <c r="D67" t="str">
        <f t="shared" ref="D67:D130" si="4">B67&amp;"-01"</f>
        <v>2018-11-01</v>
      </c>
      <c r="E67" t="str">
        <f t="shared" ref="E67:E130" si="5">TEXT(EOMONTH(DATEVALUE(D67),0),"YYYY-MM-DD")</f>
        <v>2018-11-30</v>
      </c>
      <c r="F67">
        <f t="shared" ref="F67:F130" si="6">NETWORKDAYS(D67,E67)</f>
        <v>22</v>
      </c>
      <c r="G67">
        <f t="shared" ref="G67:G130" si="7">ROUND(C67/F67*100,2)</f>
        <v>100</v>
      </c>
    </row>
    <row r="68" spans="1:7">
      <c r="A68" t="s">
        <v>35</v>
      </c>
      <c r="B68" t="s">
        <v>190</v>
      </c>
      <c r="C68">
        <v>21</v>
      </c>
      <c r="D68" t="str">
        <f t="shared" si="4"/>
        <v>2018-12-01</v>
      </c>
      <c r="E68" t="str">
        <f t="shared" si="5"/>
        <v>2018-12-31</v>
      </c>
      <c r="F68">
        <f t="shared" si="6"/>
        <v>21</v>
      </c>
      <c r="G68">
        <f t="shared" si="7"/>
        <v>100</v>
      </c>
    </row>
    <row r="69" spans="1:7">
      <c r="A69" t="s">
        <v>35</v>
      </c>
      <c r="B69" t="s">
        <v>191</v>
      </c>
      <c r="C69">
        <v>23</v>
      </c>
      <c r="D69" t="str">
        <f t="shared" si="4"/>
        <v>2019-01-01</v>
      </c>
      <c r="E69" t="str">
        <f t="shared" si="5"/>
        <v>2019-01-31</v>
      </c>
      <c r="F69">
        <f t="shared" si="6"/>
        <v>23</v>
      </c>
      <c r="G69">
        <f t="shared" si="7"/>
        <v>100</v>
      </c>
    </row>
    <row r="70" spans="1:7">
      <c r="A70" t="s">
        <v>35</v>
      </c>
      <c r="B70" t="s">
        <v>192</v>
      </c>
      <c r="C70">
        <v>20</v>
      </c>
      <c r="D70" t="str">
        <f t="shared" si="4"/>
        <v>2019-02-01</v>
      </c>
      <c r="E70" t="str">
        <f t="shared" si="5"/>
        <v>2019-02-28</v>
      </c>
      <c r="F70">
        <f t="shared" si="6"/>
        <v>20</v>
      </c>
      <c r="G70">
        <f t="shared" si="7"/>
        <v>100</v>
      </c>
    </row>
    <row r="71" spans="1:7">
      <c r="A71" t="s">
        <v>35</v>
      </c>
      <c r="B71" t="s">
        <v>193</v>
      </c>
      <c r="C71">
        <v>21</v>
      </c>
      <c r="D71" t="str">
        <f t="shared" si="4"/>
        <v>2019-03-01</v>
      </c>
      <c r="E71" t="str">
        <f t="shared" si="5"/>
        <v>2019-03-31</v>
      </c>
      <c r="F71">
        <f t="shared" si="6"/>
        <v>21</v>
      </c>
      <c r="G71">
        <f t="shared" si="7"/>
        <v>100</v>
      </c>
    </row>
    <row r="72" spans="1:7">
      <c r="A72" t="s">
        <v>35</v>
      </c>
      <c r="B72" t="s">
        <v>194</v>
      </c>
      <c r="C72">
        <v>22</v>
      </c>
      <c r="D72" t="str">
        <f t="shared" si="4"/>
        <v>2019-04-01</v>
      </c>
      <c r="E72" t="str">
        <f t="shared" si="5"/>
        <v>2019-04-30</v>
      </c>
      <c r="F72">
        <f t="shared" si="6"/>
        <v>22</v>
      </c>
      <c r="G72">
        <f t="shared" si="7"/>
        <v>100</v>
      </c>
    </row>
    <row r="73" spans="1:7">
      <c r="A73" t="s">
        <v>16</v>
      </c>
      <c r="B73" t="s">
        <v>191</v>
      </c>
      <c r="C73">
        <v>19</v>
      </c>
      <c r="D73" t="str">
        <f t="shared" si="4"/>
        <v>2019-01-01</v>
      </c>
      <c r="E73" t="str">
        <f t="shared" si="5"/>
        <v>2019-01-31</v>
      </c>
      <c r="F73">
        <f t="shared" si="6"/>
        <v>23</v>
      </c>
      <c r="G73">
        <f t="shared" si="7"/>
        <v>82.61</v>
      </c>
    </row>
    <row r="74" spans="1:7">
      <c r="A74" t="s">
        <v>16</v>
      </c>
      <c r="B74" t="s">
        <v>192</v>
      </c>
      <c r="C74">
        <v>20</v>
      </c>
      <c r="D74" t="str">
        <f t="shared" si="4"/>
        <v>2019-02-01</v>
      </c>
      <c r="E74" t="str">
        <f t="shared" si="5"/>
        <v>2019-02-28</v>
      </c>
      <c r="F74">
        <f t="shared" si="6"/>
        <v>20</v>
      </c>
      <c r="G74">
        <f t="shared" si="7"/>
        <v>100</v>
      </c>
    </row>
    <row r="75" spans="1:7">
      <c r="A75" t="s">
        <v>16</v>
      </c>
      <c r="B75" t="s">
        <v>193</v>
      </c>
      <c r="C75">
        <v>21</v>
      </c>
      <c r="D75" t="str">
        <f t="shared" si="4"/>
        <v>2019-03-01</v>
      </c>
      <c r="E75" t="str">
        <f t="shared" si="5"/>
        <v>2019-03-31</v>
      </c>
      <c r="F75">
        <f t="shared" si="6"/>
        <v>21</v>
      </c>
      <c r="G75">
        <f t="shared" si="7"/>
        <v>100</v>
      </c>
    </row>
    <row r="76" spans="1:7">
      <c r="A76" t="s">
        <v>16</v>
      </c>
      <c r="B76" t="s">
        <v>194</v>
      </c>
      <c r="C76">
        <v>22</v>
      </c>
      <c r="D76" t="str">
        <f t="shared" si="4"/>
        <v>2019-04-01</v>
      </c>
      <c r="E76" t="str">
        <f t="shared" si="5"/>
        <v>2019-04-30</v>
      </c>
      <c r="F76">
        <f t="shared" si="6"/>
        <v>22</v>
      </c>
      <c r="G76">
        <f t="shared" si="7"/>
        <v>100</v>
      </c>
    </row>
    <row r="77" spans="1:7">
      <c r="A77" t="s">
        <v>16</v>
      </c>
      <c r="B77" t="s">
        <v>195</v>
      </c>
      <c r="C77">
        <v>23</v>
      </c>
      <c r="D77" t="str">
        <f t="shared" si="4"/>
        <v>2019-05-01</v>
      </c>
      <c r="E77" t="str">
        <f t="shared" si="5"/>
        <v>2019-05-31</v>
      </c>
      <c r="F77">
        <f t="shared" si="6"/>
        <v>23</v>
      </c>
      <c r="G77">
        <f t="shared" si="7"/>
        <v>100</v>
      </c>
    </row>
    <row r="78" spans="1:7">
      <c r="A78" t="s">
        <v>16</v>
      </c>
      <c r="B78" t="s">
        <v>197</v>
      </c>
      <c r="C78">
        <v>20</v>
      </c>
      <c r="D78" t="str">
        <f t="shared" si="4"/>
        <v>2019-06-01</v>
      </c>
      <c r="E78" t="str">
        <f t="shared" si="5"/>
        <v>2019-06-30</v>
      </c>
      <c r="F78">
        <f t="shared" si="6"/>
        <v>20</v>
      </c>
      <c r="G78">
        <f t="shared" si="7"/>
        <v>100</v>
      </c>
    </row>
    <row r="79" spans="1:7">
      <c r="A79" t="s">
        <v>16</v>
      </c>
      <c r="B79" t="s">
        <v>198</v>
      </c>
      <c r="C79">
        <v>23</v>
      </c>
      <c r="D79" t="str">
        <f t="shared" si="4"/>
        <v>2019-07-01</v>
      </c>
      <c r="E79" t="str">
        <f t="shared" si="5"/>
        <v>2019-07-31</v>
      </c>
      <c r="F79">
        <f t="shared" si="6"/>
        <v>23</v>
      </c>
      <c r="G79">
        <f t="shared" si="7"/>
        <v>100</v>
      </c>
    </row>
    <row r="80" spans="1:7">
      <c r="A80" t="s">
        <v>16</v>
      </c>
      <c r="B80" t="s">
        <v>199</v>
      </c>
      <c r="C80">
        <v>22</v>
      </c>
      <c r="D80" t="str">
        <f t="shared" si="4"/>
        <v>2019-08-01</v>
      </c>
      <c r="E80" t="str">
        <f t="shared" si="5"/>
        <v>2019-08-31</v>
      </c>
      <c r="F80">
        <f t="shared" si="6"/>
        <v>22</v>
      </c>
      <c r="G80">
        <f t="shared" si="7"/>
        <v>100</v>
      </c>
    </row>
    <row r="81" spans="1:7">
      <c r="A81" t="s">
        <v>16</v>
      </c>
      <c r="B81" t="s">
        <v>200</v>
      </c>
      <c r="C81">
        <v>20</v>
      </c>
      <c r="D81" t="str">
        <f t="shared" si="4"/>
        <v>2019-09-01</v>
      </c>
      <c r="E81" t="str">
        <f t="shared" si="5"/>
        <v>2019-09-30</v>
      </c>
      <c r="F81">
        <f t="shared" si="6"/>
        <v>21</v>
      </c>
      <c r="G81">
        <f t="shared" si="7"/>
        <v>95.24</v>
      </c>
    </row>
    <row r="82" spans="1:7">
      <c r="A82" t="s">
        <v>19</v>
      </c>
      <c r="B82" t="s">
        <v>189</v>
      </c>
      <c r="C82">
        <v>20</v>
      </c>
      <c r="D82" t="str">
        <f t="shared" si="4"/>
        <v>2018-11-01</v>
      </c>
      <c r="E82" t="str">
        <f t="shared" si="5"/>
        <v>2018-11-30</v>
      </c>
      <c r="F82">
        <f t="shared" si="6"/>
        <v>22</v>
      </c>
      <c r="G82">
        <f t="shared" si="7"/>
        <v>90.91</v>
      </c>
    </row>
    <row r="83" spans="1:7">
      <c r="A83" t="s">
        <v>19</v>
      </c>
      <c r="B83" t="s">
        <v>190</v>
      </c>
      <c r="C83">
        <v>21</v>
      </c>
      <c r="D83" t="str">
        <f t="shared" si="4"/>
        <v>2018-12-01</v>
      </c>
      <c r="E83" t="str">
        <f t="shared" si="5"/>
        <v>2018-12-31</v>
      </c>
      <c r="F83">
        <f t="shared" si="6"/>
        <v>21</v>
      </c>
      <c r="G83">
        <f t="shared" si="7"/>
        <v>100</v>
      </c>
    </row>
    <row r="84" spans="1:7">
      <c r="A84" t="s">
        <v>19</v>
      </c>
      <c r="B84" t="s">
        <v>191</v>
      </c>
      <c r="C84">
        <v>23</v>
      </c>
      <c r="D84" t="str">
        <f t="shared" si="4"/>
        <v>2019-01-01</v>
      </c>
      <c r="E84" t="str">
        <f t="shared" si="5"/>
        <v>2019-01-31</v>
      </c>
      <c r="F84">
        <f t="shared" si="6"/>
        <v>23</v>
      </c>
      <c r="G84">
        <f t="shared" si="7"/>
        <v>100</v>
      </c>
    </row>
    <row r="85" spans="1:7">
      <c r="A85" t="s">
        <v>19</v>
      </c>
      <c r="B85" t="s">
        <v>192</v>
      </c>
      <c r="C85">
        <v>20</v>
      </c>
      <c r="D85" t="str">
        <f t="shared" si="4"/>
        <v>2019-02-01</v>
      </c>
      <c r="E85" t="str">
        <f t="shared" si="5"/>
        <v>2019-02-28</v>
      </c>
      <c r="F85">
        <f t="shared" si="6"/>
        <v>20</v>
      </c>
      <c r="G85">
        <f t="shared" si="7"/>
        <v>100</v>
      </c>
    </row>
    <row r="86" spans="1:7">
      <c r="A86" t="s">
        <v>19</v>
      </c>
      <c r="B86" t="s">
        <v>193</v>
      </c>
      <c r="C86">
        <v>21</v>
      </c>
      <c r="D86" t="str">
        <f t="shared" si="4"/>
        <v>2019-03-01</v>
      </c>
      <c r="E86" t="str">
        <f t="shared" si="5"/>
        <v>2019-03-31</v>
      </c>
      <c r="F86">
        <f t="shared" si="6"/>
        <v>21</v>
      </c>
      <c r="G86">
        <f t="shared" si="7"/>
        <v>100</v>
      </c>
    </row>
    <row r="87" spans="1:7">
      <c r="A87" t="s">
        <v>19</v>
      </c>
      <c r="B87" t="s">
        <v>194</v>
      </c>
      <c r="C87">
        <v>22</v>
      </c>
      <c r="D87" t="str">
        <f t="shared" si="4"/>
        <v>2019-04-01</v>
      </c>
      <c r="E87" t="str">
        <f t="shared" si="5"/>
        <v>2019-04-30</v>
      </c>
      <c r="F87">
        <f t="shared" si="6"/>
        <v>22</v>
      </c>
      <c r="G87">
        <f t="shared" si="7"/>
        <v>100</v>
      </c>
    </row>
    <row r="88" spans="1:7">
      <c r="A88" t="s">
        <v>19</v>
      </c>
      <c r="B88" t="s">
        <v>195</v>
      </c>
      <c r="C88">
        <v>3</v>
      </c>
      <c r="D88" t="str">
        <f t="shared" si="4"/>
        <v>2019-05-01</v>
      </c>
      <c r="E88" t="str">
        <f t="shared" si="5"/>
        <v>2019-05-31</v>
      </c>
      <c r="F88">
        <f t="shared" si="6"/>
        <v>23</v>
      </c>
      <c r="G88">
        <f t="shared" si="7"/>
        <v>13.04</v>
      </c>
    </row>
    <row r="89" spans="1:7">
      <c r="A89" t="s">
        <v>41</v>
      </c>
      <c r="B89" t="s">
        <v>186</v>
      </c>
      <c r="C89">
        <v>20</v>
      </c>
      <c r="D89" t="str">
        <f t="shared" si="4"/>
        <v>2018-08-01</v>
      </c>
      <c r="E89" t="str">
        <f t="shared" si="5"/>
        <v>2018-08-31</v>
      </c>
      <c r="F89">
        <f t="shared" si="6"/>
        <v>23</v>
      </c>
      <c r="G89">
        <f t="shared" si="7"/>
        <v>86.96</v>
      </c>
    </row>
    <row r="90" spans="1:7">
      <c r="A90" t="s">
        <v>41</v>
      </c>
      <c r="B90" t="s">
        <v>187</v>
      </c>
      <c r="C90">
        <v>20</v>
      </c>
      <c r="D90" t="str">
        <f t="shared" si="4"/>
        <v>2018-09-01</v>
      </c>
      <c r="E90" t="str">
        <f t="shared" si="5"/>
        <v>2018-09-30</v>
      </c>
      <c r="F90">
        <f t="shared" si="6"/>
        <v>20</v>
      </c>
      <c r="G90">
        <f t="shared" si="7"/>
        <v>100</v>
      </c>
    </row>
    <row r="91" spans="1:7">
      <c r="A91" t="s">
        <v>41</v>
      </c>
      <c r="B91" t="s">
        <v>188</v>
      </c>
      <c r="C91">
        <v>23</v>
      </c>
      <c r="D91" t="str">
        <f t="shared" si="4"/>
        <v>2018-10-01</v>
      </c>
      <c r="E91" t="str">
        <f t="shared" si="5"/>
        <v>2018-10-31</v>
      </c>
      <c r="F91">
        <f t="shared" si="6"/>
        <v>23</v>
      </c>
      <c r="G91">
        <f t="shared" si="7"/>
        <v>100</v>
      </c>
    </row>
    <row r="92" spans="1:7">
      <c r="A92" t="s">
        <v>41</v>
      </c>
      <c r="B92" t="s">
        <v>189</v>
      </c>
      <c r="C92">
        <v>22</v>
      </c>
      <c r="D92" t="str">
        <f t="shared" si="4"/>
        <v>2018-11-01</v>
      </c>
      <c r="E92" t="str">
        <f t="shared" si="5"/>
        <v>2018-11-30</v>
      </c>
      <c r="F92">
        <f t="shared" si="6"/>
        <v>22</v>
      </c>
      <c r="G92">
        <f t="shared" si="7"/>
        <v>100</v>
      </c>
    </row>
    <row r="93" spans="1:7">
      <c r="A93" t="s">
        <v>41</v>
      </c>
      <c r="B93" t="s">
        <v>190</v>
      </c>
      <c r="C93">
        <v>21</v>
      </c>
      <c r="D93" t="str">
        <f t="shared" si="4"/>
        <v>2018-12-01</v>
      </c>
      <c r="E93" t="str">
        <f t="shared" si="5"/>
        <v>2018-12-31</v>
      </c>
      <c r="F93">
        <f t="shared" si="6"/>
        <v>21</v>
      </c>
      <c r="G93">
        <f t="shared" si="7"/>
        <v>100</v>
      </c>
    </row>
    <row r="94" spans="1:7">
      <c r="A94" t="s">
        <v>41</v>
      </c>
      <c r="B94" t="s">
        <v>191</v>
      </c>
      <c r="C94">
        <v>23</v>
      </c>
      <c r="D94" t="str">
        <f t="shared" si="4"/>
        <v>2019-01-01</v>
      </c>
      <c r="E94" t="str">
        <f t="shared" si="5"/>
        <v>2019-01-31</v>
      </c>
      <c r="F94">
        <f t="shared" si="6"/>
        <v>23</v>
      </c>
      <c r="G94">
        <f t="shared" si="7"/>
        <v>100</v>
      </c>
    </row>
    <row r="95" spans="1:7">
      <c r="A95" t="s">
        <v>41</v>
      </c>
      <c r="B95" t="s">
        <v>192</v>
      </c>
      <c r="C95">
        <v>20</v>
      </c>
      <c r="D95" t="str">
        <f t="shared" si="4"/>
        <v>2019-02-01</v>
      </c>
      <c r="E95" t="str">
        <f t="shared" si="5"/>
        <v>2019-02-28</v>
      </c>
      <c r="F95">
        <f t="shared" si="6"/>
        <v>20</v>
      </c>
      <c r="G95">
        <f t="shared" si="7"/>
        <v>100</v>
      </c>
    </row>
    <row r="96" spans="1:7">
      <c r="A96" t="s">
        <v>41</v>
      </c>
      <c r="B96" t="s">
        <v>193</v>
      </c>
      <c r="C96">
        <v>21</v>
      </c>
      <c r="D96" t="str">
        <f t="shared" si="4"/>
        <v>2019-03-01</v>
      </c>
      <c r="E96" t="str">
        <f t="shared" si="5"/>
        <v>2019-03-31</v>
      </c>
      <c r="F96">
        <f t="shared" si="6"/>
        <v>21</v>
      </c>
      <c r="G96">
        <f t="shared" si="7"/>
        <v>100</v>
      </c>
    </row>
    <row r="97" spans="1:7">
      <c r="A97" t="s">
        <v>41</v>
      </c>
      <c r="B97" t="s">
        <v>194</v>
      </c>
      <c r="C97">
        <v>16</v>
      </c>
      <c r="D97" t="str">
        <f t="shared" si="4"/>
        <v>2019-04-01</v>
      </c>
      <c r="E97" t="str">
        <f t="shared" si="5"/>
        <v>2019-04-30</v>
      </c>
      <c r="F97">
        <f t="shared" si="6"/>
        <v>22</v>
      </c>
      <c r="G97">
        <f t="shared" si="7"/>
        <v>72.73</v>
      </c>
    </row>
    <row r="98" spans="1:7">
      <c r="A98" t="s">
        <v>8</v>
      </c>
      <c r="B98" t="s">
        <v>191</v>
      </c>
      <c r="C98">
        <v>22</v>
      </c>
      <c r="D98" t="str">
        <f t="shared" si="4"/>
        <v>2019-01-01</v>
      </c>
      <c r="E98" t="str">
        <f t="shared" si="5"/>
        <v>2019-01-31</v>
      </c>
      <c r="F98">
        <f t="shared" si="6"/>
        <v>23</v>
      </c>
      <c r="G98">
        <f t="shared" si="7"/>
        <v>95.65</v>
      </c>
    </row>
    <row r="99" spans="1:7">
      <c r="A99" t="s">
        <v>8</v>
      </c>
      <c r="B99" t="s">
        <v>192</v>
      </c>
      <c r="C99">
        <v>20</v>
      </c>
      <c r="D99" t="str">
        <f t="shared" si="4"/>
        <v>2019-02-01</v>
      </c>
      <c r="E99" t="str">
        <f t="shared" si="5"/>
        <v>2019-02-28</v>
      </c>
      <c r="F99">
        <f t="shared" si="6"/>
        <v>20</v>
      </c>
      <c r="G99">
        <f t="shared" si="7"/>
        <v>100</v>
      </c>
    </row>
    <row r="100" spans="1:7">
      <c r="A100" t="s">
        <v>8</v>
      </c>
      <c r="B100" t="s">
        <v>193</v>
      </c>
      <c r="C100">
        <v>19</v>
      </c>
      <c r="D100" t="str">
        <f t="shared" si="4"/>
        <v>2019-03-01</v>
      </c>
      <c r="E100" t="str">
        <f t="shared" si="5"/>
        <v>2019-03-31</v>
      </c>
      <c r="F100">
        <f t="shared" si="6"/>
        <v>21</v>
      </c>
      <c r="G100">
        <f t="shared" si="7"/>
        <v>90.48</v>
      </c>
    </row>
    <row r="101" spans="1:7">
      <c r="A101" t="s">
        <v>8</v>
      </c>
      <c r="B101" t="s">
        <v>194</v>
      </c>
      <c r="C101">
        <v>22</v>
      </c>
      <c r="D101" t="str">
        <f t="shared" si="4"/>
        <v>2019-04-01</v>
      </c>
      <c r="E101" t="str">
        <f t="shared" si="5"/>
        <v>2019-04-30</v>
      </c>
      <c r="F101">
        <f t="shared" si="6"/>
        <v>22</v>
      </c>
      <c r="G101">
        <f t="shared" si="7"/>
        <v>100</v>
      </c>
    </row>
    <row r="102" spans="1:7">
      <c r="A102" t="s">
        <v>8</v>
      </c>
      <c r="B102" t="s">
        <v>195</v>
      </c>
      <c r="C102">
        <v>23</v>
      </c>
      <c r="D102" t="str">
        <f t="shared" si="4"/>
        <v>2019-05-01</v>
      </c>
      <c r="E102" t="str">
        <f t="shared" si="5"/>
        <v>2019-05-31</v>
      </c>
      <c r="F102">
        <f t="shared" si="6"/>
        <v>23</v>
      </c>
      <c r="G102">
        <f t="shared" si="7"/>
        <v>100</v>
      </c>
    </row>
    <row r="103" spans="1:7">
      <c r="A103" t="s">
        <v>8</v>
      </c>
      <c r="B103" t="s">
        <v>197</v>
      </c>
      <c r="C103">
        <v>20</v>
      </c>
      <c r="D103" t="str">
        <f t="shared" si="4"/>
        <v>2019-06-01</v>
      </c>
      <c r="E103" t="str">
        <f t="shared" si="5"/>
        <v>2019-06-30</v>
      </c>
      <c r="F103">
        <f t="shared" si="6"/>
        <v>20</v>
      </c>
      <c r="G103">
        <f t="shared" si="7"/>
        <v>100</v>
      </c>
    </row>
    <row r="104" spans="1:7">
      <c r="A104" t="s">
        <v>8</v>
      </c>
      <c r="B104" t="s">
        <v>198</v>
      </c>
      <c r="C104">
        <v>23</v>
      </c>
      <c r="D104" t="str">
        <f t="shared" si="4"/>
        <v>2019-07-01</v>
      </c>
      <c r="E104" t="str">
        <f t="shared" si="5"/>
        <v>2019-07-31</v>
      </c>
      <c r="F104">
        <f t="shared" si="6"/>
        <v>23</v>
      </c>
      <c r="G104">
        <f t="shared" si="7"/>
        <v>100</v>
      </c>
    </row>
    <row r="105" spans="1:7">
      <c r="A105" t="s">
        <v>8</v>
      </c>
      <c r="B105" t="s">
        <v>199</v>
      </c>
      <c r="C105">
        <v>22</v>
      </c>
      <c r="D105" t="str">
        <f t="shared" si="4"/>
        <v>2019-08-01</v>
      </c>
      <c r="E105" t="str">
        <f t="shared" si="5"/>
        <v>2019-08-31</v>
      </c>
      <c r="F105">
        <f t="shared" si="6"/>
        <v>22</v>
      </c>
      <c r="G105">
        <f t="shared" si="7"/>
        <v>100</v>
      </c>
    </row>
    <row r="106" spans="1:7">
      <c r="A106" t="s">
        <v>8</v>
      </c>
      <c r="B106" t="s">
        <v>200</v>
      </c>
      <c r="C106">
        <v>21</v>
      </c>
      <c r="D106" t="str">
        <f t="shared" si="4"/>
        <v>2019-09-01</v>
      </c>
      <c r="E106" t="str">
        <f t="shared" si="5"/>
        <v>2019-09-30</v>
      </c>
      <c r="F106">
        <f t="shared" si="6"/>
        <v>21</v>
      </c>
      <c r="G106">
        <f t="shared" si="7"/>
        <v>100</v>
      </c>
    </row>
    <row r="107" spans="1:7">
      <c r="A107" t="s">
        <v>8</v>
      </c>
      <c r="B107" t="s">
        <v>201</v>
      </c>
      <c r="C107">
        <v>23</v>
      </c>
      <c r="D107" t="str">
        <f t="shared" si="4"/>
        <v>2019-10-01</v>
      </c>
      <c r="E107" t="str">
        <f t="shared" si="5"/>
        <v>2019-10-31</v>
      </c>
      <c r="F107">
        <f t="shared" si="6"/>
        <v>23</v>
      </c>
      <c r="G107">
        <f t="shared" si="7"/>
        <v>100</v>
      </c>
    </row>
    <row r="108" spans="1:7">
      <c r="A108" t="s">
        <v>8</v>
      </c>
      <c r="B108" t="s">
        <v>202</v>
      </c>
      <c r="C108">
        <v>21</v>
      </c>
      <c r="D108" t="str">
        <f t="shared" si="4"/>
        <v>2019-11-01</v>
      </c>
      <c r="E108" t="str">
        <f t="shared" si="5"/>
        <v>2019-11-30</v>
      </c>
      <c r="F108">
        <f t="shared" si="6"/>
        <v>21</v>
      </c>
      <c r="G108">
        <f t="shared" si="7"/>
        <v>100</v>
      </c>
    </row>
    <row r="109" spans="1:7">
      <c r="A109" t="s">
        <v>8</v>
      </c>
      <c r="B109" t="s">
        <v>203</v>
      </c>
      <c r="C109">
        <v>22</v>
      </c>
      <c r="D109" t="str">
        <f t="shared" si="4"/>
        <v>2019-12-01</v>
      </c>
      <c r="E109" t="str">
        <f t="shared" si="5"/>
        <v>2019-12-31</v>
      </c>
      <c r="F109">
        <f t="shared" si="6"/>
        <v>22</v>
      </c>
      <c r="G109">
        <f t="shared" si="7"/>
        <v>100</v>
      </c>
    </row>
    <row r="110" spans="1:7">
      <c r="A110" t="s">
        <v>8</v>
      </c>
      <c r="B110" t="s">
        <v>196</v>
      </c>
      <c r="C110">
        <v>23</v>
      </c>
      <c r="D110" t="str">
        <f t="shared" si="4"/>
        <v>2020-01-01</v>
      </c>
      <c r="E110" t="str">
        <f t="shared" si="5"/>
        <v>2020-01-31</v>
      </c>
      <c r="F110">
        <f t="shared" si="6"/>
        <v>23</v>
      </c>
      <c r="G110">
        <f t="shared" si="7"/>
        <v>100</v>
      </c>
    </row>
    <row r="111" spans="1:7">
      <c r="A111" t="s">
        <v>8</v>
      </c>
      <c r="B111" t="s">
        <v>204</v>
      </c>
      <c r="C111">
        <v>6</v>
      </c>
      <c r="D111" t="str">
        <f t="shared" si="4"/>
        <v>2020-02-01</v>
      </c>
      <c r="E111" t="str">
        <f t="shared" si="5"/>
        <v>2020-02-29</v>
      </c>
      <c r="F111">
        <f t="shared" si="6"/>
        <v>20</v>
      </c>
      <c r="G111">
        <f t="shared" si="7"/>
        <v>30</v>
      </c>
    </row>
    <row r="112" spans="1:7">
      <c r="A112" t="s">
        <v>43</v>
      </c>
      <c r="B112" t="s">
        <v>189</v>
      </c>
      <c r="C112">
        <v>22</v>
      </c>
      <c r="D112" t="str">
        <f t="shared" si="4"/>
        <v>2018-11-01</v>
      </c>
      <c r="E112" t="str">
        <f t="shared" si="5"/>
        <v>2018-11-30</v>
      </c>
      <c r="F112">
        <f t="shared" si="6"/>
        <v>22</v>
      </c>
      <c r="G112">
        <f t="shared" si="7"/>
        <v>100</v>
      </c>
    </row>
    <row r="113" spans="1:7">
      <c r="A113" t="s">
        <v>43</v>
      </c>
      <c r="B113" t="s">
        <v>190</v>
      </c>
      <c r="C113">
        <v>21</v>
      </c>
      <c r="D113" t="str">
        <f t="shared" si="4"/>
        <v>2018-12-01</v>
      </c>
      <c r="E113" t="str">
        <f t="shared" si="5"/>
        <v>2018-12-31</v>
      </c>
      <c r="F113">
        <f t="shared" si="6"/>
        <v>21</v>
      </c>
      <c r="G113">
        <f t="shared" si="7"/>
        <v>100</v>
      </c>
    </row>
    <row r="114" spans="1:7">
      <c r="A114" t="s">
        <v>43</v>
      </c>
      <c r="B114" t="s">
        <v>191</v>
      </c>
      <c r="C114">
        <v>23</v>
      </c>
      <c r="D114" t="str">
        <f t="shared" si="4"/>
        <v>2019-01-01</v>
      </c>
      <c r="E114" t="str">
        <f t="shared" si="5"/>
        <v>2019-01-31</v>
      </c>
      <c r="F114">
        <f t="shared" si="6"/>
        <v>23</v>
      </c>
      <c r="G114">
        <f t="shared" si="7"/>
        <v>100</v>
      </c>
    </row>
    <row r="115" spans="1:7">
      <c r="A115" t="s">
        <v>43</v>
      </c>
      <c r="B115" t="s">
        <v>192</v>
      </c>
      <c r="C115">
        <v>20</v>
      </c>
      <c r="D115" t="str">
        <f t="shared" si="4"/>
        <v>2019-02-01</v>
      </c>
      <c r="E115" t="str">
        <f t="shared" si="5"/>
        <v>2019-02-28</v>
      </c>
      <c r="F115">
        <f t="shared" si="6"/>
        <v>20</v>
      </c>
      <c r="G115">
        <f t="shared" si="7"/>
        <v>100</v>
      </c>
    </row>
    <row r="116" spans="1:7">
      <c r="A116" t="s">
        <v>43</v>
      </c>
      <c r="B116" t="s">
        <v>193</v>
      </c>
      <c r="C116">
        <v>21</v>
      </c>
      <c r="D116" t="str">
        <f t="shared" si="4"/>
        <v>2019-03-01</v>
      </c>
      <c r="E116" t="str">
        <f t="shared" si="5"/>
        <v>2019-03-31</v>
      </c>
      <c r="F116">
        <f t="shared" si="6"/>
        <v>21</v>
      </c>
      <c r="G116">
        <f t="shared" si="7"/>
        <v>100</v>
      </c>
    </row>
    <row r="117" spans="1:7">
      <c r="A117" t="s">
        <v>43</v>
      </c>
      <c r="B117" t="s">
        <v>194</v>
      </c>
      <c r="C117">
        <v>22</v>
      </c>
      <c r="D117" t="str">
        <f t="shared" si="4"/>
        <v>2019-04-01</v>
      </c>
      <c r="E117" t="str">
        <f t="shared" si="5"/>
        <v>2019-04-30</v>
      </c>
      <c r="F117">
        <f t="shared" si="6"/>
        <v>22</v>
      </c>
      <c r="G117">
        <f t="shared" si="7"/>
        <v>100</v>
      </c>
    </row>
    <row r="118" spans="1:7">
      <c r="A118" t="s">
        <v>43</v>
      </c>
      <c r="B118" t="s">
        <v>195</v>
      </c>
      <c r="C118">
        <v>23</v>
      </c>
      <c r="D118" t="str">
        <f t="shared" si="4"/>
        <v>2019-05-01</v>
      </c>
      <c r="E118" t="str">
        <f t="shared" si="5"/>
        <v>2019-05-31</v>
      </c>
      <c r="F118">
        <f t="shared" si="6"/>
        <v>23</v>
      </c>
      <c r="G118">
        <f t="shared" si="7"/>
        <v>100</v>
      </c>
    </row>
    <row r="119" spans="1:7">
      <c r="A119" t="s">
        <v>43</v>
      </c>
      <c r="B119" t="s">
        <v>197</v>
      </c>
      <c r="C119">
        <v>20</v>
      </c>
      <c r="D119" t="str">
        <f t="shared" si="4"/>
        <v>2019-06-01</v>
      </c>
      <c r="E119" t="str">
        <f t="shared" si="5"/>
        <v>2019-06-30</v>
      </c>
      <c r="F119">
        <f t="shared" si="6"/>
        <v>20</v>
      </c>
      <c r="G119">
        <f t="shared" si="7"/>
        <v>100</v>
      </c>
    </row>
    <row r="120" spans="1:7">
      <c r="A120" t="s">
        <v>30</v>
      </c>
      <c r="B120" t="s">
        <v>188</v>
      </c>
      <c r="C120">
        <v>18</v>
      </c>
      <c r="D120" t="str">
        <f t="shared" si="4"/>
        <v>2018-10-01</v>
      </c>
      <c r="E120" t="str">
        <f t="shared" si="5"/>
        <v>2018-10-31</v>
      </c>
      <c r="F120">
        <f t="shared" si="6"/>
        <v>23</v>
      </c>
      <c r="G120">
        <f t="shared" si="7"/>
        <v>78.260000000000005</v>
      </c>
    </row>
    <row r="121" spans="1:7">
      <c r="A121" t="s">
        <v>30</v>
      </c>
      <c r="B121" t="s">
        <v>189</v>
      </c>
      <c r="C121">
        <v>22</v>
      </c>
      <c r="D121" t="str">
        <f t="shared" si="4"/>
        <v>2018-11-01</v>
      </c>
      <c r="E121" t="str">
        <f t="shared" si="5"/>
        <v>2018-11-30</v>
      </c>
      <c r="F121">
        <f t="shared" si="6"/>
        <v>22</v>
      </c>
      <c r="G121">
        <f t="shared" si="7"/>
        <v>100</v>
      </c>
    </row>
    <row r="122" spans="1:7">
      <c r="A122" t="s">
        <v>30</v>
      </c>
      <c r="B122" t="s">
        <v>190</v>
      </c>
      <c r="C122">
        <v>21</v>
      </c>
      <c r="D122" t="str">
        <f t="shared" si="4"/>
        <v>2018-12-01</v>
      </c>
      <c r="E122" t="str">
        <f t="shared" si="5"/>
        <v>2018-12-31</v>
      </c>
      <c r="F122">
        <f t="shared" si="6"/>
        <v>21</v>
      </c>
      <c r="G122">
        <f t="shared" si="7"/>
        <v>100</v>
      </c>
    </row>
    <row r="123" spans="1:7">
      <c r="A123" t="s">
        <v>30</v>
      </c>
      <c r="B123" t="s">
        <v>191</v>
      </c>
      <c r="C123">
        <v>23</v>
      </c>
      <c r="D123" t="str">
        <f t="shared" si="4"/>
        <v>2019-01-01</v>
      </c>
      <c r="E123" t="str">
        <f t="shared" si="5"/>
        <v>2019-01-31</v>
      </c>
      <c r="F123">
        <f t="shared" si="6"/>
        <v>23</v>
      </c>
      <c r="G123">
        <f t="shared" si="7"/>
        <v>100</v>
      </c>
    </row>
    <row r="124" spans="1:7">
      <c r="A124" t="s">
        <v>30</v>
      </c>
      <c r="B124" t="s">
        <v>192</v>
      </c>
      <c r="C124">
        <v>20</v>
      </c>
      <c r="D124" t="str">
        <f t="shared" si="4"/>
        <v>2019-02-01</v>
      </c>
      <c r="E124" t="str">
        <f t="shared" si="5"/>
        <v>2019-02-28</v>
      </c>
      <c r="F124">
        <f t="shared" si="6"/>
        <v>20</v>
      </c>
      <c r="G124">
        <f t="shared" si="7"/>
        <v>100</v>
      </c>
    </row>
    <row r="125" spans="1:7">
      <c r="A125" t="s">
        <v>30</v>
      </c>
      <c r="B125" t="s">
        <v>193</v>
      </c>
      <c r="C125">
        <v>15</v>
      </c>
      <c r="D125" t="str">
        <f t="shared" si="4"/>
        <v>2019-03-01</v>
      </c>
      <c r="E125" t="str">
        <f t="shared" si="5"/>
        <v>2019-03-31</v>
      </c>
      <c r="F125">
        <f t="shared" si="6"/>
        <v>21</v>
      </c>
      <c r="G125">
        <f t="shared" si="7"/>
        <v>71.430000000000007</v>
      </c>
    </row>
    <row r="126" spans="1:7">
      <c r="A126" t="s">
        <v>30</v>
      </c>
      <c r="B126" t="s">
        <v>194</v>
      </c>
      <c r="C126">
        <v>17</v>
      </c>
      <c r="D126" t="str">
        <f t="shared" si="4"/>
        <v>2019-04-01</v>
      </c>
      <c r="E126" t="str">
        <f t="shared" si="5"/>
        <v>2019-04-30</v>
      </c>
      <c r="F126">
        <f t="shared" si="6"/>
        <v>22</v>
      </c>
      <c r="G126">
        <f t="shared" si="7"/>
        <v>77.27</v>
      </c>
    </row>
    <row r="127" spans="1:7">
      <c r="A127" t="s">
        <v>28</v>
      </c>
      <c r="B127" t="s">
        <v>187</v>
      </c>
      <c r="C127">
        <v>20</v>
      </c>
      <c r="D127" t="str">
        <f t="shared" si="4"/>
        <v>2018-09-01</v>
      </c>
      <c r="E127" t="str">
        <f t="shared" si="5"/>
        <v>2018-09-30</v>
      </c>
      <c r="F127">
        <f t="shared" si="6"/>
        <v>20</v>
      </c>
      <c r="G127">
        <f t="shared" si="7"/>
        <v>100</v>
      </c>
    </row>
    <row r="128" spans="1:7">
      <c r="A128" t="s">
        <v>28</v>
      </c>
      <c r="B128" t="s">
        <v>188</v>
      </c>
      <c r="C128">
        <v>23</v>
      </c>
      <c r="D128" t="str">
        <f t="shared" si="4"/>
        <v>2018-10-01</v>
      </c>
      <c r="E128" t="str">
        <f t="shared" si="5"/>
        <v>2018-10-31</v>
      </c>
      <c r="F128">
        <f t="shared" si="6"/>
        <v>23</v>
      </c>
      <c r="G128">
        <f t="shared" si="7"/>
        <v>100</v>
      </c>
    </row>
    <row r="129" spans="1:7">
      <c r="A129" t="s">
        <v>28</v>
      </c>
      <c r="B129" t="s">
        <v>189</v>
      </c>
      <c r="C129">
        <v>22</v>
      </c>
      <c r="D129" t="str">
        <f t="shared" si="4"/>
        <v>2018-11-01</v>
      </c>
      <c r="E129" t="str">
        <f t="shared" si="5"/>
        <v>2018-11-30</v>
      </c>
      <c r="F129">
        <f t="shared" si="6"/>
        <v>22</v>
      </c>
      <c r="G129">
        <f t="shared" si="7"/>
        <v>100</v>
      </c>
    </row>
    <row r="130" spans="1:7">
      <c r="A130" t="s">
        <v>28</v>
      </c>
      <c r="B130" t="s">
        <v>190</v>
      </c>
      <c r="C130">
        <v>21</v>
      </c>
      <c r="D130" t="str">
        <f t="shared" si="4"/>
        <v>2018-12-01</v>
      </c>
      <c r="E130" t="str">
        <f t="shared" si="5"/>
        <v>2018-12-31</v>
      </c>
      <c r="F130">
        <f t="shared" si="6"/>
        <v>21</v>
      </c>
      <c r="G130">
        <f t="shared" si="7"/>
        <v>100</v>
      </c>
    </row>
    <row r="131" spans="1:7">
      <c r="A131" t="s">
        <v>28</v>
      </c>
      <c r="B131" t="s">
        <v>191</v>
      </c>
      <c r="C131">
        <v>23</v>
      </c>
      <c r="D131" t="str">
        <f t="shared" ref="D131:D194" si="8">B131&amp;"-01"</f>
        <v>2019-01-01</v>
      </c>
      <c r="E131" t="str">
        <f t="shared" ref="E131:E194" si="9">TEXT(EOMONTH(DATEVALUE(D131),0),"YYYY-MM-DD")</f>
        <v>2019-01-31</v>
      </c>
      <c r="F131">
        <f t="shared" ref="F131:F194" si="10">NETWORKDAYS(D131,E131)</f>
        <v>23</v>
      </c>
      <c r="G131">
        <f t="shared" ref="G131:G194" si="11">ROUND(C131/F131*100,2)</f>
        <v>100</v>
      </c>
    </row>
    <row r="132" spans="1:7">
      <c r="A132" t="s">
        <v>28</v>
      </c>
      <c r="B132" t="s">
        <v>192</v>
      </c>
      <c r="C132">
        <v>20</v>
      </c>
      <c r="D132" t="str">
        <f t="shared" si="8"/>
        <v>2019-02-01</v>
      </c>
      <c r="E132" t="str">
        <f t="shared" si="9"/>
        <v>2019-02-28</v>
      </c>
      <c r="F132">
        <f t="shared" si="10"/>
        <v>20</v>
      </c>
      <c r="G132">
        <f t="shared" si="11"/>
        <v>100</v>
      </c>
    </row>
    <row r="133" spans="1:7">
      <c r="A133" t="s">
        <v>28</v>
      </c>
      <c r="B133" t="s">
        <v>193</v>
      </c>
      <c r="C133">
        <v>21</v>
      </c>
      <c r="D133" t="str">
        <f t="shared" si="8"/>
        <v>2019-03-01</v>
      </c>
      <c r="E133" t="str">
        <f t="shared" si="9"/>
        <v>2019-03-31</v>
      </c>
      <c r="F133">
        <f t="shared" si="10"/>
        <v>21</v>
      </c>
      <c r="G133">
        <f t="shared" si="11"/>
        <v>100</v>
      </c>
    </row>
    <row r="134" spans="1:7">
      <c r="A134" t="s">
        <v>28</v>
      </c>
      <c r="B134" t="s">
        <v>194</v>
      </c>
      <c r="C134">
        <v>22</v>
      </c>
      <c r="D134" t="str">
        <f t="shared" si="8"/>
        <v>2019-04-01</v>
      </c>
      <c r="E134" t="str">
        <f t="shared" si="9"/>
        <v>2019-04-30</v>
      </c>
      <c r="F134">
        <f t="shared" si="10"/>
        <v>22</v>
      </c>
      <c r="G134">
        <f t="shared" si="11"/>
        <v>100</v>
      </c>
    </row>
    <row r="135" spans="1:7">
      <c r="A135" t="s">
        <v>28</v>
      </c>
      <c r="B135" t="s">
        <v>195</v>
      </c>
      <c r="C135">
        <v>23</v>
      </c>
      <c r="D135" t="str">
        <f t="shared" si="8"/>
        <v>2019-05-01</v>
      </c>
      <c r="E135" t="str">
        <f t="shared" si="9"/>
        <v>2019-05-31</v>
      </c>
      <c r="F135">
        <f t="shared" si="10"/>
        <v>23</v>
      </c>
      <c r="G135">
        <f t="shared" si="11"/>
        <v>100</v>
      </c>
    </row>
    <row r="136" spans="1:7">
      <c r="A136" t="s">
        <v>28</v>
      </c>
      <c r="B136" t="s">
        <v>197</v>
      </c>
      <c r="C136">
        <v>20</v>
      </c>
      <c r="D136" t="str">
        <f t="shared" si="8"/>
        <v>2019-06-01</v>
      </c>
      <c r="E136" t="str">
        <f t="shared" si="9"/>
        <v>2019-06-30</v>
      </c>
      <c r="F136">
        <f t="shared" si="10"/>
        <v>20</v>
      </c>
      <c r="G136">
        <f t="shared" si="11"/>
        <v>100</v>
      </c>
    </row>
    <row r="137" spans="1:7">
      <c r="A137" t="s">
        <v>29</v>
      </c>
      <c r="B137" t="s">
        <v>186</v>
      </c>
      <c r="C137">
        <v>12</v>
      </c>
      <c r="D137" t="str">
        <f t="shared" si="8"/>
        <v>2018-08-01</v>
      </c>
      <c r="E137" t="str">
        <f t="shared" si="9"/>
        <v>2018-08-31</v>
      </c>
      <c r="F137">
        <f t="shared" si="10"/>
        <v>23</v>
      </c>
      <c r="G137">
        <f t="shared" si="11"/>
        <v>52.17</v>
      </c>
    </row>
    <row r="138" spans="1:7">
      <c r="A138" t="s">
        <v>29</v>
      </c>
      <c r="B138" t="s">
        <v>187</v>
      </c>
      <c r="C138">
        <v>20</v>
      </c>
      <c r="D138" t="str">
        <f t="shared" si="8"/>
        <v>2018-09-01</v>
      </c>
      <c r="E138" t="str">
        <f t="shared" si="9"/>
        <v>2018-09-30</v>
      </c>
      <c r="F138">
        <f t="shared" si="10"/>
        <v>20</v>
      </c>
      <c r="G138">
        <f t="shared" si="11"/>
        <v>100</v>
      </c>
    </row>
    <row r="139" spans="1:7">
      <c r="A139" t="s">
        <v>29</v>
      </c>
      <c r="B139" t="s">
        <v>188</v>
      </c>
      <c r="C139">
        <v>23</v>
      </c>
      <c r="D139" t="str">
        <f t="shared" si="8"/>
        <v>2018-10-01</v>
      </c>
      <c r="E139" t="str">
        <f t="shared" si="9"/>
        <v>2018-10-31</v>
      </c>
      <c r="F139">
        <f t="shared" si="10"/>
        <v>23</v>
      </c>
      <c r="G139">
        <f t="shared" si="11"/>
        <v>100</v>
      </c>
    </row>
    <row r="140" spans="1:7">
      <c r="A140" t="s">
        <v>29</v>
      </c>
      <c r="B140" t="s">
        <v>189</v>
      </c>
      <c r="C140">
        <v>22</v>
      </c>
      <c r="D140" t="str">
        <f t="shared" si="8"/>
        <v>2018-11-01</v>
      </c>
      <c r="E140" t="str">
        <f t="shared" si="9"/>
        <v>2018-11-30</v>
      </c>
      <c r="F140">
        <f t="shared" si="10"/>
        <v>22</v>
      </c>
      <c r="G140">
        <f t="shared" si="11"/>
        <v>100</v>
      </c>
    </row>
    <row r="141" spans="1:7">
      <c r="A141" t="s">
        <v>29</v>
      </c>
      <c r="B141" t="s">
        <v>190</v>
      </c>
      <c r="C141">
        <v>21</v>
      </c>
      <c r="D141" t="str">
        <f t="shared" si="8"/>
        <v>2018-12-01</v>
      </c>
      <c r="E141" t="str">
        <f t="shared" si="9"/>
        <v>2018-12-31</v>
      </c>
      <c r="F141">
        <f t="shared" si="10"/>
        <v>21</v>
      </c>
      <c r="G141">
        <f t="shared" si="11"/>
        <v>100</v>
      </c>
    </row>
    <row r="142" spans="1:7">
      <c r="A142" t="s">
        <v>29</v>
      </c>
      <c r="B142" t="s">
        <v>191</v>
      </c>
      <c r="C142">
        <v>23</v>
      </c>
      <c r="D142" t="str">
        <f t="shared" si="8"/>
        <v>2019-01-01</v>
      </c>
      <c r="E142" t="str">
        <f t="shared" si="9"/>
        <v>2019-01-31</v>
      </c>
      <c r="F142">
        <f t="shared" si="10"/>
        <v>23</v>
      </c>
      <c r="G142">
        <f t="shared" si="11"/>
        <v>100</v>
      </c>
    </row>
    <row r="143" spans="1:7">
      <c r="A143" t="s">
        <v>29</v>
      </c>
      <c r="B143" t="s">
        <v>192</v>
      </c>
      <c r="C143">
        <v>20</v>
      </c>
      <c r="D143" t="str">
        <f t="shared" si="8"/>
        <v>2019-02-01</v>
      </c>
      <c r="E143" t="str">
        <f t="shared" si="9"/>
        <v>2019-02-28</v>
      </c>
      <c r="F143">
        <f t="shared" si="10"/>
        <v>20</v>
      </c>
      <c r="G143">
        <f t="shared" si="11"/>
        <v>100</v>
      </c>
    </row>
    <row r="144" spans="1:7">
      <c r="A144" t="s">
        <v>29</v>
      </c>
      <c r="B144" t="s">
        <v>193</v>
      </c>
      <c r="C144">
        <v>21</v>
      </c>
      <c r="D144" t="str">
        <f t="shared" si="8"/>
        <v>2019-03-01</v>
      </c>
      <c r="E144" t="str">
        <f t="shared" si="9"/>
        <v>2019-03-31</v>
      </c>
      <c r="F144">
        <f t="shared" si="10"/>
        <v>21</v>
      </c>
      <c r="G144">
        <f t="shared" si="11"/>
        <v>100</v>
      </c>
    </row>
    <row r="145" spans="1:7">
      <c r="A145" t="s">
        <v>29</v>
      </c>
      <c r="B145" t="s">
        <v>194</v>
      </c>
      <c r="C145">
        <v>22</v>
      </c>
      <c r="D145" t="str">
        <f t="shared" si="8"/>
        <v>2019-04-01</v>
      </c>
      <c r="E145" t="str">
        <f t="shared" si="9"/>
        <v>2019-04-30</v>
      </c>
      <c r="F145">
        <f t="shared" si="10"/>
        <v>22</v>
      </c>
      <c r="G145">
        <f t="shared" si="11"/>
        <v>100</v>
      </c>
    </row>
    <row r="146" spans="1:7">
      <c r="A146" t="s">
        <v>29</v>
      </c>
      <c r="B146" t="s">
        <v>195</v>
      </c>
      <c r="C146">
        <v>23</v>
      </c>
      <c r="D146" t="str">
        <f t="shared" si="8"/>
        <v>2019-05-01</v>
      </c>
      <c r="E146" t="str">
        <f t="shared" si="9"/>
        <v>2019-05-31</v>
      </c>
      <c r="F146">
        <f t="shared" si="10"/>
        <v>23</v>
      </c>
      <c r="G146">
        <f t="shared" si="11"/>
        <v>100</v>
      </c>
    </row>
    <row r="147" spans="1:7">
      <c r="A147" t="s">
        <v>29</v>
      </c>
      <c r="B147" t="s">
        <v>197</v>
      </c>
      <c r="C147">
        <v>20</v>
      </c>
      <c r="D147" t="str">
        <f t="shared" si="8"/>
        <v>2019-06-01</v>
      </c>
      <c r="E147" t="str">
        <f t="shared" si="9"/>
        <v>2019-06-30</v>
      </c>
      <c r="F147">
        <f t="shared" si="10"/>
        <v>20</v>
      </c>
      <c r="G147">
        <f t="shared" si="11"/>
        <v>100</v>
      </c>
    </row>
    <row r="148" spans="1:7">
      <c r="A148" t="s">
        <v>31</v>
      </c>
      <c r="B148" t="s">
        <v>194</v>
      </c>
      <c r="C148">
        <v>21</v>
      </c>
      <c r="D148" t="str">
        <f t="shared" si="8"/>
        <v>2019-04-01</v>
      </c>
      <c r="E148" t="str">
        <f t="shared" si="9"/>
        <v>2019-04-30</v>
      </c>
      <c r="F148">
        <f t="shared" si="10"/>
        <v>22</v>
      </c>
      <c r="G148">
        <f t="shared" si="11"/>
        <v>95.45</v>
      </c>
    </row>
    <row r="149" spans="1:7">
      <c r="A149" t="s">
        <v>31</v>
      </c>
      <c r="B149" t="s">
        <v>195</v>
      </c>
      <c r="C149">
        <v>23</v>
      </c>
      <c r="D149" t="str">
        <f t="shared" si="8"/>
        <v>2019-05-01</v>
      </c>
      <c r="E149" t="str">
        <f t="shared" si="9"/>
        <v>2019-05-31</v>
      </c>
      <c r="F149">
        <f t="shared" si="10"/>
        <v>23</v>
      </c>
      <c r="G149">
        <f t="shared" si="11"/>
        <v>100</v>
      </c>
    </row>
    <row r="150" spans="1:7">
      <c r="A150" t="s">
        <v>31</v>
      </c>
      <c r="B150" t="s">
        <v>197</v>
      </c>
      <c r="C150">
        <v>20</v>
      </c>
      <c r="D150" t="str">
        <f t="shared" si="8"/>
        <v>2019-06-01</v>
      </c>
      <c r="E150" t="str">
        <f t="shared" si="9"/>
        <v>2019-06-30</v>
      </c>
      <c r="F150">
        <f t="shared" si="10"/>
        <v>20</v>
      </c>
      <c r="G150">
        <f t="shared" si="11"/>
        <v>100</v>
      </c>
    </row>
    <row r="151" spans="1:7">
      <c r="A151" t="s">
        <v>18</v>
      </c>
      <c r="B151" t="s">
        <v>187</v>
      </c>
      <c r="C151">
        <v>20</v>
      </c>
      <c r="D151" t="str">
        <f t="shared" si="8"/>
        <v>2018-09-01</v>
      </c>
      <c r="E151" t="str">
        <f t="shared" si="9"/>
        <v>2018-09-30</v>
      </c>
      <c r="F151">
        <f t="shared" si="10"/>
        <v>20</v>
      </c>
      <c r="G151">
        <f t="shared" si="11"/>
        <v>100</v>
      </c>
    </row>
    <row r="152" spans="1:7">
      <c r="A152" t="s">
        <v>18</v>
      </c>
      <c r="B152" t="s">
        <v>188</v>
      </c>
      <c r="C152">
        <v>23</v>
      </c>
      <c r="D152" t="str">
        <f t="shared" si="8"/>
        <v>2018-10-01</v>
      </c>
      <c r="E152" t="str">
        <f t="shared" si="9"/>
        <v>2018-10-31</v>
      </c>
      <c r="F152">
        <f t="shared" si="10"/>
        <v>23</v>
      </c>
      <c r="G152">
        <f t="shared" si="11"/>
        <v>100</v>
      </c>
    </row>
    <row r="153" spans="1:7">
      <c r="A153" t="s">
        <v>18</v>
      </c>
      <c r="B153" t="s">
        <v>189</v>
      </c>
      <c r="C153">
        <v>22</v>
      </c>
      <c r="D153" t="str">
        <f t="shared" si="8"/>
        <v>2018-11-01</v>
      </c>
      <c r="E153" t="str">
        <f t="shared" si="9"/>
        <v>2018-11-30</v>
      </c>
      <c r="F153">
        <f t="shared" si="10"/>
        <v>22</v>
      </c>
      <c r="G153">
        <f t="shared" si="11"/>
        <v>100</v>
      </c>
    </row>
    <row r="154" spans="1:7">
      <c r="A154" t="s">
        <v>18</v>
      </c>
      <c r="B154" t="s">
        <v>190</v>
      </c>
      <c r="C154">
        <v>39</v>
      </c>
      <c r="D154" t="str">
        <f t="shared" si="8"/>
        <v>2018-12-01</v>
      </c>
      <c r="E154" t="str">
        <f t="shared" si="9"/>
        <v>2018-12-31</v>
      </c>
      <c r="F154">
        <f t="shared" si="10"/>
        <v>21</v>
      </c>
      <c r="G154">
        <f t="shared" si="11"/>
        <v>185.71</v>
      </c>
    </row>
    <row r="155" spans="1:7">
      <c r="A155" t="s">
        <v>18</v>
      </c>
      <c r="B155" t="s">
        <v>191</v>
      </c>
      <c r="C155">
        <v>46</v>
      </c>
      <c r="D155" t="str">
        <f t="shared" si="8"/>
        <v>2019-01-01</v>
      </c>
      <c r="E155" t="str">
        <f t="shared" si="9"/>
        <v>2019-01-31</v>
      </c>
      <c r="F155">
        <f t="shared" si="10"/>
        <v>23</v>
      </c>
      <c r="G155">
        <f t="shared" si="11"/>
        <v>200</v>
      </c>
    </row>
    <row r="156" spans="1:7">
      <c r="A156" t="s">
        <v>18</v>
      </c>
      <c r="B156" t="s">
        <v>192</v>
      </c>
      <c r="C156">
        <v>40</v>
      </c>
      <c r="D156" t="str">
        <f t="shared" si="8"/>
        <v>2019-02-01</v>
      </c>
      <c r="E156" t="str">
        <f t="shared" si="9"/>
        <v>2019-02-28</v>
      </c>
      <c r="F156">
        <f t="shared" si="10"/>
        <v>20</v>
      </c>
      <c r="G156">
        <f t="shared" si="11"/>
        <v>200</v>
      </c>
    </row>
    <row r="157" spans="1:7">
      <c r="A157" t="s">
        <v>18</v>
      </c>
      <c r="B157" t="s">
        <v>193</v>
      </c>
      <c r="C157">
        <v>42</v>
      </c>
      <c r="D157" t="str">
        <f t="shared" si="8"/>
        <v>2019-03-01</v>
      </c>
      <c r="E157" t="str">
        <f t="shared" si="9"/>
        <v>2019-03-31</v>
      </c>
      <c r="F157">
        <f t="shared" si="10"/>
        <v>21</v>
      </c>
      <c r="G157">
        <f t="shared" si="11"/>
        <v>200</v>
      </c>
    </row>
    <row r="158" spans="1:7">
      <c r="A158" t="s">
        <v>18</v>
      </c>
      <c r="B158" t="s">
        <v>194</v>
      </c>
      <c r="C158">
        <v>22</v>
      </c>
      <c r="D158" t="str">
        <f t="shared" si="8"/>
        <v>2019-04-01</v>
      </c>
      <c r="E158" t="str">
        <f t="shared" si="9"/>
        <v>2019-04-30</v>
      </c>
      <c r="F158">
        <f t="shared" si="10"/>
        <v>22</v>
      </c>
      <c r="G158">
        <f t="shared" si="11"/>
        <v>100</v>
      </c>
    </row>
    <row r="159" spans="1:7">
      <c r="A159" t="s">
        <v>18</v>
      </c>
      <c r="B159" t="s">
        <v>195</v>
      </c>
      <c r="C159">
        <v>8</v>
      </c>
      <c r="D159" t="str">
        <f t="shared" si="8"/>
        <v>2019-05-01</v>
      </c>
      <c r="E159" t="str">
        <f t="shared" si="9"/>
        <v>2019-05-31</v>
      </c>
      <c r="F159">
        <f t="shared" si="10"/>
        <v>23</v>
      </c>
      <c r="G159">
        <f t="shared" si="11"/>
        <v>34.78</v>
      </c>
    </row>
    <row r="160" spans="1:7">
      <c r="A160" t="s">
        <v>39</v>
      </c>
      <c r="B160" t="s">
        <v>184</v>
      </c>
      <c r="C160">
        <v>20</v>
      </c>
      <c r="D160" t="str">
        <f t="shared" si="8"/>
        <v>2018-06-01</v>
      </c>
      <c r="E160" t="str">
        <f t="shared" si="9"/>
        <v>2018-06-30</v>
      </c>
      <c r="F160">
        <f t="shared" si="10"/>
        <v>21</v>
      </c>
      <c r="G160">
        <f t="shared" si="11"/>
        <v>95.24</v>
      </c>
    </row>
    <row r="161" spans="1:7">
      <c r="A161" t="s">
        <v>39</v>
      </c>
      <c r="B161" t="s">
        <v>185</v>
      </c>
      <c r="C161">
        <v>22</v>
      </c>
      <c r="D161" t="str">
        <f t="shared" si="8"/>
        <v>2018-07-01</v>
      </c>
      <c r="E161" t="str">
        <f t="shared" si="9"/>
        <v>2018-07-31</v>
      </c>
      <c r="F161">
        <f t="shared" si="10"/>
        <v>22</v>
      </c>
      <c r="G161">
        <f t="shared" si="11"/>
        <v>100</v>
      </c>
    </row>
    <row r="162" spans="1:7">
      <c r="A162" t="s">
        <v>39</v>
      </c>
      <c r="B162" t="s">
        <v>186</v>
      </c>
      <c r="C162">
        <v>23</v>
      </c>
      <c r="D162" t="str">
        <f t="shared" si="8"/>
        <v>2018-08-01</v>
      </c>
      <c r="E162" t="str">
        <f t="shared" si="9"/>
        <v>2018-08-31</v>
      </c>
      <c r="F162">
        <f t="shared" si="10"/>
        <v>23</v>
      </c>
      <c r="G162">
        <f t="shared" si="11"/>
        <v>100</v>
      </c>
    </row>
    <row r="163" spans="1:7">
      <c r="A163" t="s">
        <v>39</v>
      </c>
      <c r="B163" t="s">
        <v>187</v>
      </c>
      <c r="C163">
        <v>20</v>
      </c>
      <c r="D163" t="str">
        <f t="shared" si="8"/>
        <v>2018-09-01</v>
      </c>
      <c r="E163" t="str">
        <f t="shared" si="9"/>
        <v>2018-09-30</v>
      </c>
      <c r="F163">
        <f t="shared" si="10"/>
        <v>20</v>
      </c>
      <c r="G163">
        <f t="shared" si="11"/>
        <v>100</v>
      </c>
    </row>
    <row r="164" spans="1:7">
      <c r="A164" t="s">
        <v>39</v>
      </c>
      <c r="B164" t="s">
        <v>188</v>
      </c>
      <c r="C164">
        <v>23</v>
      </c>
      <c r="D164" t="str">
        <f t="shared" si="8"/>
        <v>2018-10-01</v>
      </c>
      <c r="E164" t="str">
        <f t="shared" si="9"/>
        <v>2018-10-31</v>
      </c>
      <c r="F164">
        <f t="shared" si="10"/>
        <v>23</v>
      </c>
      <c r="G164">
        <f t="shared" si="11"/>
        <v>100</v>
      </c>
    </row>
    <row r="165" spans="1:7">
      <c r="A165" t="s">
        <v>39</v>
      </c>
      <c r="B165" t="s">
        <v>189</v>
      </c>
      <c r="C165">
        <v>22</v>
      </c>
      <c r="D165" t="str">
        <f t="shared" si="8"/>
        <v>2018-11-01</v>
      </c>
      <c r="E165" t="str">
        <f t="shared" si="9"/>
        <v>2018-11-30</v>
      </c>
      <c r="F165">
        <f t="shared" si="10"/>
        <v>22</v>
      </c>
      <c r="G165">
        <f t="shared" si="11"/>
        <v>100</v>
      </c>
    </row>
    <row r="166" spans="1:7">
      <c r="A166" t="s">
        <v>39</v>
      </c>
      <c r="B166" t="s">
        <v>190</v>
      </c>
      <c r="C166">
        <v>21</v>
      </c>
      <c r="D166" t="str">
        <f t="shared" si="8"/>
        <v>2018-12-01</v>
      </c>
      <c r="E166" t="str">
        <f t="shared" si="9"/>
        <v>2018-12-31</v>
      </c>
      <c r="F166">
        <f t="shared" si="10"/>
        <v>21</v>
      </c>
      <c r="G166">
        <f t="shared" si="11"/>
        <v>100</v>
      </c>
    </row>
    <row r="167" spans="1:7">
      <c r="A167" t="s">
        <v>39</v>
      </c>
      <c r="B167" t="s">
        <v>191</v>
      </c>
      <c r="C167">
        <v>23</v>
      </c>
      <c r="D167" t="str">
        <f t="shared" si="8"/>
        <v>2019-01-01</v>
      </c>
      <c r="E167" t="str">
        <f t="shared" si="9"/>
        <v>2019-01-31</v>
      </c>
      <c r="F167">
        <f t="shared" si="10"/>
        <v>23</v>
      </c>
      <c r="G167">
        <f t="shared" si="11"/>
        <v>100</v>
      </c>
    </row>
    <row r="168" spans="1:7">
      <c r="A168" t="s">
        <v>39</v>
      </c>
      <c r="B168" t="s">
        <v>192</v>
      </c>
      <c r="C168">
        <v>20</v>
      </c>
      <c r="D168" t="str">
        <f t="shared" si="8"/>
        <v>2019-02-01</v>
      </c>
      <c r="E168" t="str">
        <f t="shared" si="9"/>
        <v>2019-02-28</v>
      </c>
      <c r="F168">
        <f t="shared" si="10"/>
        <v>20</v>
      </c>
      <c r="G168">
        <f t="shared" si="11"/>
        <v>100</v>
      </c>
    </row>
    <row r="169" spans="1:7">
      <c r="A169" t="s">
        <v>39</v>
      </c>
      <c r="B169" t="s">
        <v>193</v>
      </c>
      <c r="C169">
        <v>21</v>
      </c>
      <c r="D169" t="str">
        <f t="shared" si="8"/>
        <v>2019-03-01</v>
      </c>
      <c r="E169" t="str">
        <f t="shared" si="9"/>
        <v>2019-03-31</v>
      </c>
      <c r="F169">
        <f t="shared" si="10"/>
        <v>21</v>
      </c>
      <c r="G169">
        <f t="shared" si="11"/>
        <v>100</v>
      </c>
    </row>
    <row r="170" spans="1:7">
      <c r="A170" t="s">
        <v>39</v>
      </c>
      <c r="B170" t="s">
        <v>194</v>
      </c>
      <c r="C170">
        <v>5</v>
      </c>
      <c r="D170" t="str">
        <f t="shared" si="8"/>
        <v>2019-04-01</v>
      </c>
      <c r="E170" t="str">
        <f t="shared" si="9"/>
        <v>2019-04-30</v>
      </c>
      <c r="F170">
        <f t="shared" si="10"/>
        <v>22</v>
      </c>
      <c r="G170">
        <f t="shared" si="11"/>
        <v>22.73</v>
      </c>
    </row>
    <row r="171" spans="1:7">
      <c r="A171" t="s">
        <v>32</v>
      </c>
      <c r="B171" t="s">
        <v>188</v>
      </c>
      <c r="C171">
        <v>23</v>
      </c>
      <c r="D171" t="str">
        <f t="shared" si="8"/>
        <v>2018-10-01</v>
      </c>
      <c r="E171" t="str">
        <f t="shared" si="9"/>
        <v>2018-10-31</v>
      </c>
      <c r="F171">
        <f t="shared" si="10"/>
        <v>23</v>
      </c>
      <c r="G171">
        <f t="shared" si="11"/>
        <v>100</v>
      </c>
    </row>
    <row r="172" spans="1:7">
      <c r="A172" t="s">
        <v>32</v>
      </c>
      <c r="B172" t="s">
        <v>189</v>
      </c>
      <c r="C172">
        <v>22</v>
      </c>
      <c r="D172" t="str">
        <f t="shared" si="8"/>
        <v>2018-11-01</v>
      </c>
      <c r="E172" t="str">
        <f t="shared" si="9"/>
        <v>2018-11-30</v>
      </c>
      <c r="F172">
        <f t="shared" si="10"/>
        <v>22</v>
      </c>
      <c r="G172">
        <f t="shared" si="11"/>
        <v>100</v>
      </c>
    </row>
    <row r="173" spans="1:7">
      <c r="A173" t="s">
        <v>32</v>
      </c>
      <c r="B173" t="s">
        <v>190</v>
      </c>
      <c r="C173">
        <v>21</v>
      </c>
      <c r="D173" t="str">
        <f t="shared" si="8"/>
        <v>2018-12-01</v>
      </c>
      <c r="E173" t="str">
        <f t="shared" si="9"/>
        <v>2018-12-31</v>
      </c>
      <c r="F173">
        <f t="shared" si="10"/>
        <v>21</v>
      </c>
      <c r="G173">
        <f t="shared" si="11"/>
        <v>100</v>
      </c>
    </row>
    <row r="174" spans="1:7">
      <c r="A174" t="s">
        <v>32</v>
      </c>
      <c r="B174" t="s">
        <v>191</v>
      </c>
      <c r="C174">
        <v>23</v>
      </c>
      <c r="D174" t="str">
        <f t="shared" si="8"/>
        <v>2019-01-01</v>
      </c>
      <c r="E174" t="str">
        <f t="shared" si="9"/>
        <v>2019-01-31</v>
      </c>
      <c r="F174">
        <f t="shared" si="10"/>
        <v>23</v>
      </c>
      <c r="G174">
        <f t="shared" si="11"/>
        <v>100</v>
      </c>
    </row>
    <row r="175" spans="1:7">
      <c r="A175" t="s">
        <v>32</v>
      </c>
      <c r="B175" t="s">
        <v>192</v>
      </c>
      <c r="C175">
        <v>20</v>
      </c>
      <c r="D175" t="str">
        <f t="shared" si="8"/>
        <v>2019-02-01</v>
      </c>
      <c r="E175" t="str">
        <f t="shared" si="9"/>
        <v>2019-02-28</v>
      </c>
      <c r="F175">
        <f t="shared" si="10"/>
        <v>20</v>
      </c>
      <c r="G175">
        <f t="shared" si="11"/>
        <v>100</v>
      </c>
    </row>
    <row r="176" spans="1:7">
      <c r="A176" t="s">
        <v>32</v>
      </c>
      <c r="B176" t="s">
        <v>193</v>
      </c>
      <c r="C176">
        <v>21</v>
      </c>
      <c r="D176" t="str">
        <f t="shared" si="8"/>
        <v>2019-03-01</v>
      </c>
      <c r="E176" t="str">
        <f t="shared" si="9"/>
        <v>2019-03-31</v>
      </c>
      <c r="F176">
        <f t="shared" si="10"/>
        <v>21</v>
      </c>
      <c r="G176">
        <f t="shared" si="11"/>
        <v>100</v>
      </c>
    </row>
    <row r="177" spans="1:7">
      <c r="A177" t="s">
        <v>32</v>
      </c>
      <c r="B177" t="s">
        <v>194</v>
      </c>
      <c r="C177">
        <v>22</v>
      </c>
      <c r="D177" t="str">
        <f t="shared" si="8"/>
        <v>2019-04-01</v>
      </c>
      <c r="E177" t="str">
        <f t="shared" si="9"/>
        <v>2019-04-30</v>
      </c>
      <c r="F177">
        <f t="shared" si="10"/>
        <v>22</v>
      </c>
      <c r="G177">
        <f t="shared" si="11"/>
        <v>100</v>
      </c>
    </row>
    <row r="178" spans="1:7">
      <c r="A178" t="s">
        <v>32</v>
      </c>
      <c r="B178" t="s">
        <v>195</v>
      </c>
      <c r="C178">
        <v>23</v>
      </c>
      <c r="D178" t="str">
        <f t="shared" si="8"/>
        <v>2019-05-01</v>
      </c>
      <c r="E178" t="str">
        <f t="shared" si="9"/>
        <v>2019-05-31</v>
      </c>
      <c r="F178">
        <f t="shared" si="10"/>
        <v>23</v>
      </c>
      <c r="G178">
        <f t="shared" si="11"/>
        <v>100</v>
      </c>
    </row>
    <row r="179" spans="1:7">
      <c r="A179" t="s">
        <v>32</v>
      </c>
      <c r="B179" t="s">
        <v>197</v>
      </c>
      <c r="C179">
        <v>20</v>
      </c>
      <c r="D179" t="str">
        <f t="shared" si="8"/>
        <v>2019-06-01</v>
      </c>
      <c r="E179" t="str">
        <f t="shared" si="9"/>
        <v>2019-06-30</v>
      </c>
      <c r="F179">
        <f t="shared" si="10"/>
        <v>20</v>
      </c>
      <c r="G179">
        <f t="shared" si="11"/>
        <v>100</v>
      </c>
    </row>
    <row r="180" spans="1:7">
      <c r="A180" t="s">
        <v>37</v>
      </c>
      <c r="B180" t="s">
        <v>194</v>
      </c>
      <c r="C180">
        <v>21</v>
      </c>
      <c r="D180" t="str">
        <f t="shared" si="8"/>
        <v>2019-04-01</v>
      </c>
      <c r="E180" t="str">
        <f t="shared" si="9"/>
        <v>2019-04-30</v>
      </c>
      <c r="F180">
        <f t="shared" si="10"/>
        <v>22</v>
      </c>
      <c r="G180">
        <f t="shared" si="11"/>
        <v>95.45</v>
      </c>
    </row>
    <row r="181" spans="1:7">
      <c r="A181" t="s">
        <v>37</v>
      </c>
      <c r="B181" t="s">
        <v>195</v>
      </c>
      <c r="C181">
        <v>23</v>
      </c>
      <c r="D181" t="str">
        <f t="shared" si="8"/>
        <v>2019-05-01</v>
      </c>
      <c r="E181" t="str">
        <f t="shared" si="9"/>
        <v>2019-05-31</v>
      </c>
      <c r="F181">
        <f t="shared" si="10"/>
        <v>23</v>
      </c>
      <c r="G181">
        <f t="shared" si="11"/>
        <v>100</v>
      </c>
    </row>
    <row r="182" spans="1:7">
      <c r="A182" t="s">
        <v>11</v>
      </c>
      <c r="B182" t="s">
        <v>187</v>
      </c>
      <c r="C182">
        <v>18</v>
      </c>
      <c r="D182" t="str">
        <f t="shared" si="8"/>
        <v>2018-09-01</v>
      </c>
      <c r="E182" t="str">
        <f t="shared" si="9"/>
        <v>2018-09-30</v>
      </c>
      <c r="F182">
        <f t="shared" si="10"/>
        <v>20</v>
      </c>
      <c r="G182">
        <f t="shared" si="11"/>
        <v>90</v>
      </c>
    </row>
    <row r="183" spans="1:7">
      <c r="A183" t="s">
        <v>11</v>
      </c>
      <c r="B183" t="s">
        <v>188</v>
      </c>
      <c r="C183">
        <v>23</v>
      </c>
      <c r="D183" t="str">
        <f t="shared" si="8"/>
        <v>2018-10-01</v>
      </c>
      <c r="E183" t="str">
        <f t="shared" si="9"/>
        <v>2018-10-31</v>
      </c>
      <c r="F183">
        <f t="shared" si="10"/>
        <v>23</v>
      </c>
      <c r="G183">
        <f t="shared" si="11"/>
        <v>100</v>
      </c>
    </row>
    <row r="184" spans="1:7">
      <c r="A184" t="s">
        <v>11</v>
      </c>
      <c r="B184" t="s">
        <v>189</v>
      </c>
      <c r="C184">
        <v>22</v>
      </c>
      <c r="D184" t="str">
        <f t="shared" si="8"/>
        <v>2018-11-01</v>
      </c>
      <c r="E184" t="str">
        <f t="shared" si="9"/>
        <v>2018-11-30</v>
      </c>
      <c r="F184">
        <f t="shared" si="10"/>
        <v>22</v>
      </c>
      <c r="G184">
        <f t="shared" si="11"/>
        <v>100</v>
      </c>
    </row>
    <row r="185" spans="1:7">
      <c r="A185" t="s">
        <v>11</v>
      </c>
      <c r="B185" t="s">
        <v>190</v>
      </c>
      <c r="C185">
        <v>21</v>
      </c>
      <c r="D185" t="str">
        <f t="shared" si="8"/>
        <v>2018-12-01</v>
      </c>
      <c r="E185" t="str">
        <f t="shared" si="9"/>
        <v>2018-12-31</v>
      </c>
      <c r="F185">
        <f t="shared" si="10"/>
        <v>21</v>
      </c>
      <c r="G185">
        <f t="shared" si="11"/>
        <v>100</v>
      </c>
    </row>
    <row r="186" spans="1:7">
      <c r="A186" t="s">
        <v>11</v>
      </c>
      <c r="B186" t="s">
        <v>191</v>
      </c>
      <c r="C186">
        <v>23</v>
      </c>
      <c r="D186" t="str">
        <f t="shared" si="8"/>
        <v>2019-01-01</v>
      </c>
      <c r="E186" t="str">
        <f t="shared" si="9"/>
        <v>2019-01-31</v>
      </c>
      <c r="F186">
        <f t="shared" si="10"/>
        <v>23</v>
      </c>
      <c r="G186">
        <f t="shared" si="11"/>
        <v>100</v>
      </c>
    </row>
    <row r="187" spans="1:7">
      <c r="A187" t="s">
        <v>11</v>
      </c>
      <c r="B187" t="s">
        <v>192</v>
      </c>
      <c r="C187">
        <v>11</v>
      </c>
      <c r="D187" t="str">
        <f t="shared" si="8"/>
        <v>2019-02-01</v>
      </c>
      <c r="E187" t="str">
        <f t="shared" si="9"/>
        <v>2019-02-28</v>
      </c>
      <c r="F187">
        <f t="shared" si="10"/>
        <v>20</v>
      </c>
      <c r="G187">
        <f t="shared" si="11"/>
        <v>55</v>
      </c>
    </row>
    <row r="188" spans="1:7">
      <c r="A188" t="s">
        <v>11</v>
      </c>
      <c r="B188" t="s">
        <v>193</v>
      </c>
      <c r="C188">
        <v>10</v>
      </c>
      <c r="D188" t="str">
        <f t="shared" si="8"/>
        <v>2019-03-01</v>
      </c>
      <c r="E188" t="str">
        <f t="shared" si="9"/>
        <v>2019-03-31</v>
      </c>
      <c r="F188">
        <f t="shared" si="10"/>
        <v>21</v>
      </c>
      <c r="G188">
        <f t="shared" si="11"/>
        <v>47.62</v>
      </c>
    </row>
    <row r="189" spans="1:7">
      <c r="A189" t="s">
        <v>11</v>
      </c>
      <c r="B189" t="s">
        <v>194</v>
      </c>
      <c r="C189">
        <v>22</v>
      </c>
      <c r="D189" t="str">
        <f t="shared" si="8"/>
        <v>2019-04-01</v>
      </c>
      <c r="E189" t="str">
        <f t="shared" si="9"/>
        <v>2019-04-30</v>
      </c>
      <c r="F189">
        <f t="shared" si="10"/>
        <v>22</v>
      </c>
      <c r="G189">
        <f t="shared" si="11"/>
        <v>100</v>
      </c>
    </row>
    <row r="190" spans="1:7">
      <c r="A190" t="s">
        <v>11</v>
      </c>
      <c r="B190" t="s">
        <v>195</v>
      </c>
      <c r="C190">
        <v>23</v>
      </c>
      <c r="D190" t="str">
        <f t="shared" si="8"/>
        <v>2019-05-01</v>
      </c>
      <c r="E190" t="str">
        <f t="shared" si="9"/>
        <v>2019-05-31</v>
      </c>
      <c r="F190">
        <f t="shared" si="10"/>
        <v>23</v>
      </c>
      <c r="G190">
        <f t="shared" si="11"/>
        <v>100</v>
      </c>
    </row>
    <row r="191" spans="1:7">
      <c r="A191" t="s">
        <v>11</v>
      </c>
      <c r="B191" t="s">
        <v>197</v>
      </c>
      <c r="C191">
        <v>20</v>
      </c>
      <c r="D191" t="str">
        <f t="shared" si="8"/>
        <v>2019-06-01</v>
      </c>
      <c r="E191" t="str">
        <f t="shared" si="9"/>
        <v>2019-06-30</v>
      </c>
      <c r="F191">
        <f t="shared" si="10"/>
        <v>20</v>
      </c>
      <c r="G191">
        <f t="shared" si="11"/>
        <v>100</v>
      </c>
    </row>
    <row r="192" spans="1:7">
      <c r="A192" t="s">
        <v>11</v>
      </c>
      <c r="B192" t="s">
        <v>198</v>
      </c>
      <c r="C192">
        <v>23</v>
      </c>
      <c r="D192" t="str">
        <f t="shared" si="8"/>
        <v>2019-07-01</v>
      </c>
      <c r="E192" t="str">
        <f t="shared" si="9"/>
        <v>2019-07-31</v>
      </c>
      <c r="F192">
        <f t="shared" si="10"/>
        <v>23</v>
      </c>
      <c r="G192">
        <f t="shared" si="11"/>
        <v>100</v>
      </c>
    </row>
    <row r="193" spans="1:7">
      <c r="A193" t="s">
        <v>11</v>
      </c>
      <c r="B193" t="s">
        <v>199</v>
      </c>
      <c r="C193">
        <v>22</v>
      </c>
      <c r="D193" t="str">
        <f t="shared" si="8"/>
        <v>2019-08-01</v>
      </c>
      <c r="E193" t="str">
        <f t="shared" si="9"/>
        <v>2019-08-31</v>
      </c>
      <c r="F193">
        <f t="shared" si="10"/>
        <v>22</v>
      </c>
      <c r="G193">
        <f t="shared" si="11"/>
        <v>100</v>
      </c>
    </row>
    <row r="194" spans="1:7">
      <c r="A194" t="s">
        <v>11</v>
      </c>
      <c r="B194" t="s">
        <v>200</v>
      </c>
      <c r="C194">
        <v>21</v>
      </c>
      <c r="D194" t="str">
        <f t="shared" si="8"/>
        <v>2019-09-01</v>
      </c>
      <c r="E194" t="str">
        <f t="shared" si="9"/>
        <v>2019-09-30</v>
      </c>
      <c r="F194">
        <f t="shared" si="10"/>
        <v>21</v>
      </c>
      <c r="G194">
        <f t="shared" si="11"/>
        <v>100</v>
      </c>
    </row>
    <row r="195" spans="1:7">
      <c r="A195" t="s">
        <v>11</v>
      </c>
      <c r="B195" t="s">
        <v>201</v>
      </c>
      <c r="C195">
        <v>23</v>
      </c>
      <c r="D195" t="str">
        <f t="shared" ref="D195:D258" si="12">B195&amp;"-01"</f>
        <v>2019-10-01</v>
      </c>
      <c r="E195" t="str">
        <f t="shared" ref="E195:E258" si="13">TEXT(EOMONTH(DATEVALUE(D195),0),"YYYY-MM-DD")</f>
        <v>2019-10-31</v>
      </c>
      <c r="F195">
        <f t="shared" ref="F195:F258" si="14">NETWORKDAYS(D195,E195)</f>
        <v>23</v>
      </c>
      <c r="G195">
        <f t="shared" ref="G195:G258" si="15">ROUND(C195/F195*100,2)</f>
        <v>100</v>
      </c>
    </row>
    <row r="196" spans="1:7">
      <c r="A196" t="s">
        <v>11</v>
      </c>
      <c r="B196" t="s">
        <v>202</v>
      </c>
      <c r="C196">
        <v>6</v>
      </c>
      <c r="D196" t="str">
        <f t="shared" si="12"/>
        <v>2019-11-01</v>
      </c>
      <c r="E196" t="str">
        <f t="shared" si="13"/>
        <v>2019-11-30</v>
      </c>
      <c r="F196">
        <f t="shared" si="14"/>
        <v>21</v>
      </c>
      <c r="G196">
        <f t="shared" si="15"/>
        <v>28.57</v>
      </c>
    </row>
    <row r="197" spans="1:7">
      <c r="A197" t="s">
        <v>22</v>
      </c>
      <c r="B197" t="s">
        <v>189</v>
      </c>
      <c r="C197">
        <v>20</v>
      </c>
      <c r="D197" t="str">
        <f t="shared" si="12"/>
        <v>2018-11-01</v>
      </c>
      <c r="E197" t="str">
        <f t="shared" si="13"/>
        <v>2018-11-30</v>
      </c>
      <c r="F197">
        <f t="shared" si="14"/>
        <v>22</v>
      </c>
      <c r="G197">
        <f t="shared" si="15"/>
        <v>90.91</v>
      </c>
    </row>
    <row r="198" spans="1:7">
      <c r="A198" t="s">
        <v>22</v>
      </c>
      <c r="B198" t="s">
        <v>190</v>
      </c>
      <c r="C198">
        <v>21</v>
      </c>
      <c r="D198" t="str">
        <f t="shared" si="12"/>
        <v>2018-12-01</v>
      </c>
      <c r="E198" t="str">
        <f t="shared" si="13"/>
        <v>2018-12-31</v>
      </c>
      <c r="F198">
        <f t="shared" si="14"/>
        <v>21</v>
      </c>
      <c r="G198">
        <f t="shared" si="15"/>
        <v>100</v>
      </c>
    </row>
    <row r="199" spans="1:7">
      <c r="A199" t="s">
        <v>22</v>
      </c>
      <c r="B199" t="s">
        <v>191</v>
      </c>
      <c r="C199">
        <v>23</v>
      </c>
      <c r="D199" t="str">
        <f t="shared" si="12"/>
        <v>2019-01-01</v>
      </c>
      <c r="E199" t="str">
        <f t="shared" si="13"/>
        <v>2019-01-31</v>
      </c>
      <c r="F199">
        <f t="shared" si="14"/>
        <v>23</v>
      </c>
      <c r="G199">
        <f t="shared" si="15"/>
        <v>100</v>
      </c>
    </row>
    <row r="200" spans="1:7">
      <c r="A200" t="s">
        <v>22</v>
      </c>
      <c r="B200" t="s">
        <v>192</v>
      </c>
      <c r="C200">
        <v>20</v>
      </c>
      <c r="D200" t="str">
        <f t="shared" si="12"/>
        <v>2019-02-01</v>
      </c>
      <c r="E200" t="str">
        <f t="shared" si="13"/>
        <v>2019-02-28</v>
      </c>
      <c r="F200">
        <f t="shared" si="14"/>
        <v>20</v>
      </c>
      <c r="G200">
        <f t="shared" si="15"/>
        <v>100</v>
      </c>
    </row>
    <row r="201" spans="1:7">
      <c r="A201" t="s">
        <v>22</v>
      </c>
      <c r="B201" t="s">
        <v>193</v>
      </c>
      <c r="C201">
        <v>21</v>
      </c>
      <c r="D201" t="str">
        <f t="shared" si="12"/>
        <v>2019-03-01</v>
      </c>
      <c r="E201" t="str">
        <f t="shared" si="13"/>
        <v>2019-03-31</v>
      </c>
      <c r="F201">
        <f t="shared" si="14"/>
        <v>21</v>
      </c>
      <c r="G201">
        <f t="shared" si="15"/>
        <v>100</v>
      </c>
    </row>
    <row r="202" spans="1:7">
      <c r="A202" t="s">
        <v>22</v>
      </c>
      <c r="B202" t="s">
        <v>194</v>
      </c>
      <c r="C202">
        <v>22</v>
      </c>
      <c r="D202" t="str">
        <f t="shared" si="12"/>
        <v>2019-04-01</v>
      </c>
      <c r="E202" t="str">
        <f t="shared" si="13"/>
        <v>2019-04-30</v>
      </c>
      <c r="F202">
        <f t="shared" si="14"/>
        <v>22</v>
      </c>
      <c r="G202">
        <f t="shared" si="15"/>
        <v>100</v>
      </c>
    </row>
    <row r="203" spans="1:7">
      <c r="A203" t="s">
        <v>22</v>
      </c>
      <c r="B203" t="s">
        <v>195</v>
      </c>
      <c r="C203">
        <v>23</v>
      </c>
      <c r="D203" t="str">
        <f t="shared" si="12"/>
        <v>2019-05-01</v>
      </c>
      <c r="E203" t="str">
        <f t="shared" si="13"/>
        <v>2019-05-31</v>
      </c>
      <c r="F203">
        <f t="shared" si="14"/>
        <v>23</v>
      </c>
      <c r="G203">
        <f t="shared" si="15"/>
        <v>100</v>
      </c>
    </row>
    <row r="204" spans="1:7">
      <c r="A204" t="s">
        <v>23</v>
      </c>
      <c r="B204" t="s">
        <v>179</v>
      </c>
      <c r="C204">
        <v>22</v>
      </c>
      <c r="D204" t="str">
        <f t="shared" si="12"/>
        <v>2018-01-01</v>
      </c>
      <c r="E204" t="str">
        <f t="shared" si="13"/>
        <v>2018-01-31</v>
      </c>
      <c r="F204">
        <f t="shared" si="14"/>
        <v>23</v>
      </c>
      <c r="G204">
        <f t="shared" si="15"/>
        <v>95.65</v>
      </c>
    </row>
    <row r="205" spans="1:7">
      <c r="A205" t="s">
        <v>23</v>
      </c>
      <c r="B205" t="s">
        <v>180</v>
      </c>
      <c r="C205">
        <v>20</v>
      </c>
      <c r="D205" t="str">
        <f t="shared" si="12"/>
        <v>2018-02-01</v>
      </c>
      <c r="E205" t="str">
        <f t="shared" si="13"/>
        <v>2018-02-28</v>
      </c>
      <c r="F205">
        <f t="shared" si="14"/>
        <v>20</v>
      </c>
      <c r="G205">
        <f t="shared" si="15"/>
        <v>100</v>
      </c>
    </row>
    <row r="206" spans="1:7">
      <c r="A206" t="s">
        <v>23</v>
      </c>
      <c r="B206" t="s">
        <v>181</v>
      </c>
      <c r="C206">
        <v>22</v>
      </c>
      <c r="D206" t="str">
        <f t="shared" si="12"/>
        <v>2018-03-01</v>
      </c>
      <c r="E206" t="str">
        <f t="shared" si="13"/>
        <v>2018-03-31</v>
      </c>
      <c r="F206">
        <f t="shared" si="14"/>
        <v>22</v>
      </c>
      <c r="G206">
        <f t="shared" si="15"/>
        <v>100</v>
      </c>
    </row>
    <row r="207" spans="1:7">
      <c r="A207" t="s">
        <v>23</v>
      </c>
      <c r="B207" t="s">
        <v>182</v>
      </c>
      <c r="C207">
        <v>21</v>
      </c>
      <c r="D207" t="str">
        <f t="shared" si="12"/>
        <v>2018-04-01</v>
      </c>
      <c r="E207" t="str">
        <f t="shared" si="13"/>
        <v>2018-04-30</v>
      </c>
      <c r="F207">
        <f t="shared" si="14"/>
        <v>21</v>
      </c>
      <c r="G207">
        <f t="shared" si="15"/>
        <v>100</v>
      </c>
    </row>
    <row r="208" spans="1:7">
      <c r="A208" t="s">
        <v>23</v>
      </c>
      <c r="B208" t="s">
        <v>183</v>
      </c>
      <c r="C208">
        <v>23</v>
      </c>
      <c r="D208" t="str">
        <f t="shared" si="12"/>
        <v>2018-05-01</v>
      </c>
      <c r="E208" t="str">
        <f t="shared" si="13"/>
        <v>2018-05-31</v>
      </c>
      <c r="F208">
        <f t="shared" si="14"/>
        <v>23</v>
      </c>
      <c r="G208">
        <f t="shared" si="15"/>
        <v>100</v>
      </c>
    </row>
    <row r="209" spans="1:7">
      <c r="A209" t="s">
        <v>23</v>
      </c>
      <c r="B209" t="s">
        <v>184</v>
      </c>
      <c r="C209">
        <v>21</v>
      </c>
      <c r="D209" t="str">
        <f t="shared" si="12"/>
        <v>2018-06-01</v>
      </c>
      <c r="E209" t="str">
        <f t="shared" si="13"/>
        <v>2018-06-30</v>
      </c>
      <c r="F209">
        <f t="shared" si="14"/>
        <v>21</v>
      </c>
      <c r="G209">
        <f t="shared" si="15"/>
        <v>100</v>
      </c>
    </row>
    <row r="210" spans="1:7">
      <c r="A210" t="s">
        <v>23</v>
      </c>
      <c r="B210" t="s">
        <v>185</v>
      </c>
      <c r="C210">
        <v>22</v>
      </c>
      <c r="D210" t="str">
        <f t="shared" si="12"/>
        <v>2018-07-01</v>
      </c>
      <c r="E210" t="str">
        <f t="shared" si="13"/>
        <v>2018-07-31</v>
      </c>
      <c r="F210">
        <f t="shared" si="14"/>
        <v>22</v>
      </c>
      <c r="G210">
        <f t="shared" si="15"/>
        <v>100</v>
      </c>
    </row>
    <row r="211" spans="1:7">
      <c r="A211" t="s">
        <v>23</v>
      </c>
      <c r="B211" t="s">
        <v>186</v>
      </c>
      <c r="C211">
        <v>23</v>
      </c>
      <c r="D211" t="str">
        <f t="shared" si="12"/>
        <v>2018-08-01</v>
      </c>
      <c r="E211" t="str">
        <f t="shared" si="13"/>
        <v>2018-08-31</v>
      </c>
      <c r="F211">
        <f t="shared" si="14"/>
        <v>23</v>
      </c>
      <c r="G211">
        <f t="shared" si="15"/>
        <v>100</v>
      </c>
    </row>
    <row r="212" spans="1:7">
      <c r="A212" t="s">
        <v>23</v>
      </c>
      <c r="B212" t="s">
        <v>187</v>
      </c>
      <c r="C212">
        <v>20</v>
      </c>
      <c r="D212" t="str">
        <f t="shared" si="12"/>
        <v>2018-09-01</v>
      </c>
      <c r="E212" t="str">
        <f t="shared" si="13"/>
        <v>2018-09-30</v>
      </c>
      <c r="F212">
        <f t="shared" si="14"/>
        <v>20</v>
      </c>
      <c r="G212">
        <f t="shared" si="15"/>
        <v>100</v>
      </c>
    </row>
    <row r="213" spans="1:7">
      <c r="A213" t="s">
        <v>23</v>
      </c>
      <c r="B213" t="s">
        <v>188</v>
      </c>
      <c r="C213">
        <v>23</v>
      </c>
      <c r="D213" t="str">
        <f t="shared" si="12"/>
        <v>2018-10-01</v>
      </c>
      <c r="E213" t="str">
        <f t="shared" si="13"/>
        <v>2018-10-31</v>
      </c>
      <c r="F213">
        <f t="shared" si="14"/>
        <v>23</v>
      </c>
      <c r="G213">
        <f t="shared" si="15"/>
        <v>100</v>
      </c>
    </row>
    <row r="214" spans="1:7">
      <c r="A214" t="s">
        <v>23</v>
      </c>
      <c r="B214" t="s">
        <v>189</v>
      </c>
      <c r="C214">
        <v>22</v>
      </c>
      <c r="D214" t="str">
        <f t="shared" si="12"/>
        <v>2018-11-01</v>
      </c>
      <c r="E214" t="str">
        <f t="shared" si="13"/>
        <v>2018-11-30</v>
      </c>
      <c r="F214">
        <f t="shared" si="14"/>
        <v>22</v>
      </c>
      <c r="G214">
        <f t="shared" si="15"/>
        <v>100</v>
      </c>
    </row>
    <row r="215" spans="1:7">
      <c r="A215" t="s">
        <v>23</v>
      </c>
      <c r="B215" t="s">
        <v>190</v>
      </c>
      <c r="C215">
        <v>21</v>
      </c>
      <c r="D215" t="str">
        <f t="shared" si="12"/>
        <v>2018-12-01</v>
      </c>
      <c r="E215" t="str">
        <f t="shared" si="13"/>
        <v>2018-12-31</v>
      </c>
      <c r="F215">
        <f t="shared" si="14"/>
        <v>21</v>
      </c>
      <c r="G215">
        <f t="shared" si="15"/>
        <v>100</v>
      </c>
    </row>
    <row r="216" spans="1:7">
      <c r="A216" t="s">
        <v>23</v>
      </c>
      <c r="B216" t="s">
        <v>191</v>
      </c>
      <c r="C216">
        <v>23</v>
      </c>
      <c r="D216" t="str">
        <f t="shared" si="12"/>
        <v>2019-01-01</v>
      </c>
      <c r="E216" t="str">
        <f t="shared" si="13"/>
        <v>2019-01-31</v>
      </c>
      <c r="F216">
        <f t="shared" si="14"/>
        <v>23</v>
      </c>
      <c r="G216">
        <f t="shared" si="15"/>
        <v>100</v>
      </c>
    </row>
    <row r="217" spans="1:7">
      <c r="A217" t="s">
        <v>23</v>
      </c>
      <c r="B217" t="s">
        <v>192</v>
      </c>
      <c r="C217">
        <v>20</v>
      </c>
      <c r="D217" t="str">
        <f t="shared" si="12"/>
        <v>2019-02-01</v>
      </c>
      <c r="E217" t="str">
        <f t="shared" si="13"/>
        <v>2019-02-28</v>
      </c>
      <c r="F217">
        <f t="shared" si="14"/>
        <v>20</v>
      </c>
      <c r="G217">
        <f t="shared" si="15"/>
        <v>100</v>
      </c>
    </row>
    <row r="218" spans="1:7">
      <c r="A218" t="s">
        <v>23</v>
      </c>
      <c r="B218" t="s">
        <v>193</v>
      </c>
      <c r="C218">
        <v>21</v>
      </c>
      <c r="D218" t="str">
        <f t="shared" si="12"/>
        <v>2019-03-01</v>
      </c>
      <c r="E218" t="str">
        <f t="shared" si="13"/>
        <v>2019-03-31</v>
      </c>
      <c r="F218">
        <f t="shared" si="14"/>
        <v>21</v>
      </c>
      <c r="G218">
        <f t="shared" si="15"/>
        <v>100</v>
      </c>
    </row>
    <row r="219" spans="1:7">
      <c r="A219" t="s">
        <v>23</v>
      </c>
      <c r="B219" t="s">
        <v>194</v>
      </c>
      <c r="C219">
        <v>22</v>
      </c>
      <c r="D219" t="str">
        <f t="shared" si="12"/>
        <v>2019-04-01</v>
      </c>
      <c r="E219" t="str">
        <f t="shared" si="13"/>
        <v>2019-04-30</v>
      </c>
      <c r="F219">
        <f t="shared" si="14"/>
        <v>22</v>
      </c>
      <c r="G219">
        <f t="shared" si="15"/>
        <v>100</v>
      </c>
    </row>
    <row r="220" spans="1:7">
      <c r="A220" t="s">
        <v>2</v>
      </c>
      <c r="B220" t="s">
        <v>191</v>
      </c>
      <c r="C220">
        <v>19</v>
      </c>
      <c r="D220" t="str">
        <f t="shared" si="12"/>
        <v>2019-01-01</v>
      </c>
      <c r="E220" t="str">
        <f t="shared" si="13"/>
        <v>2019-01-31</v>
      </c>
      <c r="F220">
        <f t="shared" si="14"/>
        <v>23</v>
      </c>
      <c r="G220">
        <f t="shared" si="15"/>
        <v>82.61</v>
      </c>
    </row>
    <row r="221" spans="1:7">
      <c r="A221" t="s">
        <v>2</v>
      </c>
      <c r="B221" t="s">
        <v>192</v>
      </c>
      <c r="C221">
        <v>20</v>
      </c>
      <c r="D221" t="str">
        <f t="shared" si="12"/>
        <v>2019-02-01</v>
      </c>
      <c r="E221" t="str">
        <f t="shared" si="13"/>
        <v>2019-02-28</v>
      </c>
      <c r="F221">
        <f t="shared" si="14"/>
        <v>20</v>
      </c>
      <c r="G221">
        <f t="shared" si="15"/>
        <v>100</v>
      </c>
    </row>
    <row r="222" spans="1:7">
      <c r="A222" t="s">
        <v>2</v>
      </c>
      <c r="B222" t="s">
        <v>193</v>
      </c>
      <c r="C222">
        <v>11</v>
      </c>
      <c r="D222" t="str">
        <f t="shared" si="12"/>
        <v>2019-03-01</v>
      </c>
      <c r="E222" t="str">
        <f t="shared" si="13"/>
        <v>2019-03-31</v>
      </c>
      <c r="F222">
        <f t="shared" si="14"/>
        <v>21</v>
      </c>
      <c r="G222">
        <f t="shared" si="15"/>
        <v>52.38</v>
      </c>
    </row>
    <row r="223" spans="1:7">
      <c r="A223" t="s">
        <v>17</v>
      </c>
      <c r="B223" t="s">
        <v>191</v>
      </c>
      <c r="C223">
        <v>19</v>
      </c>
      <c r="D223" t="str">
        <f t="shared" si="12"/>
        <v>2019-01-01</v>
      </c>
      <c r="E223" t="str">
        <f t="shared" si="13"/>
        <v>2019-01-31</v>
      </c>
      <c r="F223">
        <f t="shared" si="14"/>
        <v>23</v>
      </c>
      <c r="G223">
        <f t="shared" si="15"/>
        <v>82.61</v>
      </c>
    </row>
    <row r="224" spans="1:7">
      <c r="A224" t="s">
        <v>17</v>
      </c>
      <c r="B224" t="s">
        <v>192</v>
      </c>
      <c r="C224">
        <v>20</v>
      </c>
      <c r="D224" t="str">
        <f t="shared" si="12"/>
        <v>2019-02-01</v>
      </c>
      <c r="E224" t="str">
        <f t="shared" si="13"/>
        <v>2019-02-28</v>
      </c>
      <c r="F224">
        <f t="shared" si="14"/>
        <v>20</v>
      </c>
      <c r="G224">
        <f t="shared" si="15"/>
        <v>100</v>
      </c>
    </row>
    <row r="225" spans="1:7">
      <c r="A225" t="s">
        <v>17</v>
      </c>
      <c r="B225" t="s">
        <v>193</v>
      </c>
      <c r="C225">
        <v>21</v>
      </c>
      <c r="D225" t="str">
        <f t="shared" si="12"/>
        <v>2019-03-01</v>
      </c>
      <c r="E225" t="str">
        <f t="shared" si="13"/>
        <v>2019-03-31</v>
      </c>
      <c r="F225">
        <f t="shared" si="14"/>
        <v>21</v>
      </c>
      <c r="G225">
        <f t="shared" si="15"/>
        <v>100</v>
      </c>
    </row>
    <row r="226" spans="1:7">
      <c r="A226" t="s">
        <v>17</v>
      </c>
      <c r="B226" t="s">
        <v>194</v>
      </c>
      <c r="C226">
        <v>22</v>
      </c>
      <c r="D226" t="str">
        <f t="shared" si="12"/>
        <v>2019-04-01</v>
      </c>
      <c r="E226" t="str">
        <f t="shared" si="13"/>
        <v>2019-04-30</v>
      </c>
      <c r="F226">
        <f t="shared" si="14"/>
        <v>22</v>
      </c>
      <c r="G226">
        <f t="shared" si="15"/>
        <v>100</v>
      </c>
    </row>
    <row r="227" spans="1:7">
      <c r="A227" t="s">
        <v>17</v>
      </c>
      <c r="B227" t="s">
        <v>195</v>
      </c>
      <c r="C227">
        <v>23</v>
      </c>
      <c r="D227" t="str">
        <f t="shared" si="12"/>
        <v>2019-05-01</v>
      </c>
      <c r="E227" t="str">
        <f t="shared" si="13"/>
        <v>2019-05-31</v>
      </c>
      <c r="F227">
        <f t="shared" si="14"/>
        <v>23</v>
      </c>
      <c r="G227">
        <f t="shared" si="15"/>
        <v>100</v>
      </c>
    </row>
    <row r="228" spans="1:7">
      <c r="A228" t="s">
        <v>20</v>
      </c>
      <c r="B228" t="s">
        <v>189</v>
      </c>
      <c r="C228">
        <v>6</v>
      </c>
      <c r="D228" t="str">
        <f t="shared" si="12"/>
        <v>2018-11-01</v>
      </c>
      <c r="E228" t="str">
        <f t="shared" si="13"/>
        <v>2018-11-30</v>
      </c>
      <c r="F228">
        <f t="shared" si="14"/>
        <v>22</v>
      </c>
      <c r="G228">
        <f t="shared" si="15"/>
        <v>27.27</v>
      </c>
    </row>
    <row r="229" spans="1:7">
      <c r="A229" t="s">
        <v>20</v>
      </c>
      <c r="B229" t="s">
        <v>190</v>
      </c>
      <c r="C229">
        <v>21</v>
      </c>
      <c r="D229" t="str">
        <f t="shared" si="12"/>
        <v>2018-12-01</v>
      </c>
      <c r="E229" t="str">
        <f t="shared" si="13"/>
        <v>2018-12-31</v>
      </c>
      <c r="F229">
        <f t="shared" si="14"/>
        <v>21</v>
      </c>
      <c r="G229">
        <f t="shared" si="15"/>
        <v>100</v>
      </c>
    </row>
    <row r="230" spans="1:7">
      <c r="A230" t="s">
        <v>20</v>
      </c>
      <c r="B230" t="s">
        <v>191</v>
      </c>
      <c r="C230">
        <v>23</v>
      </c>
      <c r="D230" t="str">
        <f t="shared" si="12"/>
        <v>2019-01-01</v>
      </c>
      <c r="E230" t="str">
        <f t="shared" si="13"/>
        <v>2019-01-31</v>
      </c>
      <c r="F230">
        <f t="shared" si="14"/>
        <v>23</v>
      </c>
      <c r="G230">
        <f t="shared" si="15"/>
        <v>100</v>
      </c>
    </row>
    <row r="231" spans="1:7">
      <c r="A231" t="s">
        <v>20</v>
      </c>
      <c r="B231" t="s">
        <v>192</v>
      </c>
      <c r="C231">
        <v>20</v>
      </c>
      <c r="D231" t="str">
        <f t="shared" si="12"/>
        <v>2019-02-01</v>
      </c>
      <c r="E231" t="str">
        <f t="shared" si="13"/>
        <v>2019-02-28</v>
      </c>
      <c r="F231">
        <f t="shared" si="14"/>
        <v>20</v>
      </c>
      <c r="G231">
        <f t="shared" si="15"/>
        <v>100</v>
      </c>
    </row>
    <row r="232" spans="1:7">
      <c r="A232" t="s">
        <v>20</v>
      </c>
      <c r="B232" t="s">
        <v>193</v>
      </c>
      <c r="C232">
        <v>21</v>
      </c>
      <c r="D232" t="str">
        <f t="shared" si="12"/>
        <v>2019-03-01</v>
      </c>
      <c r="E232" t="str">
        <f t="shared" si="13"/>
        <v>2019-03-31</v>
      </c>
      <c r="F232">
        <f t="shared" si="14"/>
        <v>21</v>
      </c>
      <c r="G232">
        <f t="shared" si="15"/>
        <v>100</v>
      </c>
    </row>
    <row r="233" spans="1:7">
      <c r="A233" t="s">
        <v>20</v>
      </c>
      <c r="B233" t="s">
        <v>194</v>
      </c>
      <c r="C233">
        <v>22</v>
      </c>
      <c r="D233" t="str">
        <f t="shared" si="12"/>
        <v>2019-04-01</v>
      </c>
      <c r="E233" t="str">
        <f t="shared" si="13"/>
        <v>2019-04-30</v>
      </c>
      <c r="F233">
        <f t="shared" si="14"/>
        <v>22</v>
      </c>
      <c r="G233">
        <f t="shared" si="15"/>
        <v>100</v>
      </c>
    </row>
    <row r="234" spans="1:7">
      <c r="A234" t="s">
        <v>20</v>
      </c>
      <c r="B234" t="s">
        <v>195</v>
      </c>
      <c r="C234">
        <v>8</v>
      </c>
      <c r="D234" t="str">
        <f t="shared" si="12"/>
        <v>2019-05-01</v>
      </c>
      <c r="E234" t="str">
        <f t="shared" si="13"/>
        <v>2019-05-31</v>
      </c>
      <c r="F234">
        <f t="shared" si="14"/>
        <v>23</v>
      </c>
      <c r="G234">
        <f t="shared" si="15"/>
        <v>34.78</v>
      </c>
    </row>
    <row r="235" spans="1:7">
      <c r="A235" t="s">
        <v>34</v>
      </c>
      <c r="B235" t="s">
        <v>187</v>
      </c>
      <c r="C235">
        <v>10</v>
      </c>
      <c r="D235" t="str">
        <f t="shared" si="12"/>
        <v>2018-09-01</v>
      </c>
      <c r="E235" t="str">
        <f t="shared" si="13"/>
        <v>2018-09-30</v>
      </c>
      <c r="F235">
        <f t="shared" si="14"/>
        <v>20</v>
      </c>
      <c r="G235">
        <f t="shared" si="15"/>
        <v>50</v>
      </c>
    </row>
    <row r="236" spans="1:7">
      <c r="A236" t="s">
        <v>34</v>
      </c>
      <c r="B236" t="s">
        <v>188</v>
      </c>
      <c r="C236">
        <v>23</v>
      </c>
      <c r="D236" t="str">
        <f t="shared" si="12"/>
        <v>2018-10-01</v>
      </c>
      <c r="E236" t="str">
        <f t="shared" si="13"/>
        <v>2018-10-31</v>
      </c>
      <c r="F236">
        <f t="shared" si="14"/>
        <v>23</v>
      </c>
      <c r="G236">
        <f t="shared" si="15"/>
        <v>100</v>
      </c>
    </row>
    <row r="237" spans="1:7">
      <c r="A237" t="s">
        <v>34</v>
      </c>
      <c r="B237" t="s">
        <v>189</v>
      </c>
      <c r="C237">
        <v>22</v>
      </c>
      <c r="D237" t="str">
        <f t="shared" si="12"/>
        <v>2018-11-01</v>
      </c>
      <c r="E237" t="str">
        <f t="shared" si="13"/>
        <v>2018-11-30</v>
      </c>
      <c r="F237">
        <f t="shared" si="14"/>
        <v>22</v>
      </c>
      <c r="G237">
        <f t="shared" si="15"/>
        <v>100</v>
      </c>
    </row>
    <row r="238" spans="1:7">
      <c r="A238" t="s">
        <v>34</v>
      </c>
      <c r="B238" t="s">
        <v>190</v>
      </c>
      <c r="C238">
        <v>21</v>
      </c>
      <c r="D238" t="str">
        <f t="shared" si="12"/>
        <v>2018-12-01</v>
      </c>
      <c r="E238" t="str">
        <f t="shared" si="13"/>
        <v>2018-12-31</v>
      </c>
      <c r="F238">
        <f t="shared" si="14"/>
        <v>21</v>
      </c>
      <c r="G238">
        <f t="shared" si="15"/>
        <v>100</v>
      </c>
    </row>
    <row r="239" spans="1:7">
      <c r="A239" t="s">
        <v>34</v>
      </c>
      <c r="B239" t="s">
        <v>191</v>
      </c>
      <c r="C239">
        <v>23</v>
      </c>
      <c r="D239" t="str">
        <f t="shared" si="12"/>
        <v>2019-01-01</v>
      </c>
      <c r="E239" t="str">
        <f t="shared" si="13"/>
        <v>2019-01-31</v>
      </c>
      <c r="F239">
        <f t="shared" si="14"/>
        <v>23</v>
      </c>
      <c r="G239">
        <f t="shared" si="15"/>
        <v>100</v>
      </c>
    </row>
    <row r="240" spans="1:7">
      <c r="A240" t="s">
        <v>34</v>
      </c>
      <c r="B240" t="s">
        <v>192</v>
      </c>
      <c r="C240">
        <v>20</v>
      </c>
      <c r="D240" t="str">
        <f t="shared" si="12"/>
        <v>2019-02-01</v>
      </c>
      <c r="E240" t="str">
        <f t="shared" si="13"/>
        <v>2019-02-28</v>
      </c>
      <c r="F240">
        <f t="shared" si="14"/>
        <v>20</v>
      </c>
      <c r="G240">
        <f t="shared" si="15"/>
        <v>100</v>
      </c>
    </row>
    <row r="241" spans="1:7">
      <c r="A241" t="s">
        <v>34</v>
      </c>
      <c r="B241" t="s">
        <v>193</v>
      </c>
      <c r="C241">
        <v>21</v>
      </c>
      <c r="D241" t="str">
        <f t="shared" si="12"/>
        <v>2019-03-01</v>
      </c>
      <c r="E241" t="str">
        <f t="shared" si="13"/>
        <v>2019-03-31</v>
      </c>
      <c r="F241">
        <f t="shared" si="14"/>
        <v>21</v>
      </c>
      <c r="G241">
        <f t="shared" si="15"/>
        <v>100</v>
      </c>
    </row>
    <row r="242" spans="1:7">
      <c r="A242" t="s">
        <v>34</v>
      </c>
      <c r="B242" t="s">
        <v>194</v>
      </c>
      <c r="C242">
        <v>22</v>
      </c>
      <c r="D242" t="str">
        <f t="shared" si="12"/>
        <v>2019-04-01</v>
      </c>
      <c r="E242" t="str">
        <f t="shared" si="13"/>
        <v>2019-04-30</v>
      </c>
      <c r="F242">
        <f t="shared" si="14"/>
        <v>22</v>
      </c>
      <c r="G242">
        <f t="shared" si="15"/>
        <v>100</v>
      </c>
    </row>
    <row r="243" spans="1:7">
      <c r="A243" t="s">
        <v>34</v>
      </c>
      <c r="B243" t="s">
        <v>195</v>
      </c>
      <c r="C243">
        <v>11</v>
      </c>
      <c r="D243" t="str">
        <f t="shared" si="12"/>
        <v>2019-05-01</v>
      </c>
      <c r="E243" t="str">
        <f t="shared" si="13"/>
        <v>2019-05-31</v>
      </c>
      <c r="F243">
        <f t="shared" si="14"/>
        <v>23</v>
      </c>
      <c r="G243">
        <f t="shared" si="15"/>
        <v>47.83</v>
      </c>
    </row>
    <row r="244" spans="1:7">
      <c r="A244" t="s">
        <v>21</v>
      </c>
      <c r="B244" t="s">
        <v>191</v>
      </c>
      <c r="C244">
        <v>22</v>
      </c>
      <c r="D244" t="str">
        <f t="shared" si="12"/>
        <v>2019-01-01</v>
      </c>
      <c r="E244" t="str">
        <f t="shared" si="13"/>
        <v>2019-01-31</v>
      </c>
      <c r="F244">
        <f t="shared" si="14"/>
        <v>23</v>
      </c>
      <c r="G244">
        <f t="shared" si="15"/>
        <v>95.65</v>
      </c>
    </row>
    <row r="245" spans="1:7">
      <c r="A245" t="s">
        <v>21</v>
      </c>
      <c r="B245" t="s">
        <v>192</v>
      </c>
      <c r="C245">
        <v>20</v>
      </c>
      <c r="D245" t="str">
        <f t="shared" si="12"/>
        <v>2019-02-01</v>
      </c>
      <c r="E245" t="str">
        <f t="shared" si="13"/>
        <v>2019-02-28</v>
      </c>
      <c r="F245">
        <f t="shared" si="14"/>
        <v>20</v>
      </c>
      <c r="G245">
        <f t="shared" si="15"/>
        <v>100</v>
      </c>
    </row>
    <row r="246" spans="1:7">
      <c r="A246" t="s">
        <v>21</v>
      </c>
      <c r="B246" t="s">
        <v>193</v>
      </c>
      <c r="C246">
        <v>21</v>
      </c>
      <c r="D246" t="str">
        <f t="shared" si="12"/>
        <v>2019-03-01</v>
      </c>
      <c r="E246" t="str">
        <f t="shared" si="13"/>
        <v>2019-03-31</v>
      </c>
      <c r="F246">
        <f t="shared" si="14"/>
        <v>21</v>
      </c>
      <c r="G246">
        <f t="shared" si="15"/>
        <v>100</v>
      </c>
    </row>
    <row r="247" spans="1:7">
      <c r="A247" t="s">
        <v>21</v>
      </c>
      <c r="B247" t="s">
        <v>194</v>
      </c>
      <c r="C247">
        <v>22</v>
      </c>
      <c r="D247" t="str">
        <f t="shared" si="12"/>
        <v>2019-04-01</v>
      </c>
      <c r="E247" t="str">
        <f t="shared" si="13"/>
        <v>2019-04-30</v>
      </c>
      <c r="F247">
        <f t="shared" si="14"/>
        <v>22</v>
      </c>
      <c r="G247">
        <f t="shared" si="15"/>
        <v>100</v>
      </c>
    </row>
    <row r="248" spans="1:7">
      <c r="A248" t="s">
        <v>21</v>
      </c>
      <c r="B248" t="s">
        <v>195</v>
      </c>
      <c r="C248">
        <v>23</v>
      </c>
      <c r="D248" t="str">
        <f t="shared" si="12"/>
        <v>2019-05-01</v>
      </c>
      <c r="E248" t="str">
        <f t="shared" si="13"/>
        <v>2019-05-31</v>
      </c>
      <c r="F248">
        <f t="shared" si="14"/>
        <v>23</v>
      </c>
      <c r="G248">
        <f t="shared" si="15"/>
        <v>100</v>
      </c>
    </row>
    <row r="249" spans="1:7">
      <c r="A249" t="s">
        <v>10</v>
      </c>
      <c r="B249" t="s">
        <v>188</v>
      </c>
      <c r="C249">
        <v>5</v>
      </c>
      <c r="D249" t="str">
        <f t="shared" si="12"/>
        <v>2018-10-01</v>
      </c>
      <c r="E249" t="str">
        <f t="shared" si="13"/>
        <v>2018-10-31</v>
      </c>
      <c r="F249">
        <f t="shared" si="14"/>
        <v>23</v>
      </c>
      <c r="G249">
        <f t="shared" si="15"/>
        <v>21.74</v>
      </c>
    </row>
    <row r="250" spans="1:7">
      <c r="A250" t="s">
        <v>10</v>
      </c>
      <c r="B250" t="s">
        <v>189</v>
      </c>
      <c r="C250">
        <v>22</v>
      </c>
      <c r="D250" t="str">
        <f t="shared" si="12"/>
        <v>2018-11-01</v>
      </c>
      <c r="E250" t="str">
        <f t="shared" si="13"/>
        <v>2018-11-30</v>
      </c>
      <c r="F250">
        <f t="shared" si="14"/>
        <v>22</v>
      </c>
      <c r="G250">
        <f t="shared" si="15"/>
        <v>100</v>
      </c>
    </row>
    <row r="251" spans="1:7">
      <c r="A251" t="s">
        <v>10</v>
      </c>
      <c r="B251" t="s">
        <v>190</v>
      </c>
      <c r="C251">
        <v>21</v>
      </c>
      <c r="D251" t="str">
        <f t="shared" si="12"/>
        <v>2018-12-01</v>
      </c>
      <c r="E251" t="str">
        <f t="shared" si="13"/>
        <v>2018-12-31</v>
      </c>
      <c r="F251">
        <f t="shared" si="14"/>
        <v>21</v>
      </c>
      <c r="G251">
        <f t="shared" si="15"/>
        <v>100</v>
      </c>
    </row>
    <row r="252" spans="1:7">
      <c r="A252" t="s">
        <v>10</v>
      </c>
      <c r="B252" t="s">
        <v>191</v>
      </c>
      <c r="C252">
        <v>23</v>
      </c>
      <c r="D252" t="str">
        <f t="shared" si="12"/>
        <v>2019-01-01</v>
      </c>
      <c r="E252" t="str">
        <f t="shared" si="13"/>
        <v>2019-01-31</v>
      </c>
      <c r="F252">
        <f t="shared" si="14"/>
        <v>23</v>
      </c>
      <c r="G252">
        <f t="shared" si="15"/>
        <v>100</v>
      </c>
    </row>
    <row r="253" spans="1:7">
      <c r="A253" t="s">
        <v>10</v>
      </c>
      <c r="B253" t="s">
        <v>192</v>
      </c>
      <c r="C253">
        <v>20</v>
      </c>
      <c r="D253" t="str">
        <f t="shared" si="12"/>
        <v>2019-02-01</v>
      </c>
      <c r="E253" t="str">
        <f t="shared" si="13"/>
        <v>2019-02-28</v>
      </c>
      <c r="F253">
        <f t="shared" si="14"/>
        <v>20</v>
      </c>
      <c r="G253">
        <f t="shared" si="15"/>
        <v>100</v>
      </c>
    </row>
    <row r="254" spans="1:7">
      <c r="A254" t="s">
        <v>10</v>
      </c>
      <c r="B254" t="s">
        <v>193</v>
      </c>
      <c r="C254">
        <v>20</v>
      </c>
      <c r="D254" t="str">
        <f t="shared" si="12"/>
        <v>2019-03-01</v>
      </c>
      <c r="E254" t="str">
        <f t="shared" si="13"/>
        <v>2019-03-31</v>
      </c>
      <c r="F254">
        <f t="shared" si="14"/>
        <v>21</v>
      </c>
      <c r="G254">
        <f t="shared" si="15"/>
        <v>95.24</v>
      </c>
    </row>
    <row r="255" spans="1:7">
      <c r="A255" t="s">
        <v>10</v>
      </c>
      <c r="B255" t="s">
        <v>194</v>
      </c>
      <c r="C255">
        <v>22</v>
      </c>
      <c r="D255" t="str">
        <f t="shared" si="12"/>
        <v>2019-04-01</v>
      </c>
      <c r="E255" t="str">
        <f t="shared" si="13"/>
        <v>2019-04-30</v>
      </c>
      <c r="F255">
        <f t="shared" si="14"/>
        <v>22</v>
      </c>
      <c r="G255">
        <f t="shared" si="15"/>
        <v>100</v>
      </c>
    </row>
    <row r="256" spans="1:7">
      <c r="A256" t="s">
        <v>10</v>
      </c>
      <c r="B256" t="s">
        <v>195</v>
      </c>
      <c r="C256">
        <v>8</v>
      </c>
      <c r="D256" t="str">
        <f t="shared" si="12"/>
        <v>2019-05-01</v>
      </c>
      <c r="E256" t="str">
        <f t="shared" si="13"/>
        <v>2019-05-31</v>
      </c>
      <c r="F256">
        <f t="shared" si="14"/>
        <v>23</v>
      </c>
      <c r="G256">
        <f t="shared" si="15"/>
        <v>34.78</v>
      </c>
    </row>
    <row r="257" spans="1:7">
      <c r="A257" t="s">
        <v>9</v>
      </c>
      <c r="B257" t="s">
        <v>185</v>
      </c>
      <c r="C257">
        <v>17</v>
      </c>
      <c r="D257" t="str">
        <f t="shared" si="12"/>
        <v>2018-07-01</v>
      </c>
      <c r="E257" t="str">
        <f t="shared" si="13"/>
        <v>2018-07-31</v>
      </c>
      <c r="F257">
        <f t="shared" si="14"/>
        <v>22</v>
      </c>
      <c r="G257">
        <f t="shared" si="15"/>
        <v>77.27</v>
      </c>
    </row>
    <row r="258" spans="1:7">
      <c r="A258" t="s">
        <v>9</v>
      </c>
      <c r="B258" t="s">
        <v>186</v>
      </c>
      <c r="C258">
        <v>23</v>
      </c>
      <c r="D258" t="str">
        <f t="shared" si="12"/>
        <v>2018-08-01</v>
      </c>
      <c r="E258" t="str">
        <f t="shared" si="13"/>
        <v>2018-08-31</v>
      </c>
      <c r="F258">
        <f t="shared" si="14"/>
        <v>23</v>
      </c>
      <c r="G258">
        <f t="shared" si="15"/>
        <v>100</v>
      </c>
    </row>
    <row r="259" spans="1:7">
      <c r="A259" t="s">
        <v>9</v>
      </c>
      <c r="B259" t="s">
        <v>187</v>
      </c>
      <c r="C259">
        <v>20</v>
      </c>
      <c r="D259" t="str">
        <f t="shared" ref="D259:D322" si="16">B259&amp;"-01"</f>
        <v>2018-09-01</v>
      </c>
      <c r="E259" t="str">
        <f t="shared" ref="E259:E322" si="17">TEXT(EOMONTH(DATEVALUE(D259),0),"YYYY-MM-DD")</f>
        <v>2018-09-30</v>
      </c>
      <c r="F259">
        <f t="shared" ref="F259:F322" si="18">NETWORKDAYS(D259,E259)</f>
        <v>20</v>
      </c>
      <c r="G259">
        <f t="shared" ref="G259:G322" si="19">ROUND(C259/F259*100,2)</f>
        <v>100</v>
      </c>
    </row>
    <row r="260" spans="1:7">
      <c r="A260" t="s">
        <v>9</v>
      </c>
      <c r="B260" t="s">
        <v>188</v>
      </c>
      <c r="C260">
        <v>23</v>
      </c>
      <c r="D260" t="str">
        <f t="shared" si="16"/>
        <v>2018-10-01</v>
      </c>
      <c r="E260" t="str">
        <f t="shared" si="17"/>
        <v>2018-10-31</v>
      </c>
      <c r="F260">
        <f t="shared" si="18"/>
        <v>23</v>
      </c>
      <c r="G260">
        <f t="shared" si="19"/>
        <v>100</v>
      </c>
    </row>
    <row r="261" spans="1:7">
      <c r="A261" t="s">
        <v>9</v>
      </c>
      <c r="B261" t="s">
        <v>189</v>
      </c>
      <c r="C261">
        <v>22</v>
      </c>
      <c r="D261" t="str">
        <f t="shared" si="16"/>
        <v>2018-11-01</v>
      </c>
      <c r="E261" t="str">
        <f t="shared" si="17"/>
        <v>2018-11-30</v>
      </c>
      <c r="F261">
        <f t="shared" si="18"/>
        <v>22</v>
      </c>
      <c r="G261">
        <f t="shared" si="19"/>
        <v>100</v>
      </c>
    </row>
    <row r="262" spans="1:7">
      <c r="A262" t="s">
        <v>9</v>
      </c>
      <c r="B262" t="s">
        <v>190</v>
      </c>
      <c r="C262">
        <v>21</v>
      </c>
      <c r="D262" t="str">
        <f t="shared" si="16"/>
        <v>2018-12-01</v>
      </c>
      <c r="E262" t="str">
        <f t="shared" si="17"/>
        <v>2018-12-31</v>
      </c>
      <c r="F262">
        <f t="shared" si="18"/>
        <v>21</v>
      </c>
      <c r="G262">
        <f t="shared" si="19"/>
        <v>100</v>
      </c>
    </row>
    <row r="263" spans="1:7">
      <c r="A263" t="s">
        <v>9</v>
      </c>
      <c r="B263" t="s">
        <v>191</v>
      </c>
      <c r="C263">
        <v>23</v>
      </c>
      <c r="D263" t="str">
        <f t="shared" si="16"/>
        <v>2019-01-01</v>
      </c>
      <c r="E263" t="str">
        <f t="shared" si="17"/>
        <v>2019-01-31</v>
      </c>
      <c r="F263">
        <f t="shared" si="18"/>
        <v>23</v>
      </c>
      <c r="G263">
        <f t="shared" si="19"/>
        <v>100</v>
      </c>
    </row>
    <row r="264" spans="1:7">
      <c r="A264" t="s">
        <v>9</v>
      </c>
      <c r="B264" t="s">
        <v>192</v>
      </c>
      <c r="C264">
        <v>12</v>
      </c>
      <c r="D264" t="str">
        <f t="shared" si="16"/>
        <v>2019-02-01</v>
      </c>
      <c r="E264" t="str">
        <f t="shared" si="17"/>
        <v>2019-02-28</v>
      </c>
      <c r="F264">
        <f t="shared" si="18"/>
        <v>20</v>
      </c>
      <c r="G264">
        <f t="shared" si="19"/>
        <v>60</v>
      </c>
    </row>
    <row r="265" spans="1:7">
      <c r="A265" t="s">
        <v>9</v>
      </c>
      <c r="B265" t="s">
        <v>193</v>
      </c>
      <c r="C265">
        <v>14</v>
      </c>
      <c r="D265" t="str">
        <f t="shared" si="16"/>
        <v>2019-03-01</v>
      </c>
      <c r="E265" t="str">
        <f t="shared" si="17"/>
        <v>2019-03-31</v>
      </c>
      <c r="F265">
        <f t="shared" si="18"/>
        <v>21</v>
      </c>
      <c r="G265">
        <f t="shared" si="19"/>
        <v>66.67</v>
      </c>
    </row>
    <row r="266" spans="1:7">
      <c r="A266" t="s">
        <v>9</v>
      </c>
      <c r="B266" t="s">
        <v>194</v>
      </c>
      <c r="C266">
        <v>22</v>
      </c>
      <c r="D266" t="str">
        <f t="shared" si="16"/>
        <v>2019-04-01</v>
      </c>
      <c r="E266" t="str">
        <f t="shared" si="17"/>
        <v>2019-04-30</v>
      </c>
      <c r="F266">
        <f t="shared" si="18"/>
        <v>22</v>
      </c>
      <c r="G266">
        <f t="shared" si="19"/>
        <v>100</v>
      </c>
    </row>
    <row r="267" spans="1:7">
      <c r="A267" t="s">
        <v>9</v>
      </c>
      <c r="B267" t="s">
        <v>195</v>
      </c>
      <c r="C267">
        <v>23</v>
      </c>
      <c r="D267" t="str">
        <f t="shared" si="16"/>
        <v>2019-05-01</v>
      </c>
      <c r="E267" t="str">
        <f t="shared" si="17"/>
        <v>2019-05-31</v>
      </c>
      <c r="F267">
        <f t="shared" si="18"/>
        <v>23</v>
      </c>
      <c r="G267">
        <f t="shared" si="19"/>
        <v>100</v>
      </c>
    </row>
    <row r="268" spans="1:7">
      <c r="A268" t="s">
        <v>9</v>
      </c>
      <c r="B268" t="s">
        <v>197</v>
      </c>
      <c r="C268">
        <v>20</v>
      </c>
      <c r="D268" t="str">
        <f t="shared" si="16"/>
        <v>2019-06-01</v>
      </c>
      <c r="E268" t="str">
        <f t="shared" si="17"/>
        <v>2019-06-30</v>
      </c>
      <c r="F268">
        <f t="shared" si="18"/>
        <v>20</v>
      </c>
      <c r="G268">
        <f t="shared" si="19"/>
        <v>100</v>
      </c>
    </row>
    <row r="269" spans="1:7">
      <c r="A269" t="s">
        <v>9</v>
      </c>
      <c r="B269" t="s">
        <v>198</v>
      </c>
      <c r="C269">
        <v>23</v>
      </c>
      <c r="D269" t="str">
        <f t="shared" si="16"/>
        <v>2019-07-01</v>
      </c>
      <c r="E269" t="str">
        <f t="shared" si="17"/>
        <v>2019-07-31</v>
      </c>
      <c r="F269">
        <f t="shared" si="18"/>
        <v>23</v>
      </c>
      <c r="G269">
        <f t="shared" si="19"/>
        <v>100</v>
      </c>
    </row>
    <row r="270" spans="1:7">
      <c r="A270" t="s">
        <v>9</v>
      </c>
      <c r="B270" t="s">
        <v>199</v>
      </c>
      <c r="C270">
        <v>22</v>
      </c>
      <c r="D270" t="str">
        <f t="shared" si="16"/>
        <v>2019-08-01</v>
      </c>
      <c r="E270" t="str">
        <f t="shared" si="17"/>
        <v>2019-08-31</v>
      </c>
      <c r="F270">
        <f t="shared" si="18"/>
        <v>22</v>
      </c>
      <c r="G270">
        <f t="shared" si="19"/>
        <v>100</v>
      </c>
    </row>
    <row r="271" spans="1:7">
      <c r="A271" t="s">
        <v>9</v>
      </c>
      <c r="B271" t="s">
        <v>200</v>
      </c>
      <c r="C271">
        <v>21</v>
      </c>
      <c r="D271" t="str">
        <f t="shared" si="16"/>
        <v>2019-09-01</v>
      </c>
      <c r="E271" t="str">
        <f t="shared" si="17"/>
        <v>2019-09-30</v>
      </c>
      <c r="F271">
        <f t="shared" si="18"/>
        <v>21</v>
      </c>
      <c r="G271">
        <f t="shared" si="19"/>
        <v>100</v>
      </c>
    </row>
    <row r="272" spans="1:7">
      <c r="A272" t="s">
        <v>9</v>
      </c>
      <c r="B272" t="s">
        <v>201</v>
      </c>
      <c r="C272">
        <v>23</v>
      </c>
      <c r="D272" t="str">
        <f t="shared" si="16"/>
        <v>2019-10-01</v>
      </c>
      <c r="E272" t="str">
        <f t="shared" si="17"/>
        <v>2019-10-31</v>
      </c>
      <c r="F272">
        <f t="shared" si="18"/>
        <v>23</v>
      </c>
      <c r="G272">
        <f t="shared" si="19"/>
        <v>100</v>
      </c>
    </row>
    <row r="273" spans="1:7">
      <c r="A273" t="s">
        <v>9</v>
      </c>
      <c r="B273" t="s">
        <v>202</v>
      </c>
      <c r="C273">
        <v>21</v>
      </c>
      <c r="D273" t="str">
        <f t="shared" si="16"/>
        <v>2019-11-01</v>
      </c>
      <c r="E273" t="str">
        <f t="shared" si="17"/>
        <v>2019-11-30</v>
      </c>
      <c r="F273">
        <f t="shared" si="18"/>
        <v>21</v>
      </c>
      <c r="G273">
        <f t="shared" si="19"/>
        <v>100</v>
      </c>
    </row>
    <row r="274" spans="1:7">
      <c r="A274" t="s">
        <v>9</v>
      </c>
      <c r="B274" t="s">
        <v>203</v>
      </c>
      <c r="C274">
        <v>22</v>
      </c>
      <c r="D274" t="str">
        <f t="shared" si="16"/>
        <v>2019-12-01</v>
      </c>
      <c r="E274" t="str">
        <f t="shared" si="17"/>
        <v>2019-12-31</v>
      </c>
      <c r="F274">
        <f t="shared" si="18"/>
        <v>22</v>
      </c>
      <c r="G274">
        <f t="shared" si="19"/>
        <v>100</v>
      </c>
    </row>
    <row r="275" spans="1:7">
      <c r="A275" t="s">
        <v>9</v>
      </c>
      <c r="B275" t="s">
        <v>196</v>
      </c>
      <c r="C275">
        <v>8</v>
      </c>
      <c r="D275" t="str">
        <f t="shared" si="16"/>
        <v>2020-01-01</v>
      </c>
      <c r="E275" t="str">
        <f t="shared" si="17"/>
        <v>2020-01-31</v>
      </c>
      <c r="F275">
        <f t="shared" si="18"/>
        <v>23</v>
      </c>
      <c r="G275">
        <f t="shared" si="19"/>
        <v>34.78</v>
      </c>
    </row>
    <row r="276" spans="1:7">
      <c r="A276" t="s">
        <v>26</v>
      </c>
      <c r="B276" t="s">
        <v>184</v>
      </c>
      <c r="C276">
        <v>14</v>
      </c>
      <c r="D276" t="str">
        <f t="shared" si="16"/>
        <v>2018-06-01</v>
      </c>
      <c r="E276" t="str">
        <f t="shared" si="17"/>
        <v>2018-06-30</v>
      </c>
      <c r="F276">
        <f t="shared" si="18"/>
        <v>21</v>
      </c>
      <c r="G276">
        <f t="shared" si="19"/>
        <v>66.67</v>
      </c>
    </row>
    <row r="277" spans="1:7">
      <c r="A277" t="s">
        <v>26</v>
      </c>
      <c r="B277" t="s">
        <v>185</v>
      </c>
      <c r="C277">
        <v>22</v>
      </c>
      <c r="D277" t="str">
        <f t="shared" si="16"/>
        <v>2018-07-01</v>
      </c>
      <c r="E277" t="str">
        <f t="shared" si="17"/>
        <v>2018-07-31</v>
      </c>
      <c r="F277">
        <f t="shared" si="18"/>
        <v>22</v>
      </c>
      <c r="G277">
        <f t="shared" si="19"/>
        <v>100</v>
      </c>
    </row>
    <row r="278" spans="1:7">
      <c r="A278" t="s">
        <v>26</v>
      </c>
      <c r="B278" t="s">
        <v>186</v>
      </c>
      <c r="C278">
        <v>23</v>
      </c>
      <c r="D278" t="str">
        <f t="shared" si="16"/>
        <v>2018-08-01</v>
      </c>
      <c r="E278" t="str">
        <f t="shared" si="17"/>
        <v>2018-08-31</v>
      </c>
      <c r="F278">
        <f t="shared" si="18"/>
        <v>23</v>
      </c>
      <c r="G278">
        <f t="shared" si="19"/>
        <v>100</v>
      </c>
    </row>
    <row r="279" spans="1:7">
      <c r="A279" t="s">
        <v>26</v>
      </c>
      <c r="B279" t="s">
        <v>187</v>
      </c>
      <c r="C279">
        <v>20</v>
      </c>
      <c r="D279" t="str">
        <f t="shared" si="16"/>
        <v>2018-09-01</v>
      </c>
      <c r="E279" t="str">
        <f t="shared" si="17"/>
        <v>2018-09-30</v>
      </c>
      <c r="F279">
        <f t="shared" si="18"/>
        <v>20</v>
      </c>
      <c r="G279">
        <f t="shared" si="19"/>
        <v>100</v>
      </c>
    </row>
    <row r="280" spans="1:7">
      <c r="A280" t="s">
        <v>26</v>
      </c>
      <c r="B280" t="s">
        <v>188</v>
      </c>
      <c r="C280">
        <v>23</v>
      </c>
      <c r="D280" t="str">
        <f t="shared" si="16"/>
        <v>2018-10-01</v>
      </c>
      <c r="E280" t="str">
        <f t="shared" si="17"/>
        <v>2018-10-31</v>
      </c>
      <c r="F280">
        <f t="shared" si="18"/>
        <v>23</v>
      </c>
      <c r="G280">
        <f t="shared" si="19"/>
        <v>100</v>
      </c>
    </row>
    <row r="281" spans="1:7">
      <c r="A281" t="s">
        <v>26</v>
      </c>
      <c r="B281" t="s">
        <v>189</v>
      </c>
      <c r="C281">
        <v>22</v>
      </c>
      <c r="D281" t="str">
        <f t="shared" si="16"/>
        <v>2018-11-01</v>
      </c>
      <c r="E281" t="str">
        <f t="shared" si="17"/>
        <v>2018-11-30</v>
      </c>
      <c r="F281">
        <f t="shared" si="18"/>
        <v>22</v>
      </c>
      <c r="G281">
        <f t="shared" si="19"/>
        <v>100</v>
      </c>
    </row>
    <row r="282" spans="1:7">
      <c r="A282" t="s">
        <v>26</v>
      </c>
      <c r="B282" t="s">
        <v>190</v>
      </c>
      <c r="C282">
        <v>21</v>
      </c>
      <c r="D282" t="str">
        <f t="shared" si="16"/>
        <v>2018-12-01</v>
      </c>
      <c r="E282" t="str">
        <f t="shared" si="17"/>
        <v>2018-12-31</v>
      </c>
      <c r="F282">
        <f t="shared" si="18"/>
        <v>21</v>
      </c>
      <c r="G282">
        <f t="shared" si="19"/>
        <v>100</v>
      </c>
    </row>
    <row r="283" spans="1:7">
      <c r="A283" t="s">
        <v>26</v>
      </c>
      <c r="B283" t="s">
        <v>191</v>
      </c>
      <c r="C283">
        <v>22</v>
      </c>
      <c r="D283" t="str">
        <f t="shared" si="16"/>
        <v>2019-01-01</v>
      </c>
      <c r="E283" t="str">
        <f t="shared" si="17"/>
        <v>2019-01-31</v>
      </c>
      <c r="F283">
        <f t="shared" si="18"/>
        <v>23</v>
      </c>
      <c r="G283">
        <f t="shared" si="19"/>
        <v>95.65</v>
      </c>
    </row>
    <row r="284" spans="1:7">
      <c r="A284" t="s">
        <v>26</v>
      </c>
      <c r="B284" t="s">
        <v>192</v>
      </c>
      <c r="C284">
        <v>9</v>
      </c>
      <c r="D284" t="str">
        <f t="shared" si="16"/>
        <v>2019-02-01</v>
      </c>
      <c r="E284" t="str">
        <f t="shared" si="17"/>
        <v>2019-02-28</v>
      </c>
      <c r="F284">
        <f t="shared" si="18"/>
        <v>20</v>
      </c>
      <c r="G284">
        <f t="shared" si="19"/>
        <v>45</v>
      </c>
    </row>
    <row r="285" spans="1:7">
      <c r="A285" t="s">
        <v>26</v>
      </c>
      <c r="B285" t="s">
        <v>193</v>
      </c>
      <c r="C285">
        <v>21</v>
      </c>
      <c r="D285" t="str">
        <f t="shared" si="16"/>
        <v>2019-03-01</v>
      </c>
      <c r="E285" t="str">
        <f t="shared" si="17"/>
        <v>2019-03-31</v>
      </c>
      <c r="F285">
        <f t="shared" si="18"/>
        <v>21</v>
      </c>
      <c r="G285">
        <f t="shared" si="19"/>
        <v>100</v>
      </c>
    </row>
    <row r="286" spans="1:7">
      <c r="A286" t="s">
        <v>26</v>
      </c>
      <c r="B286" t="s">
        <v>194</v>
      </c>
      <c r="C286">
        <v>22</v>
      </c>
      <c r="D286" t="str">
        <f t="shared" si="16"/>
        <v>2019-04-01</v>
      </c>
      <c r="E286" t="str">
        <f t="shared" si="17"/>
        <v>2019-04-30</v>
      </c>
      <c r="F286">
        <f t="shared" si="18"/>
        <v>22</v>
      </c>
      <c r="G286">
        <f t="shared" si="19"/>
        <v>100</v>
      </c>
    </row>
    <row r="287" spans="1:7">
      <c r="A287" t="s">
        <v>26</v>
      </c>
      <c r="B287" t="s">
        <v>195</v>
      </c>
      <c r="C287">
        <v>23</v>
      </c>
      <c r="D287" t="str">
        <f t="shared" si="16"/>
        <v>2019-05-01</v>
      </c>
      <c r="E287" t="str">
        <f t="shared" si="17"/>
        <v>2019-05-31</v>
      </c>
      <c r="F287">
        <f t="shared" si="18"/>
        <v>23</v>
      </c>
      <c r="G287">
        <f t="shared" si="19"/>
        <v>100</v>
      </c>
    </row>
    <row r="288" spans="1:7">
      <c r="A288" t="s">
        <v>45</v>
      </c>
      <c r="B288" t="s">
        <v>189</v>
      </c>
      <c r="C288">
        <v>17</v>
      </c>
      <c r="D288" t="str">
        <f t="shared" si="16"/>
        <v>2018-11-01</v>
      </c>
      <c r="E288" t="str">
        <f t="shared" si="17"/>
        <v>2018-11-30</v>
      </c>
      <c r="F288">
        <f t="shared" si="18"/>
        <v>22</v>
      </c>
      <c r="G288">
        <f t="shared" si="19"/>
        <v>77.27</v>
      </c>
    </row>
    <row r="289" spans="1:7">
      <c r="A289" t="s">
        <v>45</v>
      </c>
      <c r="B289" t="s">
        <v>190</v>
      </c>
      <c r="C289">
        <v>21</v>
      </c>
      <c r="D289" t="str">
        <f t="shared" si="16"/>
        <v>2018-12-01</v>
      </c>
      <c r="E289" t="str">
        <f t="shared" si="17"/>
        <v>2018-12-31</v>
      </c>
      <c r="F289">
        <f t="shared" si="18"/>
        <v>21</v>
      </c>
      <c r="G289">
        <f t="shared" si="19"/>
        <v>100</v>
      </c>
    </row>
    <row r="290" spans="1:7">
      <c r="A290" t="s">
        <v>45</v>
      </c>
      <c r="B290" t="s">
        <v>191</v>
      </c>
      <c r="C290">
        <v>23</v>
      </c>
      <c r="D290" t="str">
        <f t="shared" si="16"/>
        <v>2019-01-01</v>
      </c>
      <c r="E290" t="str">
        <f t="shared" si="17"/>
        <v>2019-01-31</v>
      </c>
      <c r="F290">
        <f t="shared" si="18"/>
        <v>23</v>
      </c>
      <c r="G290">
        <f t="shared" si="19"/>
        <v>100</v>
      </c>
    </row>
    <row r="291" spans="1:7">
      <c r="A291" t="s">
        <v>45</v>
      </c>
      <c r="B291" t="s">
        <v>192</v>
      </c>
      <c r="C291">
        <v>20</v>
      </c>
      <c r="D291" t="str">
        <f t="shared" si="16"/>
        <v>2019-02-01</v>
      </c>
      <c r="E291" t="str">
        <f t="shared" si="17"/>
        <v>2019-02-28</v>
      </c>
      <c r="F291">
        <f t="shared" si="18"/>
        <v>20</v>
      </c>
      <c r="G291">
        <f t="shared" si="19"/>
        <v>100</v>
      </c>
    </row>
    <row r="292" spans="1:7">
      <c r="A292" t="s">
        <v>45</v>
      </c>
      <c r="B292" t="s">
        <v>193</v>
      </c>
      <c r="C292">
        <v>21</v>
      </c>
      <c r="D292" t="str">
        <f t="shared" si="16"/>
        <v>2019-03-01</v>
      </c>
      <c r="E292" t="str">
        <f t="shared" si="17"/>
        <v>2019-03-31</v>
      </c>
      <c r="F292">
        <f t="shared" si="18"/>
        <v>21</v>
      </c>
      <c r="G292">
        <f t="shared" si="19"/>
        <v>100</v>
      </c>
    </row>
    <row r="293" spans="1:7">
      <c r="A293" t="s">
        <v>45</v>
      </c>
      <c r="B293" t="s">
        <v>194</v>
      </c>
      <c r="C293">
        <v>22</v>
      </c>
      <c r="D293" t="str">
        <f t="shared" si="16"/>
        <v>2019-04-01</v>
      </c>
      <c r="E293" t="str">
        <f t="shared" si="17"/>
        <v>2019-04-30</v>
      </c>
      <c r="F293">
        <f t="shared" si="18"/>
        <v>22</v>
      </c>
      <c r="G293">
        <f t="shared" si="19"/>
        <v>100</v>
      </c>
    </row>
    <row r="294" spans="1:7">
      <c r="A294" t="s">
        <v>45</v>
      </c>
      <c r="B294" t="s">
        <v>195</v>
      </c>
      <c r="C294">
        <v>23</v>
      </c>
      <c r="D294" t="str">
        <f t="shared" si="16"/>
        <v>2019-05-01</v>
      </c>
      <c r="E294" t="str">
        <f t="shared" si="17"/>
        <v>2019-05-31</v>
      </c>
      <c r="F294">
        <f t="shared" si="18"/>
        <v>23</v>
      </c>
      <c r="G294">
        <f t="shared" si="19"/>
        <v>100</v>
      </c>
    </row>
    <row r="295" spans="1:7">
      <c r="A295" t="s">
        <v>45</v>
      </c>
      <c r="B295" t="s">
        <v>197</v>
      </c>
      <c r="C295">
        <v>20</v>
      </c>
      <c r="D295" t="str">
        <f t="shared" si="16"/>
        <v>2019-06-01</v>
      </c>
      <c r="E295" t="str">
        <f t="shared" si="17"/>
        <v>2019-06-30</v>
      </c>
      <c r="F295">
        <f t="shared" si="18"/>
        <v>20</v>
      </c>
      <c r="G295">
        <f t="shared" si="19"/>
        <v>100</v>
      </c>
    </row>
    <row r="296" spans="1:7">
      <c r="A296" t="s">
        <v>13</v>
      </c>
      <c r="B296" t="s">
        <v>182</v>
      </c>
      <c r="C296">
        <v>16</v>
      </c>
      <c r="D296" t="str">
        <f t="shared" si="16"/>
        <v>2018-04-01</v>
      </c>
      <c r="E296" t="str">
        <f t="shared" si="17"/>
        <v>2018-04-30</v>
      </c>
      <c r="F296">
        <f t="shared" si="18"/>
        <v>21</v>
      </c>
      <c r="G296">
        <f t="shared" si="19"/>
        <v>76.19</v>
      </c>
    </row>
    <row r="297" spans="1:7">
      <c r="A297" t="s">
        <v>13</v>
      </c>
      <c r="B297" t="s">
        <v>183</v>
      </c>
      <c r="C297">
        <v>23</v>
      </c>
      <c r="D297" t="str">
        <f t="shared" si="16"/>
        <v>2018-05-01</v>
      </c>
      <c r="E297" t="str">
        <f t="shared" si="17"/>
        <v>2018-05-31</v>
      </c>
      <c r="F297">
        <f t="shared" si="18"/>
        <v>23</v>
      </c>
      <c r="G297">
        <f t="shared" si="19"/>
        <v>100</v>
      </c>
    </row>
    <row r="298" spans="1:7">
      <c r="A298" t="s">
        <v>13</v>
      </c>
      <c r="B298" t="s">
        <v>184</v>
      </c>
      <c r="C298">
        <v>21</v>
      </c>
      <c r="D298" t="str">
        <f t="shared" si="16"/>
        <v>2018-06-01</v>
      </c>
      <c r="E298" t="str">
        <f t="shared" si="17"/>
        <v>2018-06-30</v>
      </c>
      <c r="F298">
        <f t="shared" si="18"/>
        <v>21</v>
      </c>
      <c r="G298">
        <f t="shared" si="19"/>
        <v>100</v>
      </c>
    </row>
    <row r="299" spans="1:7">
      <c r="A299" t="s">
        <v>13</v>
      </c>
      <c r="B299" t="s">
        <v>185</v>
      </c>
      <c r="C299">
        <v>22</v>
      </c>
      <c r="D299" t="str">
        <f t="shared" si="16"/>
        <v>2018-07-01</v>
      </c>
      <c r="E299" t="str">
        <f t="shared" si="17"/>
        <v>2018-07-31</v>
      </c>
      <c r="F299">
        <f t="shared" si="18"/>
        <v>22</v>
      </c>
      <c r="G299">
        <f t="shared" si="19"/>
        <v>100</v>
      </c>
    </row>
    <row r="300" spans="1:7">
      <c r="A300" t="s">
        <v>13</v>
      </c>
      <c r="B300" t="s">
        <v>186</v>
      </c>
      <c r="C300">
        <v>23</v>
      </c>
      <c r="D300" t="str">
        <f t="shared" si="16"/>
        <v>2018-08-01</v>
      </c>
      <c r="E300" t="str">
        <f t="shared" si="17"/>
        <v>2018-08-31</v>
      </c>
      <c r="F300">
        <f t="shared" si="18"/>
        <v>23</v>
      </c>
      <c r="G300">
        <f t="shared" si="19"/>
        <v>100</v>
      </c>
    </row>
    <row r="301" spans="1:7">
      <c r="A301" t="s">
        <v>13</v>
      </c>
      <c r="B301" t="s">
        <v>187</v>
      </c>
      <c r="C301">
        <v>20</v>
      </c>
      <c r="D301" t="str">
        <f t="shared" si="16"/>
        <v>2018-09-01</v>
      </c>
      <c r="E301" t="str">
        <f t="shared" si="17"/>
        <v>2018-09-30</v>
      </c>
      <c r="F301">
        <f t="shared" si="18"/>
        <v>20</v>
      </c>
      <c r="G301">
        <f t="shared" si="19"/>
        <v>100</v>
      </c>
    </row>
    <row r="302" spans="1:7">
      <c r="A302" t="s">
        <v>13</v>
      </c>
      <c r="B302" t="s">
        <v>188</v>
      </c>
      <c r="C302">
        <v>23</v>
      </c>
      <c r="D302" t="str">
        <f t="shared" si="16"/>
        <v>2018-10-01</v>
      </c>
      <c r="E302" t="str">
        <f t="shared" si="17"/>
        <v>2018-10-31</v>
      </c>
      <c r="F302">
        <f t="shared" si="18"/>
        <v>23</v>
      </c>
      <c r="G302">
        <f t="shared" si="19"/>
        <v>100</v>
      </c>
    </row>
    <row r="303" spans="1:7">
      <c r="A303" t="s">
        <v>13</v>
      </c>
      <c r="B303" t="s">
        <v>189</v>
      </c>
      <c r="C303">
        <v>22</v>
      </c>
      <c r="D303" t="str">
        <f t="shared" si="16"/>
        <v>2018-11-01</v>
      </c>
      <c r="E303" t="str">
        <f t="shared" si="17"/>
        <v>2018-11-30</v>
      </c>
      <c r="F303">
        <f t="shared" si="18"/>
        <v>22</v>
      </c>
      <c r="G303">
        <f t="shared" si="19"/>
        <v>100</v>
      </c>
    </row>
    <row r="304" spans="1:7">
      <c r="A304" t="s">
        <v>13</v>
      </c>
      <c r="B304" t="s">
        <v>190</v>
      </c>
      <c r="C304">
        <v>21</v>
      </c>
      <c r="D304" t="str">
        <f t="shared" si="16"/>
        <v>2018-12-01</v>
      </c>
      <c r="E304" t="str">
        <f t="shared" si="17"/>
        <v>2018-12-31</v>
      </c>
      <c r="F304">
        <f t="shared" si="18"/>
        <v>21</v>
      </c>
      <c r="G304">
        <f t="shared" si="19"/>
        <v>100</v>
      </c>
    </row>
    <row r="305" spans="1:7">
      <c r="A305" t="s">
        <v>13</v>
      </c>
      <c r="B305" t="s">
        <v>191</v>
      </c>
      <c r="C305">
        <v>23</v>
      </c>
      <c r="D305" t="str">
        <f t="shared" si="16"/>
        <v>2019-01-01</v>
      </c>
      <c r="E305" t="str">
        <f t="shared" si="17"/>
        <v>2019-01-31</v>
      </c>
      <c r="F305">
        <f t="shared" si="18"/>
        <v>23</v>
      </c>
      <c r="G305">
        <f t="shared" si="19"/>
        <v>100</v>
      </c>
    </row>
    <row r="306" spans="1:7">
      <c r="A306" t="s">
        <v>13</v>
      </c>
      <c r="B306" t="s">
        <v>192</v>
      </c>
      <c r="C306">
        <v>16</v>
      </c>
      <c r="D306" t="str">
        <f t="shared" si="16"/>
        <v>2019-02-01</v>
      </c>
      <c r="E306" t="str">
        <f t="shared" si="17"/>
        <v>2019-02-28</v>
      </c>
      <c r="F306">
        <f t="shared" si="18"/>
        <v>20</v>
      </c>
      <c r="G306">
        <f t="shared" si="19"/>
        <v>80</v>
      </c>
    </row>
    <row r="307" spans="1:7">
      <c r="A307" t="s">
        <v>44</v>
      </c>
      <c r="B307" t="s">
        <v>187</v>
      </c>
      <c r="C307">
        <v>17</v>
      </c>
      <c r="D307" t="str">
        <f t="shared" si="16"/>
        <v>2018-09-01</v>
      </c>
      <c r="E307" t="str">
        <f t="shared" si="17"/>
        <v>2018-09-30</v>
      </c>
      <c r="F307">
        <f t="shared" si="18"/>
        <v>20</v>
      </c>
      <c r="G307">
        <f t="shared" si="19"/>
        <v>85</v>
      </c>
    </row>
    <row r="308" spans="1:7">
      <c r="A308" t="s">
        <v>44</v>
      </c>
      <c r="B308" t="s">
        <v>188</v>
      </c>
      <c r="C308">
        <v>23</v>
      </c>
      <c r="D308" t="str">
        <f t="shared" si="16"/>
        <v>2018-10-01</v>
      </c>
      <c r="E308" t="str">
        <f t="shared" si="17"/>
        <v>2018-10-31</v>
      </c>
      <c r="F308">
        <f t="shared" si="18"/>
        <v>23</v>
      </c>
      <c r="G308">
        <f t="shared" si="19"/>
        <v>100</v>
      </c>
    </row>
    <row r="309" spans="1:7">
      <c r="A309" t="s">
        <v>44</v>
      </c>
      <c r="B309" t="s">
        <v>189</v>
      </c>
      <c r="C309">
        <v>22</v>
      </c>
      <c r="D309" t="str">
        <f t="shared" si="16"/>
        <v>2018-11-01</v>
      </c>
      <c r="E309" t="str">
        <f t="shared" si="17"/>
        <v>2018-11-30</v>
      </c>
      <c r="F309">
        <f t="shared" si="18"/>
        <v>22</v>
      </c>
      <c r="G309">
        <f t="shared" si="19"/>
        <v>100</v>
      </c>
    </row>
    <row r="310" spans="1:7">
      <c r="A310" t="s">
        <v>44</v>
      </c>
      <c r="B310" t="s">
        <v>190</v>
      </c>
      <c r="C310">
        <v>21</v>
      </c>
      <c r="D310" t="str">
        <f t="shared" si="16"/>
        <v>2018-12-01</v>
      </c>
      <c r="E310" t="str">
        <f t="shared" si="17"/>
        <v>2018-12-31</v>
      </c>
      <c r="F310">
        <f t="shared" si="18"/>
        <v>21</v>
      </c>
      <c r="G310">
        <f t="shared" si="19"/>
        <v>100</v>
      </c>
    </row>
    <row r="311" spans="1:7">
      <c r="A311" t="s">
        <v>44</v>
      </c>
      <c r="B311" t="s">
        <v>191</v>
      </c>
      <c r="C311">
        <v>23</v>
      </c>
      <c r="D311" t="str">
        <f t="shared" si="16"/>
        <v>2019-01-01</v>
      </c>
      <c r="E311" t="str">
        <f t="shared" si="17"/>
        <v>2019-01-31</v>
      </c>
      <c r="F311">
        <f t="shared" si="18"/>
        <v>23</v>
      </c>
      <c r="G311">
        <f t="shared" si="19"/>
        <v>100</v>
      </c>
    </row>
    <row r="312" spans="1:7">
      <c r="A312" t="s">
        <v>44</v>
      </c>
      <c r="B312" t="s">
        <v>192</v>
      </c>
      <c r="C312">
        <v>20</v>
      </c>
      <c r="D312" t="str">
        <f t="shared" si="16"/>
        <v>2019-02-01</v>
      </c>
      <c r="E312" t="str">
        <f t="shared" si="17"/>
        <v>2019-02-28</v>
      </c>
      <c r="F312">
        <f t="shared" si="18"/>
        <v>20</v>
      </c>
      <c r="G312">
        <f t="shared" si="19"/>
        <v>100</v>
      </c>
    </row>
    <row r="313" spans="1:7">
      <c r="A313" t="s">
        <v>44</v>
      </c>
      <c r="B313" t="s">
        <v>193</v>
      </c>
      <c r="C313">
        <v>21</v>
      </c>
      <c r="D313" t="str">
        <f t="shared" si="16"/>
        <v>2019-03-01</v>
      </c>
      <c r="E313" t="str">
        <f t="shared" si="17"/>
        <v>2019-03-31</v>
      </c>
      <c r="F313">
        <f t="shared" si="18"/>
        <v>21</v>
      </c>
      <c r="G313">
        <f t="shared" si="19"/>
        <v>100</v>
      </c>
    </row>
    <row r="314" spans="1:7">
      <c r="A314" t="s">
        <v>44</v>
      </c>
      <c r="B314" t="s">
        <v>194</v>
      </c>
      <c r="C314">
        <v>22</v>
      </c>
      <c r="D314" t="str">
        <f t="shared" si="16"/>
        <v>2019-04-01</v>
      </c>
      <c r="E314" t="str">
        <f t="shared" si="17"/>
        <v>2019-04-30</v>
      </c>
      <c r="F314">
        <f t="shared" si="18"/>
        <v>22</v>
      </c>
      <c r="G314">
        <f t="shared" si="19"/>
        <v>100</v>
      </c>
    </row>
    <row r="315" spans="1:7">
      <c r="A315" t="s">
        <v>44</v>
      </c>
      <c r="B315" t="s">
        <v>195</v>
      </c>
      <c r="C315">
        <v>23</v>
      </c>
      <c r="D315" t="str">
        <f t="shared" si="16"/>
        <v>2019-05-01</v>
      </c>
      <c r="E315" t="str">
        <f t="shared" si="17"/>
        <v>2019-05-31</v>
      </c>
      <c r="F315">
        <f t="shared" si="18"/>
        <v>23</v>
      </c>
      <c r="G315">
        <f t="shared" si="19"/>
        <v>100</v>
      </c>
    </row>
    <row r="316" spans="1:7">
      <c r="A316" t="s">
        <v>44</v>
      </c>
      <c r="B316" t="s">
        <v>197</v>
      </c>
      <c r="C316">
        <v>20</v>
      </c>
      <c r="D316" t="str">
        <f t="shared" si="16"/>
        <v>2019-06-01</v>
      </c>
      <c r="E316" t="str">
        <f t="shared" si="17"/>
        <v>2019-06-30</v>
      </c>
      <c r="F316">
        <f t="shared" si="18"/>
        <v>20</v>
      </c>
      <c r="G316">
        <f t="shared" si="19"/>
        <v>100</v>
      </c>
    </row>
    <row r="317" spans="1:7">
      <c r="A317" t="s">
        <v>14</v>
      </c>
      <c r="B317" t="s">
        <v>183</v>
      </c>
      <c r="C317">
        <v>4</v>
      </c>
      <c r="D317" t="str">
        <f t="shared" si="16"/>
        <v>2018-05-01</v>
      </c>
      <c r="E317" t="str">
        <f t="shared" si="17"/>
        <v>2018-05-31</v>
      </c>
      <c r="F317">
        <f t="shared" si="18"/>
        <v>23</v>
      </c>
      <c r="G317">
        <f t="shared" si="19"/>
        <v>17.39</v>
      </c>
    </row>
    <row r="318" spans="1:7">
      <c r="A318" t="s">
        <v>14</v>
      </c>
      <c r="B318" t="s">
        <v>184</v>
      </c>
      <c r="C318">
        <v>21</v>
      </c>
      <c r="D318" t="str">
        <f t="shared" si="16"/>
        <v>2018-06-01</v>
      </c>
      <c r="E318" t="str">
        <f t="shared" si="17"/>
        <v>2018-06-30</v>
      </c>
      <c r="F318">
        <f t="shared" si="18"/>
        <v>21</v>
      </c>
      <c r="G318">
        <f t="shared" si="19"/>
        <v>100</v>
      </c>
    </row>
    <row r="319" spans="1:7">
      <c r="A319" t="s">
        <v>14</v>
      </c>
      <c r="B319" t="s">
        <v>185</v>
      </c>
      <c r="C319">
        <v>22</v>
      </c>
      <c r="D319" t="str">
        <f t="shared" si="16"/>
        <v>2018-07-01</v>
      </c>
      <c r="E319" t="str">
        <f t="shared" si="17"/>
        <v>2018-07-31</v>
      </c>
      <c r="F319">
        <f t="shared" si="18"/>
        <v>22</v>
      </c>
      <c r="G319">
        <f t="shared" si="19"/>
        <v>100</v>
      </c>
    </row>
    <row r="320" spans="1:7">
      <c r="A320" t="s">
        <v>14</v>
      </c>
      <c r="B320" t="s">
        <v>186</v>
      </c>
      <c r="C320">
        <v>23</v>
      </c>
      <c r="D320" t="str">
        <f t="shared" si="16"/>
        <v>2018-08-01</v>
      </c>
      <c r="E320" t="str">
        <f t="shared" si="17"/>
        <v>2018-08-31</v>
      </c>
      <c r="F320">
        <f t="shared" si="18"/>
        <v>23</v>
      </c>
      <c r="G320">
        <f t="shared" si="19"/>
        <v>100</v>
      </c>
    </row>
    <row r="321" spans="1:7">
      <c r="A321" t="s">
        <v>14</v>
      </c>
      <c r="B321" t="s">
        <v>187</v>
      </c>
      <c r="C321">
        <v>20</v>
      </c>
      <c r="D321" t="str">
        <f t="shared" si="16"/>
        <v>2018-09-01</v>
      </c>
      <c r="E321" t="str">
        <f t="shared" si="17"/>
        <v>2018-09-30</v>
      </c>
      <c r="F321">
        <f t="shared" si="18"/>
        <v>20</v>
      </c>
      <c r="G321">
        <f t="shared" si="19"/>
        <v>100</v>
      </c>
    </row>
    <row r="322" spans="1:7">
      <c r="A322" t="s">
        <v>14</v>
      </c>
      <c r="B322" t="s">
        <v>188</v>
      </c>
      <c r="C322">
        <v>23</v>
      </c>
      <c r="D322" t="str">
        <f t="shared" si="16"/>
        <v>2018-10-01</v>
      </c>
      <c r="E322" t="str">
        <f t="shared" si="17"/>
        <v>2018-10-31</v>
      </c>
      <c r="F322">
        <f t="shared" si="18"/>
        <v>23</v>
      </c>
      <c r="G322">
        <f t="shared" si="19"/>
        <v>100</v>
      </c>
    </row>
    <row r="323" spans="1:7">
      <c r="A323" t="s">
        <v>14</v>
      </c>
      <c r="B323" t="s">
        <v>189</v>
      </c>
      <c r="C323">
        <v>22</v>
      </c>
      <c r="D323" t="str">
        <f t="shared" ref="D323:D353" si="20">B323&amp;"-01"</f>
        <v>2018-11-01</v>
      </c>
      <c r="E323" t="str">
        <f t="shared" ref="E323:E353" si="21">TEXT(EOMONTH(DATEVALUE(D323),0),"YYYY-MM-DD")</f>
        <v>2018-11-30</v>
      </c>
      <c r="F323">
        <f t="shared" ref="F323:F353" si="22">NETWORKDAYS(D323,E323)</f>
        <v>22</v>
      </c>
      <c r="G323">
        <f t="shared" ref="G323:G353" si="23">ROUND(C323/F323*100,2)</f>
        <v>100</v>
      </c>
    </row>
    <row r="324" spans="1:7">
      <c r="A324" t="s">
        <v>14</v>
      </c>
      <c r="B324" t="s">
        <v>190</v>
      </c>
      <c r="C324">
        <v>21</v>
      </c>
      <c r="D324" t="str">
        <f t="shared" si="20"/>
        <v>2018-12-01</v>
      </c>
      <c r="E324" t="str">
        <f t="shared" si="21"/>
        <v>2018-12-31</v>
      </c>
      <c r="F324">
        <f t="shared" si="22"/>
        <v>21</v>
      </c>
      <c r="G324">
        <f t="shared" si="23"/>
        <v>100</v>
      </c>
    </row>
    <row r="325" spans="1:7">
      <c r="A325" t="s">
        <v>14</v>
      </c>
      <c r="B325" t="s">
        <v>191</v>
      </c>
      <c r="C325">
        <v>11</v>
      </c>
      <c r="D325" t="str">
        <f t="shared" si="20"/>
        <v>2019-01-01</v>
      </c>
      <c r="E325" t="str">
        <f t="shared" si="21"/>
        <v>2019-01-31</v>
      </c>
      <c r="F325">
        <f t="shared" si="22"/>
        <v>23</v>
      </c>
      <c r="G325">
        <f t="shared" si="23"/>
        <v>47.83</v>
      </c>
    </row>
    <row r="326" spans="1:7">
      <c r="A326" t="s">
        <v>14</v>
      </c>
      <c r="B326" t="s">
        <v>192</v>
      </c>
      <c r="C326">
        <v>9</v>
      </c>
      <c r="D326" t="str">
        <f t="shared" si="20"/>
        <v>2019-02-01</v>
      </c>
      <c r="E326" t="str">
        <f t="shared" si="21"/>
        <v>2019-02-28</v>
      </c>
      <c r="F326">
        <f t="shared" si="22"/>
        <v>20</v>
      </c>
      <c r="G326">
        <f t="shared" si="23"/>
        <v>45</v>
      </c>
    </row>
    <row r="327" spans="1:7">
      <c r="A327" t="s">
        <v>14</v>
      </c>
      <c r="B327" t="s">
        <v>193</v>
      </c>
      <c r="C327">
        <v>21</v>
      </c>
      <c r="D327" t="str">
        <f t="shared" si="20"/>
        <v>2019-03-01</v>
      </c>
      <c r="E327" t="str">
        <f t="shared" si="21"/>
        <v>2019-03-31</v>
      </c>
      <c r="F327">
        <f t="shared" si="22"/>
        <v>21</v>
      </c>
      <c r="G327">
        <f t="shared" si="23"/>
        <v>100</v>
      </c>
    </row>
    <row r="328" spans="1:7">
      <c r="A328" t="s">
        <v>14</v>
      </c>
      <c r="B328" t="s">
        <v>194</v>
      </c>
      <c r="C328">
        <v>22</v>
      </c>
      <c r="D328" t="str">
        <f t="shared" si="20"/>
        <v>2019-04-01</v>
      </c>
      <c r="E328" t="str">
        <f t="shared" si="21"/>
        <v>2019-04-30</v>
      </c>
      <c r="F328">
        <f t="shared" si="22"/>
        <v>22</v>
      </c>
      <c r="G328">
        <f t="shared" si="23"/>
        <v>100</v>
      </c>
    </row>
    <row r="329" spans="1:7">
      <c r="A329" t="s">
        <v>14</v>
      </c>
      <c r="B329" t="s">
        <v>195</v>
      </c>
      <c r="C329">
        <v>23</v>
      </c>
      <c r="D329" t="str">
        <f t="shared" si="20"/>
        <v>2019-05-01</v>
      </c>
      <c r="E329" t="str">
        <f t="shared" si="21"/>
        <v>2019-05-31</v>
      </c>
      <c r="F329">
        <f t="shared" si="22"/>
        <v>23</v>
      </c>
      <c r="G329">
        <f t="shared" si="23"/>
        <v>100</v>
      </c>
    </row>
    <row r="330" spans="1:7">
      <c r="A330" t="s">
        <v>14</v>
      </c>
      <c r="B330" t="s">
        <v>197</v>
      </c>
      <c r="C330">
        <v>20</v>
      </c>
      <c r="D330" t="str">
        <f t="shared" si="20"/>
        <v>2019-06-01</v>
      </c>
      <c r="E330" t="str">
        <f t="shared" si="21"/>
        <v>2019-06-30</v>
      </c>
      <c r="F330">
        <f t="shared" si="22"/>
        <v>20</v>
      </c>
      <c r="G330">
        <f t="shared" si="23"/>
        <v>100</v>
      </c>
    </row>
    <row r="331" spans="1:7">
      <c r="A331" t="s">
        <v>14</v>
      </c>
      <c r="B331" t="s">
        <v>198</v>
      </c>
      <c r="C331">
        <v>23</v>
      </c>
      <c r="D331" t="str">
        <f t="shared" si="20"/>
        <v>2019-07-01</v>
      </c>
      <c r="E331" t="str">
        <f t="shared" si="21"/>
        <v>2019-07-31</v>
      </c>
      <c r="F331">
        <f t="shared" si="22"/>
        <v>23</v>
      </c>
      <c r="G331">
        <f t="shared" si="23"/>
        <v>100</v>
      </c>
    </row>
    <row r="332" spans="1:7">
      <c r="A332" t="s">
        <v>14</v>
      </c>
      <c r="B332" t="s">
        <v>199</v>
      </c>
      <c r="C332">
        <v>22</v>
      </c>
      <c r="D332" t="str">
        <f t="shared" si="20"/>
        <v>2019-08-01</v>
      </c>
      <c r="E332" t="str">
        <f t="shared" si="21"/>
        <v>2019-08-31</v>
      </c>
      <c r="F332">
        <f t="shared" si="22"/>
        <v>22</v>
      </c>
      <c r="G332">
        <f t="shared" si="23"/>
        <v>100</v>
      </c>
    </row>
    <row r="333" spans="1:7">
      <c r="A333" t="s">
        <v>14</v>
      </c>
      <c r="B333" t="s">
        <v>200</v>
      </c>
      <c r="C333">
        <v>20</v>
      </c>
      <c r="D333" t="str">
        <f t="shared" si="20"/>
        <v>2019-09-01</v>
      </c>
      <c r="E333" t="str">
        <f t="shared" si="21"/>
        <v>2019-09-30</v>
      </c>
      <c r="F333">
        <f t="shared" si="22"/>
        <v>21</v>
      </c>
      <c r="G333">
        <f t="shared" si="23"/>
        <v>95.24</v>
      </c>
    </row>
    <row r="334" spans="1:7">
      <c r="A334" t="s">
        <v>33</v>
      </c>
      <c r="B334" t="s">
        <v>187</v>
      </c>
      <c r="C334">
        <v>2</v>
      </c>
      <c r="D334" t="str">
        <f t="shared" si="20"/>
        <v>2018-09-01</v>
      </c>
      <c r="E334" t="str">
        <f t="shared" si="21"/>
        <v>2018-09-30</v>
      </c>
      <c r="F334">
        <f t="shared" si="22"/>
        <v>20</v>
      </c>
      <c r="G334">
        <f t="shared" si="23"/>
        <v>10</v>
      </c>
    </row>
    <row r="335" spans="1:7">
      <c r="A335" t="s">
        <v>33</v>
      </c>
      <c r="B335" t="s">
        <v>188</v>
      </c>
      <c r="C335">
        <v>23</v>
      </c>
      <c r="D335" t="str">
        <f t="shared" si="20"/>
        <v>2018-10-01</v>
      </c>
      <c r="E335" t="str">
        <f t="shared" si="21"/>
        <v>2018-10-31</v>
      </c>
      <c r="F335">
        <f t="shared" si="22"/>
        <v>23</v>
      </c>
      <c r="G335">
        <f t="shared" si="23"/>
        <v>100</v>
      </c>
    </row>
    <row r="336" spans="1:7">
      <c r="A336" t="s">
        <v>33</v>
      </c>
      <c r="B336" t="s">
        <v>189</v>
      </c>
      <c r="C336">
        <v>22</v>
      </c>
      <c r="D336" t="str">
        <f t="shared" si="20"/>
        <v>2018-11-01</v>
      </c>
      <c r="E336" t="str">
        <f t="shared" si="21"/>
        <v>2018-11-30</v>
      </c>
      <c r="F336">
        <f t="shared" si="22"/>
        <v>22</v>
      </c>
      <c r="G336">
        <f t="shared" si="23"/>
        <v>100</v>
      </c>
    </row>
    <row r="337" spans="1:7">
      <c r="A337" t="s">
        <v>33</v>
      </c>
      <c r="B337" t="s">
        <v>190</v>
      </c>
      <c r="C337">
        <v>21</v>
      </c>
      <c r="D337" t="str">
        <f t="shared" si="20"/>
        <v>2018-12-01</v>
      </c>
      <c r="E337" t="str">
        <f t="shared" si="21"/>
        <v>2018-12-31</v>
      </c>
      <c r="F337">
        <f t="shared" si="22"/>
        <v>21</v>
      </c>
      <c r="G337">
        <f t="shared" si="23"/>
        <v>100</v>
      </c>
    </row>
    <row r="338" spans="1:7">
      <c r="A338" t="s">
        <v>33</v>
      </c>
      <c r="B338" t="s">
        <v>191</v>
      </c>
      <c r="C338">
        <v>23</v>
      </c>
      <c r="D338" t="str">
        <f t="shared" si="20"/>
        <v>2019-01-01</v>
      </c>
      <c r="E338" t="str">
        <f t="shared" si="21"/>
        <v>2019-01-31</v>
      </c>
      <c r="F338">
        <f t="shared" si="22"/>
        <v>23</v>
      </c>
      <c r="G338">
        <f t="shared" si="23"/>
        <v>100</v>
      </c>
    </row>
    <row r="339" spans="1:7">
      <c r="A339" t="s">
        <v>33</v>
      </c>
      <c r="B339" t="s">
        <v>192</v>
      </c>
      <c r="C339">
        <v>20</v>
      </c>
      <c r="D339" t="str">
        <f t="shared" si="20"/>
        <v>2019-02-01</v>
      </c>
      <c r="E339" t="str">
        <f t="shared" si="21"/>
        <v>2019-02-28</v>
      </c>
      <c r="F339">
        <f t="shared" si="22"/>
        <v>20</v>
      </c>
      <c r="G339">
        <f t="shared" si="23"/>
        <v>100</v>
      </c>
    </row>
    <row r="340" spans="1:7">
      <c r="A340" t="s">
        <v>33</v>
      </c>
      <c r="B340" t="s">
        <v>193</v>
      </c>
      <c r="C340">
        <v>21</v>
      </c>
      <c r="D340" t="str">
        <f t="shared" si="20"/>
        <v>2019-03-01</v>
      </c>
      <c r="E340" t="str">
        <f t="shared" si="21"/>
        <v>2019-03-31</v>
      </c>
      <c r="F340">
        <f t="shared" si="22"/>
        <v>21</v>
      </c>
      <c r="G340">
        <f t="shared" si="23"/>
        <v>100</v>
      </c>
    </row>
    <row r="341" spans="1:7">
      <c r="A341" t="s">
        <v>33</v>
      </c>
      <c r="B341" t="s">
        <v>194</v>
      </c>
      <c r="C341">
        <v>22</v>
      </c>
      <c r="D341" t="str">
        <f t="shared" si="20"/>
        <v>2019-04-01</v>
      </c>
      <c r="E341" t="str">
        <f t="shared" si="21"/>
        <v>2019-04-30</v>
      </c>
      <c r="F341">
        <f t="shared" si="22"/>
        <v>22</v>
      </c>
      <c r="G341">
        <f t="shared" si="23"/>
        <v>100</v>
      </c>
    </row>
    <row r="342" spans="1:7">
      <c r="A342" t="s">
        <v>33</v>
      </c>
      <c r="B342" t="s">
        <v>195</v>
      </c>
      <c r="C342">
        <v>23</v>
      </c>
      <c r="D342" t="str">
        <f t="shared" si="20"/>
        <v>2019-05-01</v>
      </c>
      <c r="E342" t="str">
        <f t="shared" si="21"/>
        <v>2019-05-31</v>
      </c>
      <c r="F342">
        <f t="shared" si="22"/>
        <v>23</v>
      </c>
      <c r="G342">
        <f t="shared" si="23"/>
        <v>100</v>
      </c>
    </row>
    <row r="343" spans="1:7">
      <c r="A343" t="s">
        <v>33</v>
      </c>
      <c r="B343" t="s">
        <v>197</v>
      </c>
      <c r="C343">
        <v>20</v>
      </c>
      <c r="D343" t="str">
        <f t="shared" si="20"/>
        <v>2019-06-01</v>
      </c>
      <c r="E343" t="str">
        <f t="shared" si="21"/>
        <v>2019-06-30</v>
      </c>
      <c r="F343">
        <f t="shared" si="22"/>
        <v>20</v>
      </c>
      <c r="G343">
        <f t="shared" si="23"/>
        <v>100</v>
      </c>
    </row>
    <row r="344" spans="1:7">
      <c r="A344" t="s">
        <v>40</v>
      </c>
      <c r="B344" t="s">
        <v>184</v>
      </c>
      <c r="C344">
        <v>20</v>
      </c>
      <c r="D344" t="str">
        <f t="shared" si="20"/>
        <v>2018-06-01</v>
      </c>
      <c r="E344" t="str">
        <f t="shared" si="21"/>
        <v>2018-06-30</v>
      </c>
      <c r="F344">
        <f t="shared" si="22"/>
        <v>21</v>
      </c>
      <c r="G344">
        <f t="shared" si="23"/>
        <v>95.24</v>
      </c>
    </row>
    <row r="345" spans="1:7">
      <c r="A345" t="s">
        <v>40</v>
      </c>
      <c r="B345" t="s">
        <v>185</v>
      </c>
      <c r="C345">
        <v>22</v>
      </c>
      <c r="D345" t="str">
        <f t="shared" si="20"/>
        <v>2018-07-01</v>
      </c>
      <c r="E345" t="str">
        <f t="shared" si="21"/>
        <v>2018-07-31</v>
      </c>
      <c r="F345">
        <f t="shared" si="22"/>
        <v>22</v>
      </c>
      <c r="G345">
        <f t="shared" si="23"/>
        <v>100</v>
      </c>
    </row>
    <row r="346" spans="1:7">
      <c r="A346" t="s">
        <v>40</v>
      </c>
      <c r="B346" t="s">
        <v>186</v>
      </c>
      <c r="C346">
        <v>23</v>
      </c>
      <c r="D346" t="str">
        <f t="shared" si="20"/>
        <v>2018-08-01</v>
      </c>
      <c r="E346" t="str">
        <f t="shared" si="21"/>
        <v>2018-08-31</v>
      </c>
      <c r="F346">
        <f t="shared" si="22"/>
        <v>23</v>
      </c>
      <c r="G346">
        <f t="shared" si="23"/>
        <v>100</v>
      </c>
    </row>
    <row r="347" spans="1:7">
      <c r="A347" t="s">
        <v>40</v>
      </c>
      <c r="B347" t="s">
        <v>187</v>
      </c>
      <c r="C347">
        <v>20</v>
      </c>
      <c r="D347" t="str">
        <f t="shared" si="20"/>
        <v>2018-09-01</v>
      </c>
      <c r="E347" t="str">
        <f t="shared" si="21"/>
        <v>2018-09-30</v>
      </c>
      <c r="F347">
        <f t="shared" si="22"/>
        <v>20</v>
      </c>
      <c r="G347">
        <f t="shared" si="23"/>
        <v>100</v>
      </c>
    </row>
    <row r="348" spans="1:7">
      <c r="A348" t="s">
        <v>40</v>
      </c>
      <c r="B348" t="s">
        <v>188</v>
      </c>
      <c r="C348">
        <v>23</v>
      </c>
      <c r="D348" t="str">
        <f t="shared" si="20"/>
        <v>2018-10-01</v>
      </c>
      <c r="E348" t="str">
        <f t="shared" si="21"/>
        <v>2018-10-31</v>
      </c>
      <c r="F348">
        <f t="shared" si="22"/>
        <v>23</v>
      </c>
      <c r="G348">
        <f t="shared" si="23"/>
        <v>100</v>
      </c>
    </row>
    <row r="349" spans="1:7">
      <c r="A349" t="s">
        <v>40</v>
      </c>
      <c r="B349" t="s">
        <v>189</v>
      </c>
      <c r="C349">
        <v>22</v>
      </c>
      <c r="D349" t="str">
        <f t="shared" si="20"/>
        <v>2018-11-01</v>
      </c>
      <c r="E349" t="str">
        <f t="shared" si="21"/>
        <v>2018-11-30</v>
      </c>
      <c r="F349">
        <f t="shared" si="22"/>
        <v>22</v>
      </c>
      <c r="G349">
        <f t="shared" si="23"/>
        <v>100</v>
      </c>
    </row>
    <row r="350" spans="1:7">
      <c r="A350" t="s">
        <v>40</v>
      </c>
      <c r="B350" t="s">
        <v>190</v>
      </c>
      <c r="C350">
        <v>21</v>
      </c>
      <c r="D350" t="str">
        <f t="shared" si="20"/>
        <v>2018-12-01</v>
      </c>
      <c r="E350" t="str">
        <f t="shared" si="21"/>
        <v>2018-12-31</v>
      </c>
      <c r="F350">
        <f t="shared" si="22"/>
        <v>21</v>
      </c>
      <c r="G350">
        <f t="shared" si="23"/>
        <v>100</v>
      </c>
    </row>
    <row r="351" spans="1:7">
      <c r="A351" t="s">
        <v>40</v>
      </c>
      <c r="B351" t="s">
        <v>191</v>
      </c>
      <c r="C351">
        <v>23</v>
      </c>
      <c r="D351" t="str">
        <f t="shared" si="20"/>
        <v>2019-01-01</v>
      </c>
      <c r="E351" t="str">
        <f t="shared" si="21"/>
        <v>2019-01-31</v>
      </c>
      <c r="F351">
        <f t="shared" si="22"/>
        <v>23</v>
      </c>
      <c r="G351">
        <f t="shared" si="23"/>
        <v>100</v>
      </c>
    </row>
    <row r="352" spans="1:7">
      <c r="A352" t="s">
        <v>40</v>
      </c>
      <c r="B352" t="s">
        <v>192</v>
      </c>
      <c r="C352">
        <v>20</v>
      </c>
      <c r="D352" t="str">
        <f t="shared" si="20"/>
        <v>2019-02-01</v>
      </c>
      <c r="E352" t="str">
        <f t="shared" si="21"/>
        <v>2019-02-28</v>
      </c>
      <c r="F352">
        <f t="shared" si="22"/>
        <v>20</v>
      </c>
      <c r="G352">
        <f t="shared" si="23"/>
        <v>100</v>
      </c>
    </row>
    <row r="353" spans="1:7">
      <c r="A353" t="s">
        <v>40</v>
      </c>
      <c r="B353" t="s">
        <v>193</v>
      </c>
      <c r="C353">
        <v>21</v>
      </c>
      <c r="D353" t="str">
        <f t="shared" si="20"/>
        <v>2019-03-01</v>
      </c>
      <c r="E353" t="str">
        <f t="shared" si="21"/>
        <v>2019-03-31</v>
      </c>
      <c r="F353">
        <f t="shared" si="22"/>
        <v>21</v>
      </c>
      <c r="G353">
        <f t="shared" si="23"/>
        <v>100</v>
      </c>
    </row>
    <row r="354" spans="1:7">
      <c r="A354" t="s">
        <v>40</v>
      </c>
      <c r="B354" t="s">
        <v>194</v>
      </c>
      <c r="C354">
        <v>5</v>
      </c>
    </row>
  </sheetData>
  <phoneticPr fontId="1" type="noConversion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/>
  <dimension ref="A1:AG1101"/>
  <sheetViews>
    <sheetView topLeftCell="B1" workbookViewId="0">
      <pane xSplit="2" ySplit="6" topLeftCell="D7" activePane="bottomRight" state="frozen"/>
      <selection activeCell="B1" sqref="B1"/>
      <selection pane="topRight" activeCell="D1" sqref="D1"/>
      <selection pane="bottomLeft" activeCell="B7" sqref="B7"/>
      <selection pane="bottomRight"/>
    </sheetView>
  </sheetViews>
  <sheetFormatPr defaultRowHeight="16.5"/>
  <cols>
    <col min="1" max="1" width="0" hidden="1" customWidth="1"/>
    <col min="2" max="2" width="21.875" customWidth="1"/>
    <col min="3" max="3" width="21" customWidth="1"/>
    <col min="4" max="4" width="11.125" bestFit="1" customWidth="1"/>
    <col min="5" max="5" width="9" style="60"/>
    <col min="7" max="7" width="9.75" style="60" bestFit="1" customWidth="1"/>
  </cols>
  <sheetData>
    <row r="1" spans="1:33" s="38" customFormat="1" ht="17.25" thickBot="1">
      <c r="B1" s="39" t="s">
        <v>226</v>
      </c>
      <c r="C1" s="59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</row>
    <row r="2" spans="1:33" s="38" customFormat="1" ht="17.25" thickBot="1">
      <c r="B2" s="39" t="s">
        <v>227</v>
      </c>
      <c r="C2" s="40"/>
      <c r="E2" s="43" t="s">
        <v>233</v>
      </c>
      <c r="F2" s="41"/>
      <c r="G2" s="41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</row>
    <row r="3" spans="1:33" s="38" customFormat="1">
      <c r="B3" s="39" t="s">
        <v>228</v>
      </c>
      <c r="C3" s="40"/>
      <c r="E3" s="43" t="s">
        <v>229</v>
      </c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33" s="38" customFormat="1">
      <c r="C4" s="44"/>
      <c r="E4" s="43" t="s">
        <v>230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33" s="38" customFormat="1" ht="17.25" thickBot="1">
      <c r="D5" s="45"/>
      <c r="F5" s="46"/>
      <c r="G5" s="46"/>
    </row>
    <row r="6" spans="1:33" s="38" customFormat="1">
      <c r="A6" s="39" t="s">
        <v>226</v>
      </c>
      <c r="B6" s="39" t="s">
        <v>231</v>
      </c>
      <c r="C6" s="39" t="s">
        <v>232</v>
      </c>
      <c r="D6" s="39" t="s">
        <v>233</v>
      </c>
      <c r="E6" s="39" t="s">
        <v>234</v>
      </c>
      <c r="F6" s="39" t="s">
        <v>233</v>
      </c>
      <c r="G6" s="39" t="s">
        <v>234</v>
      </c>
      <c r="H6" s="39" t="s">
        <v>233</v>
      </c>
      <c r="I6" s="39" t="s">
        <v>234</v>
      </c>
      <c r="J6" s="39" t="s">
        <v>233</v>
      </c>
      <c r="K6" s="39" t="s">
        <v>234</v>
      </c>
      <c r="L6" s="39" t="s">
        <v>233</v>
      </c>
      <c r="M6" s="39" t="s">
        <v>234</v>
      </c>
      <c r="N6" s="39" t="s">
        <v>233</v>
      </c>
      <c r="O6" s="39" t="s">
        <v>234</v>
      </c>
      <c r="P6" s="39" t="s">
        <v>233</v>
      </c>
      <c r="Q6" s="39" t="s">
        <v>234</v>
      </c>
      <c r="R6" s="39" t="s">
        <v>233</v>
      </c>
      <c r="S6" s="39" t="s">
        <v>234</v>
      </c>
      <c r="T6" s="39" t="s">
        <v>233</v>
      </c>
      <c r="U6" s="39" t="s">
        <v>234</v>
      </c>
      <c r="V6" s="39" t="s">
        <v>233</v>
      </c>
      <c r="W6" s="39" t="s">
        <v>234</v>
      </c>
      <c r="X6" s="39" t="s">
        <v>233</v>
      </c>
      <c r="Y6" s="39" t="s">
        <v>234</v>
      </c>
      <c r="Z6" s="39" t="s">
        <v>233</v>
      </c>
      <c r="AA6" s="39" t="s">
        <v>234</v>
      </c>
      <c r="AB6" s="39" t="s">
        <v>233</v>
      </c>
      <c r="AC6" s="39" t="s">
        <v>234</v>
      </c>
      <c r="AD6" s="39" t="s">
        <v>233</v>
      </c>
      <c r="AE6" s="39" t="s">
        <v>234</v>
      </c>
      <c r="AF6" s="39" t="s">
        <v>233</v>
      </c>
      <c r="AG6" s="39" t="s">
        <v>234</v>
      </c>
    </row>
    <row r="7" spans="1:33">
      <c r="A7">
        <f t="shared" ref="A7:A70" si="0">$C$1</f>
        <v>0</v>
      </c>
      <c r="B7" s="2">
        <f>C2</f>
        <v>0</v>
      </c>
      <c r="C7" s="4" t="str">
        <f>TEXT(B7,"AAA")</f>
        <v>토</v>
      </c>
      <c r="D7" s="3" t="str">
        <f>IF(NOT(AND($F$3&lt;=B7,B7&lt;=$F$4)),"",$F$2&amp;"")</f>
        <v/>
      </c>
      <c r="E7" s="47"/>
      <c r="F7" s="3" t="str">
        <f>IF(NOT(AND($G$3&lt;=B7,B7&lt;=$G$4)),"",$G$2&amp;"")</f>
        <v/>
      </c>
      <c r="G7" s="47"/>
      <c r="H7" s="3" t="str">
        <f>IF(NOT(AND($H$3&lt;=B7,B7&lt;=$H$4)),"",$H$2&amp;"")</f>
        <v/>
      </c>
      <c r="I7" s="47"/>
      <c r="J7" s="3" t="str">
        <f>IF(NOT(AND($I$3&lt;=B7,B7&lt;=$I$4)),"",$I$2&amp;"")</f>
        <v/>
      </c>
      <c r="K7" s="47"/>
      <c r="L7" s="3" t="str">
        <f>IF(NOT(AND($J$3&lt;=B7,B7&lt;=$J$4)),"",$J$2&amp;"")</f>
        <v/>
      </c>
      <c r="M7" s="47"/>
      <c r="N7" s="3" t="str">
        <f>IF(NOT(AND($K$3&lt;=B7,B7&lt;=$K$4)),"",$K$2&amp;"")</f>
        <v/>
      </c>
      <c r="O7" s="47"/>
      <c r="P7" s="3" t="str">
        <f>IF(NOT(AND($L$3&lt;=B7,B7&lt;=$L$4)),"",$L$2&amp;"")</f>
        <v/>
      </c>
      <c r="Q7" s="47"/>
      <c r="R7" s="3" t="str">
        <f>IF(NOT(AND($M$3&lt;=B7,B7&lt;=$M$4)),"",$M$2&amp;"")</f>
        <v/>
      </c>
      <c r="S7" s="47"/>
      <c r="T7" s="1" t="str">
        <f>IF(NOT(AND($N$3&lt;=B7,B7&lt;=$N$4)),"",$N$2&amp;"")</f>
        <v/>
      </c>
      <c r="U7" s="47"/>
      <c r="V7" s="1" t="str">
        <f>IF(NOT(AND($O$3&lt;=B7,B7&lt;=$O$4)),"",$O$2&amp;"")</f>
        <v/>
      </c>
      <c r="W7" s="47"/>
      <c r="X7" s="1" t="str">
        <f>IF(NOT(AND($P$3&lt;=B7,B7&lt;=$P$4)),"",$P$2&amp;"")</f>
        <v/>
      </c>
      <c r="Y7" s="47"/>
      <c r="Z7" s="1" t="str">
        <f>IF(NOT(AND($Q$3&lt;=B7,B7&lt;=$Q$4)),"",$Q$2&amp;"")</f>
        <v/>
      </c>
      <c r="AA7" s="47"/>
      <c r="AB7" s="1" t="str">
        <f>IF(NOT(AND($R$3&lt;=B7,B7&lt;=$R$4)),"",$R$2&amp;"")</f>
        <v/>
      </c>
      <c r="AC7" s="47"/>
      <c r="AD7" s="1" t="str">
        <f>IF(NOT(AND($S$3&lt;=B7,B7&lt;=$S$4)),"",$S$2&amp;"")</f>
        <v/>
      </c>
      <c r="AE7" s="47"/>
      <c r="AF7" s="1" t="str">
        <f>IF(NOT(AND($T$3&lt;=B7,B7&lt;=$T$4)),"",$T$2&amp;"")</f>
        <v/>
      </c>
      <c r="AG7" s="47"/>
    </row>
    <row r="8" spans="1:33">
      <c r="A8">
        <f t="shared" si="0"/>
        <v>0</v>
      </c>
      <c r="B8" s="2" t="str">
        <f>IFERROR(IF(B7+1&gt;$C$3,"",B7+1),"")</f>
        <v/>
      </c>
      <c r="C8" s="4" t="str">
        <f t="shared" ref="C8:C71" si="1">TEXT(B8,"AAA")</f>
        <v/>
      </c>
      <c r="D8" s="3" t="str">
        <f t="shared" ref="D8:D71" si="2">IF(NOT(AND($F$3&lt;=B8,B8&lt;=$F$4)),"",$F$2&amp;"")</f>
        <v/>
      </c>
      <c r="E8" s="47"/>
      <c r="F8" s="3" t="str">
        <f t="shared" ref="F8:F71" si="3">IF(NOT(AND($G$3&lt;=B8,B8&lt;=$G$4)),"",$G$2&amp;"")</f>
        <v/>
      </c>
      <c r="G8" s="47"/>
      <c r="H8" s="3" t="str">
        <f t="shared" ref="H8:H71" si="4">IF(NOT(AND($H$3&lt;=B8,B8&lt;=$H$4)),"",$H$2&amp;"")</f>
        <v/>
      </c>
      <c r="I8" s="47"/>
      <c r="J8" s="3" t="str">
        <f t="shared" ref="J8:J71" si="5">IF(NOT(AND($I$3&lt;=B8,B8&lt;=$I$4)),"",$I$2&amp;"")</f>
        <v/>
      </c>
      <c r="K8" s="47"/>
      <c r="L8" s="3" t="str">
        <f t="shared" ref="L8:L71" si="6">IF(NOT(AND($J$3&lt;=B8,B8&lt;=$J$4)),"",$J$2&amp;"")</f>
        <v/>
      </c>
      <c r="M8" s="47"/>
      <c r="N8" s="3" t="str">
        <f t="shared" ref="N8:N71" si="7">IF(NOT(AND($K$3&lt;=B8,B8&lt;=$K$4)),"",$K$2&amp;"")</f>
        <v/>
      </c>
      <c r="O8" s="47"/>
      <c r="P8" s="3" t="str">
        <f t="shared" ref="P8:P71" si="8">IF(NOT(AND($L$3&lt;=B8,B8&lt;=$L$4)),"",$L$2&amp;"")</f>
        <v/>
      </c>
      <c r="Q8" s="47"/>
      <c r="R8" s="3" t="str">
        <f t="shared" ref="R8:R71" si="9">IF(NOT(AND($M$3&lt;=B8,B8&lt;=$M$4)),"",$M$2&amp;"")</f>
        <v/>
      </c>
      <c r="S8" s="47"/>
      <c r="T8" s="1" t="str">
        <f t="shared" ref="T8:T71" si="10">IF(NOT(AND($N$3&lt;=B8,B8&lt;=$N$4)),"",$N$2&amp;"")</f>
        <v/>
      </c>
      <c r="U8" s="47"/>
      <c r="V8" s="1" t="str">
        <f t="shared" ref="V8:V71" si="11">IF(NOT(AND($O$3&lt;=B8,B8&lt;=$O$4)),"",$O$2&amp;"")</f>
        <v/>
      </c>
      <c r="W8" s="47"/>
      <c r="X8" s="1" t="str">
        <f t="shared" ref="X8:X71" si="12">IF(NOT(AND($P$3&lt;=B8,B8&lt;=$P$4)),"",$P$2&amp;"")</f>
        <v/>
      </c>
      <c r="Y8" s="47"/>
      <c r="Z8" s="1" t="str">
        <f t="shared" ref="Z8:Z71" si="13">IF(NOT(AND($Q$3&lt;=B8,B8&lt;=$Q$4)),"",$Q$2&amp;"")</f>
        <v/>
      </c>
      <c r="AA8" s="47"/>
      <c r="AB8" s="1" t="str">
        <f t="shared" ref="AB8:AB71" si="14">IF(NOT(AND($R$3&lt;=B8,B8&lt;=$R$4)),"",$R$2&amp;"")</f>
        <v/>
      </c>
      <c r="AC8" s="47"/>
      <c r="AD8" s="1" t="str">
        <f t="shared" ref="AD8:AD71" si="15">IF(NOT(AND($S$3&lt;=B8,B8&lt;=$S$4)),"",$S$2&amp;"")</f>
        <v/>
      </c>
      <c r="AE8" s="47"/>
      <c r="AF8" s="1" t="str">
        <f t="shared" ref="AF8:AF71" si="16">IF(NOT(AND($T$3&lt;=B8,B8&lt;=$T$4)),"",$T$2&amp;"")</f>
        <v/>
      </c>
      <c r="AG8" s="47"/>
    </row>
    <row r="9" spans="1:33">
      <c r="A9">
        <f t="shared" si="0"/>
        <v>0</v>
      </c>
      <c r="B9" s="2" t="str">
        <f t="shared" ref="B9:B72" si="17">IFERROR(IF(B8+1&gt;$C$3,"",B8+1),"")</f>
        <v/>
      </c>
      <c r="C9" s="4" t="str">
        <f t="shared" si="1"/>
        <v/>
      </c>
      <c r="D9" s="3" t="str">
        <f t="shared" si="2"/>
        <v/>
      </c>
      <c r="E9" s="47"/>
      <c r="F9" s="3" t="str">
        <f t="shared" si="3"/>
        <v/>
      </c>
      <c r="G9" s="47"/>
      <c r="H9" s="3" t="str">
        <f t="shared" si="4"/>
        <v/>
      </c>
      <c r="I9" s="47"/>
      <c r="J9" s="3" t="str">
        <f t="shared" si="5"/>
        <v/>
      </c>
      <c r="K9" s="47"/>
      <c r="L9" s="3" t="str">
        <f t="shared" si="6"/>
        <v/>
      </c>
      <c r="M9" s="47"/>
      <c r="N9" s="3" t="str">
        <f t="shared" si="7"/>
        <v/>
      </c>
      <c r="O9" s="47"/>
      <c r="P9" s="3" t="str">
        <f t="shared" si="8"/>
        <v/>
      </c>
      <c r="Q9" s="47"/>
      <c r="R9" s="3" t="str">
        <f t="shared" si="9"/>
        <v/>
      </c>
      <c r="S9" s="47"/>
      <c r="T9" s="1" t="str">
        <f t="shared" si="10"/>
        <v/>
      </c>
      <c r="U9" s="47"/>
      <c r="V9" s="1" t="str">
        <f t="shared" si="11"/>
        <v/>
      </c>
      <c r="W9" s="47"/>
      <c r="X9" s="1" t="str">
        <f t="shared" si="12"/>
        <v/>
      </c>
      <c r="Y9" s="47"/>
      <c r="Z9" s="1" t="str">
        <f t="shared" si="13"/>
        <v/>
      </c>
      <c r="AA9" s="47"/>
      <c r="AB9" s="1" t="str">
        <f t="shared" si="14"/>
        <v/>
      </c>
      <c r="AC9" s="47"/>
      <c r="AD9" s="1" t="str">
        <f t="shared" si="15"/>
        <v/>
      </c>
      <c r="AE9" s="47"/>
      <c r="AF9" s="1" t="str">
        <f t="shared" si="16"/>
        <v/>
      </c>
      <c r="AG9" s="47"/>
    </row>
    <row r="10" spans="1:33">
      <c r="A10">
        <f t="shared" si="0"/>
        <v>0</v>
      </c>
      <c r="B10" s="2" t="str">
        <f t="shared" si="17"/>
        <v/>
      </c>
      <c r="C10" s="4" t="str">
        <f t="shared" si="1"/>
        <v/>
      </c>
      <c r="D10" s="3" t="str">
        <f t="shared" si="2"/>
        <v/>
      </c>
      <c r="E10" s="47"/>
      <c r="F10" s="3" t="str">
        <f t="shared" si="3"/>
        <v/>
      </c>
      <c r="G10" s="47"/>
      <c r="H10" s="3" t="str">
        <f t="shared" si="4"/>
        <v/>
      </c>
      <c r="I10" s="47"/>
      <c r="J10" s="3" t="str">
        <f t="shared" si="5"/>
        <v/>
      </c>
      <c r="K10" s="47"/>
      <c r="L10" s="3" t="str">
        <f t="shared" si="6"/>
        <v/>
      </c>
      <c r="M10" s="47"/>
      <c r="N10" s="3" t="str">
        <f t="shared" si="7"/>
        <v/>
      </c>
      <c r="O10" s="47"/>
      <c r="P10" s="3" t="str">
        <f t="shared" si="8"/>
        <v/>
      </c>
      <c r="Q10" s="47"/>
      <c r="R10" s="3" t="str">
        <f t="shared" si="9"/>
        <v/>
      </c>
      <c r="S10" s="47"/>
      <c r="T10" s="1" t="str">
        <f t="shared" si="10"/>
        <v/>
      </c>
      <c r="U10" s="47"/>
      <c r="V10" s="1" t="str">
        <f t="shared" si="11"/>
        <v/>
      </c>
      <c r="W10" s="47"/>
      <c r="X10" s="1" t="str">
        <f t="shared" si="12"/>
        <v/>
      </c>
      <c r="Y10" s="47"/>
      <c r="Z10" s="1" t="str">
        <f t="shared" si="13"/>
        <v/>
      </c>
      <c r="AA10" s="47"/>
      <c r="AB10" s="1" t="str">
        <f t="shared" si="14"/>
        <v/>
      </c>
      <c r="AC10" s="47"/>
      <c r="AD10" s="1" t="str">
        <f t="shared" si="15"/>
        <v/>
      </c>
      <c r="AE10" s="47"/>
      <c r="AF10" s="1" t="str">
        <f t="shared" si="16"/>
        <v/>
      </c>
      <c r="AG10" s="47"/>
    </row>
    <row r="11" spans="1:33">
      <c r="A11">
        <f t="shared" si="0"/>
        <v>0</v>
      </c>
      <c r="B11" s="2" t="str">
        <f t="shared" si="17"/>
        <v/>
      </c>
      <c r="C11" s="4" t="str">
        <f t="shared" si="1"/>
        <v/>
      </c>
      <c r="D11" s="3" t="str">
        <f t="shared" si="2"/>
        <v/>
      </c>
      <c r="E11" s="47"/>
      <c r="F11" s="3" t="str">
        <f t="shared" si="3"/>
        <v/>
      </c>
      <c r="G11" s="47"/>
      <c r="H11" s="3" t="str">
        <f t="shared" si="4"/>
        <v/>
      </c>
      <c r="I11" s="47"/>
      <c r="J11" s="3" t="str">
        <f t="shared" si="5"/>
        <v/>
      </c>
      <c r="K11" s="47"/>
      <c r="L11" s="3" t="str">
        <f t="shared" si="6"/>
        <v/>
      </c>
      <c r="M11" s="47"/>
      <c r="N11" s="3" t="str">
        <f t="shared" si="7"/>
        <v/>
      </c>
      <c r="O11" s="47"/>
      <c r="P11" s="3" t="str">
        <f t="shared" si="8"/>
        <v/>
      </c>
      <c r="Q11" s="47"/>
      <c r="R11" s="3" t="str">
        <f t="shared" si="9"/>
        <v/>
      </c>
      <c r="S11" s="47"/>
      <c r="T11" s="1" t="str">
        <f t="shared" si="10"/>
        <v/>
      </c>
      <c r="U11" s="47"/>
      <c r="V11" s="1" t="str">
        <f t="shared" si="11"/>
        <v/>
      </c>
      <c r="W11" s="47"/>
      <c r="X11" s="1" t="str">
        <f t="shared" si="12"/>
        <v/>
      </c>
      <c r="Y11" s="47"/>
      <c r="Z11" s="1" t="str">
        <f t="shared" si="13"/>
        <v/>
      </c>
      <c r="AA11" s="47"/>
      <c r="AB11" s="1" t="str">
        <f t="shared" si="14"/>
        <v/>
      </c>
      <c r="AC11" s="47"/>
      <c r="AD11" s="1" t="str">
        <f t="shared" si="15"/>
        <v/>
      </c>
      <c r="AE11" s="47"/>
      <c r="AF11" s="1" t="str">
        <f t="shared" si="16"/>
        <v/>
      </c>
      <c r="AG11" s="47"/>
    </row>
    <row r="12" spans="1:33">
      <c r="A12">
        <f t="shared" si="0"/>
        <v>0</v>
      </c>
      <c r="B12" s="2" t="str">
        <f t="shared" si="17"/>
        <v/>
      </c>
      <c r="C12" s="4" t="str">
        <f t="shared" si="1"/>
        <v/>
      </c>
      <c r="D12" s="3" t="str">
        <f t="shared" si="2"/>
        <v/>
      </c>
      <c r="E12" s="47"/>
      <c r="F12" s="3" t="str">
        <f t="shared" si="3"/>
        <v/>
      </c>
      <c r="G12" s="47"/>
      <c r="H12" s="3" t="str">
        <f t="shared" si="4"/>
        <v/>
      </c>
      <c r="I12" s="47"/>
      <c r="J12" s="3" t="str">
        <f t="shared" si="5"/>
        <v/>
      </c>
      <c r="K12" s="47"/>
      <c r="L12" s="3" t="str">
        <f t="shared" si="6"/>
        <v/>
      </c>
      <c r="M12" s="47"/>
      <c r="N12" s="3" t="str">
        <f t="shared" si="7"/>
        <v/>
      </c>
      <c r="O12" s="47"/>
      <c r="P12" s="3" t="str">
        <f t="shared" si="8"/>
        <v/>
      </c>
      <c r="Q12" s="47"/>
      <c r="R12" s="3" t="str">
        <f t="shared" si="9"/>
        <v/>
      </c>
      <c r="S12" s="47"/>
      <c r="T12" s="1" t="str">
        <f t="shared" si="10"/>
        <v/>
      </c>
      <c r="U12" s="47"/>
      <c r="V12" s="1" t="str">
        <f t="shared" si="11"/>
        <v/>
      </c>
      <c r="W12" s="47"/>
      <c r="X12" s="1" t="str">
        <f t="shared" si="12"/>
        <v/>
      </c>
      <c r="Y12" s="47"/>
      <c r="Z12" s="1" t="str">
        <f t="shared" si="13"/>
        <v/>
      </c>
      <c r="AA12" s="47"/>
      <c r="AB12" s="1" t="str">
        <f t="shared" si="14"/>
        <v/>
      </c>
      <c r="AC12" s="47"/>
      <c r="AD12" s="1" t="str">
        <f t="shared" si="15"/>
        <v/>
      </c>
      <c r="AE12" s="47"/>
      <c r="AF12" s="1" t="str">
        <f t="shared" si="16"/>
        <v/>
      </c>
      <c r="AG12" s="47"/>
    </row>
    <row r="13" spans="1:33">
      <c r="A13">
        <f t="shared" si="0"/>
        <v>0</v>
      </c>
      <c r="B13" s="2" t="str">
        <f t="shared" si="17"/>
        <v/>
      </c>
      <c r="C13" s="4" t="str">
        <f t="shared" si="1"/>
        <v/>
      </c>
      <c r="D13" s="3" t="str">
        <f t="shared" si="2"/>
        <v/>
      </c>
      <c r="E13" s="47"/>
      <c r="F13" s="3" t="str">
        <f t="shared" si="3"/>
        <v/>
      </c>
      <c r="G13" s="47"/>
      <c r="H13" s="3" t="str">
        <f t="shared" si="4"/>
        <v/>
      </c>
      <c r="I13" s="47"/>
      <c r="J13" s="3" t="str">
        <f t="shared" si="5"/>
        <v/>
      </c>
      <c r="K13" s="47"/>
      <c r="L13" s="3" t="str">
        <f t="shared" si="6"/>
        <v/>
      </c>
      <c r="M13" s="47"/>
      <c r="N13" s="3" t="str">
        <f t="shared" si="7"/>
        <v/>
      </c>
      <c r="O13" s="47"/>
      <c r="P13" s="3" t="str">
        <f t="shared" si="8"/>
        <v/>
      </c>
      <c r="Q13" s="47"/>
      <c r="R13" s="3" t="str">
        <f t="shared" si="9"/>
        <v/>
      </c>
      <c r="S13" s="47"/>
      <c r="T13" s="1" t="str">
        <f t="shared" si="10"/>
        <v/>
      </c>
      <c r="U13" s="47"/>
      <c r="V13" s="1" t="str">
        <f t="shared" si="11"/>
        <v/>
      </c>
      <c r="W13" s="47"/>
      <c r="X13" s="1" t="str">
        <f t="shared" si="12"/>
        <v/>
      </c>
      <c r="Y13" s="47"/>
      <c r="Z13" s="1" t="str">
        <f t="shared" si="13"/>
        <v/>
      </c>
      <c r="AA13" s="47"/>
      <c r="AB13" s="1" t="str">
        <f t="shared" si="14"/>
        <v/>
      </c>
      <c r="AC13" s="47"/>
      <c r="AD13" s="1" t="str">
        <f t="shared" si="15"/>
        <v/>
      </c>
      <c r="AE13" s="47"/>
      <c r="AF13" s="1" t="str">
        <f t="shared" si="16"/>
        <v/>
      </c>
      <c r="AG13" s="47"/>
    </row>
    <row r="14" spans="1:33">
      <c r="A14">
        <f t="shared" si="0"/>
        <v>0</v>
      </c>
      <c r="B14" s="2" t="str">
        <f t="shared" si="17"/>
        <v/>
      </c>
      <c r="C14" s="4" t="str">
        <f t="shared" si="1"/>
        <v/>
      </c>
      <c r="D14" s="3" t="str">
        <f t="shared" si="2"/>
        <v/>
      </c>
      <c r="E14" s="47"/>
      <c r="F14" s="3" t="str">
        <f t="shared" si="3"/>
        <v/>
      </c>
      <c r="G14" s="47"/>
      <c r="H14" s="3" t="str">
        <f t="shared" si="4"/>
        <v/>
      </c>
      <c r="I14" s="47"/>
      <c r="J14" s="3" t="str">
        <f t="shared" si="5"/>
        <v/>
      </c>
      <c r="K14" s="47"/>
      <c r="L14" s="3" t="str">
        <f t="shared" si="6"/>
        <v/>
      </c>
      <c r="M14" s="47"/>
      <c r="N14" s="3" t="str">
        <f t="shared" si="7"/>
        <v/>
      </c>
      <c r="O14" s="47"/>
      <c r="P14" s="3" t="str">
        <f t="shared" si="8"/>
        <v/>
      </c>
      <c r="Q14" s="47"/>
      <c r="R14" s="3" t="str">
        <f t="shared" si="9"/>
        <v/>
      </c>
      <c r="S14" s="47"/>
      <c r="T14" s="1" t="str">
        <f t="shared" si="10"/>
        <v/>
      </c>
      <c r="U14" s="47"/>
      <c r="V14" s="1" t="str">
        <f t="shared" si="11"/>
        <v/>
      </c>
      <c r="W14" s="47"/>
      <c r="X14" s="1" t="str">
        <f t="shared" si="12"/>
        <v/>
      </c>
      <c r="Y14" s="47"/>
      <c r="Z14" s="1" t="str">
        <f t="shared" si="13"/>
        <v/>
      </c>
      <c r="AA14" s="47"/>
      <c r="AB14" s="1" t="str">
        <f t="shared" si="14"/>
        <v/>
      </c>
      <c r="AC14" s="47"/>
      <c r="AD14" s="1" t="str">
        <f t="shared" si="15"/>
        <v/>
      </c>
      <c r="AE14" s="47"/>
      <c r="AF14" s="1" t="str">
        <f t="shared" si="16"/>
        <v/>
      </c>
      <c r="AG14" s="47"/>
    </row>
    <row r="15" spans="1:33">
      <c r="A15">
        <f t="shared" si="0"/>
        <v>0</v>
      </c>
      <c r="B15" s="2" t="str">
        <f t="shared" si="17"/>
        <v/>
      </c>
      <c r="C15" s="4" t="str">
        <f t="shared" si="1"/>
        <v/>
      </c>
      <c r="D15" s="3" t="str">
        <f t="shared" si="2"/>
        <v/>
      </c>
      <c r="E15" s="47"/>
      <c r="F15" s="3" t="str">
        <f t="shared" si="3"/>
        <v/>
      </c>
      <c r="G15" s="47"/>
      <c r="H15" s="3" t="str">
        <f t="shared" si="4"/>
        <v/>
      </c>
      <c r="I15" s="47"/>
      <c r="J15" s="3" t="str">
        <f t="shared" si="5"/>
        <v/>
      </c>
      <c r="K15" s="47"/>
      <c r="L15" s="3" t="str">
        <f t="shared" si="6"/>
        <v/>
      </c>
      <c r="M15" s="47"/>
      <c r="N15" s="3" t="str">
        <f t="shared" si="7"/>
        <v/>
      </c>
      <c r="O15" s="47"/>
      <c r="P15" s="3" t="str">
        <f t="shared" si="8"/>
        <v/>
      </c>
      <c r="Q15" s="47"/>
      <c r="R15" s="3" t="str">
        <f t="shared" si="9"/>
        <v/>
      </c>
      <c r="S15" s="47"/>
      <c r="T15" s="1" t="str">
        <f t="shared" si="10"/>
        <v/>
      </c>
      <c r="U15" s="47"/>
      <c r="V15" s="1" t="str">
        <f t="shared" si="11"/>
        <v/>
      </c>
      <c r="W15" s="47"/>
      <c r="X15" s="1" t="str">
        <f t="shared" si="12"/>
        <v/>
      </c>
      <c r="Y15" s="47"/>
      <c r="Z15" s="1" t="str">
        <f t="shared" si="13"/>
        <v/>
      </c>
      <c r="AA15" s="47"/>
      <c r="AB15" s="1" t="str">
        <f t="shared" si="14"/>
        <v/>
      </c>
      <c r="AC15" s="47"/>
      <c r="AD15" s="1" t="str">
        <f t="shared" si="15"/>
        <v/>
      </c>
      <c r="AE15" s="47"/>
      <c r="AF15" s="1" t="str">
        <f t="shared" si="16"/>
        <v/>
      </c>
      <c r="AG15" s="47"/>
    </row>
    <row r="16" spans="1:33">
      <c r="A16">
        <f t="shared" si="0"/>
        <v>0</v>
      </c>
      <c r="B16" s="2" t="str">
        <f t="shared" si="17"/>
        <v/>
      </c>
      <c r="C16" s="4" t="str">
        <f t="shared" si="1"/>
        <v/>
      </c>
      <c r="D16" s="3" t="str">
        <f t="shared" si="2"/>
        <v/>
      </c>
      <c r="E16" s="47"/>
      <c r="F16" s="3" t="str">
        <f t="shared" si="3"/>
        <v/>
      </c>
      <c r="G16" s="47"/>
      <c r="H16" s="3" t="str">
        <f t="shared" si="4"/>
        <v/>
      </c>
      <c r="I16" s="47"/>
      <c r="J16" s="3" t="str">
        <f t="shared" si="5"/>
        <v/>
      </c>
      <c r="K16" s="47"/>
      <c r="L16" s="3" t="str">
        <f t="shared" si="6"/>
        <v/>
      </c>
      <c r="M16" s="47"/>
      <c r="N16" s="3" t="str">
        <f t="shared" si="7"/>
        <v/>
      </c>
      <c r="O16" s="47"/>
      <c r="P16" s="3" t="str">
        <f t="shared" si="8"/>
        <v/>
      </c>
      <c r="Q16" s="47"/>
      <c r="R16" s="3" t="str">
        <f t="shared" si="9"/>
        <v/>
      </c>
      <c r="S16" s="47"/>
      <c r="T16" s="1" t="str">
        <f t="shared" si="10"/>
        <v/>
      </c>
      <c r="U16" s="47"/>
      <c r="V16" s="1" t="str">
        <f t="shared" si="11"/>
        <v/>
      </c>
      <c r="W16" s="47"/>
      <c r="X16" s="1" t="str">
        <f t="shared" si="12"/>
        <v/>
      </c>
      <c r="Y16" s="47"/>
      <c r="Z16" s="1" t="str">
        <f t="shared" si="13"/>
        <v/>
      </c>
      <c r="AA16" s="47"/>
      <c r="AB16" s="1" t="str">
        <f t="shared" si="14"/>
        <v/>
      </c>
      <c r="AC16" s="47"/>
      <c r="AD16" s="1" t="str">
        <f t="shared" si="15"/>
        <v/>
      </c>
      <c r="AE16" s="47"/>
      <c r="AF16" s="1" t="str">
        <f t="shared" si="16"/>
        <v/>
      </c>
      <c r="AG16" s="47"/>
    </row>
    <row r="17" spans="1:33">
      <c r="A17">
        <f t="shared" si="0"/>
        <v>0</v>
      </c>
      <c r="B17" s="2" t="str">
        <f t="shared" si="17"/>
        <v/>
      </c>
      <c r="C17" s="4" t="str">
        <f t="shared" si="1"/>
        <v/>
      </c>
      <c r="D17" s="3" t="str">
        <f t="shared" si="2"/>
        <v/>
      </c>
      <c r="E17" s="47"/>
      <c r="F17" s="3" t="str">
        <f t="shared" si="3"/>
        <v/>
      </c>
      <c r="G17" s="47"/>
      <c r="H17" s="3" t="str">
        <f t="shared" si="4"/>
        <v/>
      </c>
      <c r="I17" s="47"/>
      <c r="J17" s="3" t="str">
        <f t="shared" si="5"/>
        <v/>
      </c>
      <c r="K17" s="47"/>
      <c r="L17" s="3" t="str">
        <f t="shared" si="6"/>
        <v/>
      </c>
      <c r="M17" s="47"/>
      <c r="N17" s="3" t="str">
        <f t="shared" si="7"/>
        <v/>
      </c>
      <c r="O17" s="47"/>
      <c r="P17" s="3" t="str">
        <f t="shared" si="8"/>
        <v/>
      </c>
      <c r="Q17" s="47"/>
      <c r="R17" s="3" t="str">
        <f t="shared" si="9"/>
        <v/>
      </c>
      <c r="S17" s="47"/>
      <c r="T17" s="1" t="str">
        <f t="shared" si="10"/>
        <v/>
      </c>
      <c r="U17" s="47"/>
      <c r="V17" s="1" t="str">
        <f t="shared" si="11"/>
        <v/>
      </c>
      <c r="W17" s="47"/>
      <c r="X17" s="1" t="str">
        <f t="shared" si="12"/>
        <v/>
      </c>
      <c r="Y17" s="47"/>
      <c r="Z17" s="1" t="str">
        <f t="shared" si="13"/>
        <v/>
      </c>
      <c r="AA17" s="47"/>
      <c r="AB17" s="1" t="str">
        <f t="shared" si="14"/>
        <v/>
      </c>
      <c r="AC17" s="47"/>
      <c r="AD17" s="1" t="str">
        <f t="shared" si="15"/>
        <v/>
      </c>
      <c r="AE17" s="47"/>
      <c r="AF17" s="1" t="str">
        <f t="shared" si="16"/>
        <v/>
      </c>
      <c r="AG17" s="47"/>
    </row>
    <row r="18" spans="1:33">
      <c r="A18">
        <f t="shared" si="0"/>
        <v>0</v>
      </c>
      <c r="B18" s="2" t="str">
        <f t="shared" si="17"/>
        <v/>
      </c>
      <c r="C18" s="4" t="str">
        <f t="shared" si="1"/>
        <v/>
      </c>
      <c r="D18" s="3" t="str">
        <f t="shared" si="2"/>
        <v/>
      </c>
      <c r="E18" s="47"/>
      <c r="F18" s="3" t="str">
        <f t="shared" si="3"/>
        <v/>
      </c>
      <c r="G18" s="47"/>
      <c r="H18" s="3" t="str">
        <f t="shared" si="4"/>
        <v/>
      </c>
      <c r="I18" s="47"/>
      <c r="J18" s="3" t="str">
        <f t="shared" si="5"/>
        <v/>
      </c>
      <c r="K18" s="47"/>
      <c r="L18" s="3" t="str">
        <f t="shared" si="6"/>
        <v/>
      </c>
      <c r="M18" s="47"/>
      <c r="N18" s="3" t="str">
        <f t="shared" si="7"/>
        <v/>
      </c>
      <c r="O18" s="47"/>
      <c r="P18" s="3" t="str">
        <f t="shared" si="8"/>
        <v/>
      </c>
      <c r="Q18" s="47"/>
      <c r="R18" s="3" t="str">
        <f t="shared" si="9"/>
        <v/>
      </c>
      <c r="S18" s="47"/>
      <c r="T18" s="1" t="str">
        <f t="shared" si="10"/>
        <v/>
      </c>
      <c r="U18" s="47"/>
      <c r="V18" s="1" t="str">
        <f t="shared" si="11"/>
        <v/>
      </c>
      <c r="W18" s="47"/>
      <c r="X18" s="1" t="str">
        <f t="shared" si="12"/>
        <v/>
      </c>
      <c r="Y18" s="47"/>
      <c r="Z18" s="1" t="str">
        <f t="shared" si="13"/>
        <v/>
      </c>
      <c r="AA18" s="47"/>
      <c r="AB18" s="1" t="str">
        <f t="shared" si="14"/>
        <v/>
      </c>
      <c r="AC18" s="47"/>
      <c r="AD18" s="1" t="str">
        <f t="shared" si="15"/>
        <v/>
      </c>
      <c r="AE18" s="47"/>
      <c r="AF18" s="1" t="str">
        <f t="shared" si="16"/>
        <v/>
      </c>
      <c r="AG18" s="47"/>
    </row>
    <row r="19" spans="1:33">
      <c r="A19">
        <f t="shared" si="0"/>
        <v>0</v>
      </c>
      <c r="B19" s="2" t="str">
        <f t="shared" si="17"/>
        <v/>
      </c>
      <c r="C19" s="4" t="str">
        <f t="shared" si="1"/>
        <v/>
      </c>
      <c r="D19" s="3" t="str">
        <f t="shared" si="2"/>
        <v/>
      </c>
      <c r="E19" s="47"/>
      <c r="F19" s="3" t="str">
        <f t="shared" si="3"/>
        <v/>
      </c>
      <c r="G19" s="47"/>
      <c r="H19" s="3" t="str">
        <f t="shared" si="4"/>
        <v/>
      </c>
      <c r="I19" s="47"/>
      <c r="J19" s="3" t="str">
        <f t="shared" si="5"/>
        <v/>
      </c>
      <c r="K19" s="47"/>
      <c r="L19" s="3" t="str">
        <f t="shared" si="6"/>
        <v/>
      </c>
      <c r="M19" s="47"/>
      <c r="N19" s="3" t="str">
        <f t="shared" si="7"/>
        <v/>
      </c>
      <c r="O19" s="47"/>
      <c r="P19" s="3" t="str">
        <f t="shared" si="8"/>
        <v/>
      </c>
      <c r="Q19" s="47"/>
      <c r="R19" s="3" t="str">
        <f t="shared" si="9"/>
        <v/>
      </c>
      <c r="S19" s="47"/>
      <c r="T19" s="1" t="str">
        <f t="shared" si="10"/>
        <v/>
      </c>
      <c r="U19" s="47"/>
      <c r="V19" s="1" t="str">
        <f t="shared" si="11"/>
        <v/>
      </c>
      <c r="W19" s="47"/>
      <c r="X19" s="1" t="str">
        <f t="shared" si="12"/>
        <v/>
      </c>
      <c r="Y19" s="47"/>
      <c r="Z19" s="1" t="str">
        <f t="shared" si="13"/>
        <v/>
      </c>
      <c r="AA19" s="47"/>
      <c r="AB19" s="1" t="str">
        <f t="shared" si="14"/>
        <v/>
      </c>
      <c r="AC19" s="47"/>
      <c r="AD19" s="1" t="str">
        <f t="shared" si="15"/>
        <v/>
      </c>
      <c r="AE19" s="47"/>
      <c r="AF19" s="1" t="str">
        <f t="shared" si="16"/>
        <v/>
      </c>
      <c r="AG19" s="47"/>
    </row>
    <row r="20" spans="1:33">
      <c r="A20">
        <f t="shared" si="0"/>
        <v>0</v>
      </c>
      <c r="B20" s="2" t="str">
        <f t="shared" si="17"/>
        <v/>
      </c>
      <c r="C20" s="4" t="str">
        <f t="shared" si="1"/>
        <v/>
      </c>
      <c r="D20" s="3" t="str">
        <f t="shared" si="2"/>
        <v/>
      </c>
      <c r="E20" s="47"/>
      <c r="F20" s="3" t="str">
        <f t="shared" si="3"/>
        <v/>
      </c>
      <c r="G20" s="47"/>
      <c r="H20" s="3" t="str">
        <f t="shared" si="4"/>
        <v/>
      </c>
      <c r="I20" s="47"/>
      <c r="J20" s="3" t="str">
        <f t="shared" si="5"/>
        <v/>
      </c>
      <c r="K20" s="47"/>
      <c r="L20" s="3" t="str">
        <f t="shared" si="6"/>
        <v/>
      </c>
      <c r="M20" s="47"/>
      <c r="N20" s="3" t="str">
        <f t="shared" si="7"/>
        <v/>
      </c>
      <c r="O20" s="47"/>
      <c r="P20" s="3" t="str">
        <f t="shared" si="8"/>
        <v/>
      </c>
      <c r="Q20" s="47"/>
      <c r="R20" s="3" t="str">
        <f t="shared" si="9"/>
        <v/>
      </c>
      <c r="S20" s="47"/>
      <c r="T20" s="1" t="str">
        <f t="shared" si="10"/>
        <v/>
      </c>
      <c r="U20" s="47"/>
      <c r="V20" s="1" t="str">
        <f t="shared" si="11"/>
        <v/>
      </c>
      <c r="W20" s="47"/>
      <c r="X20" s="1" t="str">
        <f t="shared" si="12"/>
        <v/>
      </c>
      <c r="Y20" s="47"/>
      <c r="Z20" s="1" t="str">
        <f t="shared" si="13"/>
        <v/>
      </c>
      <c r="AA20" s="47"/>
      <c r="AB20" s="1" t="str">
        <f t="shared" si="14"/>
        <v/>
      </c>
      <c r="AC20" s="47"/>
      <c r="AD20" s="1" t="str">
        <f t="shared" si="15"/>
        <v/>
      </c>
      <c r="AE20" s="47"/>
      <c r="AF20" s="1" t="str">
        <f t="shared" si="16"/>
        <v/>
      </c>
      <c r="AG20" s="47"/>
    </row>
    <row r="21" spans="1:33">
      <c r="A21">
        <f t="shared" si="0"/>
        <v>0</v>
      </c>
      <c r="B21" s="2" t="str">
        <f t="shared" si="17"/>
        <v/>
      </c>
      <c r="C21" s="4" t="str">
        <f t="shared" si="1"/>
        <v/>
      </c>
      <c r="D21" s="3" t="str">
        <f t="shared" si="2"/>
        <v/>
      </c>
      <c r="E21" s="47"/>
      <c r="F21" s="3" t="str">
        <f t="shared" si="3"/>
        <v/>
      </c>
      <c r="G21" s="47"/>
      <c r="H21" s="3" t="str">
        <f t="shared" si="4"/>
        <v/>
      </c>
      <c r="I21" s="47"/>
      <c r="J21" s="3" t="str">
        <f t="shared" si="5"/>
        <v/>
      </c>
      <c r="K21" s="47"/>
      <c r="L21" s="3" t="str">
        <f t="shared" si="6"/>
        <v/>
      </c>
      <c r="M21" s="47"/>
      <c r="N21" s="3" t="str">
        <f t="shared" si="7"/>
        <v/>
      </c>
      <c r="O21" s="47"/>
      <c r="P21" s="3" t="str">
        <f t="shared" si="8"/>
        <v/>
      </c>
      <c r="Q21" s="47"/>
      <c r="R21" s="3" t="str">
        <f t="shared" si="9"/>
        <v/>
      </c>
      <c r="S21" s="47"/>
      <c r="T21" s="1" t="str">
        <f t="shared" si="10"/>
        <v/>
      </c>
      <c r="U21" s="47"/>
      <c r="V21" s="1" t="str">
        <f t="shared" si="11"/>
        <v/>
      </c>
      <c r="W21" s="47"/>
      <c r="X21" s="1" t="str">
        <f t="shared" si="12"/>
        <v/>
      </c>
      <c r="Y21" s="47"/>
      <c r="Z21" s="1" t="str">
        <f t="shared" si="13"/>
        <v/>
      </c>
      <c r="AA21" s="47"/>
      <c r="AB21" s="1" t="str">
        <f t="shared" si="14"/>
        <v/>
      </c>
      <c r="AC21" s="47"/>
      <c r="AD21" s="1" t="str">
        <f t="shared" si="15"/>
        <v/>
      </c>
      <c r="AE21" s="47"/>
      <c r="AF21" s="1" t="str">
        <f t="shared" si="16"/>
        <v/>
      </c>
      <c r="AG21" s="47"/>
    </row>
    <row r="22" spans="1:33">
      <c r="A22">
        <f t="shared" si="0"/>
        <v>0</v>
      </c>
      <c r="B22" s="2" t="str">
        <f t="shared" si="17"/>
        <v/>
      </c>
      <c r="C22" s="4" t="str">
        <f t="shared" si="1"/>
        <v/>
      </c>
      <c r="D22" s="3" t="str">
        <f t="shared" si="2"/>
        <v/>
      </c>
      <c r="E22" s="47"/>
      <c r="F22" s="3" t="str">
        <f t="shared" si="3"/>
        <v/>
      </c>
      <c r="G22" s="47"/>
      <c r="H22" s="3" t="str">
        <f t="shared" si="4"/>
        <v/>
      </c>
      <c r="I22" s="47"/>
      <c r="J22" s="3" t="str">
        <f t="shared" si="5"/>
        <v/>
      </c>
      <c r="K22" s="47"/>
      <c r="L22" s="3" t="str">
        <f t="shared" si="6"/>
        <v/>
      </c>
      <c r="M22" s="47"/>
      <c r="N22" s="3" t="str">
        <f t="shared" si="7"/>
        <v/>
      </c>
      <c r="O22" s="47"/>
      <c r="P22" s="3" t="str">
        <f t="shared" si="8"/>
        <v/>
      </c>
      <c r="Q22" s="47"/>
      <c r="R22" s="3" t="str">
        <f t="shared" si="9"/>
        <v/>
      </c>
      <c r="S22" s="47"/>
      <c r="T22" s="1" t="str">
        <f t="shared" si="10"/>
        <v/>
      </c>
      <c r="U22" s="47"/>
      <c r="V22" s="1" t="str">
        <f t="shared" si="11"/>
        <v/>
      </c>
      <c r="W22" s="47"/>
      <c r="X22" s="1" t="str">
        <f t="shared" si="12"/>
        <v/>
      </c>
      <c r="Y22" s="47"/>
      <c r="Z22" s="1" t="str">
        <f t="shared" si="13"/>
        <v/>
      </c>
      <c r="AA22" s="47"/>
      <c r="AB22" s="1" t="str">
        <f t="shared" si="14"/>
        <v/>
      </c>
      <c r="AC22" s="47"/>
      <c r="AD22" s="1" t="str">
        <f t="shared" si="15"/>
        <v/>
      </c>
      <c r="AE22" s="47"/>
      <c r="AF22" s="1" t="str">
        <f t="shared" si="16"/>
        <v/>
      </c>
      <c r="AG22" s="47"/>
    </row>
    <row r="23" spans="1:33">
      <c r="A23">
        <f t="shared" si="0"/>
        <v>0</v>
      </c>
      <c r="B23" s="2" t="str">
        <f t="shared" si="17"/>
        <v/>
      </c>
      <c r="C23" s="4" t="str">
        <f t="shared" si="1"/>
        <v/>
      </c>
      <c r="D23" s="3" t="str">
        <f t="shared" si="2"/>
        <v/>
      </c>
      <c r="E23" s="47"/>
      <c r="F23" s="3" t="str">
        <f t="shared" si="3"/>
        <v/>
      </c>
      <c r="G23" s="47"/>
      <c r="H23" s="3" t="str">
        <f t="shared" si="4"/>
        <v/>
      </c>
      <c r="I23" s="47"/>
      <c r="J23" s="3" t="str">
        <f t="shared" si="5"/>
        <v/>
      </c>
      <c r="K23" s="47"/>
      <c r="L23" s="3" t="str">
        <f t="shared" si="6"/>
        <v/>
      </c>
      <c r="M23" s="47"/>
      <c r="N23" s="3" t="str">
        <f t="shared" si="7"/>
        <v/>
      </c>
      <c r="O23" s="47"/>
      <c r="P23" s="3" t="str">
        <f t="shared" si="8"/>
        <v/>
      </c>
      <c r="Q23" s="47"/>
      <c r="R23" s="3" t="str">
        <f t="shared" si="9"/>
        <v/>
      </c>
      <c r="S23" s="47"/>
      <c r="T23" s="1" t="str">
        <f t="shared" si="10"/>
        <v/>
      </c>
      <c r="U23" s="47"/>
      <c r="V23" s="1" t="str">
        <f t="shared" si="11"/>
        <v/>
      </c>
      <c r="W23" s="47"/>
      <c r="X23" s="1" t="str">
        <f t="shared" si="12"/>
        <v/>
      </c>
      <c r="Y23" s="47"/>
      <c r="Z23" s="1" t="str">
        <f t="shared" si="13"/>
        <v/>
      </c>
      <c r="AA23" s="47"/>
      <c r="AB23" s="1" t="str">
        <f t="shared" si="14"/>
        <v/>
      </c>
      <c r="AC23" s="47"/>
      <c r="AD23" s="1" t="str">
        <f t="shared" si="15"/>
        <v/>
      </c>
      <c r="AE23" s="47"/>
      <c r="AF23" s="1" t="str">
        <f t="shared" si="16"/>
        <v/>
      </c>
      <c r="AG23" s="47"/>
    </row>
    <row r="24" spans="1:33">
      <c r="A24">
        <f t="shared" si="0"/>
        <v>0</v>
      </c>
      <c r="B24" s="2" t="str">
        <f t="shared" si="17"/>
        <v/>
      </c>
      <c r="C24" s="4" t="str">
        <f t="shared" si="1"/>
        <v/>
      </c>
      <c r="D24" s="3" t="str">
        <f t="shared" si="2"/>
        <v/>
      </c>
      <c r="E24" s="47"/>
      <c r="F24" s="3" t="str">
        <f t="shared" si="3"/>
        <v/>
      </c>
      <c r="G24" s="47"/>
      <c r="H24" s="3" t="str">
        <f t="shared" si="4"/>
        <v/>
      </c>
      <c r="I24" s="47"/>
      <c r="J24" s="3" t="str">
        <f t="shared" si="5"/>
        <v/>
      </c>
      <c r="K24" s="47"/>
      <c r="L24" s="3" t="str">
        <f t="shared" si="6"/>
        <v/>
      </c>
      <c r="M24" s="47"/>
      <c r="N24" s="3" t="str">
        <f t="shared" si="7"/>
        <v/>
      </c>
      <c r="O24" s="47"/>
      <c r="P24" s="3" t="str">
        <f t="shared" si="8"/>
        <v/>
      </c>
      <c r="Q24" s="47"/>
      <c r="R24" s="3" t="str">
        <f t="shared" si="9"/>
        <v/>
      </c>
      <c r="S24" s="47"/>
      <c r="T24" s="1" t="str">
        <f t="shared" si="10"/>
        <v/>
      </c>
      <c r="U24" s="47"/>
      <c r="V24" s="1" t="str">
        <f t="shared" si="11"/>
        <v/>
      </c>
      <c r="W24" s="47"/>
      <c r="X24" s="1" t="str">
        <f t="shared" si="12"/>
        <v/>
      </c>
      <c r="Y24" s="47"/>
      <c r="Z24" s="1" t="str">
        <f t="shared" si="13"/>
        <v/>
      </c>
      <c r="AA24" s="47"/>
      <c r="AB24" s="1" t="str">
        <f t="shared" si="14"/>
        <v/>
      </c>
      <c r="AC24" s="47"/>
      <c r="AD24" s="1" t="str">
        <f t="shared" si="15"/>
        <v/>
      </c>
      <c r="AE24" s="47"/>
      <c r="AF24" s="1" t="str">
        <f t="shared" si="16"/>
        <v/>
      </c>
      <c r="AG24" s="47"/>
    </row>
    <row r="25" spans="1:33">
      <c r="A25">
        <f t="shared" si="0"/>
        <v>0</v>
      </c>
      <c r="B25" s="2" t="str">
        <f t="shared" si="17"/>
        <v/>
      </c>
      <c r="C25" s="4" t="str">
        <f t="shared" si="1"/>
        <v/>
      </c>
      <c r="D25" s="3" t="str">
        <f t="shared" si="2"/>
        <v/>
      </c>
      <c r="E25" s="47"/>
      <c r="F25" s="3" t="str">
        <f t="shared" si="3"/>
        <v/>
      </c>
      <c r="G25" s="47"/>
      <c r="H25" s="3" t="str">
        <f t="shared" si="4"/>
        <v/>
      </c>
      <c r="I25" s="47"/>
      <c r="J25" s="3" t="str">
        <f t="shared" si="5"/>
        <v/>
      </c>
      <c r="K25" s="47"/>
      <c r="L25" s="3" t="str">
        <f t="shared" si="6"/>
        <v/>
      </c>
      <c r="M25" s="47"/>
      <c r="N25" s="3" t="str">
        <f t="shared" si="7"/>
        <v/>
      </c>
      <c r="O25" s="47"/>
      <c r="P25" s="3" t="str">
        <f t="shared" si="8"/>
        <v/>
      </c>
      <c r="Q25" s="47"/>
      <c r="R25" s="3" t="str">
        <f t="shared" si="9"/>
        <v/>
      </c>
      <c r="S25" s="47"/>
      <c r="T25" s="1" t="str">
        <f t="shared" si="10"/>
        <v/>
      </c>
      <c r="U25" s="47"/>
      <c r="V25" s="1" t="str">
        <f t="shared" si="11"/>
        <v/>
      </c>
      <c r="W25" s="47"/>
      <c r="X25" s="1" t="str">
        <f t="shared" si="12"/>
        <v/>
      </c>
      <c r="Y25" s="47"/>
      <c r="Z25" s="1" t="str">
        <f t="shared" si="13"/>
        <v/>
      </c>
      <c r="AA25" s="47"/>
      <c r="AB25" s="1" t="str">
        <f t="shared" si="14"/>
        <v/>
      </c>
      <c r="AC25" s="47"/>
      <c r="AD25" s="1" t="str">
        <f t="shared" si="15"/>
        <v/>
      </c>
      <c r="AE25" s="47"/>
      <c r="AF25" s="1" t="str">
        <f t="shared" si="16"/>
        <v/>
      </c>
      <c r="AG25" s="47"/>
    </row>
    <row r="26" spans="1:33">
      <c r="A26">
        <f t="shared" si="0"/>
        <v>0</v>
      </c>
      <c r="B26" s="2" t="str">
        <f t="shared" si="17"/>
        <v/>
      </c>
      <c r="C26" s="4" t="str">
        <f t="shared" si="1"/>
        <v/>
      </c>
      <c r="D26" s="3" t="str">
        <f t="shared" si="2"/>
        <v/>
      </c>
      <c r="E26" s="47"/>
      <c r="F26" s="3" t="str">
        <f t="shared" si="3"/>
        <v/>
      </c>
      <c r="G26" s="47"/>
      <c r="H26" s="3" t="str">
        <f t="shared" si="4"/>
        <v/>
      </c>
      <c r="I26" s="47"/>
      <c r="J26" s="3" t="str">
        <f t="shared" si="5"/>
        <v/>
      </c>
      <c r="K26" s="47"/>
      <c r="L26" s="3" t="str">
        <f t="shared" si="6"/>
        <v/>
      </c>
      <c r="M26" s="47"/>
      <c r="N26" s="3" t="str">
        <f t="shared" si="7"/>
        <v/>
      </c>
      <c r="O26" s="47"/>
      <c r="P26" s="3" t="str">
        <f t="shared" si="8"/>
        <v/>
      </c>
      <c r="Q26" s="47"/>
      <c r="R26" s="3" t="str">
        <f t="shared" si="9"/>
        <v/>
      </c>
      <c r="S26" s="47"/>
      <c r="T26" s="1" t="str">
        <f t="shared" si="10"/>
        <v/>
      </c>
      <c r="U26" s="47"/>
      <c r="V26" s="1" t="str">
        <f t="shared" si="11"/>
        <v/>
      </c>
      <c r="W26" s="47"/>
      <c r="X26" s="1" t="str">
        <f t="shared" si="12"/>
        <v/>
      </c>
      <c r="Y26" s="47"/>
      <c r="Z26" s="1" t="str">
        <f t="shared" si="13"/>
        <v/>
      </c>
      <c r="AA26" s="47"/>
      <c r="AB26" s="1" t="str">
        <f t="shared" si="14"/>
        <v/>
      </c>
      <c r="AC26" s="47"/>
      <c r="AD26" s="1" t="str">
        <f t="shared" si="15"/>
        <v/>
      </c>
      <c r="AE26" s="47"/>
      <c r="AF26" s="1" t="str">
        <f t="shared" si="16"/>
        <v/>
      </c>
      <c r="AG26" s="47"/>
    </row>
    <row r="27" spans="1:33">
      <c r="A27">
        <f t="shared" si="0"/>
        <v>0</v>
      </c>
      <c r="B27" s="2" t="str">
        <f t="shared" si="17"/>
        <v/>
      </c>
      <c r="C27" s="4" t="str">
        <f t="shared" si="1"/>
        <v/>
      </c>
      <c r="D27" s="3" t="str">
        <f t="shared" si="2"/>
        <v/>
      </c>
      <c r="E27" s="47"/>
      <c r="F27" s="3" t="str">
        <f t="shared" si="3"/>
        <v/>
      </c>
      <c r="G27" s="47"/>
      <c r="H27" s="3" t="str">
        <f t="shared" si="4"/>
        <v/>
      </c>
      <c r="I27" s="47"/>
      <c r="J27" s="3" t="str">
        <f t="shared" si="5"/>
        <v/>
      </c>
      <c r="K27" s="47"/>
      <c r="L27" s="3" t="str">
        <f t="shared" si="6"/>
        <v/>
      </c>
      <c r="M27" s="47"/>
      <c r="N27" s="3" t="str">
        <f t="shared" si="7"/>
        <v/>
      </c>
      <c r="O27" s="47"/>
      <c r="P27" s="3" t="str">
        <f t="shared" si="8"/>
        <v/>
      </c>
      <c r="Q27" s="47"/>
      <c r="R27" s="3" t="str">
        <f t="shared" si="9"/>
        <v/>
      </c>
      <c r="S27" s="47"/>
      <c r="T27" s="1" t="str">
        <f t="shared" si="10"/>
        <v/>
      </c>
      <c r="U27" s="47"/>
      <c r="V27" s="1" t="str">
        <f t="shared" si="11"/>
        <v/>
      </c>
      <c r="W27" s="47"/>
      <c r="X27" s="1" t="str">
        <f t="shared" si="12"/>
        <v/>
      </c>
      <c r="Y27" s="47"/>
      <c r="Z27" s="1" t="str">
        <f t="shared" si="13"/>
        <v/>
      </c>
      <c r="AA27" s="47"/>
      <c r="AB27" s="1" t="str">
        <f t="shared" si="14"/>
        <v/>
      </c>
      <c r="AC27" s="47"/>
      <c r="AD27" s="1" t="str">
        <f t="shared" si="15"/>
        <v/>
      </c>
      <c r="AE27" s="47"/>
      <c r="AF27" s="1" t="str">
        <f t="shared" si="16"/>
        <v/>
      </c>
      <c r="AG27" s="47"/>
    </row>
    <row r="28" spans="1:33">
      <c r="A28">
        <f t="shared" si="0"/>
        <v>0</v>
      </c>
      <c r="B28" s="2" t="str">
        <f t="shared" si="17"/>
        <v/>
      </c>
      <c r="C28" s="4" t="str">
        <f t="shared" si="1"/>
        <v/>
      </c>
      <c r="D28" s="3" t="str">
        <f t="shared" si="2"/>
        <v/>
      </c>
      <c r="E28" s="47"/>
      <c r="F28" s="3" t="str">
        <f t="shared" si="3"/>
        <v/>
      </c>
      <c r="G28" s="47"/>
      <c r="H28" s="3" t="str">
        <f t="shared" si="4"/>
        <v/>
      </c>
      <c r="I28" s="47"/>
      <c r="J28" s="3" t="str">
        <f t="shared" si="5"/>
        <v/>
      </c>
      <c r="K28" s="47"/>
      <c r="L28" s="3" t="str">
        <f t="shared" si="6"/>
        <v/>
      </c>
      <c r="M28" s="47"/>
      <c r="N28" s="3" t="str">
        <f t="shared" si="7"/>
        <v/>
      </c>
      <c r="O28" s="47"/>
      <c r="P28" s="3" t="str">
        <f t="shared" si="8"/>
        <v/>
      </c>
      <c r="Q28" s="47"/>
      <c r="R28" s="3" t="str">
        <f t="shared" si="9"/>
        <v/>
      </c>
      <c r="S28" s="47"/>
      <c r="T28" s="1" t="str">
        <f t="shared" si="10"/>
        <v/>
      </c>
      <c r="U28" s="47"/>
      <c r="V28" s="1" t="str">
        <f t="shared" si="11"/>
        <v/>
      </c>
      <c r="W28" s="47"/>
      <c r="X28" s="1" t="str">
        <f t="shared" si="12"/>
        <v/>
      </c>
      <c r="Y28" s="47"/>
      <c r="Z28" s="1" t="str">
        <f t="shared" si="13"/>
        <v/>
      </c>
      <c r="AA28" s="47"/>
      <c r="AB28" s="1" t="str">
        <f t="shared" si="14"/>
        <v/>
      </c>
      <c r="AC28" s="47"/>
      <c r="AD28" s="1" t="str">
        <f t="shared" si="15"/>
        <v/>
      </c>
      <c r="AE28" s="47"/>
      <c r="AF28" s="1" t="str">
        <f t="shared" si="16"/>
        <v/>
      </c>
      <c r="AG28" s="47"/>
    </row>
    <row r="29" spans="1:33">
      <c r="A29">
        <f t="shared" si="0"/>
        <v>0</v>
      </c>
      <c r="B29" s="2" t="str">
        <f t="shared" si="17"/>
        <v/>
      </c>
      <c r="C29" s="4" t="str">
        <f t="shared" si="1"/>
        <v/>
      </c>
      <c r="D29" s="3" t="str">
        <f t="shared" si="2"/>
        <v/>
      </c>
      <c r="E29" s="47"/>
      <c r="F29" s="3" t="str">
        <f t="shared" si="3"/>
        <v/>
      </c>
      <c r="G29" s="47"/>
      <c r="H29" s="3" t="str">
        <f t="shared" si="4"/>
        <v/>
      </c>
      <c r="I29" s="47"/>
      <c r="J29" s="3" t="str">
        <f t="shared" si="5"/>
        <v/>
      </c>
      <c r="K29" s="47"/>
      <c r="L29" s="3" t="str">
        <f t="shared" si="6"/>
        <v/>
      </c>
      <c r="M29" s="47"/>
      <c r="N29" s="3" t="str">
        <f t="shared" si="7"/>
        <v/>
      </c>
      <c r="O29" s="47"/>
      <c r="P29" s="3" t="str">
        <f t="shared" si="8"/>
        <v/>
      </c>
      <c r="Q29" s="47"/>
      <c r="R29" s="3" t="str">
        <f t="shared" si="9"/>
        <v/>
      </c>
      <c r="S29" s="47"/>
      <c r="T29" s="1" t="str">
        <f t="shared" si="10"/>
        <v/>
      </c>
      <c r="U29" s="47"/>
      <c r="V29" s="1" t="str">
        <f t="shared" si="11"/>
        <v/>
      </c>
      <c r="W29" s="47"/>
      <c r="X29" s="1" t="str">
        <f t="shared" si="12"/>
        <v/>
      </c>
      <c r="Y29" s="47"/>
      <c r="Z29" s="1" t="str">
        <f t="shared" si="13"/>
        <v/>
      </c>
      <c r="AA29" s="47"/>
      <c r="AB29" s="1" t="str">
        <f t="shared" si="14"/>
        <v/>
      </c>
      <c r="AC29" s="47"/>
      <c r="AD29" s="1" t="str">
        <f t="shared" si="15"/>
        <v/>
      </c>
      <c r="AE29" s="47"/>
      <c r="AF29" s="1" t="str">
        <f t="shared" si="16"/>
        <v/>
      </c>
      <c r="AG29" s="47"/>
    </row>
    <row r="30" spans="1:33">
      <c r="A30">
        <f t="shared" si="0"/>
        <v>0</v>
      </c>
      <c r="B30" s="2" t="str">
        <f t="shared" si="17"/>
        <v/>
      </c>
      <c r="C30" s="4" t="str">
        <f t="shared" si="1"/>
        <v/>
      </c>
      <c r="D30" s="3" t="str">
        <f t="shared" si="2"/>
        <v/>
      </c>
      <c r="E30" s="47"/>
      <c r="F30" s="3" t="str">
        <f t="shared" si="3"/>
        <v/>
      </c>
      <c r="G30" s="47"/>
      <c r="H30" s="3" t="str">
        <f t="shared" si="4"/>
        <v/>
      </c>
      <c r="I30" s="47"/>
      <c r="J30" s="3" t="str">
        <f t="shared" si="5"/>
        <v/>
      </c>
      <c r="K30" s="47"/>
      <c r="L30" s="3" t="str">
        <f t="shared" si="6"/>
        <v/>
      </c>
      <c r="M30" s="47"/>
      <c r="N30" s="3" t="str">
        <f t="shared" si="7"/>
        <v/>
      </c>
      <c r="O30" s="47"/>
      <c r="P30" s="3" t="str">
        <f t="shared" si="8"/>
        <v/>
      </c>
      <c r="Q30" s="47"/>
      <c r="R30" s="3" t="str">
        <f t="shared" si="9"/>
        <v/>
      </c>
      <c r="S30" s="47"/>
      <c r="T30" s="1" t="str">
        <f t="shared" si="10"/>
        <v/>
      </c>
      <c r="U30" s="47"/>
      <c r="V30" s="1" t="str">
        <f t="shared" si="11"/>
        <v/>
      </c>
      <c r="W30" s="47"/>
      <c r="X30" s="1" t="str">
        <f t="shared" si="12"/>
        <v/>
      </c>
      <c r="Y30" s="47"/>
      <c r="Z30" s="1" t="str">
        <f t="shared" si="13"/>
        <v/>
      </c>
      <c r="AA30" s="47"/>
      <c r="AB30" s="1" t="str">
        <f t="shared" si="14"/>
        <v/>
      </c>
      <c r="AC30" s="47"/>
      <c r="AD30" s="1" t="str">
        <f t="shared" si="15"/>
        <v/>
      </c>
      <c r="AE30" s="47"/>
      <c r="AF30" s="1" t="str">
        <f t="shared" si="16"/>
        <v/>
      </c>
      <c r="AG30" s="47"/>
    </row>
    <row r="31" spans="1:33">
      <c r="A31">
        <f t="shared" si="0"/>
        <v>0</v>
      </c>
      <c r="B31" s="2" t="str">
        <f t="shared" si="17"/>
        <v/>
      </c>
      <c r="C31" s="4" t="str">
        <f t="shared" si="1"/>
        <v/>
      </c>
      <c r="D31" s="3" t="str">
        <f t="shared" si="2"/>
        <v/>
      </c>
      <c r="E31" s="47"/>
      <c r="F31" s="3" t="str">
        <f t="shared" si="3"/>
        <v/>
      </c>
      <c r="G31" s="47"/>
      <c r="H31" s="3" t="str">
        <f t="shared" si="4"/>
        <v/>
      </c>
      <c r="I31" s="47"/>
      <c r="J31" s="3" t="str">
        <f t="shared" si="5"/>
        <v/>
      </c>
      <c r="K31" s="47"/>
      <c r="L31" s="3" t="str">
        <f t="shared" si="6"/>
        <v/>
      </c>
      <c r="M31" s="47"/>
      <c r="N31" s="3" t="str">
        <f t="shared" si="7"/>
        <v/>
      </c>
      <c r="O31" s="47"/>
      <c r="P31" s="3" t="str">
        <f t="shared" si="8"/>
        <v/>
      </c>
      <c r="Q31" s="47"/>
      <c r="R31" s="3" t="str">
        <f t="shared" si="9"/>
        <v/>
      </c>
      <c r="S31" s="47"/>
      <c r="T31" s="1" t="str">
        <f t="shared" si="10"/>
        <v/>
      </c>
      <c r="U31" s="47"/>
      <c r="V31" s="1" t="str">
        <f t="shared" si="11"/>
        <v/>
      </c>
      <c r="W31" s="47"/>
      <c r="X31" s="1" t="str">
        <f t="shared" si="12"/>
        <v/>
      </c>
      <c r="Y31" s="47"/>
      <c r="Z31" s="1" t="str">
        <f t="shared" si="13"/>
        <v/>
      </c>
      <c r="AA31" s="47"/>
      <c r="AB31" s="1" t="str">
        <f t="shared" si="14"/>
        <v/>
      </c>
      <c r="AC31" s="47"/>
      <c r="AD31" s="1" t="str">
        <f t="shared" si="15"/>
        <v/>
      </c>
      <c r="AE31" s="47"/>
      <c r="AF31" s="1" t="str">
        <f t="shared" si="16"/>
        <v/>
      </c>
      <c r="AG31" s="47"/>
    </row>
    <row r="32" spans="1:33">
      <c r="A32">
        <f t="shared" si="0"/>
        <v>0</v>
      </c>
      <c r="B32" s="2" t="str">
        <f t="shared" si="17"/>
        <v/>
      </c>
      <c r="C32" s="4" t="str">
        <f t="shared" si="1"/>
        <v/>
      </c>
      <c r="D32" s="3" t="str">
        <f t="shared" si="2"/>
        <v/>
      </c>
      <c r="E32" s="47"/>
      <c r="F32" s="3" t="str">
        <f t="shared" si="3"/>
        <v/>
      </c>
      <c r="G32" s="47"/>
      <c r="H32" s="3" t="str">
        <f t="shared" si="4"/>
        <v/>
      </c>
      <c r="I32" s="47"/>
      <c r="J32" s="3" t="str">
        <f t="shared" si="5"/>
        <v/>
      </c>
      <c r="K32" s="47"/>
      <c r="L32" s="3" t="str">
        <f t="shared" si="6"/>
        <v/>
      </c>
      <c r="M32" s="47"/>
      <c r="N32" s="3" t="str">
        <f t="shared" si="7"/>
        <v/>
      </c>
      <c r="O32" s="47"/>
      <c r="P32" s="3" t="str">
        <f t="shared" si="8"/>
        <v/>
      </c>
      <c r="Q32" s="47"/>
      <c r="R32" s="3" t="str">
        <f t="shared" si="9"/>
        <v/>
      </c>
      <c r="S32" s="47"/>
      <c r="T32" s="1" t="str">
        <f t="shared" si="10"/>
        <v/>
      </c>
      <c r="U32" s="47"/>
      <c r="V32" s="1" t="str">
        <f t="shared" si="11"/>
        <v/>
      </c>
      <c r="W32" s="47"/>
      <c r="X32" s="1" t="str">
        <f t="shared" si="12"/>
        <v/>
      </c>
      <c r="Y32" s="47"/>
      <c r="Z32" s="1" t="str">
        <f t="shared" si="13"/>
        <v/>
      </c>
      <c r="AA32" s="47"/>
      <c r="AB32" s="1" t="str">
        <f t="shared" si="14"/>
        <v/>
      </c>
      <c r="AC32" s="47"/>
      <c r="AD32" s="1" t="str">
        <f t="shared" si="15"/>
        <v/>
      </c>
      <c r="AE32" s="47"/>
      <c r="AF32" s="1" t="str">
        <f t="shared" si="16"/>
        <v/>
      </c>
      <c r="AG32" s="47"/>
    </row>
    <row r="33" spans="1:33">
      <c r="A33">
        <f t="shared" si="0"/>
        <v>0</v>
      </c>
      <c r="B33" s="2" t="str">
        <f t="shared" si="17"/>
        <v/>
      </c>
      <c r="C33" s="4" t="str">
        <f t="shared" si="1"/>
        <v/>
      </c>
      <c r="D33" s="3" t="str">
        <f t="shared" si="2"/>
        <v/>
      </c>
      <c r="E33" s="47"/>
      <c r="F33" s="3" t="str">
        <f t="shared" si="3"/>
        <v/>
      </c>
      <c r="G33" s="47"/>
      <c r="H33" s="3" t="str">
        <f t="shared" si="4"/>
        <v/>
      </c>
      <c r="I33" s="47"/>
      <c r="J33" s="3" t="str">
        <f t="shared" si="5"/>
        <v/>
      </c>
      <c r="K33" s="47"/>
      <c r="L33" s="3" t="str">
        <f t="shared" si="6"/>
        <v/>
      </c>
      <c r="M33" s="47"/>
      <c r="N33" s="3" t="str">
        <f t="shared" si="7"/>
        <v/>
      </c>
      <c r="O33" s="47"/>
      <c r="P33" s="3" t="str">
        <f t="shared" si="8"/>
        <v/>
      </c>
      <c r="Q33" s="47"/>
      <c r="R33" s="3" t="str">
        <f t="shared" si="9"/>
        <v/>
      </c>
      <c r="S33" s="47"/>
      <c r="T33" s="1" t="str">
        <f t="shared" si="10"/>
        <v/>
      </c>
      <c r="U33" s="47"/>
      <c r="V33" s="1" t="str">
        <f t="shared" si="11"/>
        <v/>
      </c>
      <c r="W33" s="47"/>
      <c r="X33" s="1" t="str">
        <f t="shared" si="12"/>
        <v/>
      </c>
      <c r="Y33" s="47"/>
      <c r="Z33" s="1" t="str">
        <f t="shared" si="13"/>
        <v/>
      </c>
      <c r="AA33" s="47"/>
      <c r="AB33" s="1" t="str">
        <f t="shared" si="14"/>
        <v/>
      </c>
      <c r="AC33" s="47"/>
      <c r="AD33" s="1" t="str">
        <f t="shared" si="15"/>
        <v/>
      </c>
      <c r="AE33" s="47"/>
      <c r="AF33" s="1" t="str">
        <f t="shared" si="16"/>
        <v/>
      </c>
      <c r="AG33" s="47"/>
    </row>
    <row r="34" spans="1:33">
      <c r="A34">
        <f t="shared" si="0"/>
        <v>0</v>
      </c>
      <c r="B34" s="2" t="str">
        <f t="shared" si="17"/>
        <v/>
      </c>
      <c r="C34" s="4" t="str">
        <f t="shared" si="1"/>
        <v/>
      </c>
      <c r="D34" s="3" t="str">
        <f t="shared" si="2"/>
        <v/>
      </c>
      <c r="E34" s="47"/>
      <c r="F34" s="3" t="str">
        <f t="shared" si="3"/>
        <v/>
      </c>
      <c r="G34" s="47"/>
      <c r="H34" s="3" t="str">
        <f t="shared" si="4"/>
        <v/>
      </c>
      <c r="I34" s="47"/>
      <c r="J34" s="3" t="str">
        <f t="shared" si="5"/>
        <v/>
      </c>
      <c r="K34" s="47"/>
      <c r="L34" s="3" t="str">
        <f t="shared" si="6"/>
        <v/>
      </c>
      <c r="M34" s="47"/>
      <c r="N34" s="3" t="str">
        <f t="shared" si="7"/>
        <v/>
      </c>
      <c r="O34" s="47"/>
      <c r="P34" s="3" t="str">
        <f t="shared" si="8"/>
        <v/>
      </c>
      <c r="Q34" s="47"/>
      <c r="R34" s="3" t="str">
        <f t="shared" si="9"/>
        <v/>
      </c>
      <c r="S34" s="47"/>
      <c r="T34" s="1" t="str">
        <f t="shared" si="10"/>
        <v/>
      </c>
      <c r="U34" s="47"/>
      <c r="V34" s="1" t="str">
        <f t="shared" si="11"/>
        <v/>
      </c>
      <c r="W34" s="47"/>
      <c r="X34" s="1" t="str">
        <f t="shared" si="12"/>
        <v/>
      </c>
      <c r="Y34" s="47"/>
      <c r="Z34" s="1" t="str">
        <f t="shared" si="13"/>
        <v/>
      </c>
      <c r="AA34" s="47"/>
      <c r="AB34" s="1" t="str">
        <f t="shared" si="14"/>
        <v/>
      </c>
      <c r="AC34" s="47"/>
      <c r="AD34" s="1" t="str">
        <f t="shared" si="15"/>
        <v/>
      </c>
      <c r="AE34" s="47"/>
      <c r="AF34" s="1" t="str">
        <f t="shared" si="16"/>
        <v/>
      </c>
      <c r="AG34" s="47"/>
    </row>
    <row r="35" spans="1:33">
      <c r="A35">
        <f t="shared" si="0"/>
        <v>0</v>
      </c>
      <c r="B35" s="2" t="str">
        <f t="shared" si="17"/>
        <v/>
      </c>
      <c r="C35" s="4" t="str">
        <f t="shared" si="1"/>
        <v/>
      </c>
      <c r="D35" s="3" t="str">
        <f t="shared" si="2"/>
        <v/>
      </c>
      <c r="E35" s="47"/>
      <c r="F35" s="3" t="str">
        <f t="shared" si="3"/>
        <v/>
      </c>
      <c r="G35" s="47"/>
      <c r="H35" s="3" t="str">
        <f t="shared" si="4"/>
        <v/>
      </c>
      <c r="I35" s="47"/>
      <c r="J35" s="3" t="str">
        <f t="shared" si="5"/>
        <v/>
      </c>
      <c r="K35" s="47"/>
      <c r="L35" s="3" t="str">
        <f t="shared" si="6"/>
        <v/>
      </c>
      <c r="M35" s="47"/>
      <c r="N35" s="3" t="str">
        <f t="shared" si="7"/>
        <v/>
      </c>
      <c r="O35" s="47"/>
      <c r="P35" s="3" t="str">
        <f t="shared" si="8"/>
        <v/>
      </c>
      <c r="Q35" s="47"/>
      <c r="R35" s="3" t="str">
        <f t="shared" si="9"/>
        <v/>
      </c>
      <c r="S35" s="47"/>
      <c r="T35" s="1" t="str">
        <f t="shared" si="10"/>
        <v/>
      </c>
      <c r="U35" s="47"/>
      <c r="V35" s="1" t="str">
        <f t="shared" si="11"/>
        <v/>
      </c>
      <c r="W35" s="47"/>
      <c r="X35" s="1" t="str">
        <f t="shared" si="12"/>
        <v/>
      </c>
      <c r="Y35" s="47"/>
      <c r="Z35" s="1" t="str">
        <f t="shared" si="13"/>
        <v/>
      </c>
      <c r="AA35" s="47"/>
      <c r="AB35" s="1" t="str">
        <f t="shared" si="14"/>
        <v/>
      </c>
      <c r="AC35" s="47"/>
      <c r="AD35" s="1" t="str">
        <f t="shared" si="15"/>
        <v/>
      </c>
      <c r="AE35" s="47"/>
      <c r="AF35" s="1" t="str">
        <f t="shared" si="16"/>
        <v/>
      </c>
      <c r="AG35" s="47"/>
    </row>
    <row r="36" spans="1:33">
      <c r="A36">
        <f t="shared" si="0"/>
        <v>0</v>
      </c>
      <c r="B36" s="2" t="str">
        <f t="shared" si="17"/>
        <v/>
      </c>
      <c r="C36" s="4" t="str">
        <f t="shared" si="1"/>
        <v/>
      </c>
      <c r="D36" s="3" t="str">
        <f t="shared" si="2"/>
        <v/>
      </c>
      <c r="E36" s="47"/>
      <c r="F36" s="3" t="str">
        <f t="shared" si="3"/>
        <v/>
      </c>
      <c r="G36" s="47"/>
      <c r="H36" s="3" t="str">
        <f t="shared" si="4"/>
        <v/>
      </c>
      <c r="I36" s="47"/>
      <c r="J36" s="3" t="str">
        <f t="shared" si="5"/>
        <v/>
      </c>
      <c r="K36" s="47"/>
      <c r="L36" s="3" t="str">
        <f t="shared" si="6"/>
        <v/>
      </c>
      <c r="M36" s="47"/>
      <c r="N36" s="3" t="str">
        <f t="shared" si="7"/>
        <v/>
      </c>
      <c r="O36" s="47"/>
      <c r="P36" s="3" t="str">
        <f t="shared" si="8"/>
        <v/>
      </c>
      <c r="Q36" s="47"/>
      <c r="R36" s="3" t="str">
        <f t="shared" si="9"/>
        <v/>
      </c>
      <c r="S36" s="47"/>
      <c r="T36" s="1" t="str">
        <f t="shared" si="10"/>
        <v/>
      </c>
      <c r="U36" s="47"/>
      <c r="V36" s="1" t="str">
        <f t="shared" si="11"/>
        <v/>
      </c>
      <c r="W36" s="47"/>
      <c r="X36" s="1" t="str">
        <f t="shared" si="12"/>
        <v/>
      </c>
      <c r="Y36" s="47"/>
      <c r="Z36" s="1" t="str">
        <f t="shared" si="13"/>
        <v/>
      </c>
      <c r="AA36" s="47"/>
      <c r="AB36" s="1" t="str">
        <f t="shared" si="14"/>
        <v/>
      </c>
      <c r="AC36" s="47"/>
      <c r="AD36" s="1" t="str">
        <f t="shared" si="15"/>
        <v/>
      </c>
      <c r="AE36" s="47"/>
      <c r="AF36" s="1" t="str">
        <f t="shared" si="16"/>
        <v/>
      </c>
      <c r="AG36" s="47"/>
    </row>
    <row r="37" spans="1:33">
      <c r="A37">
        <f t="shared" si="0"/>
        <v>0</v>
      </c>
      <c r="B37" s="2" t="str">
        <f t="shared" si="17"/>
        <v/>
      </c>
      <c r="C37" s="4" t="str">
        <f t="shared" si="1"/>
        <v/>
      </c>
      <c r="D37" s="3" t="str">
        <f t="shared" si="2"/>
        <v/>
      </c>
      <c r="E37" s="47"/>
      <c r="F37" s="3" t="str">
        <f t="shared" si="3"/>
        <v/>
      </c>
      <c r="G37" s="47"/>
      <c r="H37" s="3" t="str">
        <f t="shared" si="4"/>
        <v/>
      </c>
      <c r="I37" s="47"/>
      <c r="J37" s="3" t="str">
        <f t="shared" si="5"/>
        <v/>
      </c>
      <c r="K37" s="47"/>
      <c r="L37" s="3" t="str">
        <f t="shared" si="6"/>
        <v/>
      </c>
      <c r="M37" s="47"/>
      <c r="N37" s="3" t="str">
        <f t="shared" si="7"/>
        <v/>
      </c>
      <c r="O37" s="47"/>
      <c r="P37" s="3" t="str">
        <f t="shared" si="8"/>
        <v/>
      </c>
      <c r="Q37" s="47"/>
      <c r="R37" s="3" t="str">
        <f t="shared" si="9"/>
        <v/>
      </c>
      <c r="S37" s="47"/>
      <c r="T37" s="1" t="str">
        <f t="shared" si="10"/>
        <v/>
      </c>
      <c r="U37" s="47"/>
      <c r="V37" s="1" t="str">
        <f t="shared" si="11"/>
        <v/>
      </c>
      <c r="W37" s="47"/>
      <c r="X37" s="1" t="str">
        <f t="shared" si="12"/>
        <v/>
      </c>
      <c r="Y37" s="47"/>
      <c r="Z37" s="1" t="str">
        <f t="shared" si="13"/>
        <v/>
      </c>
      <c r="AA37" s="47"/>
      <c r="AB37" s="1" t="str">
        <f t="shared" si="14"/>
        <v/>
      </c>
      <c r="AC37" s="47"/>
      <c r="AD37" s="1" t="str">
        <f t="shared" si="15"/>
        <v/>
      </c>
      <c r="AE37" s="47"/>
      <c r="AF37" s="1" t="str">
        <f t="shared" si="16"/>
        <v/>
      </c>
      <c r="AG37" s="47"/>
    </row>
    <row r="38" spans="1:33">
      <c r="A38">
        <f t="shared" si="0"/>
        <v>0</v>
      </c>
      <c r="B38" s="2" t="str">
        <f t="shared" si="17"/>
        <v/>
      </c>
      <c r="C38" s="4" t="str">
        <f t="shared" si="1"/>
        <v/>
      </c>
      <c r="D38" s="3" t="str">
        <f t="shared" si="2"/>
        <v/>
      </c>
      <c r="E38" s="47"/>
      <c r="F38" s="3" t="str">
        <f t="shared" si="3"/>
        <v/>
      </c>
      <c r="G38" s="47"/>
      <c r="H38" s="3" t="str">
        <f t="shared" si="4"/>
        <v/>
      </c>
      <c r="I38" s="47"/>
      <c r="J38" s="3" t="str">
        <f t="shared" si="5"/>
        <v/>
      </c>
      <c r="K38" s="47"/>
      <c r="L38" s="3" t="str">
        <f t="shared" si="6"/>
        <v/>
      </c>
      <c r="M38" s="47"/>
      <c r="N38" s="3" t="str">
        <f t="shared" si="7"/>
        <v/>
      </c>
      <c r="O38" s="47"/>
      <c r="P38" s="3" t="str">
        <f t="shared" si="8"/>
        <v/>
      </c>
      <c r="Q38" s="47"/>
      <c r="R38" s="3" t="str">
        <f t="shared" si="9"/>
        <v/>
      </c>
      <c r="S38" s="47"/>
      <c r="T38" s="1" t="str">
        <f t="shared" si="10"/>
        <v/>
      </c>
      <c r="U38" s="47"/>
      <c r="V38" s="1" t="str">
        <f t="shared" si="11"/>
        <v/>
      </c>
      <c r="W38" s="47"/>
      <c r="X38" s="1" t="str">
        <f t="shared" si="12"/>
        <v/>
      </c>
      <c r="Y38" s="47"/>
      <c r="Z38" s="1" t="str">
        <f t="shared" si="13"/>
        <v/>
      </c>
      <c r="AA38" s="47"/>
      <c r="AB38" s="1" t="str">
        <f t="shared" si="14"/>
        <v/>
      </c>
      <c r="AC38" s="47"/>
      <c r="AD38" s="1" t="str">
        <f t="shared" si="15"/>
        <v/>
      </c>
      <c r="AE38" s="47"/>
      <c r="AF38" s="1" t="str">
        <f t="shared" si="16"/>
        <v/>
      </c>
      <c r="AG38" s="47"/>
    </row>
    <row r="39" spans="1:33">
      <c r="A39">
        <f t="shared" si="0"/>
        <v>0</v>
      </c>
      <c r="B39" s="2" t="str">
        <f t="shared" si="17"/>
        <v/>
      </c>
      <c r="C39" s="4" t="str">
        <f t="shared" si="1"/>
        <v/>
      </c>
      <c r="D39" s="3" t="str">
        <f t="shared" si="2"/>
        <v/>
      </c>
      <c r="E39" s="47"/>
      <c r="F39" s="3" t="str">
        <f t="shared" si="3"/>
        <v/>
      </c>
      <c r="G39" s="47"/>
      <c r="H39" s="3" t="str">
        <f t="shared" si="4"/>
        <v/>
      </c>
      <c r="I39" s="47"/>
      <c r="J39" s="3" t="str">
        <f t="shared" si="5"/>
        <v/>
      </c>
      <c r="K39" s="47"/>
      <c r="L39" s="3" t="str">
        <f t="shared" si="6"/>
        <v/>
      </c>
      <c r="M39" s="47"/>
      <c r="N39" s="3" t="str">
        <f t="shared" si="7"/>
        <v/>
      </c>
      <c r="O39" s="47"/>
      <c r="P39" s="3" t="str">
        <f t="shared" si="8"/>
        <v/>
      </c>
      <c r="Q39" s="47"/>
      <c r="R39" s="3" t="str">
        <f t="shared" si="9"/>
        <v/>
      </c>
      <c r="S39" s="47"/>
      <c r="T39" s="1" t="str">
        <f t="shared" si="10"/>
        <v/>
      </c>
      <c r="U39" s="47"/>
      <c r="V39" s="1" t="str">
        <f t="shared" si="11"/>
        <v/>
      </c>
      <c r="W39" s="47"/>
      <c r="X39" s="1" t="str">
        <f t="shared" si="12"/>
        <v/>
      </c>
      <c r="Y39" s="47"/>
      <c r="Z39" s="1" t="str">
        <f t="shared" si="13"/>
        <v/>
      </c>
      <c r="AA39" s="47"/>
      <c r="AB39" s="1" t="str">
        <f t="shared" si="14"/>
        <v/>
      </c>
      <c r="AC39" s="47"/>
      <c r="AD39" s="1" t="str">
        <f t="shared" si="15"/>
        <v/>
      </c>
      <c r="AE39" s="47"/>
      <c r="AF39" s="1" t="str">
        <f t="shared" si="16"/>
        <v/>
      </c>
      <c r="AG39" s="47"/>
    </row>
    <row r="40" spans="1:33">
      <c r="A40">
        <f t="shared" si="0"/>
        <v>0</v>
      </c>
      <c r="B40" s="2" t="str">
        <f t="shared" si="17"/>
        <v/>
      </c>
      <c r="C40" s="4" t="str">
        <f t="shared" si="1"/>
        <v/>
      </c>
      <c r="D40" s="3" t="str">
        <f t="shared" si="2"/>
        <v/>
      </c>
      <c r="E40" s="47"/>
      <c r="F40" s="3" t="str">
        <f t="shared" si="3"/>
        <v/>
      </c>
      <c r="G40" s="47"/>
      <c r="H40" s="3" t="str">
        <f t="shared" si="4"/>
        <v/>
      </c>
      <c r="I40" s="47"/>
      <c r="J40" s="3" t="str">
        <f t="shared" si="5"/>
        <v/>
      </c>
      <c r="K40" s="47"/>
      <c r="L40" s="3" t="str">
        <f t="shared" si="6"/>
        <v/>
      </c>
      <c r="M40" s="47"/>
      <c r="N40" s="3" t="str">
        <f t="shared" si="7"/>
        <v/>
      </c>
      <c r="O40" s="47"/>
      <c r="P40" s="3" t="str">
        <f t="shared" si="8"/>
        <v/>
      </c>
      <c r="Q40" s="47"/>
      <c r="R40" s="3" t="str">
        <f t="shared" si="9"/>
        <v/>
      </c>
      <c r="S40" s="47"/>
      <c r="T40" s="1" t="str">
        <f t="shared" si="10"/>
        <v/>
      </c>
      <c r="U40" s="47"/>
      <c r="V40" s="1" t="str">
        <f t="shared" si="11"/>
        <v/>
      </c>
      <c r="W40" s="47"/>
      <c r="X40" s="1" t="str">
        <f t="shared" si="12"/>
        <v/>
      </c>
      <c r="Y40" s="47"/>
      <c r="Z40" s="1" t="str">
        <f t="shared" si="13"/>
        <v/>
      </c>
      <c r="AA40" s="47"/>
      <c r="AB40" s="1" t="str">
        <f t="shared" si="14"/>
        <v/>
      </c>
      <c r="AC40" s="47"/>
      <c r="AD40" s="1" t="str">
        <f t="shared" si="15"/>
        <v/>
      </c>
      <c r="AE40" s="47"/>
      <c r="AF40" s="1" t="str">
        <f t="shared" si="16"/>
        <v/>
      </c>
      <c r="AG40" s="47"/>
    </row>
    <row r="41" spans="1:33">
      <c r="A41">
        <f t="shared" si="0"/>
        <v>0</v>
      </c>
      <c r="B41" s="2" t="str">
        <f t="shared" si="17"/>
        <v/>
      </c>
      <c r="C41" s="4" t="str">
        <f t="shared" si="1"/>
        <v/>
      </c>
      <c r="D41" s="3" t="str">
        <f t="shared" si="2"/>
        <v/>
      </c>
      <c r="E41" s="47"/>
      <c r="F41" s="3" t="str">
        <f t="shared" si="3"/>
        <v/>
      </c>
      <c r="G41" s="47"/>
      <c r="H41" s="3" t="str">
        <f t="shared" si="4"/>
        <v/>
      </c>
      <c r="I41" s="47"/>
      <c r="J41" s="3" t="str">
        <f t="shared" si="5"/>
        <v/>
      </c>
      <c r="K41" s="47"/>
      <c r="L41" s="3" t="str">
        <f t="shared" si="6"/>
        <v/>
      </c>
      <c r="M41" s="47"/>
      <c r="N41" s="3" t="str">
        <f t="shared" si="7"/>
        <v/>
      </c>
      <c r="O41" s="47"/>
      <c r="P41" s="3" t="str">
        <f t="shared" si="8"/>
        <v/>
      </c>
      <c r="Q41" s="47"/>
      <c r="R41" s="3" t="str">
        <f t="shared" si="9"/>
        <v/>
      </c>
      <c r="S41" s="47"/>
      <c r="T41" s="1" t="str">
        <f t="shared" si="10"/>
        <v/>
      </c>
      <c r="U41" s="47"/>
      <c r="V41" s="1" t="str">
        <f t="shared" si="11"/>
        <v/>
      </c>
      <c r="W41" s="47"/>
      <c r="X41" s="1" t="str">
        <f t="shared" si="12"/>
        <v/>
      </c>
      <c r="Y41" s="47"/>
      <c r="Z41" s="1" t="str">
        <f t="shared" si="13"/>
        <v/>
      </c>
      <c r="AA41" s="47"/>
      <c r="AB41" s="1" t="str">
        <f t="shared" si="14"/>
        <v/>
      </c>
      <c r="AC41" s="47"/>
      <c r="AD41" s="1" t="str">
        <f t="shared" si="15"/>
        <v/>
      </c>
      <c r="AE41" s="47"/>
      <c r="AF41" s="1" t="str">
        <f t="shared" si="16"/>
        <v/>
      </c>
      <c r="AG41" s="47"/>
    </row>
    <row r="42" spans="1:33">
      <c r="A42">
        <f t="shared" si="0"/>
        <v>0</v>
      </c>
      <c r="B42" s="2" t="str">
        <f t="shared" si="17"/>
        <v/>
      </c>
      <c r="C42" s="4" t="str">
        <f t="shared" si="1"/>
        <v/>
      </c>
      <c r="D42" s="3" t="str">
        <f t="shared" si="2"/>
        <v/>
      </c>
      <c r="E42" s="47"/>
      <c r="F42" s="3" t="str">
        <f t="shared" si="3"/>
        <v/>
      </c>
      <c r="G42" s="47"/>
      <c r="H42" s="3" t="str">
        <f t="shared" si="4"/>
        <v/>
      </c>
      <c r="I42" s="47"/>
      <c r="J42" s="3" t="str">
        <f t="shared" si="5"/>
        <v/>
      </c>
      <c r="K42" s="47"/>
      <c r="L42" s="3" t="str">
        <f t="shared" si="6"/>
        <v/>
      </c>
      <c r="M42" s="47"/>
      <c r="N42" s="3" t="str">
        <f t="shared" si="7"/>
        <v/>
      </c>
      <c r="O42" s="47"/>
      <c r="P42" s="3" t="str">
        <f t="shared" si="8"/>
        <v/>
      </c>
      <c r="Q42" s="47"/>
      <c r="R42" s="3" t="str">
        <f t="shared" si="9"/>
        <v/>
      </c>
      <c r="S42" s="47"/>
      <c r="T42" s="1" t="str">
        <f t="shared" si="10"/>
        <v/>
      </c>
      <c r="U42" s="47"/>
      <c r="V42" s="1" t="str">
        <f t="shared" si="11"/>
        <v/>
      </c>
      <c r="W42" s="47"/>
      <c r="X42" s="1" t="str">
        <f t="shared" si="12"/>
        <v/>
      </c>
      <c r="Y42" s="47"/>
      <c r="Z42" s="1" t="str">
        <f t="shared" si="13"/>
        <v/>
      </c>
      <c r="AA42" s="47"/>
      <c r="AB42" s="1" t="str">
        <f t="shared" si="14"/>
        <v/>
      </c>
      <c r="AC42" s="47"/>
      <c r="AD42" s="1" t="str">
        <f t="shared" si="15"/>
        <v/>
      </c>
      <c r="AE42" s="47"/>
      <c r="AF42" s="1" t="str">
        <f t="shared" si="16"/>
        <v/>
      </c>
      <c r="AG42" s="47"/>
    </row>
    <row r="43" spans="1:33">
      <c r="A43">
        <f t="shared" si="0"/>
        <v>0</v>
      </c>
      <c r="B43" s="2" t="str">
        <f t="shared" si="17"/>
        <v/>
      </c>
      <c r="C43" s="4" t="str">
        <f t="shared" si="1"/>
        <v/>
      </c>
      <c r="D43" s="3" t="str">
        <f t="shared" si="2"/>
        <v/>
      </c>
      <c r="E43" s="47"/>
      <c r="F43" s="3" t="str">
        <f t="shared" si="3"/>
        <v/>
      </c>
      <c r="G43" s="47"/>
      <c r="H43" s="3" t="str">
        <f t="shared" si="4"/>
        <v/>
      </c>
      <c r="I43" s="47"/>
      <c r="J43" s="3" t="str">
        <f t="shared" si="5"/>
        <v/>
      </c>
      <c r="K43" s="47"/>
      <c r="L43" s="3" t="str">
        <f t="shared" si="6"/>
        <v/>
      </c>
      <c r="M43" s="47"/>
      <c r="N43" s="3" t="str">
        <f t="shared" si="7"/>
        <v/>
      </c>
      <c r="O43" s="47"/>
      <c r="P43" s="3" t="str">
        <f t="shared" si="8"/>
        <v/>
      </c>
      <c r="Q43" s="47"/>
      <c r="R43" s="3" t="str">
        <f t="shared" si="9"/>
        <v/>
      </c>
      <c r="S43" s="47"/>
      <c r="T43" s="1" t="str">
        <f t="shared" si="10"/>
        <v/>
      </c>
      <c r="U43" s="47"/>
      <c r="V43" s="1" t="str">
        <f t="shared" si="11"/>
        <v/>
      </c>
      <c r="W43" s="47"/>
      <c r="X43" s="1" t="str">
        <f t="shared" si="12"/>
        <v/>
      </c>
      <c r="Y43" s="47"/>
      <c r="Z43" s="1" t="str">
        <f t="shared" si="13"/>
        <v/>
      </c>
      <c r="AA43" s="47"/>
      <c r="AB43" s="1" t="str">
        <f t="shared" si="14"/>
        <v/>
      </c>
      <c r="AC43" s="47"/>
      <c r="AD43" s="1" t="str">
        <f t="shared" si="15"/>
        <v/>
      </c>
      <c r="AE43" s="47"/>
      <c r="AF43" s="1" t="str">
        <f t="shared" si="16"/>
        <v/>
      </c>
      <c r="AG43" s="47"/>
    </row>
    <row r="44" spans="1:33">
      <c r="A44">
        <f t="shared" si="0"/>
        <v>0</v>
      </c>
      <c r="B44" s="2" t="str">
        <f t="shared" si="17"/>
        <v/>
      </c>
      <c r="C44" s="4" t="str">
        <f t="shared" si="1"/>
        <v/>
      </c>
      <c r="D44" s="3" t="str">
        <f t="shared" si="2"/>
        <v/>
      </c>
      <c r="E44" s="47"/>
      <c r="F44" s="3" t="str">
        <f t="shared" si="3"/>
        <v/>
      </c>
      <c r="G44" s="47"/>
      <c r="H44" s="3" t="str">
        <f t="shared" si="4"/>
        <v/>
      </c>
      <c r="I44" s="47"/>
      <c r="J44" s="3" t="str">
        <f t="shared" si="5"/>
        <v/>
      </c>
      <c r="K44" s="47"/>
      <c r="L44" s="3" t="str">
        <f t="shared" si="6"/>
        <v/>
      </c>
      <c r="M44" s="47"/>
      <c r="N44" s="3" t="str">
        <f t="shared" si="7"/>
        <v/>
      </c>
      <c r="O44" s="47"/>
      <c r="P44" s="3" t="str">
        <f t="shared" si="8"/>
        <v/>
      </c>
      <c r="Q44" s="47"/>
      <c r="R44" s="3" t="str">
        <f t="shared" si="9"/>
        <v/>
      </c>
      <c r="S44" s="47"/>
      <c r="T44" s="1" t="str">
        <f t="shared" si="10"/>
        <v/>
      </c>
      <c r="U44" s="47"/>
      <c r="V44" s="1" t="str">
        <f t="shared" si="11"/>
        <v/>
      </c>
      <c r="W44" s="47"/>
      <c r="X44" s="1" t="str">
        <f t="shared" si="12"/>
        <v/>
      </c>
      <c r="Y44" s="47"/>
      <c r="Z44" s="1" t="str">
        <f t="shared" si="13"/>
        <v/>
      </c>
      <c r="AA44" s="47"/>
      <c r="AB44" s="1" t="str">
        <f t="shared" si="14"/>
        <v/>
      </c>
      <c r="AC44" s="47"/>
      <c r="AD44" s="1" t="str">
        <f t="shared" si="15"/>
        <v/>
      </c>
      <c r="AE44" s="47"/>
      <c r="AF44" s="1" t="str">
        <f t="shared" si="16"/>
        <v/>
      </c>
      <c r="AG44" s="47"/>
    </row>
    <row r="45" spans="1:33">
      <c r="A45">
        <f t="shared" si="0"/>
        <v>0</v>
      </c>
      <c r="B45" s="2" t="str">
        <f t="shared" si="17"/>
        <v/>
      </c>
      <c r="C45" s="4" t="str">
        <f t="shared" si="1"/>
        <v/>
      </c>
      <c r="D45" s="3" t="str">
        <f t="shared" si="2"/>
        <v/>
      </c>
      <c r="E45" s="47"/>
      <c r="F45" s="3" t="str">
        <f t="shared" si="3"/>
        <v/>
      </c>
      <c r="G45" s="47"/>
      <c r="H45" s="3" t="str">
        <f t="shared" si="4"/>
        <v/>
      </c>
      <c r="I45" s="47"/>
      <c r="J45" s="3" t="str">
        <f t="shared" si="5"/>
        <v/>
      </c>
      <c r="K45" s="47"/>
      <c r="L45" s="3" t="str">
        <f t="shared" si="6"/>
        <v/>
      </c>
      <c r="M45" s="47"/>
      <c r="N45" s="3" t="str">
        <f t="shared" si="7"/>
        <v/>
      </c>
      <c r="O45" s="47"/>
      <c r="P45" s="3" t="str">
        <f t="shared" si="8"/>
        <v/>
      </c>
      <c r="Q45" s="47"/>
      <c r="R45" s="3" t="str">
        <f t="shared" si="9"/>
        <v/>
      </c>
      <c r="S45" s="47"/>
      <c r="T45" s="1" t="str">
        <f t="shared" si="10"/>
        <v/>
      </c>
      <c r="U45" s="47"/>
      <c r="V45" s="1" t="str">
        <f t="shared" si="11"/>
        <v/>
      </c>
      <c r="W45" s="47"/>
      <c r="X45" s="1" t="str">
        <f t="shared" si="12"/>
        <v/>
      </c>
      <c r="Y45" s="47"/>
      <c r="Z45" s="1" t="str">
        <f t="shared" si="13"/>
        <v/>
      </c>
      <c r="AA45" s="47"/>
      <c r="AB45" s="1" t="str">
        <f t="shared" si="14"/>
        <v/>
      </c>
      <c r="AC45" s="47"/>
      <c r="AD45" s="1" t="str">
        <f t="shared" si="15"/>
        <v/>
      </c>
      <c r="AE45" s="47"/>
      <c r="AF45" s="1" t="str">
        <f t="shared" si="16"/>
        <v/>
      </c>
      <c r="AG45" s="47"/>
    </row>
    <row r="46" spans="1:33">
      <c r="A46">
        <f t="shared" si="0"/>
        <v>0</v>
      </c>
      <c r="B46" s="2" t="str">
        <f t="shared" si="17"/>
        <v/>
      </c>
      <c r="C46" s="4" t="str">
        <f t="shared" si="1"/>
        <v/>
      </c>
      <c r="D46" s="3" t="str">
        <f t="shared" si="2"/>
        <v/>
      </c>
      <c r="E46" s="47"/>
      <c r="F46" s="3" t="str">
        <f t="shared" si="3"/>
        <v/>
      </c>
      <c r="G46" s="47"/>
      <c r="H46" s="3" t="str">
        <f t="shared" si="4"/>
        <v/>
      </c>
      <c r="I46" s="47"/>
      <c r="J46" s="3" t="str">
        <f t="shared" si="5"/>
        <v/>
      </c>
      <c r="K46" s="47"/>
      <c r="L46" s="3" t="str">
        <f t="shared" si="6"/>
        <v/>
      </c>
      <c r="M46" s="47"/>
      <c r="N46" s="3" t="str">
        <f t="shared" si="7"/>
        <v/>
      </c>
      <c r="O46" s="47"/>
      <c r="P46" s="3" t="str">
        <f t="shared" si="8"/>
        <v/>
      </c>
      <c r="Q46" s="47"/>
      <c r="R46" s="3" t="str">
        <f t="shared" si="9"/>
        <v/>
      </c>
      <c r="S46" s="47"/>
      <c r="T46" s="1" t="str">
        <f t="shared" si="10"/>
        <v/>
      </c>
      <c r="U46" s="47"/>
      <c r="V46" s="1" t="str">
        <f t="shared" si="11"/>
        <v/>
      </c>
      <c r="W46" s="47"/>
      <c r="X46" s="1" t="str">
        <f t="shared" si="12"/>
        <v/>
      </c>
      <c r="Y46" s="47"/>
      <c r="Z46" s="1" t="str">
        <f t="shared" si="13"/>
        <v/>
      </c>
      <c r="AA46" s="47"/>
      <c r="AB46" s="1" t="str">
        <f t="shared" si="14"/>
        <v/>
      </c>
      <c r="AC46" s="47"/>
      <c r="AD46" s="1" t="str">
        <f t="shared" si="15"/>
        <v/>
      </c>
      <c r="AE46" s="47"/>
      <c r="AF46" s="1" t="str">
        <f t="shared" si="16"/>
        <v/>
      </c>
      <c r="AG46" s="47"/>
    </row>
    <row r="47" spans="1:33">
      <c r="A47">
        <f t="shared" si="0"/>
        <v>0</v>
      </c>
      <c r="B47" s="2" t="str">
        <f t="shared" si="17"/>
        <v/>
      </c>
      <c r="C47" s="4" t="str">
        <f t="shared" si="1"/>
        <v/>
      </c>
      <c r="D47" s="3" t="str">
        <f t="shared" si="2"/>
        <v/>
      </c>
      <c r="E47" s="47"/>
      <c r="F47" s="3" t="str">
        <f t="shared" si="3"/>
        <v/>
      </c>
      <c r="G47" s="47"/>
      <c r="H47" s="3" t="str">
        <f t="shared" si="4"/>
        <v/>
      </c>
      <c r="I47" s="47"/>
      <c r="J47" s="3" t="str">
        <f t="shared" si="5"/>
        <v/>
      </c>
      <c r="K47" s="47"/>
      <c r="L47" s="3" t="str">
        <f t="shared" si="6"/>
        <v/>
      </c>
      <c r="M47" s="47"/>
      <c r="N47" s="3" t="str">
        <f t="shared" si="7"/>
        <v/>
      </c>
      <c r="O47" s="47"/>
      <c r="P47" s="3" t="str">
        <f t="shared" si="8"/>
        <v/>
      </c>
      <c r="Q47" s="47"/>
      <c r="R47" s="3" t="str">
        <f t="shared" si="9"/>
        <v/>
      </c>
      <c r="S47" s="47"/>
      <c r="T47" s="1" t="str">
        <f t="shared" si="10"/>
        <v/>
      </c>
      <c r="U47" s="47"/>
      <c r="V47" s="1" t="str">
        <f t="shared" si="11"/>
        <v/>
      </c>
      <c r="W47" s="47"/>
      <c r="X47" s="1" t="str">
        <f t="shared" si="12"/>
        <v/>
      </c>
      <c r="Y47" s="47"/>
      <c r="Z47" s="1" t="str">
        <f t="shared" si="13"/>
        <v/>
      </c>
      <c r="AA47" s="47"/>
      <c r="AB47" s="1" t="str">
        <f t="shared" si="14"/>
        <v/>
      </c>
      <c r="AC47" s="47"/>
      <c r="AD47" s="1" t="str">
        <f t="shared" si="15"/>
        <v/>
      </c>
      <c r="AE47" s="47"/>
      <c r="AF47" s="1" t="str">
        <f t="shared" si="16"/>
        <v/>
      </c>
      <c r="AG47" s="47"/>
    </row>
    <row r="48" spans="1:33">
      <c r="A48">
        <f t="shared" si="0"/>
        <v>0</v>
      </c>
      <c r="B48" s="2" t="str">
        <f t="shared" si="17"/>
        <v/>
      </c>
      <c r="C48" s="4" t="str">
        <f t="shared" si="1"/>
        <v/>
      </c>
      <c r="D48" s="3" t="str">
        <f t="shared" si="2"/>
        <v/>
      </c>
      <c r="E48" s="47"/>
      <c r="F48" s="3" t="str">
        <f t="shared" si="3"/>
        <v/>
      </c>
      <c r="G48" s="47"/>
      <c r="H48" s="3" t="str">
        <f t="shared" si="4"/>
        <v/>
      </c>
      <c r="I48" s="47"/>
      <c r="J48" s="3" t="str">
        <f t="shared" si="5"/>
        <v/>
      </c>
      <c r="K48" s="47"/>
      <c r="L48" s="3" t="str">
        <f t="shared" si="6"/>
        <v/>
      </c>
      <c r="M48" s="47"/>
      <c r="N48" s="3" t="str">
        <f t="shared" si="7"/>
        <v/>
      </c>
      <c r="O48" s="47"/>
      <c r="P48" s="3" t="str">
        <f t="shared" si="8"/>
        <v/>
      </c>
      <c r="Q48" s="47"/>
      <c r="R48" s="3" t="str">
        <f t="shared" si="9"/>
        <v/>
      </c>
      <c r="S48" s="47"/>
      <c r="T48" s="1" t="str">
        <f t="shared" si="10"/>
        <v/>
      </c>
      <c r="U48" s="47"/>
      <c r="V48" s="1" t="str">
        <f t="shared" si="11"/>
        <v/>
      </c>
      <c r="W48" s="47"/>
      <c r="X48" s="1" t="str">
        <f t="shared" si="12"/>
        <v/>
      </c>
      <c r="Y48" s="47"/>
      <c r="Z48" s="1" t="str">
        <f t="shared" si="13"/>
        <v/>
      </c>
      <c r="AA48" s="47"/>
      <c r="AB48" s="1" t="str">
        <f t="shared" si="14"/>
        <v/>
      </c>
      <c r="AC48" s="47"/>
      <c r="AD48" s="1" t="str">
        <f t="shared" si="15"/>
        <v/>
      </c>
      <c r="AE48" s="47"/>
      <c r="AF48" s="1" t="str">
        <f t="shared" si="16"/>
        <v/>
      </c>
      <c r="AG48" s="47"/>
    </row>
    <row r="49" spans="1:33">
      <c r="A49">
        <f t="shared" si="0"/>
        <v>0</v>
      </c>
      <c r="B49" s="2" t="str">
        <f t="shared" si="17"/>
        <v/>
      </c>
      <c r="C49" s="4" t="str">
        <f t="shared" si="1"/>
        <v/>
      </c>
      <c r="D49" s="3" t="str">
        <f t="shared" si="2"/>
        <v/>
      </c>
      <c r="E49" s="47"/>
      <c r="F49" s="3" t="str">
        <f t="shared" si="3"/>
        <v/>
      </c>
      <c r="G49" s="47"/>
      <c r="H49" s="3" t="str">
        <f t="shared" si="4"/>
        <v/>
      </c>
      <c r="I49" s="47"/>
      <c r="J49" s="3" t="str">
        <f t="shared" si="5"/>
        <v/>
      </c>
      <c r="K49" s="47"/>
      <c r="L49" s="3" t="str">
        <f t="shared" si="6"/>
        <v/>
      </c>
      <c r="M49" s="47"/>
      <c r="N49" s="3" t="str">
        <f t="shared" si="7"/>
        <v/>
      </c>
      <c r="O49" s="47"/>
      <c r="P49" s="3" t="str">
        <f t="shared" si="8"/>
        <v/>
      </c>
      <c r="Q49" s="47"/>
      <c r="R49" s="3" t="str">
        <f t="shared" si="9"/>
        <v/>
      </c>
      <c r="S49" s="47"/>
      <c r="T49" s="1" t="str">
        <f t="shared" si="10"/>
        <v/>
      </c>
      <c r="U49" s="47"/>
      <c r="V49" s="1" t="str">
        <f t="shared" si="11"/>
        <v/>
      </c>
      <c r="W49" s="47"/>
      <c r="X49" s="1" t="str">
        <f t="shared" si="12"/>
        <v/>
      </c>
      <c r="Y49" s="47"/>
      <c r="Z49" s="1" t="str">
        <f t="shared" si="13"/>
        <v/>
      </c>
      <c r="AA49" s="47"/>
      <c r="AB49" s="1" t="str">
        <f t="shared" si="14"/>
        <v/>
      </c>
      <c r="AC49" s="47"/>
      <c r="AD49" s="1" t="str">
        <f t="shared" si="15"/>
        <v/>
      </c>
      <c r="AE49" s="47"/>
      <c r="AF49" s="1" t="str">
        <f t="shared" si="16"/>
        <v/>
      </c>
      <c r="AG49" s="47"/>
    </row>
    <row r="50" spans="1:33">
      <c r="A50">
        <f t="shared" si="0"/>
        <v>0</v>
      </c>
      <c r="B50" s="2" t="str">
        <f t="shared" si="17"/>
        <v/>
      </c>
      <c r="C50" s="4" t="str">
        <f t="shared" si="1"/>
        <v/>
      </c>
      <c r="D50" s="3" t="str">
        <f t="shared" si="2"/>
        <v/>
      </c>
      <c r="E50" s="47"/>
      <c r="F50" s="3" t="str">
        <f t="shared" si="3"/>
        <v/>
      </c>
      <c r="G50" s="47"/>
      <c r="H50" s="3" t="str">
        <f t="shared" si="4"/>
        <v/>
      </c>
      <c r="I50" s="47"/>
      <c r="J50" s="3" t="str">
        <f t="shared" si="5"/>
        <v/>
      </c>
      <c r="K50" s="47"/>
      <c r="L50" s="3" t="str">
        <f t="shared" si="6"/>
        <v/>
      </c>
      <c r="M50" s="47"/>
      <c r="N50" s="3" t="str">
        <f t="shared" si="7"/>
        <v/>
      </c>
      <c r="O50" s="47"/>
      <c r="P50" s="3" t="str">
        <f t="shared" si="8"/>
        <v/>
      </c>
      <c r="Q50" s="47"/>
      <c r="R50" s="3" t="str">
        <f t="shared" si="9"/>
        <v/>
      </c>
      <c r="S50" s="47"/>
      <c r="T50" s="1" t="str">
        <f t="shared" si="10"/>
        <v/>
      </c>
      <c r="U50" s="47"/>
      <c r="V50" s="1" t="str">
        <f t="shared" si="11"/>
        <v/>
      </c>
      <c r="W50" s="47"/>
      <c r="X50" s="1" t="str">
        <f t="shared" si="12"/>
        <v/>
      </c>
      <c r="Y50" s="47"/>
      <c r="Z50" s="1" t="str">
        <f t="shared" si="13"/>
        <v/>
      </c>
      <c r="AA50" s="47"/>
      <c r="AB50" s="1" t="str">
        <f t="shared" si="14"/>
        <v/>
      </c>
      <c r="AC50" s="47"/>
      <c r="AD50" s="1" t="str">
        <f t="shared" si="15"/>
        <v/>
      </c>
      <c r="AE50" s="47"/>
      <c r="AF50" s="1" t="str">
        <f t="shared" si="16"/>
        <v/>
      </c>
      <c r="AG50" s="47"/>
    </row>
    <row r="51" spans="1:33">
      <c r="A51">
        <f t="shared" si="0"/>
        <v>0</v>
      </c>
      <c r="B51" s="2" t="str">
        <f t="shared" si="17"/>
        <v/>
      </c>
      <c r="C51" s="4" t="str">
        <f t="shared" si="1"/>
        <v/>
      </c>
      <c r="D51" s="3" t="str">
        <f t="shared" si="2"/>
        <v/>
      </c>
      <c r="E51" s="47"/>
      <c r="F51" s="3" t="str">
        <f t="shared" si="3"/>
        <v/>
      </c>
      <c r="G51" s="47"/>
      <c r="H51" s="3" t="str">
        <f t="shared" si="4"/>
        <v/>
      </c>
      <c r="I51" s="47"/>
      <c r="J51" s="3" t="str">
        <f t="shared" si="5"/>
        <v/>
      </c>
      <c r="K51" s="47"/>
      <c r="L51" s="3" t="str">
        <f t="shared" si="6"/>
        <v/>
      </c>
      <c r="M51" s="47"/>
      <c r="N51" s="3" t="str">
        <f t="shared" si="7"/>
        <v/>
      </c>
      <c r="O51" s="47"/>
      <c r="P51" s="3" t="str">
        <f t="shared" si="8"/>
        <v/>
      </c>
      <c r="Q51" s="47"/>
      <c r="R51" s="3" t="str">
        <f t="shared" si="9"/>
        <v/>
      </c>
      <c r="S51" s="47"/>
      <c r="T51" s="1" t="str">
        <f t="shared" si="10"/>
        <v/>
      </c>
      <c r="U51" s="47"/>
      <c r="V51" s="1" t="str">
        <f t="shared" si="11"/>
        <v/>
      </c>
      <c r="W51" s="47"/>
      <c r="X51" s="1" t="str">
        <f t="shared" si="12"/>
        <v/>
      </c>
      <c r="Y51" s="47"/>
      <c r="Z51" s="1" t="str">
        <f t="shared" si="13"/>
        <v/>
      </c>
      <c r="AA51" s="47"/>
      <c r="AB51" s="1" t="str">
        <f t="shared" si="14"/>
        <v/>
      </c>
      <c r="AC51" s="47"/>
      <c r="AD51" s="1" t="str">
        <f t="shared" si="15"/>
        <v/>
      </c>
      <c r="AE51" s="47"/>
      <c r="AF51" s="1" t="str">
        <f t="shared" si="16"/>
        <v/>
      </c>
      <c r="AG51" s="47"/>
    </row>
    <row r="52" spans="1:33">
      <c r="A52">
        <f t="shared" si="0"/>
        <v>0</v>
      </c>
      <c r="B52" s="2" t="str">
        <f t="shared" si="17"/>
        <v/>
      </c>
      <c r="C52" s="4" t="str">
        <f t="shared" si="1"/>
        <v/>
      </c>
      <c r="D52" s="3" t="str">
        <f t="shared" si="2"/>
        <v/>
      </c>
      <c r="E52" s="47"/>
      <c r="F52" s="3" t="str">
        <f t="shared" si="3"/>
        <v/>
      </c>
      <c r="G52" s="47"/>
      <c r="H52" s="3" t="str">
        <f t="shared" si="4"/>
        <v/>
      </c>
      <c r="I52" s="47"/>
      <c r="J52" s="3" t="str">
        <f t="shared" si="5"/>
        <v/>
      </c>
      <c r="K52" s="47"/>
      <c r="L52" s="3" t="str">
        <f t="shared" si="6"/>
        <v/>
      </c>
      <c r="M52" s="47"/>
      <c r="N52" s="3" t="str">
        <f t="shared" si="7"/>
        <v/>
      </c>
      <c r="O52" s="47"/>
      <c r="P52" s="3" t="str">
        <f t="shared" si="8"/>
        <v/>
      </c>
      <c r="Q52" s="47"/>
      <c r="R52" s="3" t="str">
        <f t="shared" si="9"/>
        <v/>
      </c>
      <c r="S52" s="47"/>
      <c r="T52" s="1" t="str">
        <f t="shared" si="10"/>
        <v/>
      </c>
      <c r="U52" s="47"/>
      <c r="V52" s="1" t="str">
        <f t="shared" si="11"/>
        <v/>
      </c>
      <c r="W52" s="47"/>
      <c r="X52" s="1" t="str">
        <f t="shared" si="12"/>
        <v/>
      </c>
      <c r="Y52" s="47"/>
      <c r="Z52" s="1" t="str">
        <f t="shared" si="13"/>
        <v/>
      </c>
      <c r="AA52" s="47"/>
      <c r="AB52" s="1" t="str">
        <f t="shared" si="14"/>
        <v/>
      </c>
      <c r="AC52" s="47"/>
      <c r="AD52" s="1" t="str">
        <f t="shared" si="15"/>
        <v/>
      </c>
      <c r="AE52" s="47"/>
      <c r="AF52" s="1" t="str">
        <f t="shared" si="16"/>
        <v/>
      </c>
      <c r="AG52" s="47"/>
    </row>
    <row r="53" spans="1:33">
      <c r="A53">
        <f t="shared" si="0"/>
        <v>0</v>
      </c>
      <c r="B53" s="2" t="str">
        <f t="shared" si="17"/>
        <v/>
      </c>
      <c r="C53" s="4" t="str">
        <f t="shared" si="1"/>
        <v/>
      </c>
      <c r="D53" s="3" t="str">
        <f t="shared" si="2"/>
        <v/>
      </c>
      <c r="E53" s="47"/>
      <c r="F53" s="3" t="str">
        <f t="shared" si="3"/>
        <v/>
      </c>
      <c r="G53" s="47"/>
      <c r="H53" s="3" t="str">
        <f t="shared" si="4"/>
        <v/>
      </c>
      <c r="I53" s="47"/>
      <c r="J53" s="3" t="str">
        <f t="shared" si="5"/>
        <v/>
      </c>
      <c r="K53" s="47"/>
      <c r="L53" s="3" t="str">
        <f t="shared" si="6"/>
        <v/>
      </c>
      <c r="M53" s="47"/>
      <c r="N53" s="3" t="str">
        <f t="shared" si="7"/>
        <v/>
      </c>
      <c r="O53" s="47"/>
      <c r="P53" s="3" t="str">
        <f t="shared" si="8"/>
        <v/>
      </c>
      <c r="Q53" s="47"/>
      <c r="R53" s="3" t="str">
        <f t="shared" si="9"/>
        <v/>
      </c>
      <c r="S53" s="47"/>
      <c r="T53" s="1" t="str">
        <f t="shared" si="10"/>
        <v/>
      </c>
      <c r="U53" s="47"/>
      <c r="V53" s="1" t="str">
        <f t="shared" si="11"/>
        <v/>
      </c>
      <c r="W53" s="47"/>
      <c r="X53" s="1" t="str">
        <f t="shared" si="12"/>
        <v/>
      </c>
      <c r="Y53" s="47"/>
      <c r="Z53" s="1" t="str">
        <f t="shared" si="13"/>
        <v/>
      </c>
      <c r="AA53" s="47"/>
      <c r="AB53" s="1" t="str">
        <f t="shared" si="14"/>
        <v/>
      </c>
      <c r="AC53" s="47"/>
      <c r="AD53" s="1" t="str">
        <f t="shared" si="15"/>
        <v/>
      </c>
      <c r="AE53" s="47"/>
      <c r="AF53" s="1" t="str">
        <f t="shared" si="16"/>
        <v/>
      </c>
      <c r="AG53" s="47"/>
    </row>
    <row r="54" spans="1:33">
      <c r="A54">
        <f t="shared" si="0"/>
        <v>0</v>
      </c>
      <c r="B54" s="2" t="str">
        <f t="shared" si="17"/>
        <v/>
      </c>
      <c r="C54" s="4" t="str">
        <f t="shared" si="1"/>
        <v/>
      </c>
      <c r="D54" s="3" t="str">
        <f t="shared" si="2"/>
        <v/>
      </c>
      <c r="E54" s="47"/>
      <c r="F54" s="3" t="str">
        <f t="shared" si="3"/>
        <v/>
      </c>
      <c r="G54" s="47"/>
      <c r="H54" s="3" t="str">
        <f t="shared" si="4"/>
        <v/>
      </c>
      <c r="I54" s="47"/>
      <c r="J54" s="3" t="str">
        <f t="shared" si="5"/>
        <v/>
      </c>
      <c r="K54" s="47"/>
      <c r="L54" s="3" t="str">
        <f t="shared" si="6"/>
        <v/>
      </c>
      <c r="M54" s="47"/>
      <c r="N54" s="3" t="str">
        <f t="shared" si="7"/>
        <v/>
      </c>
      <c r="O54" s="47"/>
      <c r="P54" s="3" t="str">
        <f t="shared" si="8"/>
        <v/>
      </c>
      <c r="Q54" s="47"/>
      <c r="R54" s="3" t="str">
        <f t="shared" si="9"/>
        <v/>
      </c>
      <c r="S54" s="47"/>
      <c r="T54" s="1" t="str">
        <f t="shared" si="10"/>
        <v/>
      </c>
      <c r="U54" s="47"/>
      <c r="V54" s="1" t="str">
        <f t="shared" si="11"/>
        <v/>
      </c>
      <c r="W54" s="47"/>
      <c r="X54" s="1" t="str">
        <f t="shared" si="12"/>
        <v/>
      </c>
      <c r="Y54" s="47"/>
      <c r="Z54" s="1" t="str">
        <f t="shared" si="13"/>
        <v/>
      </c>
      <c r="AA54" s="47"/>
      <c r="AB54" s="1" t="str">
        <f t="shared" si="14"/>
        <v/>
      </c>
      <c r="AC54" s="47"/>
      <c r="AD54" s="1" t="str">
        <f t="shared" si="15"/>
        <v/>
      </c>
      <c r="AE54" s="47"/>
      <c r="AF54" s="1" t="str">
        <f t="shared" si="16"/>
        <v/>
      </c>
      <c r="AG54" s="47"/>
    </row>
    <row r="55" spans="1:33">
      <c r="A55">
        <f t="shared" si="0"/>
        <v>0</v>
      </c>
      <c r="B55" s="2" t="str">
        <f t="shared" si="17"/>
        <v/>
      </c>
      <c r="C55" s="4" t="str">
        <f t="shared" si="1"/>
        <v/>
      </c>
      <c r="D55" s="3" t="str">
        <f t="shared" si="2"/>
        <v/>
      </c>
      <c r="E55" s="47"/>
      <c r="F55" s="3" t="str">
        <f t="shared" si="3"/>
        <v/>
      </c>
      <c r="G55" s="47"/>
      <c r="H55" s="3" t="str">
        <f t="shared" si="4"/>
        <v/>
      </c>
      <c r="I55" s="47"/>
      <c r="J55" s="3" t="str">
        <f t="shared" si="5"/>
        <v/>
      </c>
      <c r="K55" s="47"/>
      <c r="L55" s="3" t="str">
        <f t="shared" si="6"/>
        <v/>
      </c>
      <c r="M55" s="47"/>
      <c r="N55" s="3" t="str">
        <f t="shared" si="7"/>
        <v/>
      </c>
      <c r="O55" s="47"/>
      <c r="P55" s="3" t="str">
        <f t="shared" si="8"/>
        <v/>
      </c>
      <c r="Q55" s="47"/>
      <c r="R55" s="3" t="str">
        <f t="shared" si="9"/>
        <v/>
      </c>
      <c r="S55" s="47"/>
      <c r="T55" s="1" t="str">
        <f t="shared" si="10"/>
        <v/>
      </c>
      <c r="U55" s="47"/>
      <c r="V55" s="1" t="str">
        <f t="shared" si="11"/>
        <v/>
      </c>
      <c r="W55" s="47"/>
      <c r="X55" s="1" t="str">
        <f t="shared" si="12"/>
        <v/>
      </c>
      <c r="Y55" s="47"/>
      <c r="Z55" s="1" t="str">
        <f t="shared" si="13"/>
        <v/>
      </c>
      <c r="AA55" s="47"/>
      <c r="AB55" s="1" t="str">
        <f t="shared" si="14"/>
        <v/>
      </c>
      <c r="AC55" s="47"/>
      <c r="AD55" s="1" t="str">
        <f t="shared" si="15"/>
        <v/>
      </c>
      <c r="AE55" s="47"/>
      <c r="AF55" s="1" t="str">
        <f t="shared" si="16"/>
        <v/>
      </c>
      <c r="AG55" s="47"/>
    </row>
    <row r="56" spans="1:33">
      <c r="A56">
        <f t="shared" si="0"/>
        <v>0</v>
      </c>
      <c r="B56" s="2" t="str">
        <f t="shared" si="17"/>
        <v/>
      </c>
      <c r="C56" s="4" t="str">
        <f t="shared" si="1"/>
        <v/>
      </c>
      <c r="D56" s="3" t="str">
        <f t="shared" si="2"/>
        <v/>
      </c>
      <c r="E56" s="47"/>
      <c r="F56" s="3" t="str">
        <f t="shared" si="3"/>
        <v/>
      </c>
      <c r="G56" s="47"/>
      <c r="H56" s="3" t="str">
        <f t="shared" si="4"/>
        <v/>
      </c>
      <c r="I56" s="47"/>
      <c r="J56" s="3" t="str">
        <f t="shared" si="5"/>
        <v/>
      </c>
      <c r="K56" s="47"/>
      <c r="L56" s="3" t="str">
        <f t="shared" si="6"/>
        <v/>
      </c>
      <c r="M56" s="47"/>
      <c r="N56" s="3" t="str">
        <f t="shared" si="7"/>
        <v/>
      </c>
      <c r="O56" s="47"/>
      <c r="P56" s="3" t="str">
        <f t="shared" si="8"/>
        <v/>
      </c>
      <c r="Q56" s="47"/>
      <c r="R56" s="3" t="str">
        <f t="shared" si="9"/>
        <v/>
      </c>
      <c r="S56" s="47"/>
      <c r="T56" s="1" t="str">
        <f t="shared" si="10"/>
        <v/>
      </c>
      <c r="U56" s="47"/>
      <c r="V56" s="1" t="str">
        <f t="shared" si="11"/>
        <v/>
      </c>
      <c r="W56" s="47"/>
      <c r="X56" s="1" t="str">
        <f t="shared" si="12"/>
        <v/>
      </c>
      <c r="Y56" s="47"/>
      <c r="Z56" s="1" t="str">
        <f t="shared" si="13"/>
        <v/>
      </c>
      <c r="AA56" s="47"/>
      <c r="AB56" s="1" t="str">
        <f t="shared" si="14"/>
        <v/>
      </c>
      <c r="AC56" s="47"/>
      <c r="AD56" s="1" t="str">
        <f t="shared" si="15"/>
        <v/>
      </c>
      <c r="AE56" s="47"/>
      <c r="AF56" s="1" t="str">
        <f t="shared" si="16"/>
        <v/>
      </c>
      <c r="AG56" s="47"/>
    </row>
    <row r="57" spans="1:33">
      <c r="A57">
        <f t="shared" si="0"/>
        <v>0</v>
      </c>
      <c r="B57" s="2" t="str">
        <f t="shared" si="17"/>
        <v/>
      </c>
      <c r="C57" s="4" t="str">
        <f t="shared" si="1"/>
        <v/>
      </c>
      <c r="D57" s="3" t="str">
        <f t="shared" si="2"/>
        <v/>
      </c>
      <c r="E57" s="47"/>
      <c r="F57" s="3" t="str">
        <f t="shared" si="3"/>
        <v/>
      </c>
      <c r="G57" s="47"/>
      <c r="H57" s="3" t="str">
        <f t="shared" si="4"/>
        <v/>
      </c>
      <c r="I57" s="47"/>
      <c r="J57" s="3" t="str">
        <f t="shared" si="5"/>
        <v/>
      </c>
      <c r="K57" s="47"/>
      <c r="L57" s="3" t="str">
        <f t="shared" si="6"/>
        <v/>
      </c>
      <c r="M57" s="47"/>
      <c r="N57" s="3" t="str">
        <f t="shared" si="7"/>
        <v/>
      </c>
      <c r="O57" s="47"/>
      <c r="P57" s="3" t="str">
        <f t="shared" si="8"/>
        <v/>
      </c>
      <c r="Q57" s="47"/>
      <c r="R57" s="3" t="str">
        <f t="shared" si="9"/>
        <v/>
      </c>
      <c r="S57" s="47"/>
      <c r="T57" s="1" t="str">
        <f t="shared" si="10"/>
        <v/>
      </c>
      <c r="U57" s="47"/>
      <c r="V57" s="1" t="str">
        <f t="shared" si="11"/>
        <v/>
      </c>
      <c r="W57" s="47"/>
      <c r="X57" s="1" t="str">
        <f t="shared" si="12"/>
        <v/>
      </c>
      <c r="Y57" s="47"/>
      <c r="Z57" s="1" t="str">
        <f t="shared" si="13"/>
        <v/>
      </c>
      <c r="AA57" s="47"/>
      <c r="AB57" s="1" t="str">
        <f t="shared" si="14"/>
        <v/>
      </c>
      <c r="AC57" s="47"/>
      <c r="AD57" s="1" t="str">
        <f t="shared" si="15"/>
        <v/>
      </c>
      <c r="AE57" s="47"/>
      <c r="AF57" s="1" t="str">
        <f t="shared" si="16"/>
        <v/>
      </c>
      <c r="AG57" s="47"/>
    </row>
    <row r="58" spans="1:33">
      <c r="A58">
        <f t="shared" si="0"/>
        <v>0</v>
      </c>
      <c r="B58" s="2" t="str">
        <f t="shared" si="17"/>
        <v/>
      </c>
      <c r="C58" s="4" t="str">
        <f t="shared" si="1"/>
        <v/>
      </c>
      <c r="D58" s="3" t="str">
        <f t="shared" si="2"/>
        <v/>
      </c>
      <c r="E58" s="47"/>
      <c r="F58" s="3" t="str">
        <f t="shared" si="3"/>
        <v/>
      </c>
      <c r="G58" s="47"/>
      <c r="H58" s="3" t="str">
        <f t="shared" si="4"/>
        <v/>
      </c>
      <c r="I58" s="47"/>
      <c r="J58" s="3" t="str">
        <f t="shared" si="5"/>
        <v/>
      </c>
      <c r="K58" s="47"/>
      <c r="L58" s="3" t="str">
        <f t="shared" si="6"/>
        <v/>
      </c>
      <c r="M58" s="47"/>
      <c r="N58" s="3" t="str">
        <f t="shared" si="7"/>
        <v/>
      </c>
      <c r="O58" s="47"/>
      <c r="P58" s="3" t="str">
        <f t="shared" si="8"/>
        <v/>
      </c>
      <c r="Q58" s="47"/>
      <c r="R58" s="3" t="str">
        <f t="shared" si="9"/>
        <v/>
      </c>
      <c r="S58" s="47"/>
      <c r="T58" s="1" t="str">
        <f t="shared" si="10"/>
        <v/>
      </c>
      <c r="U58" s="47"/>
      <c r="V58" s="1" t="str">
        <f t="shared" si="11"/>
        <v/>
      </c>
      <c r="W58" s="47"/>
      <c r="X58" s="1" t="str">
        <f t="shared" si="12"/>
        <v/>
      </c>
      <c r="Y58" s="47"/>
      <c r="Z58" s="1" t="str">
        <f t="shared" si="13"/>
        <v/>
      </c>
      <c r="AA58" s="47"/>
      <c r="AB58" s="1" t="str">
        <f t="shared" si="14"/>
        <v/>
      </c>
      <c r="AC58" s="47"/>
      <c r="AD58" s="1" t="str">
        <f t="shared" si="15"/>
        <v/>
      </c>
      <c r="AE58" s="47"/>
      <c r="AF58" s="1" t="str">
        <f t="shared" si="16"/>
        <v/>
      </c>
      <c r="AG58" s="47"/>
    </row>
    <row r="59" spans="1:33">
      <c r="A59">
        <f t="shared" si="0"/>
        <v>0</v>
      </c>
      <c r="B59" s="2" t="str">
        <f t="shared" si="17"/>
        <v/>
      </c>
      <c r="C59" s="4" t="str">
        <f t="shared" si="1"/>
        <v/>
      </c>
      <c r="D59" s="3" t="str">
        <f t="shared" si="2"/>
        <v/>
      </c>
      <c r="E59" s="47"/>
      <c r="F59" s="3" t="str">
        <f t="shared" si="3"/>
        <v/>
      </c>
      <c r="G59" s="47"/>
      <c r="H59" s="3" t="str">
        <f t="shared" si="4"/>
        <v/>
      </c>
      <c r="I59" s="47"/>
      <c r="J59" s="3" t="str">
        <f t="shared" si="5"/>
        <v/>
      </c>
      <c r="K59" s="47"/>
      <c r="L59" s="3" t="str">
        <f t="shared" si="6"/>
        <v/>
      </c>
      <c r="M59" s="47"/>
      <c r="N59" s="3" t="str">
        <f t="shared" si="7"/>
        <v/>
      </c>
      <c r="O59" s="47"/>
      <c r="P59" s="3" t="str">
        <f t="shared" si="8"/>
        <v/>
      </c>
      <c r="Q59" s="47"/>
      <c r="R59" s="3" t="str">
        <f t="shared" si="9"/>
        <v/>
      </c>
      <c r="S59" s="47"/>
      <c r="T59" s="1" t="str">
        <f t="shared" si="10"/>
        <v/>
      </c>
      <c r="U59" s="47"/>
      <c r="V59" s="1" t="str">
        <f t="shared" si="11"/>
        <v/>
      </c>
      <c r="W59" s="47"/>
      <c r="X59" s="1" t="str">
        <f t="shared" si="12"/>
        <v/>
      </c>
      <c r="Y59" s="47"/>
      <c r="Z59" s="1" t="str">
        <f t="shared" si="13"/>
        <v/>
      </c>
      <c r="AA59" s="47"/>
      <c r="AB59" s="1" t="str">
        <f t="shared" si="14"/>
        <v/>
      </c>
      <c r="AC59" s="47"/>
      <c r="AD59" s="1" t="str">
        <f t="shared" si="15"/>
        <v/>
      </c>
      <c r="AE59" s="47"/>
      <c r="AF59" s="1" t="str">
        <f t="shared" si="16"/>
        <v/>
      </c>
      <c r="AG59" s="47"/>
    </row>
    <row r="60" spans="1:33">
      <c r="A60">
        <f t="shared" si="0"/>
        <v>0</v>
      </c>
      <c r="B60" s="2" t="str">
        <f t="shared" si="17"/>
        <v/>
      </c>
      <c r="C60" s="4" t="str">
        <f t="shared" si="1"/>
        <v/>
      </c>
      <c r="D60" s="3" t="str">
        <f t="shared" si="2"/>
        <v/>
      </c>
      <c r="E60" s="47"/>
      <c r="F60" s="3" t="str">
        <f t="shared" si="3"/>
        <v/>
      </c>
      <c r="G60" s="47"/>
      <c r="H60" s="3" t="str">
        <f t="shared" si="4"/>
        <v/>
      </c>
      <c r="I60" s="47"/>
      <c r="J60" s="3" t="str">
        <f t="shared" si="5"/>
        <v/>
      </c>
      <c r="K60" s="47"/>
      <c r="L60" s="3" t="str">
        <f t="shared" si="6"/>
        <v/>
      </c>
      <c r="M60" s="47"/>
      <c r="N60" s="3" t="str">
        <f t="shared" si="7"/>
        <v/>
      </c>
      <c r="O60" s="47"/>
      <c r="P60" s="3" t="str">
        <f t="shared" si="8"/>
        <v/>
      </c>
      <c r="Q60" s="47"/>
      <c r="R60" s="3" t="str">
        <f t="shared" si="9"/>
        <v/>
      </c>
      <c r="S60" s="47"/>
      <c r="T60" s="1" t="str">
        <f t="shared" si="10"/>
        <v/>
      </c>
      <c r="U60" s="47"/>
      <c r="V60" s="1" t="str">
        <f t="shared" si="11"/>
        <v/>
      </c>
      <c r="W60" s="47"/>
      <c r="X60" s="1" t="str">
        <f t="shared" si="12"/>
        <v/>
      </c>
      <c r="Y60" s="47"/>
      <c r="Z60" s="1" t="str">
        <f t="shared" si="13"/>
        <v/>
      </c>
      <c r="AA60" s="47"/>
      <c r="AB60" s="1" t="str">
        <f t="shared" si="14"/>
        <v/>
      </c>
      <c r="AC60" s="47"/>
      <c r="AD60" s="1" t="str">
        <f t="shared" si="15"/>
        <v/>
      </c>
      <c r="AE60" s="47"/>
      <c r="AF60" s="1" t="str">
        <f t="shared" si="16"/>
        <v/>
      </c>
      <c r="AG60" s="47"/>
    </row>
    <row r="61" spans="1:33">
      <c r="A61">
        <f t="shared" si="0"/>
        <v>0</v>
      </c>
      <c r="B61" s="2" t="str">
        <f t="shared" si="17"/>
        <v/>
      </c>
      <c r="C61" s="4" t="str">
        <f t="shared" si="1"/>
        <v/>
      </c>
      <c r="D61" s="3" t="str">
        <f t="shared" si="2"/>
        <v/>
      </c>
      <c r="E61" s="47"/>
      <c r="F61" s="3" t="str">
        <f t="shared" si="3"/>
        <v/>
      </c>
      <c r="G61" s="47"/>
      <c r="H61" s="3" t="str">
        <f t="shared" si="4"/>
        <v/>
      </c>
      <c r="I61" s="47"/>
      <c r="J61" s="3" t="str">
        <f t="shared" si="5"/>
        <v/>
      </c>
      <c r="K61" s="47"/>
      <c r="L61" s="3" t="str">
        <f t="shared" si="6"/>
        <v/>
      </c>
      <c r="M61" s="47"/>
      <c r="N61" s="3" t="str">
        <f t="shared" si="7"/>
        <v/>
      </c>
      <c r="O61" s="47"/>
      <c r="P61" s="3" t="str">
        <f t="shared" si="8"/>
        <v/>
      </c>
      <c r="Q61" s="47"/>
      <c r="R61" s="3" t="str">
        <f t="shared" si="9"/>
        <v/>
      </c>
      <c r="S61" s="47"/>
      <c r="T61" s="1" t="str">
        <f t="shared" si="10"/>
        <v/>
      </c>
      <c r="U61" s="47"/>
      <c r="V61" s="1" t="str">
        <f t="shared" si="11"/>
        <v/>
      </c>
      <c r="W61" s="47"/>
      <c r="X61" s="1" t="str">
        <f t="shared" si="12"/>
        <v/>
      </c>
      <c r="Y61" s="47"/>
      <c r="Z61" s="1" t="str">
        <f t="shared" si="13"/>
        <v/>
      </c>
      <c r="AA61" s="47"/>
      <c r="AB61" s="1" t="str">
        <f t="shared" si="14"/>
        <v/>
      </c>
      <c r="AC61" s="47"/>
      <c r="AD61" s="1" t="str">
        <f t="shared" si="15"/>
        <v/>
      </c>
      <c r="AE61" s="47"/>
      <c r="AF61" s="1" t="str">
        <f t="shared" si="16"/>
        <v/>
      </c>
      <c r="AG61" s="47"/>
    </row>
    <row r="62" spans="1:33">
      <c r="A62">
        <f t="shared" si="0"/>
        <v>0</v>
      </c>
      <c r="B62" s="2" t="str">
        <f t="shared" si="17"/>
        <v/>
      </c>
      <c r="C62" s="4" t="str">
        <f t="shared" si="1"/>
        <v/>
      </c>
      <c r="D62" s="3" t="str">
        <f t="shared" si="2"/>
        <v/>
      </c>
      <c r="E62" s="47"/>
      <c r="F62" s="3" t="str">
        <f t="shared" si="3"/>
        <v/>
      </c>
      <c r="G62" s="47"/>
      <c r="H62" s="3" t="str">
        <f t="shared" si="4"/>
        <v/>
      </c>
      <c r="I62" s="47"/>
      <c r="J62" s="3" t="str">
        <f t="shared" si="5"/>
        <v/>
      </c>
      <c r="K62" s="47"/>
      <c r="L62" s="3" t="str">
        <f t="shared" si="6"/>
        <v/>
      </c>
      <c r="M62" s="47"/>
      <c r="N62" s="3" t="str">
        <f t="shared" si="7"/>
        <v/>
      </c>
      <c r="O62" s="47"/>
      <c r="P62" s="3" t="str">
        <f t="shared" si="8"/>
        <v/>
      </c>
      <c r="Q62" s="47"/>
      <c r="R62" s="3" t="str">
        <f t="shared" si="9"/>
        <v/>
      </c>
      <c r="S62" s="47"/>
      <c r="T62" s="1" t="str">
        <f t="shared" si="10"/>
        <v/>
      </c>
      <c r="U62" s="47"/>
      <c r="V62" s="1" t="str">
        <f t="shared" si="11"/>
        <v/>
      </c>
      <c r="W62" s="47"/>
      <c r="X62" s="1" t="str">
        <f t="shared" si="12"/>
        <v/>
      </c>
      <c r="Y62" s="47"/>
      <c r="Z62" s="1" t="str">
        <f t="shared" si="13"/>
        <v/>
      </c>
      <c r="AA62" s="47"/>
      <c r="AB62" s="1" t="str">
        <f t="shared" si="14"/>
        <v/>
      </c>
      <c r="AC62" s="47"/>
      <c r="AD62" s="1" t="str">
        <f t="shared" si="15"/>
        <v/>
      </c>
      <c r="AE62" s="47"/>
      <c r="AF62" s="1" t="str">
        <f t="shared" si="16"/>
        <v/>
      </c>
      <c r="AG62" s="47"/>
    </row>
    <row r="63" spans="1:33">
      <c r="A63">
        <f t="shared" si="0"/>
        <v>0</v>
      </c>
      <c r="B63" s="2" t="str">
        <f t="shared" si="17"/>
        <v/>
      </c>
      <c r="C63" s="4" t="str">
        <f t="shared" si="1"/>
        <v/>
      </c>
      <c r="D63" s="3" t="str">
        <f t="shared" si="2"/>
        <v/>
      </c>
      <c r="E63" s="47"/>
      <c r="F63" s="3" t="str">
        <f t="shared" si="3"/>
        <v/>
      </c>
      <c r="G63" s="47"/>
      <c r="H63" s="3" t="str">
        <f t="shared" si="4"/>
        <v/>
      </c>
      <c r="I63" s="47"/>
      <c r="J63" s="3" t="str">
        <f t="shared" si="5"/>
        <v/>
      </c>
      <c r="K63" s="47"/>
      <c r="L63" s="3" t="str">
        <f t="shared" si="6"/>
        <v/>
      </c>
      <c r="M63" s="47"/>
      <c r="N63" s="3" t="str">
        <f t="shared" si="7"/>
        <v/>
      </c>
      <c r="O63" s="47"/>
      <c r="P63" s="3" t="str">
        <f t="shared" si="8"/>
        <v/>
      </c>
      <c r="Q63" s="47"/>
      <c r="R63" s="3" t="str">
        <f t="shared" si="9"/>
        <v/>
      </c>
      <c r="S63" s="47"/>
      <c r="T63" s="1" t="str">
        <f t="shared" si="10"/>
        <v/>
      </c>
      <c r="U63" s="47"/>
      <c r="V63" s="1" t="str">
        <f t="shared" si="11"/>
        <v/>
      </c>
      <c r="W63" s="47"/>
      <c r="X63" s="1" t="str">
        <f t="shared" si="12"/>
        <v/>
      </c>
      <c r="Y63" s="47"/>
      <c r="Z63" s="1" t="str">
        <f t="shared" si="13"/>
        <v/>
      </c>
      <c r="AA63" s="47"/>
      <c r="AB63" s="1" t="str">
        <f t="shared" si="14"/>
        <v/>
      </c>
      <c r="AC63" s="47"/>
      <c r="AD63" s="1" t="str">
        <f t="shared" si="15"/>
        <v/>
      </c>
      <c r="AE63" s="47"/>
      <c r="AF63" s="1" t="str">
        <f t="shared" si="16"/>
        <v/>
      </c>
      <c r="AG63" s="47"/>
    </row>
    <row r="64" spans="1:33">
      <c r="A64">
        <f t="shared" si="0"/>
        <v>0</v>
      </c>
      <c r="B64" s="2" t="str">
        <f t="shared" si="17"/>
        <v/>
      </c>
      <c r="C64" s="4" t="str">
        <f t="shared" si="1"/>
        <v/>
      </c>
      <c r="D64" s="3" t="str">
        <f t="shared" si="2"/>
        <v/>
      </c>
      <c r="E64" s="47"/>
      <c r="F64" s="3" t="str">
        <f t="shared" si="3"/>
        <v/>
      </c>
      <c r="G64" s="47"/>
      <c r="H64" s="3" t="str">
        <f t="shared" si="4"/>
        <v/>
      </c>
      <c r="I64" s="47"/>
      <c r="J64" s="3" t="str">
        <f t="shared" si="5"/>
        <v/>
      </c>
      <c r="K64" s="47"/>
      <c r="L64" s="3" t="str">
        <f t="shared" si="6"/>
        <v/>
      </c>
      <c r="M64" s="47"/>
      <c r="N64" s="3" t="str">
        <f t="shared" si="7"/>
        <v/>
      </c>
      <c r="O64" s="47"/>
      <c r="P64" s="3" t="str">
        <f t="shared" si="8"/>
        <v/>
      </c>
      <c r="Q64" s="47"/>
      <c r="R64" s="3" t="str">
        <f t="shared" si="9"/>
        <v/>
      </c>
      <c r="S64" s="47"/>
      <c r="T64" s="1" t="str">
        <f t="shared" si="10"/>
        <v/>
      </c>
      <c r="U64" s="47"/>
      <c r="V64" s="1" t="str">
        <f t="shared" si="11"/>
        <v/>
      </c>
      <c r="W64" s="47"/>
      <c r="X64" s="1" t="str">
        <f t="shared" si="12"/>
        <v/>
      </c>
      <c r="Y64" s="47"/>
      <c r="Z64" s="1" t="str">
        <f t="shared" si="13"/>
        <v/>
      </c>
      <c r="AA64" s="47"/>
      <c r="AB64" s="1" t="str">
        <f t="shared" si="14"/>
        <v/>
      </c>
      <c r="AC64" s="47"/>
      <c r="AD64" s="1" t="str">
        <f t="shared" si="15"/>
        <v/>
      </c>
      <c r="AE64" s="47"/>
      <c r="AF64" s="1" t="str">
        <f t="shared" si="16"/>
        <v/>
      </c>
      <c r="AG64" s="47"/>
    </row>
    <row r="65" spans="1:33">
      <c r="A65">
        <f t="shared" si="0"/>
        <v>0</v>
      </c>
      <c r="B65" s="2" t="str">
        <f t="shared" si="17"/>
        <v/>
      </c>
      <c r="C65" s="4" t="str">
        <f t="shared" si="1"/>
        <v/>
      </c>
      <c r="D65" s="3" t="str">
        <f t="shared" si="2"/>
        <v/>
      </c>
      <c r="E65" s="47"/>
      <c r="F65" s="3" t="str">
        <f t="shared" si="3"/>
        <v/>
      </c>
      <c r="G65" s="47"/>
      <c r="H65" s="3" t="str">
        <f t="shared" si="4"/>
        <v/>
      </c>
      <c r="I65" s="47"/>
      <c r="J65" s="3" t="str">
        <f t="shared" si="5"/>
        <v/>
      </c>
      <c r="K65" s="47"/>
      <c r="L65" s="3" t="str">
        <f t="shared" si="6"/>
        <v/>
      </c>
      <c r="M65" s="47"/>
      <c r="N65" s="3" t="str">
        <f t="shared" si="7"/>
        <v/>
      </c>
      <c r="O65" s="47"/>
      <c r="P65" s="3" t="str">
        <f t="shared" si="8"/>
        <v/>
      </c>
      <c r="Q65" s="47"/>
      <c r="R65" s="3" t="str">
        <f t="shared" si="9"/>
        <v/>
      </c>
      <c r="S65" s="47"/>
      <c r="T65" s="1" t="str">
        <f t="shared" si="10"/>
        <v/>
      </c>
      <c r="U65" s="47"/>
      <c r="V65" s="1" t="str">
        <f t="shared" si="11"/>
        <v/>
      </c>
      <c r="W65" s="47"/>
      <c r="X65" s="1" t="str">
        <f t="shared" si="12"/>
        <v/>
      </c>
      <c r="Y65" s="47"/>
      <c r="Z65" s="1" t="str">
        <f t="shared" si="13"/>
        <v/>
      </c>
      <c r="AA65" s="47"/>
      <c r="AB65" s="1" t="str">
        <f t="shared" si="14"/>
        <v/>
      </c>
      <c r="AC65" s="47"/>
      <c r="AD65" s="1" t="str">
        <f t="shared" si="15"/>
        <v/>
      </c>
      <c r="AE65" s="47"/>
      <c r="AF65" s="1" t="str">
        <f t="shared" si="16"/>
        <v/>
      </c>
      <c r="AG65" s="47"/>
    </row>
    <row r="66" spans="1:33">
      <c r="A66">
        <f t="shared" si="0"/>
        <v>0</v>
      </c>
      <c r="B66" s="2" t="str">
        <f t="shared" si="17"/>
        <v/>
      </c>
      <c r="C66" s="4" t="str">
        <f t="shared" si="1"/>
        <v/>
      </c>
      <c r="D66" s="3" t="str">
        <f t="shared" si="2"/>
        <v/>
      </c>
      <c r="E66" s="47"/>
      <c r="F66" s="3" t="str">
        <f t="shared" si="3"/>
        <v/>
      </c>
      <c r="G66" s="47"/>
      <c r="H66" s="3" t="str">
        <f t="shared" si="4"/>
        <v/>
      </c>
      <c r="I66" s="47"/>
      <c r="J66" s="3" t="str">
        <f t="shared" si="5"/>
        <v/>
      </c>
      <c r="K66" s="47"/>
      <c r="L66" s="3" t="str">
        <f t="shared" si="6"/>
        <v/>
      </c>
      <c r="M66" s="47"/>
      <c r="N66" s="3" t="str">
        <f t="shared" si="7"/>
        <v/>
      </c>
      <c r="O66" s="47"/>
      <c r="P66" s="3" t="str">
        <f t="shared" si="8"/>
        <v/>
      </c>
      <c r="Q66" s="47"/>
      <c r="R66" s="3" t="str">
        <f t="shared" si="9"/>
        <v/>
      </c>
      <c r="S66" s="47"/>
      <c r="T66" s="1" t="str">
        <f t="shared" si="10"/>
        <v/>
      </c>
      <c r="U66" s="47"/>
      <c r="V66" s="1" t="str">
        <f t="shared" si="11"/>
        <v/>
      </c>
      <c r="W66" s="47"/>
      <c r="X66" s="1" t="str">
        <f t="shared" si="12"/>
        <v/>
      </c>
      <c r="Y66" s="47"/>
      <c r="Z66" s="1" t="str">
        <f t="shared" si="13"/>
        <v/>
      </c>
      <c r="AA66" s="47"/>
      <c r="AB66" s="1" t="str">
        <f t="shared" si="14"/>
        <v/>
      </c>
      <c r="AC66" s="47"/>
      <c r="AD66" s="1" t="str">
        <f t="shared" si="15"/>
        <v/>
      </c>
      <c r="AE66" s="47"/>
      <c r="AF66" s="1" t="str">
        <f t="shared" si="16"/>
        <v/>
      </c>
      <c r="AG66" s="47"/>
    </row>
    <row r="67" spans="1:33">
      <c r="A67">
        <f t="shared" si="0"/>
        <v>0</v>
      </c>
      <c r="B67" s="2" t="str">
        <f t="shared" si="17"/>
        <v/>
      </c>
      <c r="C67" s="4" t="str">
        <f t="shared" si="1"/>
        <v/>
      </c>
      <c r="D67" s="3" t="str">
        <f t="shared" si="2"/>
        <v/>
      </c>
      <c r="E67" s="47"/>
      <c r="F67" s="3" t="str">
        <f t="shared" si="3"/>
        <v/>
      </c>
      <c r="G67" s="47"/>
      <c r="H67" s="3" t="str">
        <f t="shared" si="4"/>
        <v/>
      </c>
      <c r="I67" s="47"/>
      <c r="J67" s="3" t="str">
        <f t="shared" si="5"/>
        <v/>
      </c>
      <c r="K67" s="47"/>
      <c r="L67" s="3" t="str">
        <f t="shared" si="6"/>
        <v/>
      </c>
      <c r="M67" s="47"/>
      <c r="N67" s="3" t="str">
        <f t="shared" si="7"/>
        <v/>
      </c>
      <c r="O67" s="47"/>
      <c r="P67" s="3" t="str">
        <f t="shared" si="8"/>
        <v/>
      </c>
      <c r="Q67" s="47"/>
      <c r="R67" s="3" t="str">
        <f t="shared" si="9"/>
        <v/>
      </c>
      <c r="S67" s="47"/>
      <c r="T67" s="1" t="str">
        <f t="shared" si="10"/>
        <v/>
      </c>
      <c r="U67" s="47"/>
      <c r="V67" s="1" t="str">
        <f t="shared" si="11"/>
        <v/>
      </c>
      <c r="W67" s="47"/>
      <c r="X67" s="1" t="str">
        <f t="shared" si="12"/>
        <v/>
      </c>
      <c r="Y67" s="47"/>
      <c r="Z67" s="1" t="str">
        <f t="shared" si="13"/>
        <v/>
      </c>
      <c r="AA67" s="47"/>
      <c r="AB67" s="1" t="str">
        <f t="shared" si="14"/>
        <v/>
      </c>
      <c r="AC67" s="47"/>
      <c r="AD67" s="1" t="str">
        <f t="shared" si="15"/>
        <v/>
      </c>
      <c r="AE67" s="47"/>
      <c r="AF67" s="1" t="str">
        <f t="shared" si="16"/>
        <v/>
      </c>
      <c r="AG67" s="47"/>
    </row>
    <row r="68" spans="1:33">
      <c r="A68">
        <f t="shared" si="0"/>
        <v>0</v>
      </c>
      <c r="B68" s="2" t="str">
        <f t="shared" si="17"/>
        <v/>
      </c>
      <c r="C68" s="4" t="str">
        <f t="shared" si="1"/>
        <v/>
      </c>
      <c r="D68" s="3" t="str">
        <f t="shared" si="2"/>
        <v/>
      </c>
      <c r="E68" s="47"/>
      <c r="F68" s="3" t="str">
        <f t="shared" si="3"/>
        <v/>
      </c>
      <c r="G68" s="47"/>
      <c r="H68" s="3" t="str">
        <f t="shared" si="4"/>
        <v/>
      </c>
      <c r="I68" s="47"/>
      <c r="J68" s="3" t="str">
        <f t="shared" si="5"/>
        <v/>
      </c>
      <c r="K68" s="47"/>
      <c r="L68" s="3" t="str">
        <f t="shared" si="6"/>
        <v/>
      </c>
      <c r="M68" s="47"/>
      <c r="N68" s="3" t="str">
        <f t="shared" si="7"/>
        <v/>
      </c>
      <c r="O68" s="47"/>
      <c r="P68" s="3" t="str">
        <f t="shared" si="8"/>
        <v/>
      </c>
      <c r="Q68" s="47"/>
      <c r="R68" s="3" t="str">
        <f t="shared" si="9"/>
        <v/>
      </c>
      <c r="S68" s="47"/>
      <c r="T68" s="1" t="str">
        <f t="shared" si="10"/>
        <v/>
      </c>
      <c r="U68" s="47"/>
      <c r="V68" s="1" t="str">
        <f t="shared" si="11"/>
        <v/>
      </c>
      <c r="W68" s="47"/>
      <c r="X68" s="1" t="str">
        <f t="shared" si="12"/>
        <v/>
      </c>
      <c r="Y68" s="47"/>
      <c r="Z68" s="1" t="str">
        <f t="shared" si="13"/>
        <v/>
      </c>
      <c r="AA68" s="47"/>
      <c r="AB68" s="1" t="str">
        <f t="shared" si="14"/>
        <v/>
      </c>
      <c r="AC68" s="47"/>
      <c r="AD68" s="1" t="str">
        <f t="shared" si="15"/>
        <v/>
      </c>
      <c r="AE68" s="47"/>
      <c r="AF68" s="1" t="str">
        <f t="shared" si="16"/>
        <v/>
      </c>
      <c r="AG68" s="47"/>
    </row>
    <row r="69" spans="1:33">
      <c r="A69">
        <f t="shared" si="0"/>
        <v>0</v>
      </c>
      <c r="B69" s="2" t="str">
        <f t="shared" si="17"/>
        <v/>
      </c>
      <c r="C69" s="4" t="str">
        <f t="shared" si="1"/>
        <v/>
      </c>
      <c r="D69" s="3" t="str">
        <f t="shared" si="2"/>
        <v/>
      </c>
      <c r="E69" s="47"/>
      <c r="F69" s="3" t="str">
        <f t="shared" si="3"/>
        <v/>
      </c>
      <c r="G69" s="47"/>
      <c r="H69" s="3" t="str">
        <f t="shared" si="4"/>
        <v/>
      </c>
      <c r="I69" s="47"/>
      <c r="J69" s="3" t="str">
        <f t="shared" si="5"/>
        <v/>
      </c>
      <c r="K69" s="47"/>
      <c r="L69" s="3" t="str">
        <f t="shared" si="6"/>
        <v/>
      </c>
      <c r="M69" s="47"/>
      <c r="N69" s="3" t="str">
        <f t="shared" si="7"/>
        <v/>
      </c>
      <c r="O69" s="47"/>
      <c r="P69" s="3" t="str">
        <f t="shared" si="8"/>
        <v/>
      </c>
      <c r="Q69" s="47"/>
      <c r="R69" s="3" t="str">
        <f t="shared" si="9"/>
        <v/>
      </c>
      <c r="S69" s="47"/>
      <c r="T69" s="1" t="str">
        <f t="shared" si="10"/>
        <v/>
      </c>
      <c r="U69" s="47"/>
      <c r="V69" s="1" t="str">
        <f t="shared" si="11"/>
        <v/>
      </c>
      <c r="W69" s="47"/>
      <c r="X69" s="1" t="str">
        <f t="shared" si="12"/>
        <v/>
      </c>
      <c r="Y69" s="47"/>
      <c r="Z69" s="1" t="str">
        <f t="shared" si="13"/>
        <v/>
      </c>
      <c r="AA69" s="47"/>
      <c r="AB69" s="1" t="str">
        <f t="shared" si="14"/>
        <v/>
      </c>
      <c r="AC69" s="47"/>
      <c r="AD69" s="1" t="str">
        <f t="shared" si="15"/>
        <v/>
      </c>
      <c r="AE69" s="47"/>
      <c r="AF69" s="1" t="str">
        <f t="shared" si="16"/>
        <v/>
      </c>
      <c r="AG69" s="47"/>
    </row>
    <row r="70" spans="1:33">
      <c r="A70">
        <f t="shared" si="0"/>
        <v>0</v>
      </c>
      <c r="B70" s="2" t="str">
        <f t="shared" si="17"/>
        <v/>
      </c>
      <c r="C70" s="4" t="str">
        <f t="shared" si="1"/>
        <v/>
      </c>
      <c r="D70" s="3" t="str">
        <f t="shared" si="2"/>
        <v/>
      </c>
      <c r="E70" s="47"/>
      <c r="F70" s="3" t="str">
        <f t="shared" si="3"/>
        <v/>
      </c>
      <c r="G70" s="47"/>
      <c r="H70" s="3" t="str">
        <f t="shared" si="4"/>
        <v/>
      </c>
      <c r="I70" s="47"/>
      <c r="J70" s="3" t="str">
        <f t="shared" si="5"/>
        <v/>
      </c>
      <c r="K70" s="47"/>
      <c r="L70" s="3" t="str">
        <f t="shared" si="6"/>
        <v/>
      </c>
      <c r="M70" s="47"/>
      <c r="N70" s="3" t="str">
        <f t="shared" si="7"/>
        <v/>
      </c>
      <c r="O70" s="47"/>
      <c r="P70" s="3" t="str">
        <f t="shared" si="8"/>
        <v/>
      </c>
      <c r="Q70" s="47"/>
      <c r="R70" s="3" t="str">
        <f t="shared" si="9"/>
        <v/>
      </c>
      <c r="S70" s="47"/>
      <c r="T70" s="1" t="str">
        <f t="shared" si="10"/>
        <v/>
      </c>
      <c r="U70" s="47"/>
      <c r="V70" s="1" t="str">
        <f t="shared" si="11"/>
        <v/>
      </c>
      <c r="W70" s="47"/>
      <c r="X70" s="1" t="str">
        <f t="shared" si="12"/>
        <v/>
      </c>
      <c r="Y70" s="47"/>
      <c r="Z70" s="1" t="str">
        <f t="shared" si="13"/>
        <v/>
      </c>
      <c r="AA70" s="47"/>
      <c r="AB70" s="1" t="str">
        <f t="shared" si="14"/>
        <v/>
      </c>
      <c r="AC70" s="47"/>
      <c r="AD70" s="1" t="str">
        <f t="shared" si="15"/>
        <v/>
      </c>
      <c r="AE70" s="47"/>
      <c r="AF70" s="1" t="str">
        <f t="shared" si="16"/>
        <v/>
      </c>
      <c r="AG70" s="47"/>
    </row>
    <row r="71" spans="1:33">
      <c r="A71">
        <f t="shared" ref="A71:A134" si="18">$C$1</f>
        <v>0</v>
      </c>
      <c r="B71" s="2" t="str">
        <f t="shared" si="17"/>
        <v/>
      </c>
      <c r="C71" s="4" t="str">
        <f t="shared" si="1"/>
        <v/>
      </c>
      <c r="D71" s="3" t="str">
        <f t="shared" si="2"/>
        <v/>
      </c>
      <c r="E71" s="47"/>
      <c r="F71" s="3" t="str">
        <f t="shared" si="3"/>
        <v/>
      </c>
      <c r="G71" s="47"/>
      <c r="H71" s="3" t="str">
        <f t="shared" si="4"/>
        <v/>
      </c>
      <c r="I71" s="47"/>
      <c r="J71" s="3" t="str">
        <f t="shared" si="5"/>
        <v/>
      </c>
      <c r="K71" s="47"/>
      <c r="L71" s="3" t="str">
        <f t="shared" si="6"/>
        <v/>
      </c>
      <c r="M71" s="47"/>
      <c r="N71" s="3" t="str">
        <f t="shared" si="7"/>
        <v/>
      </c>
      <c r="O71" s="47"/>
      <c r="P71" s="3" t="str">
        <f t="shared" si="8"/>
        <v/>
      </c>
      <c r="Q71" s="47"/>
      <c r="R71" s="3" t="str">
        <f t="shared" si="9"/>
        <v/>
      </c>
      <c r="S71" s="47"/>
      <c r="T71" s="1" t="str">
        <f t="shared" si="10"/>
        <v/>
      </c>
      <c r="U71" s="47"/>
      <c r="V71" s="1" t="str">
        <f t="shared" si="11"/>
        <v/>
      </c>
      <c r="W71" s="47"/>
      <c r="X71" s="1" t="str">
        <f t="shared" si="12"/>
        <v/>
      </c>
      <c r="Y71" s="47"/>
      <c r="Z71" s="1" t="str">
        <f t="shared" si="13"/>
        <v/>
      </c>
      <c r="AA71" s="47"/>
      <c r="AB71" s="1" t="str">
        <f t="shared" si="14"/>
        <v/>
      </c>
      <c r="AC71" s="47"/>
      <c r="AD71" s="1" t="str">
        <f t="shared" si="15"/>
        <v/>
      </c>
      <c r="AE71" s="47"/>
      <c r="AF71" s="1" t="str">
        <f t="shared" si="16"/>
        <v/>
      </c>
      <c r="AG71" s="47"/>
    </row>
    <row r="72" spans="1:33">
      <c r="A72">
        <f t="shared" si="18"/>
        <v>0</v>
      </c>
      <c r="B72" s="2" t="str">
        <f t="shared" si="17"/>
        <v/>
      </c>
      <c r="C72" s="4" t="str">
        <f t="shared" ref="C72:C135" si="19">TEXT(B72,"AAA")</f>
        <v/>
      </c>
      <c r="D72" s="3" t="str">
        <f t="shared" ref="D72:D135" si="20">IF(NOT(AND($F$3&lt;=B72,B72&lt;=$F$4)),"",$F$2&amp;"")</f>
        <v/>
      </c>
      <c r="E72" s="47"/>
      <c r="F72" s="3" t="str">
        <f t="shared" ref="F72:F135" si="21">IF(NOT(AND($G$3&lt;=B72,B72&lt;=$G$4)),"",$G$2&amp;"")</f>
        <v/>
      </c>
      <c r="G72" s="47"/>
      <c r="H72" s="3" t="str">
        <f t="shared" ref="H72:H135" si="22">IF(NOT(AND($H$3&lt;=B72,B72&lt;=$H$4)),"",$H$2&amp;"")</f>
        <v/>
      </c>
      <c r="I72" s="47"/>
      <c r="J72" s="3" t="str">
        <f t="shared" ref="J72:J135" si="23">IF(NOT(AND($I$3&lt;=B72,B72&lt;=$I$4)),"",$I$2&amp;"")</f>
        <v/>
      </c>
      <c r="K72" s="47"/>
      <c r="L72" s="3" t="str">
        <f t="shared" ref="L72:L135" si="24">IF(NOT(AND($J$3&lt;=B72,B72&lt;=$J$4)),"",$J$2&amp;"")</f>
        <v/>
      </c>
      <c r="M72" s="47"/>
      <c r="N72" s="3" t="str">
        <f t="shared" ref="N72:N135" si="25">IF(NOT(AND($K$3&lt;=B72,B72&lt;=$K$4)),"",$K$2&amp;"")</f>
        <v/>
      </c>
      <c r="O72" s="47"/>
      <c r="P72" s="3" t="str">
        <f t="shared" ref="P72:P135" si="26">IF(NOT(AND($L$3&lt;=B72,B72&lt;=$L$4)),"",$L$2&amp;"")</f>
        <v/>
      </c>
      <c r="Q72" s="47"/>
      <c r="R72" s="3" t="str">
        <f t="shared" ref="R72:R135" si="27">IF(NOT(AND($M$3&lt;=B72,B72&lt;=$M$4)),"",$M$2&amp;"")</f>
        <v/>
      </c>
      <c r="S72" s="47"/>
      <c r="T72" s="1" t="str">
        <f t="shared" ref="T72:T135" si="28">IF(NOT(AND($N$3&lt;=B72,B72&lt;=$N$4)),"",$N$2&amp;"")</f>
        <v/>
      </c>
      <c r="U72" s="47"/>
      <c r="V72" s="1" t="str">
        <f t="shared" ref="V72:V135" si="29">IF(NOT(AND($O$3&lt;=B72,B72&lt;=$O$4)),"",$O$2&amp;"")</f>
        <v/>
      </c>
      <c r="W72" s="47"/>
      <c r="X72" s="1" t="str">
        <f t="shared" ref="X72:X135" si="30">IF(NOT(AND($P$3&lt;=B72,B72&lt;=$P$4)),"",$P$2&amp;"")</f>
        <v/>
      </c>
      <c r="Y72" s="47"/>
      <c r="Z72" s="1" t="str">
        <f t="shared" ref="Z72:Z135" si="31">IF(NOT(AND($Q$3&lt;=B72,B72&lt;=$Q$4)),"",$Q$2&amp;"")</f>
        <v/>
      </c>
      <c r="AA72" s="47"/>
      <c r="AB72" s="1" t="str">
        <f t="shared" ref="AB72:AB135" si="32">IF(NOT(AND($R$3&lt;=B72,B72&lt;=$R$4)),"",$R$2&amp;"")</f>
        <v/>
      </c>
      <c r="AC72" s="47"/>
      <c r="AD72" s="1" t="str">
        <f t="shared" ref="AD72:AD135" si="33">IF(NOT(AND($S$3&lt;=B72,B72&lt;=$S$4)),"",$S$2&amp;"")</f>
        <v/>
      </c>
      <c r="AE72" s="47"/>
      <c r="AF72" s="1" t="str">
        <f t="shared" ref="AF72:AF135" si="34">IF(NOT(AND($T$3&lt;=B72,B72&lt;=$T$4)),"",$T$2&amp;"")</f>
        <v/>
      </c>
      <c r="AG72" s="47"/>
    </row>
    <row r="73" spans="1:33">
      <c r="A73">
        <f t="shared" si="18"/>
        <v>0</v>
      </c>
      <c r="B73" s="2" t="str">
        <f t="shared" ref="B73:B136" si="35">IFERROR(IF(B72+1&gt;$C$3,"",B72+1),"")</f>
        <v/>
      </c>
      <c r="C73" s="4" t="str">
        <f t="shared" si="19"/>
        <v/>
      </c>
      <c r="D73" s="3" t="str">
        <f t="shared" si="20"/>
        <v/>
      </c>
      <c r="E73" s="47"/>
      <c r="F73" s="3" t="str">
        <f t="shared" si="21"/>
        <v/>
      </c>
      <c r="G73" s="47"/>
      <c r="H73" s="3" t="str">
        <f t="shared" si="22"/>
        <v/>
      </c>
      <c r="I73" s="47"/>
      <c r="J73" s="3" t="str">
        <f t="shared" si="23"/>
        <v/>
      </c>
      <c r="K73" s="47"/>
      <c r="L73" s="3" t="str">
        <f t="shared" si="24"/>
        <v/>
      </c>
      <c r="M73" s="47"/>
      <c r="N73" s="3" t="str">
        <f t="shared" si="25"/>
        <v/>
      </c>
      <c r="O73" s="47"/>
      <c r="P73" s="3" t="str">
        <f t="shared" si="26"/>
        <v/>
      </c>
      <c r="Q73" s="47"/>
      <c r="R73" s="3" t="str">
        <f t="shared" si="27"/>
        <v/>
      </c>
      <c r="S73" s="47"/>
      <c r="T73" s="1" t="str">
        <f t="shared" si="28"/>
        <v/>
      </c>
      <c r="U73" s="47"/>
      <c r="V73" s="1" t="str">
        <f t="shared" si="29"/>
        <v/>
      </c>
      <c r="W73" s="47"/>
      <c r="X73" s="1" t="str">
        <f t="shared" si="30"/>
        <v/>
      </c>
      <c r="Y73" s="47"/>
      <c r="Z73" s="1" t="str">
        <f t="shared" si="31"/>
        <v/>
      </c>
      <c r="AA73" s="47"/>
      <c r="AB73" s="1" t="str">
        <f t="shared" si="32"/>
        <v/>
      </c>
      <c r="AC73" s="47"/>
      <c r="AD73" s="1" t="str">
        <f t="shared" si="33"/>
        <v/>
      </c>
      <c r="AE73" s="47"/>
      <c r="AF73" s="1" t="str">
        <f t="shared" si="34"/>
        <v/>
      </c>
      <c r="AG73" s="47"/>
    </row>
    <row r="74" spans="1:33">
      <c r="A74">
        <f t="shared" si="18"/>
        <v>0</v>
      </c>
      <c r="B74" s="2" t="str">
        <f t="shared" si="35"/>
        <v/>
      </c>
      <c r="C74" s="4" t="str">
        <f t="shared" si="19"/>
        <v/>
      </c>
      <c r="D74" s="3" t="str">
        <f t="shared" si="20"/>
        <v/>
      </c>
      <c r="E74" s="47"/>
      <c r="F74" s="3" t="str">
        <f t="shared" si="21"/>
        <v/>
      </c>
      <c r="G74" s="47"/>
      <c r="H74" s="3" t="str">
        <f t="shared" si="22"/>
        <v/>
      </c>
      <c r="I74" s="47"/>
      <c r="J74" s="3" t="str">
        <f t="shared" si="23"/>
        <v/>
      </c>
      <c r="K74" s="47"/>
      <c r="L74" s="3" t="str">
        <f t="shared" si="24"/>
        <v/>
      </c>
      <c r="M74" s="47"/>
      <c r="N74" s="3" t="str">
        <f t="shared" si="25"/>
        <v/>
      </c>
      <c r="O74" s="47"/>
      <c r="P74" s="3" t="str">
        <f t="shared" si="26"/>
        <v/>
      </c>
      <c r="Q74" s="47"/>
      <c r="R74" s="3" t="str">
        <f t="shared" si="27"/>
        <v/>
      </c>
      <c r="S74" s="47"/>
      <c r="T74" s="1" t="str">
        <f t="shared" si="28"/>
        <v/>
      </c>
      <c r="U74" s="47"/>
      <c r="V74" s="1" t="str">
        <f t="shared" si="29"/>
        <v/>
      </c>
      <c r="W74" s="47"/>
      <c r="X74" s="1" t="str">
        <f t="shared" si="30"/>
        <v/>
      </c>
      <c r="Y74" s="47"/>
      <c r="Z74" s="1" t="str">
        <f t="shared" si="31"/>
        <v/>
      </c>
      <c r="AA74" s="47"/>
      <c r="AB74" s="1" t="str">
        <f t="shared" si="32"/>
        <v/>
      </c>
      <c r="AC74" s="47"/>
      <c r="AD74" s="1" t="str">
        <f t="shared" si="33"/>
        <v/>
      </c>
      <c r="AE74" s="47"/>
      <c r="AF74" s="1" t="str">
        <f t="shared" si="34"/>
        <v/>
      </c>
      <c r="AG74" s="47"/>
    </row>
    <row r="75" spans="1:33">
      <c r="A75">
        <f t="shared" si="18"/>
        <v>0</v>
      </c>
      <c r="B75" s="2" t="str">
        <f t="shared" si="35"/>
        <v/>
      </c>
      <c r="C75" s="4" t="str">
        <f t="shared" si="19"/>
        <v/>
      </c>
      <c r="D75" s="3" t="str">
        <f t="shared" si="20"/>
        <v/>
      </c>
      <c r="E75" s="47"/>
      <c r="F75" s="3" t="str">
        <f t="shared" si="21"/>
        <v/>
      </c>
      <c r="G75" s="47"/>
      <c r="H75" s="3" t="str">
        <f t="shared" si="22"/>
        <v/>
      </c>
      <c r="I75" s="47"/>
      <c r="J75" s="3" t="str">
        <f t="shared" si="23"/>
        <v/>
      </c>
      <c r="K75" s="47"/>
      <c r="L75" s="3" t="str">
        <f t="shared" si="24"/>
        <v/>
      </c>
      <c r="M75" s="47"/>
      <c r="N75" s="3" t="str">
        <f t="shared" si="25"/>
        <v/>
      </c>
      <c r="O75" s="47"/>
      <c r="P75" s="3" t="str">
        <f t="shared" si="26"/>
        <v/>
      </c>
      <c r="Q75" s="47"/>
      <c r="R75" s="3" t="str">
        <f t="shared" si="27"/>
        <v/>
      </c>
      <c r="S75" s="47"/>
      <c r="T75" s="1" t="str">
        <f t="shared" si="28"/>
        <v/>
      </c>
      <c r="U75" s="47"/>
      <c r="V75" s="1" t="str">
        <f t="shared" si="29"/>
        <v/>
      </c>
      <c r="W75" s="47"/>
      <c r="X75" s="1" t="str">
        <f t="shared" si="30"/>
        <v/>
      </c>
      <c r="Y75" s="47"/>
      <c r="Z75" s="1" t="str">
        <f t="shared" si="31"/>
        <v/>
      </c>
      <c r="AA75" s="47"/>
      <c r="AB75" s="1" t="str">
        <f t="shared" si="32"/>
        <v/>
      </c>
      <c r="AC75" s="47"/>
      <c r="AD75" s="1" t="str">
        <f t="shared" si="33"/>
        <v/>
      </c>
      <c r="AE75" s="47"/>
      <c r="AF75" s="1" t="str">
        <f t="shared" si="34"/>
        <v/>
      </c>
      <c r="AG75" s="47"/>
    </row>
    <row r="76" spans="1:33">
      <c r="A76">
        <f t="shared" si="18"/>
        <v>0</v>
      </c>
      <c r="B76" s="2" t="str">
        <f t="shared" si="35"/>
        <v/>
      </c>
      <c r="C76" s="4" t="str">
        <f t="shared" si="19"/>
        <v/>
      </c>
      <c r="D76" s="3" t="str">
        <f t="shared" si="20"/>
        <v/>
      </c>
      <c r="E76" s="47"/>
      <c r="F76" s="3" t="str">
        <f t="shared" si="21"/>
        <v/>
      </c>
      <c r="G76" s="47"/>
      <c r="H76" s="3" t="str">
        <f t="shared" si="22"/>
        <v/>
      </c>
      <c r="I76" s="47"/>
      <c r="J76" s="3" t="str">
        <f t="shared" si="23"/>
        <v/>
      </c>
      <c r="K76" s="47"/>
      <c r="L76" s="3" t="str">
        <f t="shared" si="24"/>
        <v/>
      </c>
      <c r="M76" s="47"/>
      <c r="N76" s="3" t="str">
        <f t="shared" si="25"/>
        <v/>
      </c>
      <c r="O76" s="47"/>
      <c r="P76" s="3" t="str">
        <f t="shared" si="26"/>
        <v/>
      </c>
      <c r="Q76" s="47"/>
      <c r="R76" s="3" t="str">
        <f t="shared" si="27"/>
        <v/>
      </c>
      <c r="S76" s="47"/>
      <c r="T76" s="1" t="str">
        <f t="shared" si="28"/>
        <v/>
      </c>
      <c r="U76" s="47"/>
      <c r="V76" s="1" t="str">
        <f t="shared" si="29"/>
        <v/>
      </c>
      <c r="W76" s="47"/>
      <c r="X76" s="1" t="str">
        <f t="shared" si="30"/>
        <v/>
      </c>
      <c r="Y76" s="47"/>
      <c r="Z76" s="1" t="str">
        <f t="shared" si="31"/>
        <v/>
      </c>
      <c r="AA76" s="47"/>
      <c r="AB76" s="1" t="str">
        <f t="shared" si="32"/>
        <v/>
      </c>
      <c r="AC76" s="47"/>
      <c r="AD76" s="1" t="str">
        <f t="shared" si="33"/>
        <v/>
      </c>
      <c r="AE76" s="47"/>
      <c r="AF76" s="1" t="str">
        <f t="shared" si="34"/>
        <v/>
      </c>
      <c r="AG76" s="47"/>
    </row>
    <row r="77" spans="1:33">
      <c r="A77">
        <f t="shared" si="18"/>
        <v>0</v>
      </c>
      <c r="B77" s="2" t="str">
        <f t="shared" si="35"/>
        <v/>
      </c>
      <c r="C77" s="4" t="str">
        <f t="shared" si="19"/>
        <v/>
      </c>
      <c r="D77" s="3" t="str">
        <f t="shared" si="20"/>
        <v/>
      </c>
      <c r="E77" s="47"/>
      <c r="F77" s="3" t="str">
        <f t="shared" si="21"/>
        <v/>
      </c>
      <c r="G77" s="47"/>
      <c r="H77" s="3" t="str">
        <f t="shared" si="22"/>
        <v/>
      </c>
      <c r="I77" s="47"/>
      <c r="J77" s="3" t="str">
        <f t="shared" si="23"/>
        <v/>
      </c>
      <c r="K77" s="47"/>
      <c r="L77" s="3" t="str">
        <f t="shared" si="24"/>
        <v/>
      </c>
      <c r="M77" s="47"/>
      <c r="N77" s="3" t="str">
        <f t="shared" si="25"/>
        <v/>
      </c>
      <c r="O77" s="47"/>
      <c r="P77" s="3" t="str">
        <f t="shared" si="26"/>
        <v/>
      </c>
      <c r="Q77" s="47"/>
      <c r="R77" s="3" t="str">
        <f t="shared" si="27"/>
        <v/>
      </c>
      <c r="S77" s="47"/>
      <c r="T77" s="1" t="str">
        <f t="shared" si="28"/>
        <v/>
      </c>
      <c r="U77" s="47"/>
      <c r="V77" s="1" t="str">
        <f t="shared" si="29"/>
        <v/>
      </c>
      <c r="W77" s="47"/>
      <c r="X77" s="1" t="str">
        <f t="shared" si="30"/>
        <v/>
      </c>
      <c r="Y77" s="47"/>
      <c r="Z77" s="1" t="str">
        <f t="shared" si="31"/>
        <v/>
      </c>
      <c r="AA77" s="47"/>
      <c r="AB77" s="1" t="str">
        <f t="shared" si="32"/>
        <v/>
      </c>
      <c r="AC77" s="47"/>
      <c r="AD77" s="1" t="str">
        <f t="shared" si="33"/>
        <v/>
      </c>
      <c r="AE77" s="47"/>
      <c r="AF77" s="1" t="str">
        <f t="shared" si="34"/>
        <v/>
      </c>
      <c r="AG77" s="47"/>
    </row>
    <row r="78" spans="1:33">
      <c r="A78">
        <f t="shared" si="18"/>
        <v>0</v>
      </c>
      <c r="B78" s="2" t="str">
        <f t="shared" si="35"/>
        <v/>
      </c>
      <c r="C78" s="4" t="str">
        <f t="shared" si="19"/>
        <v/>
      </c>
      <c r="D78" s="3" t="str">
        <f t="shared" si="20"/>
        <v/>
      </c>
      <c r="E78" s="47"/>
      <c r="F78" s="3" t="str">
        <f t="shared" si="21"/>
        <v/>
      </c>
      <c r="G78" s="47"/>
      <c r="H78" s="3" t="str">
        <f t="shared" si="22"/>
        <v/>
      </c>
      <c r="I78" s="47"/>
      <c r="J78" s="3" t="str">
        <f t="shared" si="23"/>
        <v/>
      </c>
      <c r="K78" s="47"/>
      <c r="L78" s="3" t="str">
        <f t="shared" si="24"/>
        <v/>
      </c>
      <c r="M78" s="47"/>
      <c r="N78" s="3" t="str">
        <f t="shared" si="25"/>
        <v/>
      </c>
      <c r="O78" s="47"/>
      <c r="P78" s="3" t="str">
        <f t="shared" si="26"/>
        <v/>
      </c>
      <c r="Q78" s="47"/>
      <c r="R78" s="3" t="str">
        <f t="shared" si="27"/>
        <v/>
      </c>
      <c r="S78" s="47"/>
      <c r="T78" s="1" t="str">
        <f t="shared" si="28"/>
        <v/>
      </c>
      <c r="U78" s="47"/>
      <c r="V78" s="1" t="str">
        <f t="shared" si="29"/>
        <v/>
      </c>
      <c r="W78" s="47"/>
      <c r="X78" s="1" t="str">
        <f t="shared" si="30"/>
        <v/>
      </c>
      <c r="Y78" s="47"/>
      <c r="Z78" s="1" t="str">
        <f t="shared" si="31"/>
        <v/>
      </c>
      <c r="AA78" s="47"/>
      <c r="AB78" s="1" t="str">
        <f t="shared" si="32"/>
        <v/>
      </c>
      <c r="AC78" s="47"/>
      <c r="AD78" s="1" t="str">
        <f t="shared" si="33"/>
        <v/>
      </c>
      <c r="AE78" s="47"/>
      <c r="AF78" s="1" t="str">
        <f t="shared" si="34"/>
        <v/>
      </c>
      <c r="AG78" s="47"/>
    </row>
    <row r="79" spans="1:33">
      <c r="A79">
        <f t="shared" si="18"/>
        <v>0</v>
      </c>
      <c r="B79" s="2" t="str">
        <f t="shared" si="35"/>
        <v/>
      </c>
      <c r="C79" s="4" t="str">
        <f t="shared" si="19"/>
        <v/>
      </c>
      <c r="D79" s="3" t="str">
        <f t="shared" si="20"/>
        <v/>
      </c>
      <c r="E79" s="47"/>
      <c r="F79" s="3" t="str">
        <f t="shared" si="21"/>
        <v/>
      </c>
      <c r="G79" s="47"/>
      <c r="H79" s="3" t="str">
        <f t="shared" si="22"/>
        <v/>
      </c>
      <c r="I79" s="47"/>
      <c r="J79" s="3" t="str">
        <f t="shared" si="23"/>
        <v/>
      </c>
      <c r="K79" s="47"/>
      <c r="L79" s="3" t="str">
        <f t="shared" si="24"/>
        <v/>
      </c>
      <c r="M79" s="47"/>
      <c r="N79" s="3" t="str">
        <f t="shared" si="25"/>
        <v/>
      </c>
      <c r="O79" s="47"/>
      <c r="P79" s="3" t="str">
        <f t="shared" si="26"/>
        <v/>
      </c>
      <c r="Q79" s="47"/>
      <c r="R79" s="3" t="str">
        <f t="shared" si="27"/>
        <v/>
      </c>
      <c r="S79" s="47"/>
      <c r="T79" s="1" t="str">
        <f t="shared" si="28"/>
        <v/>
      </c>
      <c r="U79" s="47"/>
      <c r="V79" s="1" t="str">
        <f t="shared" si="29"/>
        <v/>
      </c>
      <c r="W79" s="47"/>
      <c r="X79" s="1" t="str">
        <f t="shared" si="30"/>
        <v/>
      </c>
      <c r="Y79" s="47"/>
      <c r="Z79" s="1" t="str">
        <f t="shared" si="31"/>
        <v/>
      </c>
      <c r="AA79" s="47"/>
      <c r="AB79" s="1" t="str">
        <f t="shared" si="32"/>
        <v/>
      </c>
      <c r="AC79" s="47"/>
      <c r="AD79" s="1" t="str">
        <f t="shared" si="33"/>
        <v/>
      </c>
      <c r="AE79" s="47"/>
      <c r="AF79" s="1" t="str">
        <f t="shared" si="34"/>
        <v/>
      </c>
      <c r="AG79" s="47"/>
    </row>
    <row r="80" spans="1:33">
      <c r="A80">
        <f t="shared" si="18"/>
        <v>0</v>
      </c>
      <c r="B80" s="2" t="str">
        <f t="shared" si="35"/>
        <v/>
      </c>
      <c r="C80" s="4" t="str">
        <f t="shared" si="19"/>
        <v/>
      </c>
      <c r="D80" s="3" t="str">
        <f t="shared" si="20"/>
        <v/>
      </c>
      <c r="E80" s="47"/>
      <c r="F80" s="3" t="str">
        <f t="shared" si="21"/>
        <v/>
      </c>
      <c r="G80" s="47"/>
      <c r="H80" s="3" t="str">
        <f t="shared" si="22"/>
        <v/>
      </c>
      <c r="I80" s="47"/>
      <c r="J80" s="3" t="str">
        <f t="shared" si="23"/>
        <v/>
      </c>
      <c r="K80" s="47"/>
      <c r="L80" s="3" t="str">
        <f t="shared" si="24"/>
        <v/>
      </c>
      <c r="M80" s="47"/>
      <c r="N80" s="3" t="str">
        <f t="shared" si="25"/>
        <v/>
      </c>
      <c r="O80" s="47"/>
      <c r="P80" s="3" t="str">
        <f t="shared" si="26"/>
        <v/>
      </c>
      <c r="Q80" s="47"/>
      <c r="R80" s="3" t="str">
        <f t="shared" si="27"/>
        <v/>
      </c>
      <c r="S80" s="47"/>
      <c r="T80" s="1" t="str">
        <f t="shared" si="28"/>
        <v/>
      </c>
      <c r="U80" s="47"/>
      <c r="V80" s="1" t="str">
        <f t="shared" si="29"/>
        <v/>
      </c>
      <c r="W80" s="47"/>
      <c r="X80" s="1" t="str">
        <f t="shared" si="30"/>
        <v/>
      </c>
      <c r="Y80" s="47"/>
      <c r="Z80" s="1" t="str">
        <f t="shared" si="31"/>
        <v/>
      </c>
      <c r="AA80" s="47"/>
      <c r="AB80" s="1" t="str">
        <f t="shared" si="32"/>
        <v/>
      </c>
      <c r="AC80" s="47"/>
      <c r="AD80" s="1" t="str">
        <f t="shared" si="33"/>
        <v/>
      </c>
      <c r="AE80" s="47"/>
      <c r="AF80" s="1" t="str">
        <f t="shared" si="34"/>
        <v/>
      </c>
      <c r="AG80" s="47"/>
    </row>
    <row r="81" spans="1:33">
      <c r="A81">
        <f t="shared" si="18"/>
        <v>0</v>
      </c>
      <c r="B81" s="2" t="str">
        <f t="shared" si="35"/>
        <v/>
      </c>
      <c r="C81" s="4" t="str">
        <f t="shared" si="19"/>
        <v/>
      </c>
      <c r="D81" s="3" t="str">
        <f t="shared" si="20"/>
        <v/>
      </c>
      <c r="E81" s="47"/>
      <c r="F81" s="3" t="str">
        <f t="shared" si="21"/>
        <v/>
      </c>
      <c r="G81" s="47"/>
      <c r="H81" s="3" t="str">
        <f t="shared" si="22"/>
        <v/>
      </c>
      <c r="I81" s="47"/>
      <c r="J81" s="3" t="str">
        <f t="shared" si="23"/>
        <v/>
      </c>
      <c r="K81" s="47"/>
      <c r="L81" s="3" t="str">
        <f t="shared" si="24"/>
        <v/>
      </c>
      <c r="M81" s="47"/>
      <c r="N81" s="3" t="str">
        <f t="shared" si="25"/>
        <v/>
      </c>
      <c r="O81" s="47"/>
      <c r="P81" s="3" t="str">
        <f t="shared" si="26"/>
        <v/>
      </c>
      <c r="Q81" s="47"/>
      <c r="R81" s="3" t="str">
        <f t="shared" si="27"/>
        <v/>
      </c>
      <c r="S81" s="47"/>
      <c r="T81" s="1" t="str">
        <f t="shared" si="28"/>
        <v/>
      </c>
      <c r="U81" s="47"/>
      <c r="V81" s="1" t="str">
        <f t="shared" si="29"/>
        <v/>
      </c>
      <c r="W81" s="47"/>
      <c r="X81" s="1" t="str">
        <f t="shared" si="30"/>
        <v/>
      </c>
      <c r="Y81" s="47"/>
      <c r="Z81" s="1" t="str">
        <f t="shared" si="31"/>
        <v/>
      </c>
      <c r="AA81" s="47"/>
      <c r="AB81" s="1" t="str">
        <f t="shared" si="32"/>
        <v/>
      </c>
      <c r="AC81" s="47"/>
      <c r="AD81" s="1" t="str">
        <f t="shared" si="33"/>
        <v/>
      </c>
      <c r="AE81" s="47"/>
      <c r="AF81" s="1" t="str">
        <f t="shared" si="34"/>
        <v/>
      </c>
      <c r="AG81" s="47"/>
    </row>
    <row r="82" spans="1:33">
      <c r="A82">
        <f t="shared" si="18"/>
        <v>0</v>
      </c>
      <c r="B82" s="2" t="str">
        <f t="shared" si="35"/>
        <v/>
      </c>
      <c r="C82" s="4" t="str">
        <f t="shared" si="19"/>
        <v/>
      </c>
      <c r="D82" s="3" t="str">
        <f t="shared" si="20"/>
        <v/>
      </c>
      <c r="E82" s="47"/>
      <c r="F82" s="3" t="str">
        <f t="shared" si="21"/>
        <v/>
      </c>
      <c r="G82" s="47"/>
      <c r="H82" s="3" t="str">
        <f t="shared" si="22"/>
        <v/>
      </c>
      <c r="I82" s="47"/>
      <c r="J82" s="3" t="str">
        <f t="shared" si="23"/>
        <v/>
      </c>
      <c r="K82" s="47"/>
      <c r="L82" s="3" t="str">
        <f t="shared" si="24"/>
        <v/>
      </c>
      <c r="M82" s="47"/>
      <c r="N82" s="3" t="str">
        <f t="shared" si="25"/>
        <v/>
      </c>
      <c r="O82" s="47"/>
      <c r="P82" s="3" t="str">
        <f t="shared" si="26"/>
        <v/>
      </c>
      <c r="Q82" s="47"/>
      <c r="R82" s="3" t="str">
        <f t="shared" si="27"/>
        <v/>
      </c>
      <c r="S82" s="47"/>
      <c r="T82" s="1" t="str">
        <f t="shared" si="28"/>
        <v/>
      </c>
      <c r="U82" s="47"/>
      <c r="V82" s="1" t="str">
        <f t="shared" si="29"/>
        <v/>
      </c>
      <c r="W82" s="47"/>
      <c r="X82" s="1" t="str">
        <f t="shared" si="30"/>
        <v/>
      </c>
      <c r="Y82" s="47"/>
      <c r="Z82" s="1" t="str">
        <f t="shared" si="31"/>
        <v/>
      </c>
      <c r="AA82" s="47"/>
      <c r="AB82" s="1" t="str">
        <f t="shared" si="32"/>
        <v/>
      </c>
      <c r="AC82" s="47"/>
      <c r="AD82" s="1" t="str">
        <f t="shared" si="33"/>
        <v/>
      </c>
      <c r="AE82" s="47"/>
      <c r="AF82" s="1" t="str">
        <f t="shared" si="34"/>
        <v/>
      </c>
      <c r="AG82" s="47"/>
    </row>
    <row r="83" spans="1:33">
      <c r="A83">
        <f t="shared" si="18"/>
        <v>0</v>
      </c>
      <c r="B83" s="2" t="str">
        <f t="shared" si="35"/>
        <v/>
      </c>
      <c r="C83" s="4" t="str">
        <f t="shared" si="19"/>
        <v/>
      </c>
      <c r="D83" s="3" t="str">
        <f t="shared" si="20"/>
        <v/>
      </c>
      <c r="E83" s="47"/>
      <c r="F83" s="3" t="str">
        <f t="shared" si="21"/>
        <v/>
      </c>
      <c r="G83" s="47"/>
      <c r="H83" s="3" t="str">
        <f t="shared" si="22"/>
        <v/>
      </c>
      <c r="I83" s="47"/>
      <c r="J83" s="3" t="str">
        <f t="shared" si="23"/>
        <v/>
      </c>
      <c r="K83" s="47"/>
      <c r="L83" s="3" t="str">
        <f t="shared" si="24"/>
        <v/>
      </c>
      <c r="M83" s="47"/>
      <c r="N83" s="3" t="str">
        <f t="shared" si="25"/>
        <v/>
      </c>
      <c r="O83" s="47"/>
      <c r="P83" s="3" t="str">
        <f t="shared" si="26"/>
        <v/>
      </c>
      <c r="Q83" s="47"/>
      <c r="R83" s="3" t="str">
        <f t="shared" si="27"/>
        <v/>
      </c>
      <c r="S83" s="47"/>
      <c r="T83" s="1" t="str">
        <f t="shared" si="28"/>
        <v/>
      </c>
      <c r="U83" s="47"/>
      <c r="V83" s="1" t="str">
        <f t="shared" si="29"/>
        <v/>
      </c>
      <c r="W83" s="47"/>
      <c r="X83" s="1" t="str">
        <f t="shared" si="30"/>
        <v/>
      </c>
      <c r="Y83" s="47"/>
      <c r="Z83" s="1" t="str">
        <f t="shared" si="31"/>
        <v/>
      </c>
      <c r="AA83" s="47"/>
      <c r="AB83" s="1" t="str">
        <f t="shared" si="32"/>
        <v/>
      </c>
      <c r="AC83" s="47"/>
      <c r="AD83" s="1" t="str">
        <f t="shared" si="33"/>
        <v/>
      </c>
      <c r="AE83" s="47"/>
      <c r="AF83" s="1" t="str">
        <f t="shared" si="34"/>
        <v/>
      </c>
      <c r="AG83" s="47"/>
    </row>
    <row r="84" spans="1:33">
      <c r="A84">
        <f t="shared" si="18"/>
        <v>0</v>
      </c>
      <c r="B84" s="2" t="str">
        <f t="shared" si="35"/>
        <v/>
      </c>
      <c r="C84" s="4" t="str">
        <f t="shared" si="19"/>
        <v/>
      </c>
      <c r="D84" s="3" t="str">
        <f t="shared" si="20"/>
        <v/>
      </c>
      <c r="E84" s="47"/>
      <c r="F84" s="3" t="str">
        <f t="shared" si="21"/>
        <v/>
      </c>
      <c r="G84" s="47"/>
      <c r="H84" s="3" t="str">
        <f t="shared" si="22"/>
        <v/>
      </c>
      <c r="I84" s="47"/>
      <c r="J84" s="3" t="str">
        <f t="shared" si="23"/>
        <v/>
      </c>
      <c r="K84" s="47"/>
      <c r="L84" s="3" t="str">
        <f t="shared" si="24"/>
        <v/>
      </c>
      <c r="M84" s="47"/>
      <c r="N84" s="3" t="str">
        <f t="shared" si="25"/>
        <v/>
      </c>
      <c r="O84" s="47"/>
      <c r="P84" s="3" t="str">
        <f t="shared" si="26"/>
        <v/>
      </c>
      <c r="Q84" s="47"/>
      <c r="R84" s="3" t="str">
        <f t="shared" si="27"/>
        <v/>
      </c>
      <c r="S84" s="47"/>
      <c r="T84" s="1" t="str">
        <f t="shared" si="28"/>
        <v/>
      </c>
      <c r="U84" s="47"/>
      <c r="V84" s="1" t="str">
        <f t="shared" si="29"/>
        <v/>
      </c>
      <c r="W84" s="47"/>
      <c r="X84" s="1" t="str">
        <f t="shared" si="30"/>
        <v/>
      </c>
      <c r="Y84" s="47"/>
      <c r="Z84" s="1" t="str">
        <f t="shared" si="31"/>
        <v/>
      </c>
      <c r="AA84" s="47"/>
      <c r="AB84" s="1" t="str">
        <f t="shared" si="32"/>
        <v/>
      </c>
      <c r="AC84" s="47"/>
      <c r="AD84" s="1" t="str">
        <f t="shared" si="33"/>
        <v/>
      </c>
      <c r="AE84" s="47"/>
      <c r="AF84" s="1" t="str">
        <f t="shared" si="34"/>
        <v/>
      </c>
      <c r="AG84" s="47"/>
    </row>
    <row r="85" spans="1:33">
      <c r="A85">
        <f t="shared" si="18"/>
        <v>0</v>
      </c>
      <c r="B85" s="2" t="str">
        <f t="shared" si="35"/>
        <v/>
      </c>
      <c r="C85" s="4" t="str">
        <f t="shared" si="19"/>
        <v/>
      </c>
      <c r="D85" s="3" t="str">
        <f t="shared" si="20"/>
        <v/>
      </c>
      <c r="E85" s="47"/>
      <c r="F85" s="3" t="str">
        <f t="shared" si="21"/>
        <v/>
      </c>
      <c r="G85" s="47"/>
      <c r="H85" s="3" t="str">
        <f t="shared" si="22"/>
        <v/>
      </c>
      <c r="I85" s="47"/>
      <c r="J85" s="3" t="str">
        <f t="shared" si="23"/>
        <v/>
      </c>
      <c r="K85" s="47"/>
      <c r="L85" s="3" t="str">
        <f t="shared" si="24"/>
        <v/>
      </c>
      <c r="M85" s="47"/>
      <c r="N85" s="3" t="str">
        <f t="shared" si="25"/>
        <v/>
      </c>
      <c r="O85" s="47"/>
      <c r="P85" s="3" t="str">
        <f t="shared" si="26"/>
        <v/>
      </c>
      <c r="Q85" s="47"/>
      <c r="R85" s="3" t="str">
        <f t="shared" si="27"/>
        <v/>
      </c>
      <c r="S85" s="47"/>
      <c r="T85" s="1" t="str">
        <f t="shared" si="28"/>
        <v/>
      </c>
      <c r="U85" s="47"/>
      <c r="V85" s="1" t="str">
        <f t="shared" si="29"/>
        <v/>
      </c>
      <c r="W85" s="47"/>
      <c r="X85" s="1" t="str">
        <f t="shared" si="30"/>
        <v/>
      </c>
      <c r="Y85" s="47"/>
      <c r="Z85" s="1" t="str">
        <f t="shared" si="31"/>
        <v/>
      </c>
      <c r="AA85" s="47"/>
      <c r="AB85" s="1" t="str">
        <f t="shared" si="32"/>
        <v/>
      </c>
      <c r="AC85" s="47"/>
      <c r="AD85" s="1" t="str">
        <f t="shared" si="33"/>
        <v/>
      </c>
      <c r="AE85" s="47"/>
      <c r="AF85" s="1" t="str">
        <f t="shared" si="34"/>
        <v/>
      </c>
      <c r="AG85" s="47"/>
    </row>
    <row r="86" spans="1:33">
      <c r="A86">
        <f t="shared" si="18"/>
        <v>0</v>
      </c>
      <c r="B86" s="2" t="str">
        <f t="shared" si="35"/>
        <v/>
      </c>
      <c r="C86" s="4" t="str">
        <f t="shared" si="19"/>
        <v/>
      </c>
      <c r="D86" s="3" t="str">
        <f t="shared" si="20"/>
        <v/>
      </c>
      <c r="E86" s="47"/>
      <c r="F86" s="3" t="str">
        <f t="shared" si="21"/>
        <v/>
      </c>
      <c r="G86" s="47"/>
      <c r="H86" s="3" t="str">
        <f t="shared" si="22"/>
        <v/>
      </c>
      <c r="I86" s="47"/>
      <c r="J86" s="3" t="str">
        <f t="shared" si="23"/>
        <v/>
      </c>
      <c r="K86" s="47"/>
      <c r="L86" s="3" t="str">
        <f t="shared" si="24"/>
        <v/>
      </c>
      <c r="M86" s="47"/>
      <c r="N86" s="3" t="str">
        <f t="shared" si="25"/>
        <v/>
      </c>
      <c r="O86" s="47"/>
      <c r="P86" s="3" t="str">
        <f t="shared" si="26"/>
        <v/>
      </c>
      <c r="Q86" s="47"/>
      <c r="R86" s="3" t="str">
        <f t="shared" si="27"/>
        <v/>
      </c>
      <c r="S86" s="47"/>
      <c r="T86" s="1" t="str">
        <f t="shared" si="28"/>
        <v/>
      </c>
      <c r="U86" s="47"/>
      <c r="V86" s="1" t="str">
        <f t="shared" si="29"/>
        <v/>
      </c>
      <c r="W86" s="47"/>
      <c r="X86" s="1" t="str">
        <f t="shared" si="30"/>
        <v/>
      </c>
      <c r="Y86" s="47"/>
      <c r="Z86" s="1" t="str">
        <f t="shared" si="31"/>
        <v/>
      </c>
      <c r="AA86" s="47"/>
      <c r="AB86" s="1" t="str">
        <f t="shared" si="32"/>
        <v/>
      </c>
      <c r="AC86" s="47"/>
      <c r="AD86" s="1" t="str">
        <f t="shared" si="33"/>
        <v/>
      </c>
      <c r="AE86" s="47"/>
      <c r="AF86" s="1" t="str">
        <f t="shared" si="34"/>
        <v/>
      </c>
      <c r="AG86" s="47"/>
    </row>
    <row r="87" spans="1:33">
      <c r="A87">
        <f t="shared" si="18"/>
        <v>0</v>
      </c>
      <c r="B87" s="2" t="str">
        <f t="shared" si="35"/>
        <v/>
      </c>
      <c r="C87" s="4" t="str">
        <f t="shared" si="19"/>
        <v/>
      </c>
      <c r="D87" s="3" t="str">
        <f t="shared" si="20"/>
        <v/>
      </c>
      <c r="E87" s="47"/>
      <c r="F87" s="3" t="str">
        <f t="shared" si="21"/>
        <v/>
      </c>
      <c r="G87" s="47"/>
      <c r="H87" s="3" t="str">
        <f t="shared" si="22"/>
        <v/>
      </c>
      <c r="I87" s="47"/>
      <c r="J87" s="3" t="str">
        <f t="shared" si="23"/>
        <v/>
      </c>
      <c r="K87" s="47"/>
      <c r="L87" s="3" t="str">
        <f t="shared" si="24"/>
        <v/>
      </c>
      <c r="M87" s="47"/>
      <c r="N87" s="3" t="str">
        <f t="shared" si="25"/>
        <v/>
      </c>
      <c r="O87" s="47"/>
      <c r="P87" s="3" t="str">
        <f t="shared" si="26"/>
        <v/>
      </c>
      <c r="Q87" s="47"/>
      <c r="R87" s="3" t="str">
        <f t="shared" si="27"/>
        <v/>
      </c>
      <c r="S87" s="47"/>
      <c r="T87" s="1" t="str">
        <f t="shared" si="28"/>
        <v/>
      </c>
      <c r="U87" s="47"/>
      <c r="V87" s="1" t="str">
        <f t="shared" si="29"/>
        <v/>
      </c>
      <c r="W87" s="47"/>
      <c r="X87" s="1" t="str">
        <f t="shared" si="30"/>
        <v/>
      </c>
      <c r="Y87" s="47"/>
      <c r="Z87" s="1" t="str">
        <f t="shared" si="31"/>
        <v/>
      </c>
      <c r="AA87" s="47"/>
      <c r="AB87" s="1" t="str">
        <f t="shared" si="32"/>
        <v/>
      </c>
      <c r="AC87" s="47"/>
      <c r="AD87" s="1" t="str">
        <f t="shared" si="33"/>
        <v/>
      </c>
      <c r="AE87" s="47"/>
      <c r="AF87" s="1" t="str">
        <f t="shared" si="34"/>
        <v/>
      </c>
      <c r="AG87" s="47"/>
    </row>
    <row r="88" spans="1:33">
      <c r="A88">
        <f t="shared" si="18"/>
        <v>0</v>
      </c>
      <c r="B88" s="2" t="str">
        <f t="shared" si="35"/>
        <v/>
      </c>
      <c r="C88" s="4" t="str">
        <f t="shared" si="19"/>
        <v/>
      </c>
      <c r="D88" s="3" t="str">
        <f t="shared" si="20"/>
        <v/>
      </c>
      <c r="E88" s="47"/>
      <c r="F88" s="3" t="str">
        <f t="shared" si="21"/>
        <v/>
      </c>
      <c r="G88" s="47"/>
      <c r="H88" s="3" t="str">
        <f t="shared" si="22"/>
        <v/>
      </c>
      <c r="I88" s="47"/>
      <c r="J88" s="3" t="str">
        <f t="shared" si="23"/>
        <v/>
      </c>
      <c r="K88" s="47"/>
      <c r="L88" s="3" t="str">
        <f t="shared" si="24"/>
        <v/>
      </c>
      <c r="M88" s="47"/>
      <c r="N88" s="3" t="str">
        <f t="shared" si="25"/>
        <v/>
      </c>
      <c r="O88" s="47"/>
      <c r="P88" s="3" t="str">
        <f t="shared" si="26"/>
        <v/>
      </c>
      <c r="Q88" s="47"/>
      <c r="R88" s="3" t="str">
        <f t="shared" si="27"/>
        <v/>
      </c>
      <c r="S88" s="47"/>
      <c r="T88" s="1" t="str">
        <f t="shared" si="28"/>
        <v/>
      </c>
      <c r="U88" s="47"/>
      <c r="V88" s="1" t="str">
        <f t="shared" si="29"/>
        <v/>
      </c>
      <c r="W88" s="47"/>
      <c r="X88" s="1" t="str">
        <f t="shared" si="30"/>
        <v/>
      </c>
      <c r="Y88" s="47"/>
      <c r="Z88" s="1" t="str">
        <f t="shared" si="31"/>
        <v/>
      </c>
      <c r="AA88" s="47"/>
      <c r="AB88" s="1" t="str">
        <f t="shared" si="32"/>
        <v/>
      </c>
      <c r="AC88" s="47"/>
      <c r="AD88" s="1" t="str">
        <f t="shared" si="33"/>
        <v/>
      </c>
      <c r="AE88" s="47"/>
      <c r="AF88" s="1" t="str">
        <f t="shared" si="34"/>
        <v/>
      </c>
      <c r="AG88" s="47"/>
    </row>
    <row r="89" spans="1:33">
      <c r="A89">
        <f t="shared" si="18"/>
        <v>0</v>
      </c>
      <c r="B89" s="2" t="str">
        <f t="shared" si="35"/>
        <v/>
      </c>
      <c r="C89" s="4" t="str">
        <f t="shared" si="19"/>
        <v/>
      </c>
      <c r="D89" s="3" t="str">
        <f t="shared" si="20"/>
        <v/>
      </c>
      <c r="E89" s="47"/>
      <c r="F89" s="3" t="str">
        <f t="shared" si="21"/>
        <v/>
      </c>
      <c r="G89" s="47"/>
      <c r="H89" s="3" t="str">
        <f t="shared" si="22"/>
        <v/>
      </c>
      <c r="I89" s="47"/>
      <c r="J89" s="3" t="str">
        <f t="shared" si="23"/>
        <v/>
      </c>
      <c r="K89" s="47"/>
      <c r="L89" s="3" t="str">
        <f t="shared" si="24"/>
        <v/>
      </c>
      <c r="M89" s="47"/>
      <c r="N89" s="3" t="str">
        <f t="shared" si="25"/>
        <v/>
      </c>
      <c r="O89" s="47"/>
      <c r="P89" s="3" t="str">
        <f t="shared" si="26"/>
        <v/>
      </c>
      <c r="Q89" s="47"/>
      <c r="R89" s="3" t="str">
        <f t="shared" si="27"/>
        <v/>
      </c>
      <c r="S89" s="47"/>
      <c r="T89" s="1" t="str">
        <f t="shared" si="28"/>
        <v/>
      </c>
      <c r="U89" s="47"/>
      <c r="V89" s="1" t="str">
        <f t="shared" si="29"/>
        <v/>
      </c>
      <c r="W89" s="47"/>
      <c r="X89" s="1" t="str">
        <f t="shared" si="30"/>
        <v/>
      </c>
      <c r="Y89" s="47"/>
      <c r="Z89" s="1" t="str">
        <f t="shared" si="31"/>
        <v/>
      </c>
      <c r="AA89" s="47"/>
      <c r="AB89" s="1" t="str">
        <f t="shared" si="32"/>
        <v/>
      </c>
      <c r="AC89" s="47"/>
      <c r="AD89" s="1" t="str">
        <f t="shared" si="33"/>
        <v/>
      </c>
      <c r="AE89" s="47"/>
      <c r="AF89" s="1" t="str">
        <f t="shared" si="34"/>
        <v/>
      </c>
      <c r="AG89" s="47"/>
    </row>
    <row r="90" spans="1:33">
      <c r="A90">
        <f t="shared" si="18"/>
        <v>0</v>
      </c>
      <c r="B90" s="2" t="str">
        <f t="shared" si="35"/>
        <v/>
      </c>
      <c r="C90" s="4" t="str">
        <f t="shared" si="19"/>
        <v/>
      </c>
      <c r="D90" s="3" t="str">
        <f t="shared" si="20"/>
        <v/>
      </c>
      <c r="E90" s="47"/>
      <c r="F90" s="3" t="str">
        <f t="shared" si="21"/>
        <v/>
      </c>
      <c r="G90" s="47"/>
      <c r="H90" s="3" t="str">
        <f t="shared" si="22"/>
        <v/>
      </c>
      <c r="I90" s="47"/>
      <c r="J90" s="3" t="str">
        <f t="shared" si="23"/>
        <v/>
      </c>
      <c r="K90" s="47"/>
      <c r="L90" s="3" t="str">
        <f t="shared" si="24"/>
        <v/>
      </c>
      <c r="M90" s="47"/>
      <c r="N90" s="3" t="str">
        <f t="shared" si="25"/>
        <v/>
      </c>
      <c r="O90" s="47"/>
      <c r="P90" s="3" t="str">
        <f t="shared" si="26"/>
        <v/>
      </c>
      <c r="Q90" s="47"/>
      <c r="R90" s="3" t="str">
        <f t="shared" si="27"/>
        <v/>
      </c>
      <c r="S90" s="47"/>
      <c r="T90" s="1" t="str">
        <f t="shared" si="28"/>
        <v/>
      </c>
      <c r="U90" s="47"/>
      <c r="V90" s="1" t="str">
        <f t="shared" si="29"/>
        <v/>
      </c>
      <c r="W90" s="47"/>
      <c r="X90" s="1" t="str">
        <f t="shared" si="30"/>
        <v/>
      </c>
      <c r="Y90" s="47"/>
      <c r="Z90" s="1" t="str">
        <f t="shared" si="31"/>
        <v/>
      </c>
      <c r="AA90" s="47"/>
      <c r="AB90" s="1" t="str">
        <f t="shared" si="32"/>
        <v/>
      </c>
      <c r="AC90" s="47"/>
      <c r="AD90" s="1" t="str">
        <f t="shared" si="33"/>
        <v/>
      </c>
      <c r="AE90" s="47"/>
      <c r="AF90" s="1" t="str">
        <f t="shared" si="34"/>
        <v/>
      </c>
      <c r="AG90" s="47"/>
    </row>
    <row r="91" spans="1:33">
      <c r="A91">
        <f t="shared" si="18"/>
        <v>0</v>
      </c>
      <c r="B91" s="2" t="str">
        <f t="shared" si="35"/>
        <v/>
      </c>
      <c r="C91" s="4" t="str">
        <f t="shared" si="19"/>
        <v/>
      </c>
      <c r="D91" s="3" t="str">
        <f t="shared" si="20"/>
        <v/>
      </c>
      <c r="E91" s="47"/>
      <c r="F91" s="3" t="str">
        <f t="shared" si="21"/>
        <v/>
      </c>
      <c r="G91" s="47"/>
      <c r="H91" s="3" t="str">
        <f t="shared" si="22"/>
        <v/>
      </c>
      <c r="I91" s="47"/>
      <c r="J91" s="3" t="str">
        <f t="shared" si="23"/>
        <v/>
      </c>
      <c r="K91" s="47"/>
      <c r="L91" s="3" t="str">
        <f t="shared" si="24"/>
        <v/>
      </c>
      <c r="M91" s="47"/>
      <c r="N91" s="3" t="str">
        <f t="shared" si="25"/>
        <v/>
      </c>
      <c r="O91" s="47"/>
      <c r="P91" s="3" t="str">
        <f t="shared" si="26"/>
        <v/>
      </c>
      <c r="Q91" s="47"/>
      <c r="R91" s="3" t="str">
        <f t="shared" si="27"/>
        <v/>
      </c>
      <c r="S91" s="47"/>
      <c r="T91" s="1" t="str">
        <f t="shared" si="28"/>
        <v/>
      </c>
      <c r="U91" s="47"/>
      <c r="V91" s="1" t="str">
        <f t="shared" si="29"/>
        <v/>
      </c>
      <c r="W91" s="47"/>
      <c r="X91" s="1" t="str">
        <f t="shared" si="30"/>
        <v/>
      </c>
      <c r="Y91" s="47"/>
      <c r="Z91" s="1" t="str">
        <f t="shared" si="31"/>
        <v/>
      </c>
      <c r="AA91" s="47"/>
      <c r="AB91" s="1" t="str">
        <f t="shared" si="32"/>
        <v/>
      </c>
      <c r="AC91" s="47"/>
      <c r="AD91" s="1" t="str">
        <f t="shared" si="33"/>
        <v/>
      </c>
      <c r="AE91" s="47"/>
      <c r="AF91" s="1" t="str">
        <f t="shared" si="34"/>
        <v/>
      </c>
      <c r="AG91" s="47"/>
    </row>
    <row r="92" spans="1:33">
      <c r="A92">
        <f t="shared" si="18"/>
        <v>0</v>
      </c>
      <c r="B92" s="2" t="str">
        <f t="shared" si="35"/>
        <v/>
      </c>
      <c r="C92" s="4" t="str">
        <f t="shared" si="19"/>
        <v/>
      </c>
      <c r="D92" s="3" t="str">
        <f t="shared" si="20"/>
        <v/>
      </c>
      <c r="E92" s="47"/>
      <c r="F92" s="3" t="str">
        <f t="shared" si="21"/>
        <v/>
      </c>
      <c r="G92" s="47"/>
      <c r="H92" s="3" t="str">
        <f t="shared" si="22"/>
        <v/>
      </c>
      <c r="I92" s="47"/>
      <c r="J92" s="3" t="str">
        <f t="shared" si="23"/>
        <v/>
      </c>
      <c r="K92" s="47"/>
      <c r="L92" s="3" t="str">
        <f t="shared" si="24"/>
        <v/>
      </c>
      <c r="M92" s="47"/>
      <c r="N92" s="3" t="str">
        <f t="shared" si="25"/>
        <v/>
      </c>
      <c r="O92" s="47"/>
      <c r="P92" s="3" t="str">
        <f t="shared" si="26"/>
        <v/>
      </c>
      <c r="Q92" s="47"/>
      <c r="R92" s="3" t="str">
        <f t="shared" si="27"/>
        <v/>
      </c>
      <c r="S92" s="47"/>
      <c r="T92" s="1" t="str">
        <f t="shared" si="28"/>
        <v/>
      </c>
      <c r="U92" s="47"/>
      <c r="V92" s="1" t="str">
        <f t="shared" si="29"/>
        <v/>
      </c>
      <c r="W92" s="47"/>
      <c r="X92" s="1" t="str">
        <f t="shared" si="30"/>
        <v/>
      </c>
      <c r="Y92" s="47"/>
      <c r="Z92" s="1" t="str">
        <f t="shared" si="31"/>
        <v/>
      </c>
      <c r="AA92" s="47"/>
      <c r="AB92" s="1" t="str">
        <f t="shared" si="32"/>
        <v/>
      </c>
      <c r="AC92" s="47"/>
      <c r="AD92" s="1" t="str">
        <f t="shared" si="33"/>
        <v/>
      </c>
      <c r="AE92" s="47"/>
      <c r="AF92" s="1" t="str">
        <f t="shared" si="34"/>
        <v/>
      </c>
      <c r="AG92" s="47"/>
    </row>
    <row r="93" spans="1:33">
      <c r="A93">
        <f t="shared" si="18"/>
        <v>0</v>
      </c>
      <c r="B93" s="2" t="str">
        <f t="shared" si="35"/>
        <v/>
      </c>
      <c r="C93" s="4" t="str">
        <f t="shared" si="19"/>
        <v/>
      </c>
      <c r="D93" s="3" t="str">
        <f t="shared" si="20"/>
        <v/>
      </c>
      <c r="E93" s="47"/>
      <c r="F93" s="3" t="str">
        <f t="shared" si="21"/>
        <v/>
      </c>
      <c r="G93" s="47"/>
      <c r="H93" s="3" t="str">
        <f t="shared" si="22"/>
        <v/>
      </c>
      <c r="I93" s="47"/>
      <c r="J93" s="3" t="str">
        <f t="shared" si="23"/>
        <v/>
      </c>
      <c r="K93" s="47"/>
      <c r="L93" s="3" t="str">
        <f t="shared" si="24"/>
        <v/>
      </c>
      <c r="M93" s="47"/>
      <c r="N93" s="3" t="str">
        <f t="shared" si="25"/>
        <v/>
      </c>
      <c r="O93" s="47"/>
      <c r="P93" s="3" t="str">
        <f t="shared" si="26"/>
        <v/>
      </c>
      <c r="Q93" s="47"/>
      <c r="R93" s="3" t="str">
        <f t="shared" si="27"/>
        <v/>
      </c>
      <c r="S93" s="47"/>
      <c r="T93" s="1" t="str">
        <f t="shared" si="28"/>
        <v/>
      </c>
      <c r="U93" s="47"/>
      <c r="V93" s="1" t="str">
        <f t="shared" si="29"/>
        <v/>
      </c>
      <c r="W93" s="47"/>
      <c r="X93" s="1" t="str">
        <f t="shared" si="30"/>
        <v/>
      </c>
      <c r="Y93" s="47"/>
      <c r="Z93" s="1" t="str">
        <f t="shared" si="31"/>
        <v/>
      </c>
      <c r="AA93" s="47"/>
      <c r="AB93" s="1" t="str">
        <f t="shared" si="32"/>
        <v/>
      </c>
      <c r="AC93" s="47"/>
      <c r="AD93" s="1" t="str">
        <f t="shared" si="33"/>
        <v/>
      </c>
      <c r="AE93" s="47"/>
      <c r="AF93" s="1" t="str">
        <f t="shared" si="34"/>
        <v/>
      </c>
      <c r="AG93" s="47"/>
    </row>
    <row r="94" spans="1:33">
      <c r="A94">
        <f t="shared" si="18"/>
        <v>0</v>
      </c>
      <c r="B94" s="2" t="str">
        <f t="shared" si="35"/>
        <v/>
      </c>
      <c r="C94" s="4" t="str">
        <f t="shared" si="19"/>
        <v/>
      </c>
      <c r="D94" s="3" t="str">
        <f t="shared" si="20"/>
        <v/>
      </c>
      <c r="E94" s="47"/>
      <c r="F94" s="3" t="str">
        <f t="shared" si="21"/>
        <v/>
      </c>
      <c r="G94" s="47"/>
      <c r="H94" s="3" t="str">
        <f t="shared" si="22"/>
        <v/>
      </c>
      <c r="I94" s="47"/>
      <c r="J94" s="3" t="str">
        <f t="shared" si="23"/>
        <v/>
      </c>
      <c r="K94" s="47"/>
      <c r="L94" s="3" t="str">
        <f t="shared" si="24"/>
        <v/>
      </c>
      <c r="M94" s="47"/>
      <c r="N94" s="3" t="str">
        <f t="shared" si="25"/>
        <v/>
      </c>
      <c r="O94" s="47"/>
      <c r="P94" s="3" t="str">
        <f t="shared" si="26"/>
        <v/>
      </c>
      <c r="Q94" s="47"/>
      <c r="R94" s="3" t="str">
        <f t="shared" si="27"/>
        <v/>
      </c>
      <c r="S94" s="47"/>
      <c r="T94" s="1" t="str">
        <f t="shared" si="28"/>
        <v/>
      </c>
      <c r="U94" s="47"/>
      <c r="V94" s="1" t="str">
        <f t="shared" si="29"/>
        <v/>
      </c>
      <c r="W94" s="47"/>
      <c r="X94" s="1" t="str">
        <f t="shared" si="30"/>
        <v/>
      </c>
      <c r="Y94" s="47"/>
      <c r="Z94" s="1" t="str">
        <f t="shared" si="31"/>
        <v/>
      </c>
      <c r="AA94" s="47"/>
      <c r="AB94" s="1" t="str">
        <f t="shared" si="32"/>
        <v/>
      </c>
      <c r="AC94" s="47"/>
      <c r="AD94" s="1" t="str">
        <f t="shared" si="33"/>
        <v/>
      </c>
      <c r="AE94" s="47"/>
      <c r="AF94" s="1" t="str">
        <f t="shared" si="34"/>
        <v/>
      </c>
      <c r="AG94" s="47"/>
    </row>
    <row r="95" spans="1:33">
      <c r="A95">
        <f t="shared" si="18"/>
        <v>0</v>
      </c>
      <c r="B95" s="2" t="str">
        <f t="shared" si="35"/>
        <v/>
      </c>
      <c r="C95" s="4" t="str">
        <f t="shared" si="19"/>
        <v/>
      </c>
      <c r="D95" s="3" t="str">
        <f t="shared" si="20"/>
        <v/>
      </c>
      <c r="E95" s="47"/>
      <c r="F95" s="3" t="str">
        <f t="shared" si="21"/>
        <v/>
      </c>
      <c r="G95" s="47"/>
      <c r="H95" s="3" t="str">
        <f t="shared" si="22"/>
        <v/>
      </c>
      <c r="I95" s="47"/>
      <c r="J95" s="3" t="str">
        <f t="shared" si="23"/>
        <v/>
      </c>
      <c r="K95" s="47"/>
      <c r="L95" s="3" t="str">
        <f t="shared" si="24"/>
        <v/>
      </c>
      <c r="M95" s="47"/>
      <c r="N95" s="3" t="str">
        <f t="shared" si="25"/>
        <v/>
      </c>
      <c r="O95" s="47"/>
      <c r="P95" s="3" t="str">
        <f t="shared" si="26"/>
        <v/>
      </c>
      <c r="Q95" s="47"/>
      <c r="R95" s="3" t="str">
        <f t="shared" si="27"/>
        <v/>
      </c>
      <c r="S95" s="47"/>
      <c r="T95" s="1" t="str">
        <f t="shared" si="28"/>
        <v/>
      </c>
      <c r="U95" s="47"/>
      <c r="V95" s="1" t="str">
        <f t="shared" si="29"/>
        <v/>
      </c>
      <c r="W95" s="47"/>
      <c r="X95" s="1" t="str">
        <f t="shared" si="30"/>
        <v/>
      </c>
      <c r="Y95" s="47"/>
      <c r="Z95" s="1" t="str">
        <f t="shared" si="31"/>
        <v/>
      </c>
      <c r="AA95" s="47"/>
      <c r="AB95" s="1" t="str">
        <f t="shared" si="32"/>
        <v/>
      </c>
      <c r="AC95" s="47"/>
      <c r="AD95" s="1" t="str">
        <f t="shared" si="33"/>
        <v/>
      </c>
      <c r="AE95" s="47"/>
      <c r="AF95" s="1" t="str">
        <f t="shared" si="34"/>
        <v/>
      </c>
      <c r="AG95" s="47"/>
    </row>
    <row r="96" spans="1:33">
      <c r="A96">
        <f t="shared" si="18"/>
        <v>0</v>
      </c>
      <c r="B96" s="2" t="str">
        <f t="shared" si="35"/>
        <v/>
      </c>
      <c r="C96" s="4" t="str">
        <f t="shared" si="19"/>
        <v/>
      </c>
      <c r="D96" s="3" t="str">
        <f t="shared" si="20"/>
        <v/>
      </c>
      <c r="E96" s="47"/>
      <c r="F96" s="3" t="str">
        <f t="shared" si="21"/>
        <v/>
      </c>
      <c r="G96" s="47"/>
      <c r="H96" s="3" t="str">
        <f t="shared" si="22"/>
        <v/>
      </c>
      <c r="I96" s="47"/>
      <c r="J96" s="3" t="str">
        <f t="shared" si="23"/>
        <v/>
      </c>
      <c r="K96" s="47"/>
      <c r="L96" s="3" t="str">
        <f t="shared" si="24"/>
        <v/>
      </c>
      <c r="M96" s="47"/>
      <c r="N96" s="3" t="str">
        <f t="shared" si="25"/>
        <v/>
      </c>
      <c r="O96" s="47"/>
      <c r="P96" s="3" t="str">
        <f t="shared" si="26"/>
        <v/>
      </c>
      <c r="Q96" s="47"/>
      <c r="R96" s="3" t="str">
        <f t="shared" si="27"/>
        <v/>
      </c>
      <c r="S96" s="47"/>
      <c r="T96" s="1" t="str">
        <f t="shared" si="28"/>
        <v/>
      </c>
      <c r="U96" s="47"/>
      <c r="V96" s="1" t="str">
        <f t="shared" si="29"/>
        <v/>
      </c>
      <c r="W96" s="47"/>
      <c r="X96" s="1" t="str">
        <f t="shared" si="30"/>
        <v/>
      </c>
      <c r="Y96" s="47"/>
      <c r="Z96" s="1" t="str">
        <f t="shared" si="31"/>
        <v/>
      </c>
      <c r="AA96" s="47"/>
      <c r="AB96" s="1" t="str">
        <f t="shared" si="32"/>
        <v/>
      </c>
      <c r="AC96" s="47"/>
      <c r="AD96" s="1" t="str">
        <f t="shared" si="33"/>
        <v/>
      </c>
      <c r="AE96" s="47"/>
      <c r="AF96" s="1" t="str">
        <f t="shared" si="34"/>
        <v/>
      </c>
      <c r="AG96" s="47"/>
    </row>
    <row r="97" spans="1:33">
      <c r="A97">
        <f t="shared" si="18"/>
        <v>0</v>
      </c>
      <c r="B97" s="2" t="str">
        <f t="shared" si="35"/>
        <v/>
      </c>
      <c r="C97" s="4" t="str">
        <f t="shared" si="19"/>
        <v/>
      </c>
      <c r="D97" s="3" t="str">
        <f t="shared" si="20"/>
        <v/>
      </c>
      <c r="E97" s="47"/>
      <c r="F97" s="3" t="str">
        <f t="shared" si="21"/>
        <v/>
      </c>
      <c r="G97" s="47"/>
      <c r="H97" s="3" t="str">
        <f t="shared" si="22"/>
        <v/>
      </c>
      <c r="I97" s="47"/>
      <c r="J97" s="3" t="str">
        <f t="shared" si="23"/>
        <v/>
      </c>
      <c r="K97" s="47"/>
      <c r="L97" s="3" t="str">
        <f t="shared" si="24"/>
        <v/>
      </c>
      <c r="M97" s="47"/>
      <c r="N97" s="3" t="str">
        <f t="shared" si="25"/>
        <v/>
      </c>
      <c r="O97" s="47"/>
      <c r="P97" s="3" t="str">
        <f t="shared" si="26"/>
        <v/>
      </c>
      <c r="Q97" s="47"/>
      <c r="R97" s="3" t="str">
        <f t="shared" si="27"/>
        <v/>
      </c>
      <c r="S97" s="47"/>
      <c r="T97" s="1" t="str">
        <f t="shared" si="28"/>
        <v/>
      </c>
      <c r="U97" s="47"/>
      <c r="V97" s="1" t="str">
        <f t="shared" si="29"/>
        <v/>
      </c>
      <c r="W97" s="47"/>
      <c r="X97" s="1" t="str">
        <f t="shared" si="30"/>
        <v/>
      </c>
      <c r="Y97" s="47"/>
      <c r="Z97" s="1" t="str">
        <f t="shared" si="31"/>
        <v/>
      </c>
      <c r="AA97" s="47"/>
      <c r="AB97" s="1" t="str">
        <f t="shared" si="32"/>
        <v/>
      </c>
      <c r="AC97" s="47"/>
      <c r="AD97" s="1" t="str">
        <f t="shared" si="33"/>
        <v/>
      </c>
      <c r="AE97" s="47"/>
      <c r="AF97" s="1" t="str">
        <f t="shared" si="34"/>
        <v/>
      </c>
      <c r="AG97" s="47"/>
    </row>
    <row r="98" spans="1:33">
      <c r="A98">
        <f t="shared" si="18"/>
        <v>0</v>
      </c>
      <c r="B98" s="2" t="str">
        <f t="shared" si="35"/>
        <v/>
      </c>
      <c r="C98" s="4" t="str">
        <f t="shared" si="19"/>
        <v/>
      </c>
      <c r="D98" s="3" t="str">
        <f t="shared" si="20"/>
        <v/>
      </c>
      <c r="E98" s="47"/>
      <c r="F98" s="3" t="str">
        <f t="shared" si="21"/>
        <v/>
      </c>
      <c r="G98" s="47"/>
      <c r="H98" s="3" t="str">
        <f t="shared" si="22"/>
        <v/>
      </c>
      <c r="I98" s="47"/>
      <c r="J98" s="3" t="str">
        <f t="shared" si="23"/>
        <v/>
      </c>
      <c r="K98" s="47"/>
      <c r="L98" s="3" t="str">
        <f t="shared" si="24"/>
        <v/>
      </c>
      <c r="M98" s="47"/>
      <c r="N98" s="3" t="str">
        <f t="shared" si="25"/>
        <v/>
      </c>
      <c r="O98" s="47"/>
      <c r="P98" s="3" t="str">
        <f t="shared" si="26"/>
        <v/>
      </c>
      <c r="Q98" s="47"/>
      <c r="R98" s="3" t="str">
        <f t="shared" si="27"/>
        <v/>
      </c>
      <c r="S98" s="47"/>
      <c r="T98" s="1" t="str">
        <f t="shared" si="28"/>
        <v/>
      </c>
      <c r="U98" s="47"/>
      <c r="V98" s="1" t="str">
        <f t="shared" si="29"/>
        <v/>
      </c>
      <c r="W98" s="47"/>
      <c r="X98" s="1" t="str">
        <f t="shared" si="30"/>
        <v/>
      </c>
      <c r="Y98" s="47"/>
      <c r="Z98" s="1" t="str">
        <f t="shared" si="31"/>
        <v/>
      </c>
      <c r="AA98" s="47"/>
      <c r="AB98" s="1" t="str">
        <f t="shared" si="32"/>
        <v/>
      </c>
      <c r="AC98" s="47"/>
      <c r="AD98" s="1" t="str">
        <f t="shared" si="33"/>
        <v/>
      </c>
      <c r="AE98" s="47"/>
      <c r="AF98" s="1" t="str">
        <f t="shared" si="34"/>
        <v/>
      </c>
      <c r="AG98" s="47"/>
    </row>
    <row r="99" spans="1:33">
      <c r="A99">
        <f t="shared" si="18"/>
        <v>0</v>
      </c>
      <c r="B99" s="2" t="str">
        <f t="shared" si="35"/>
        <v/>
      </c>
      <c r="C99" s="4" t="str">
        <f t="shared" si="19"/>
        <v/>
      </c>
      <c r="D99" s="3" t="str">
        <f t="shared" si="20"/>
        <v/>
      </c>
      <c r="E99" s="47"/>
      <c r="F99" s="3" t="str">
        <f t="shared" si="21"/>
        <v/>
      </c>
      <c r="G99" s="47"/>
      <c r="H99" s="3" t="str">
        <f t="shared" si="22"/>
        <v/>
      </c>
      <c r="I99" s="47"/>
      <c r="J99" s="3" t="str">
        <f t="shared" si="23"/>
        <v/>
      </c>
      <c r="K99" s="47"/>
      <c r="L99" s="3" t="str">
        <f t="shared" si="24"/>
        <v/>
      </c>
      <c r="M99" s="47"/>
      <c r="N99" s="3" t="str">
        <f t="shared" si="25"/>
        <v/>
      </c>
      <c r="O99" s="47"/>
      <c r="P99" s="3" t="str">
        <f t="shared" si="26"/>
        <v/>
      </c>
      <c r="Q99" s="47"/>
      <c r="R99" s="3" t="str">
        <f t="shared" si="27"/>
        <v/>
      </c>
      <c r="S99" s="47"/>
      <c r="T99" s="1" t="str">
        <f t="shared" si="28"/>
        <v/>
      </c>
      <c r="U99" s="47"/>
      <c r="V99" s="1" t="str">
        <f t="shared" si="29"/>
        <v/>
      </c>
      <c r="W99" s="47"/>
      <c r="X99" s="1" t="str">
        <f t="shared" si="30"/>
        <v/>
      </c>
      <c r="Y99" s="47"/>
      <c r="Z99" s="1" t="str">
        <f t="shared" si="31"/>
        <v/>
      </c>
      <c r="AA99" s="47"/>
      <c r="AB99" s="1" t="str">
        <f t="shared" si="32"/>
        <v/>
      </c>
      <c r="AC99" s="47"/>
      <c r="AD99" s="1" t="str">
        <f t="shared" si="33"/>
        <v/>
      </c>
      <c r="AE99" s="47"/>
      <c r="AF99" s="1" t="str">
        <f t="shared" si="34"/>
        <v/>
      </c>
      <c r="AG99" s="47"/>
    </row>
    <row r="100" spans="1:33">
      <c r="A100">
        <f t="shared" si="18"/>
        <v>0</v>
      </c>
      <c r="B100" s="2" t="str">
        <f t="shared" si="35"/>
        <v/>
      </c>
      <c r="C100" s="4" t="str">
        <f t="shared" si="19"/>
        <v/>
      </c>
      <c r="D100" s="3" t="str">
        <f t="shared" si="20"/>
        <v/>
      </c>
      <c r="E100" s="47"/>
      <c r="F100" s="3" t="str">
        <f t="shared" si="21"/>
        <v/>
      </c>
      <c r="G100" s="47"/>
      <c r="H100" s="3" t="str">
        <f t="shared" si="22"/>
        <v/>
      </c>
      <c r="I100" s="47"/>
      <c r="J100" s="3" t="str">
        <f t="shared" si="23"/>
        <v/>
      </c>
      <c r="K100" s="47"/>
      <c r="L100" s="3" t="str">
        <f t="shared" si="24"/>
        <v/>
      </c>
      <c r="M100" s="47"/>
      <c r="N100" s="3" t="str">
        <f t="shared" si="25"/>
        <v/>
      </c>
      <c r="O100" s="47"/>
      <c r="P100" s="3" t="str">
        <f t="shared" si="26"/>
        <v/>
      </c>
      <c r="Q100" s="47"/>
      <c r="R100" s="3" t="str">
        <f t="shared" si="27"/>
        <v/>
      </c>
      <c r="S100" s="47"/>
      <c r="T100" s="1" t="str">
        <f t="shared" si="28"/>
        <v/>
      </c>
      <c r="U100" s="47"/>
      <c r="V100" s="1" t="str">
        <f t="shared" si="29"/>
        <v/>
      </c>
      <c r="W100" s="47"/>
      <c r="X100" s="1" t="str">
        <f t="shared" si="30"/>
        <v/>
      </c>
      <c r="Y100" s="47"/>
      <c r="Z100" s="1" t="str">
        <f t="shared" si="31"/>
        <v/>
      </c>
      <c r="AA100" s="47"/>
      <c r="AB100" s="1" t="str">
        <f t="shared" si="32"/>
        <v/>
      </c>
      <c r="AC100" s="47"/>
      <c r="AD100" s="1" t="str">
        <f t="shared" si="33"/>
        <v/>
      </c>
      <c r="AE100" s="47"/>
      <c r="AF100" s="1" t="str">
        <f t="shared" si="34"/>
        <v/>
      </c>
      <c r="AG100" s="47"/>
    </row>
    <row r="101" spans="1:33">
      <c r="A101">
        <f t="shared" si="18"/>
        <v>0</v>
      </c>
      <c r="B101" s="2" t="str">
        <f t="shared" si="35"/>
        <v/>
      </c>
      <c r="C101" s="4" t="str">
        <f t="shared" si="19"/>
        <v/>
      </c>
      <c r="D101" s="3" t="str">
        <f t="shared" si="20"/>
        <v/>
      </c>
      <c r="E101" s="47"/>
      <c r="F101" s="3" t="str">
        <f t="shared" si="21"/>
        <v/>
      </c>
      <c r="G101" s="47"/>
      <c r="H101" s="3" t="str">
        <f t="shared" si="22"/>
        <v/>
      </c>
      <c r="I101" s="47"/>
      <c r="J101" s="3" t="str">
        <f t="shared" si="23"/>
        <v/>
      </c>
      <c r="K101" s="47"/>
      <c r="L101" s="3" t="str">
        <f t="shared" si="24"/>
        <v/>
      </c>
      <c r="M101" s="47"/>
      <c r="N101" s="3" t="str">
        <f t="shared" si="25"/>
        <v/>
      </c>
      <c r="O101" s="47"/>
      <c r="P101" s="3" t="str">
        <f t="shared" si="26"/>
        <v/>
      </c>
      <c r="Q101" s="47"/>
      <c r="R101" s="3" t="str">
        <f t="shared" si="27"/>
        <v/>
      </c>
      <c r="S101" s="47"/>
      <c r="T101" s="1" t="str">
        <f t="shared" si="28"/>
        <v/>
      </c>
      <c r="U101" s="47"/>
      <c r="V101" s="1" t="str">
        <f t="shared" si="29"/>
        <v/>
      </c>
      <c r="W101" s="47"/>
      <c r="X101" s="1" t="str">
        <f t="shared" si="30"/>
        <v/>
      </c>
      <c r="Y101" s="47"/>
      <c r="Z101" s="1" t="str">
        <f t="shared" si="31"/>
        <v/>
      </c>
      <c r="AA101" s="47"/>
      <c r="AB101" s="1" t="str">
        <f t="shared" si="32"/>
        <v/>
      </c>
      <c r="AC101" s="47"/>
      <c r="AD101" s="1" t="str">
        <f t="shared" si="33"/>
        <v/>
      </c>
      <c r="AE101" s="47"/>
      <c r="AF101" s="1" t="str">
        <f t="shared" si="34"/>
        <v/>
      </c>
      <c r="AG101" s="47"/>
    </row>
    <row r="102" spans="1:33">
      <c r="A102">
        <f t="shared" si="18"/>
        <v>0</v>
      </c>
      <c r="B102" s="2" t="str">
        <f t="shared" si="35"/>
        <v/>
      </c>
      <c r="C102" s="4" t="str">
        <f t="shared" si="19"/>
        <v/>
      </c>
      <c r="D102" s="3" t="str">
        <f t="shared" si="20"/>
        <v/>
      </c>
      <c r="E102" s="47"/>
      <c r="F102" s="3" t="str">
        <f t="shared" si="21"/>
        <v/>
      </c>
      <c r="G102" s="47"/>
      <c r="H102" s="3" t="str">
        <f t="shared" si="22"/>
        <v/>
      </c>
      <c r="I102" s="47"/>
      <c r="J102" s="3" t="str">
        <f t="shared" si="23"/>
        <v/>
      </c>
      <c r="K102" s="47"/>
      <c r="L102" s="3" t="str">
        <f t="shared" si="24"/>
        <v/>
      </c>
      <c r="M102" s="47"/>
      <c r="N102" s="3" t="str">
        <f t="shared" si="25"/>
        <v/>
      </c>
      <c r="O102" s="47"/>
      <c r="P102" s="3" t="str">
        <f t="shared" si="26"/>
        <v/>
      </c>
      <c r="Q102" s="47"/>
      <c r="R102" s="3" t="str">
        <f t="shared" si="27"/>
        <v/>
      </c>
      <c r="S102" s="47"/>
      <c r="T102" s="1" t="str">
        <f t="shared" si="28"/>
        <v/>
      </c>
      <c r="U102" s="47"/>
      <c r="V102" s="1" t="str">
        <f t="shared" si="29"/>
        <v/>
      </c>
      <c r="W102" s="47"/>
      <c r="X102" s="1" t="str">
        <f t="shared" si="30"/>
        <v/>
      </c>
      <c r="Y102" s="47"/>
      <c r="Z102" s="1" t="str">
        <f t="shared" si="31"/>
        <v/>
      </c>
      <c r="AA102" s="47"/>
      <c r="AB102" s="1" t="str">
        <f t="shared" si="32"/>
        <v/>
      </c>
      <c r="AC102" s="47"/>
      <c r="AD102" s="1" t="str">
        <f t="shared" si="33"/>
        <v/>
      </c>
      <c r="AE102" s="47"/>
      <c r="AF102" s="1" t="str">
        <f t="shared" si="34"/>
        <v/>
      </c>
      <c r="AG102" s="47"/>
    </row>
    <row r="103" spans="1:33">
      <c r="A103">
        <f t="shared" si="18"/>
        <v>0</v>
      </c>
      <c r="B103" s="2" t="str">
        <f t="shared" si="35"/>
        <v/>
      </c>
      <c r="C103" s="4" t="str">
        <f t="shared" si="19"/>
        <v/>
      </c>
      <c r="D103" s="3" t="str">
        <f t="shared" si="20"/>
        <v/>
      </c>
      <c r="E103" s="47"/>
      <c r="F103" s="3" t="str">
        <f t="shared" si="21"/>
        <v/>
      </c>
      <c r="G103" s="47"/>
      <c r="H103" s="3" t="str">
        <f t="shared" si="22"/>
        <v/>
      </c>
      <c r="I103" s="47"/>
      <c r="J103" s="3" t="str">
        <f t="shared" si="23"/>
        <v/>
      </c>
      <c r="K103" s="47"/>
      <c r="L103" s="3" t="str">
        <f t="shared" si="24"/>
        <v/>
      </c>
      <c r="M103" s="47"/>
      <c r="N103" s="3" t="str">
        <f t="shared" si="25"/>
        <v/>
      </c>
      <c r="O103" s="47"/>
      <c r="P103" s="3" t="str">
        <f t="shared" si="26"/>
        <v/>
      </c>
      <c r="Q103" s="47"/>
      <c r="R103" s="3" t="str">
        <f t="shared" si="27"/>
        <v/>
      </c>
      <c r="S103" s="47"/>
      <c r="T103" s="1" t="str">
        <f t="shared" si="28"/>
        <v/>
      </c>
      <c r="U103" s="47"/>
      <c r="V103" s="1" t="str">
        <f t="shared" si="29"/>
        <v/>
      </c>
      <c r="W103" s="47"/>
      <c r="X103" s="1" t="str">
        <f t="shared" si="30"/>
        <v/>
      </c>
      <c r="Y103" s="47"/>
      <c r="Z103" s="1" t="str">
        <f t="shared" si="31"/>
        <v/>
      </c>
      <c r="AA103" s="47"/>
      <c r="AB103" s="1" t="str">
        <f t="shared" si="32"/>
        <v/>
      </c>
      <c r="AC103" s="47"/>
      <c r="AD103" s="1" t="str">
        <f t="shared" si="33"/>
        <v/>
      </c>
      <c r="AE103" s="47"/>
      <c r="AF103" s="1" t="str">
        <f t="shared" si="34"/>
        <v/>
      </c>
      <c r="AG103" s="47"/>
    </row>
    <row r="104" spans="1:33">
      <c r="A104">
        <f t="shared" si="18"/>
        <v>0</v>
      </c>
      <c r="B104" s="2" t="str">
        <f t="shared" si="35"/>
        <v/>
      </c>
      <c r="C104" s="4" t="str">
        <f t="shared" si="19"/>
        <v/>
      </c>
      <c r="D104" s="3" t="str">
        <f t="shared" si="20"/>
        <v/>
      </c>
      <c r="E104" s="47"/>
      <c r="F104" s="3" t="str">
        <f t="shared" si="21"/>
        <v/>
      </c>
      <c r="G104" s="47"/>
      <c r="H104" s="3" t="str">
        <f t="shared" si="22"/>
        <v/>
      </c>
      <c r="I104" s="47"/>
      <c r="J104" s="3" t="str">
        <f t="shared" si="23"/>
        <v/>
      </c>
      <c r="K104" s="47"/>
      <c r="L104" s="3" t="str">
        <f t="shared" si="24"/>
        <v/>
      </c>
      <c r="M104" s="47"/>
      <c r="N104" s="3" t="str">
        <f t="shared" si="25"/>
        <v/>
      </c>
      <c r="O104" s="47"/>
      <c r="P104" s="3" t="str">
        <f t="shared" si="26"/>
        <v/>
      </c>
      <c r="Q104" s="47"/>
      <c r="R104" s="3" t="str">
        <f t="shared" si="27"/>
        <v/>
      </c>
      <c r="S104" s="47"/>
      <c r="T104" s="1" t="str">
        <f t="shared" si="28"/>
        <v/>
      </c>
      <c r="U104" s="47"/>
      <c r="V104" s="1" t="str">
        <f t="shared" si="29"/>
        <v/>
      </c>
      <c r="W104" s="47"/>
      <c r="X104" s="1" t="str">
        <f t="shared" si="30"/>
        <v/>
      </c>
      <c r="Y104" s="47"/>
      <c r="Z104" s="1" t="str">
        <f t="shared" si="31"/>
        <v/>
      </c>
      <c r="AA104" s="47"/>
      <c r="AB104" s="1" t="str">
        <f t="shared" si="32"/>
        <v/>
      </c>
      <c r="AC104" s="47"/>
      <c r="AD104" s="1" t="str">
        <f t="shared" si="33"/>
        <v/>
      </c>
      <c r="AE104" s="47"/>
      <c r="AF104" s="1" t="str">
        <f t="shared" si="34"/>
        <v/>
      </c>
      <c r="AG104" s="47"/>
    </row>
    <row r="105" spans="1:33">
      <c r="A105">
        <f t="shared" si="18"/>
        <v>0</v>
      </c>
      <c r="B105" s="2" t="str">
        <f t="shared" si="35"/>
        <v/>
      </c>
      <c r="C105" s="4" t="str">
        <f t="shared" si="19"/>
        <v/>
      </c>
      <c r="D105" s="3" t="str">
        <f t="shared" si="20"/>
        <v/>
      </c>
      <c r="E105" s="47"/>
      <c r="F105" s="3" t="str">
        <f t="shared" si="21"/>
        <v/>
      </c>
      <c r="G105" s="47"/>
      <c r="H105" s="3" t="str">
        <f t="shared" si="22"/>
        <v/>
      </c>
      <c r="I105" s="47"/>
      <c r="J105" s="3" t="str">
        <f t="shared" si="23"/>
        <v/>
      </c>
      <c r="K105" s="47"/>
      <c r="L105" s="3" t="str">
        <f t="shared" si="24"/>
        <v/>
      </c>
      <c r="M105" s="47"/>
      <c r="N105" s="3" t="str">
        <f t="shared" si="25"/>
        <v/>
      </c>
      <c r="O105" s="47"/>
      <c r="P105" s="3" t="str">
        <f t="shared" si="26"/>
        <v/>
      </c>
      <c r="Q105" s="47"/>
      <c r="R105" s="3" t="str">
        <f t="shared" si="27"/>
        <v/>
      </c>
      <c r="S105" s="47"/>
      <c r="T105" s="1" t="str">
        <f t="shared" si="28"/>
        <v/>
      </c>
      <c r="U105" s="47"/>
      <c r="V105" s="1" t="str">
        <f t="shared" si="29"/>
        <v/>
      </c>
      <c r="W105" s="47"/>
      <c r="X105" s="1" t="str">
        <f t="shared" si="30"/>
        <v/>
      </c>
      <c r="Y105" s="47"/>
      <c r="Z105" s="1" t="str">
        <f t="shared" si="31"/>
        <v/>
      </c>
      <c r="AA105" s="47"/>
      <c r="AB105" s="1" t="str">
        <f t="shared" si="32"/>
        <v/>
      </c>
      <c r="AC105" s="47"/>
      <c r="AD105" s="1" t="str">
        <f t="shared" si="33"/>
        <v/>
      </c>
      <c r="AE105" s="47"/>
      <c r="AF105" s="1" t="str">
        <f t="shared" si="34"/>
        <v/>
      </c>
      <c r="AG105" s="47"/>
    </row>
    <row r="106" spans="1:33">
      <c r="A106">
        <f t="shared" si="18"/>
        <v>0</v>
      </c>
      <c r="B106" s="2" t="str">
        <f t="shared" si="35"/>
        <v/>
      </c>
      <c r="C106" s="4" t="str">
        <f t="shared" si="19"/>
        <v/>
      </c>
      <c r="D106" s="3" t="str">
        <f t="shared" si="20"/>
        <v/>
      </c>
      <c r="E106" s="47"/>
      <c r="F106" s="3" t="str">
        <f t="shared" si="21"/>
        <v/>
      </c>
      <c r="G106" s="47"/>
      <c r="H106" s="3" t="str">
        <f t="shared" si="22"/>
        <v/>
      </c>
      <c r="I106" s="47"/>
      <c r="J106" s="3" t="str">
        <f t="shared" si="23"/>
        <v/>
      </c>
      <c r="K106" s="47"/>
      <c r="L106" s="3" t="str">
        <f t="shared" si="24"/>
        <v/>
      </c>
      <c r="M106" s="47"/>
      <c r="N106" s="3" t="str">
        <f t="shared" si="25"/>
        <v/>
      </c>
      <c r="O106" s="47"/>
      <c r="P106" s="3" t="str">
        <f t="shared" si="26"/>
        <v/>
      </c>
      <c r="Q106" s="47"/>
      <c r="R106" s="3" t="str">
        <f t="shared" si="27"/>
        <v/>
      </c>
      <c r="S106" s="47"/>
      <c r="T106" s="1" t="str">
        <f t="shared" si="28"/>
        <v/>
      </c>
      <c r="U106" s="47"/>
      <c r="V106" s="1" t="str">
        <f t="shared" si="29"/>
        <v/>
      </c>
      <c r="W106" s="47"/>
      <c r="X106" s="1" t="str">
        <f t="shared" si="30"/>
        <v/>
      </c>
      <c r="Y106" s="47"/>
      <c r="Z106" s="1" t="str">
        <f t="shared" si="31"/>
        <v/>
      </c>
      <c r="AA106" s="47"/>
      <c r="AB106" s="1" t="str">
        <f t="shared" si="32"/>
        <v/>
      </c>
      <c r="AC106" s="47"/>
      <c r="AD106" s="1" t="str">
        <f t="shared" si="33"/>
        <v/>
      </c>
      <c r="AE106" s="47"/>
      <c r="AF106" s="1" t="str">
        <f t="shared" si="34"/>
        <v/>
      </c>
      <c r="AG106" s="47"/>
    </row>
    <row r="107" spans="1:33">
      <c r="A107">
        <f t="shared" si="18"/>
        <v>0</v>
      </c>
      <c r="B107" s="2" t="str">
        <f t="shared" si="35"/>
        <v/>
      </c>
      <c r="C107" s="4" t="str">
        <f t="shared" si="19"/>
        <v/>
      </c>
      <c r="D107" s="3" t="str">
        <f t="shared" si="20"/>
        <v/>
      </c>
      <c r="E107" s="47"/>
      <c r="F107" s="3" t="str">
        <f t="shared" si="21"/>
        <v/>
      </c>
      <c r="G107" s="47"/>
      <c r="H107" s="3" t="str">
        <f t="shared" si="22"/>
        <v/>
      </c>
      <c r="I107" s="47"/>
      <c r="J107" s="3" t="str">
        <f t="shared" si="23"/>
        <v/>
      </c>
      <c r="K107" s="47"/>
      <c r="L107" s="3" t="str">
        <f t="shared" si="24"/>
        <v/>
      </c>
      <c r="M107" s="47"/>
      <c r="N107" s="3" t="str">
        <f t="shared" si="25"/>
        <v/>
      </c>
      <c r="O107" s="47"/>
      <c r="P107" s="3" t="str">
        <f t="shared" si="26"/>
        <v/>
      </c>
      <c r="Q107" s="47"/>
      <c r="R107" s="3" t="str">
        <f t="shared" si="27"/>
        <v/>
      </c>
      <c r="S107" s="47"/>
      <c r="T107" s="1" t="str">
        <f t="shared" si="28"/>
        <v/>
      </c>
      <c r="U107" s="47"/>
      <c r="V107" s="1" t="str">
        <f t="shared" si="29"/>
        <v/>
      </c>
      <c r="W107" s="47"/>
      <c r="X107" s="1" t="str">
        <f t="shared" si="30"/>
        <v/>
      </c>
      <c r="Y107" s="47"/>
      <c r="Z107" s="1" t="str">
        <f t="shared" si="31"/>
        <v/>
      </c>
      <c r="AA107" s="47"/>
      <c r="AB107" s="1" t="str">
        <f t="shared" si="32"/>
        <v/>
      </c>
      <c r="AC107" s="47"/>
      <c r="AD107" s="1" t="str">
        <f t="shared" si="33"/>
        <v/>
      </c>
      <c r="AE107" s="47"/>
      <c r="AF107" s="1" t="str">
        <f t="shared" si="34"/>
        <v/>
      </c>
      <c r="AG107" s="47"/>
    </row>
    <row r="108" spans="1:33">
      <c r="A108">
        <f t="shared" si="18"/>
        <v>0</v>
      </c>
      <c r="B108" s="2" t="str">
        <f t="shared" si="35"/>
        <v/>
      </c>
      <c r="C108" s="4" t="str">
        <f t="shared" si="19"/>
        <v/>
      </c>
      <c r="D108" s="3" t="str">
        <f t="shared" si="20"/>
        <v/>
      </c>
      <c r="E108" s="47"/>
      <c r="F108" s="3" t="str">
        <f t="shared" si="21"/>
        <v/>
      </c>
      <c r="G108" s="47"/>
      <c r="H108" s="3" t="str">
        <f t="shared" si="22"/>
        <v/>
      </c>
      <c r="I108" s="47"/>
      <c r="J108" s="3" t="str">
        <f t="shared" si="23"/>
        <v/>
      </c>
      <c r="K108" s="47"/>
      <c r="L108" s="3" t="str">
        <f t="shared" si="24"/>
        <v/>
      </c>
      <c r="M108" s="47"/>
      <c r="N108" s="3" t="str">
        <f t="shared" si="25"/>
        <v/>
      </c>
      <c r="O108" s="47"/>
      <c r="P108" s="3" t="str">
        <f t="shared" si="26"/>
        <v/>
      </c>
      <c r="Q108" s="47"/>
      <c r="R108" s="3" t="str">
        <f t="shared" si="27"/>
        <v/>
      </c>
      <c r="S108" s="47"/>
      <c r="T108" s="1" t="str">
        <f t="shared" si="28"/>
        <v/>
      </c>
      <c r="U108" s="47"/>
      <c r="V108" s="1" t="str">
        <f t="shared" si="29"/>
        <v/>
      </c>
      <c r="W108" s="47"/>
      <c r="X108" s="1" t="str">
        <f t="shared" si="30"/>
        <v/>
      </c>
      <c r="Y108" s="47"/>
      <c r="Z108" s="1" t="str">
        <f t="shared" si="31"/>
        <v/>
      </c>
      <c r="AA108" s="47"/>
      <c r="AB108" s="1" t="str">
        <f t="shared" si="32"/>
        <v/>
      </c>
      <c r="AC108" s="47"/>
      <c r="AD108" s="1" t="str">
        <f t="shared" si="33"/>
        <v/>
      </c>
      <c r="AE108" s="47"/>
      <c r="AF108" s="1" t="str">
        <f t="shared" si="34"/>
        <v/>
      </c>
      <c r="AG108" s="47"/>
    </row>
    <row r="109" spans="1:33">
      <c r="A109">
        <f t="shared" si="18"/>
        <v>0</v>
      </c>
      <c r="B109" s="2" t="str">
        <f t="shared" si="35"/>
        <v/>
      </c>
      <c r="C109" s="4" t="str">
        <f t="shared" si="19"/>
        <v/>
      </c>
      <c r="D109" s="3" t="str">
        <f t="shared" si="20"/>
        <v/>
      </c>
      <c r="E109" s="47"/>
      <c r="F109" s="3" t="str">
        <f t="shared" si="21"/>
        <v/>
      </c>
      <c r="G109" s="47"/>
      <c r="H109" s="3" t="str">
        <f t="shared" si="22"/>
        <v/>
      </c>
      <c r="I109" s="47"/>
      <c r="J109" s="3" t="str">
        <f t="shared" si="23"/>
        <v/>
      </c>
      <c r="K109" s="47"/>
      <c r="L109" s="3" t="str">
        <f t="shared" si="24"/>
        <v/>
      </c>
      <c r="M109" s="47"/>
      <c r="N109" s="3" t="str">
        <f t="shared" si="25"/>
        <v/>
      </c>
      <c r="O109" s="47"/>
      <c r="P109" s="3" t="str">
        <f t="shared" si="26"/>
        <v/>
      </c>
      <c r="Q109" s="47"/>
      <c r="R109" s="3" t="str">
        <f t="shared" si="27"/>
        <v/>
      </c>
      <c r="S109" s="47"/>
      <c r="T109" s="1" t="str">
        <f t="shared" si="28"/>
        <v/>
      </c>
      <c r="U109" s="47"/>
      <c r="V109" s="1" t="str">
        <f t="shared" si="29"/>
        <v/>
      </c>
      <c r="W109" s="47"/>
      <c r="X109" s="1" t="str">
        <f t="shared" si="30"/>
        <v/>
      </c>
      <c r="Y109" s="47"/>
      <c r="Z109" s="1" t="str">
        <f t="shared" si="31"/>
        <v/>
      </c>
      <c r="AA109" s="47"/>
      <c r="AB109" s="1" t="str">
        <f t="shared" si="32"/>
        <v/>
      </c>
      <c r="AC109" s="47"/>
      <c r="AD109" s="1" t="str">
        <f t="shared" si="33"/>
        <v/>
      </c>
      <c r="AE109" s="47"/>
      <c r="AF109" s="1" t="str">
        <f t="shared" si="34"/>
        <v/>
      </c>
      <c r="AG109" s="47"/>
    </row>
    <row r="110" spans="1:33">
      <c r="A110">
        <f t="shared" si="18"/>
        <v>0</v>
      </c>
      <c r="B110" s="2" t="str">
        <f t="shared" si="35"/>
        <v/>
      </c>
      <c r="C110" s="4" t="str">
        <f t="shared" si="19"/>
        <v/>
      </c>
      <c r="D110" s="3" t="str">
        <f t="shared" si="20"/>
        <v/>
      </c>
      <c r="E110" s="47"/>
      <c r="F110" s="3" t="str">
        <f t="shared" si="21"/>
        <v/>
      </c>
      <c r="G110" s="47"/>
      <c r="H110" s="3" t="str">
        <f t="shared" si="22"/>
        <v/>
      </c>
      <c r="I110" s="47"/>
      <c r="J110" s="3" t="str">
        <f t="shared" si="23"/>
        <v/>
      </c>
      <c r="K110" s="47"/>
      <c r="L110" s="3" t="str">
        <f t="shared" si="24"/>
        <v/>
      </c>
      <c r="M110" s="47"/>
      <c r="N110" s="3" t="str">
        <f t="shared" si="25"/>
        <v/>
      </c>
      <c r="O110" s="47"/>
      <c r="P110" s="3" t="str">
        <f t="shared" si="26"/>
        <v/>
      </c>
      <c r="Q110" s="47"/>
      <c r="R110" s="3" t="str">
        <f t="shared" si="27"/>
        <v/>
      </c>
      <c r="S110" s="47"/>
      <c r="T110" s="1" t="str">
        <f t="shared" si="28"/>
        <v/>
      </c>
      <c r="U110" s="47"/>
      <c r="V110" s="1" t="str">
        <f t="shared" si="29"/>
        <v/>
      </c>
      <c r="W110" s="47"/>
      <c r="X110" s="1" t="str">
        <f t="shared" si="30"/>
        <v/>
      </c>
      <c r="Y110" s="47"/>
      <c r="Z110" s="1" t="str">
        <f t="shared" si="31"/>
        <v/>
      </c>
      <c r="AA110" s="47"/>
      <c r="AB110" s="1" t="str">
        <f t="shared" si="32"/>
        <v/>
      </c>
      <c r="AC110" s="47"/>
      <c r="AD110" s="1" t="str">
        <f t="shared" si="33"/>
        <v/>
      </c>
      <c r="AE110" s="47"/>
      <c r="AF110" s="1" t="str">
        <f t="shared" si="34"/>
        <v/>
      </c>
      <c r="AG110" s="47"/>
    </row>
    <row r="111" spans="1:33">
      <c r="A111">
        <f t="shared" si="18"/>
        <v>0</v>
      </c>
      <c r="B111" s="2" t="str">
        <f t="shared" si="35"/>
        <v/>
      </c>
      <c r="C111" s="4" t="str">
        <f t="shared" si="19"/>
        <v/>
      </c>
      <c r="D111" s="3" t="str">
        <f t="shared" si="20"/>
        <v/>
      </c>
      <c r="E111" s="47"/>
      <c r="F111" s="3" t="str">
        <f t="shared" si="21"/>
        <v/>
      </c>
      <c r="G111" s="47"/>
      <c r="H111" s="3" t="str">
        <f t="shared" si="22"/>
        <v/>
      </c>
      <c r="I111" s="47"/>
      <c r="J111" s="3" t="str">
        <f t="shared" si="23"/>
        <v/>
      </c>
      <c r="K111" s="47"/>
      <c r="L111" s="3" t="str">
        <f t="shared" si="24"/>
        <v/>
      </c>
      <c r="M111" s="47"/>
      <c r="N111" s="3" t="str">
        <f t="shared" si="25"/>
        <v/>
      </c>
      <c r="O111" s="47"/>
      <c r="P111" s="3" t="str">
        <f t="shared" si="26"/>
        <v/>
      </c>
      <c r="Q111" s="47"/>
      <c r="R111" s="3" t="str">
        <f t="shared" si="27"/>
        <v/>
      </c>
      <c r="S111" s="47"/>
      <c r="T111" s="1" t="str">
        <f t="shared" si="28"/>
        <v/>
      </c>
      <c r="U111" s="47"/>
      <c r="V111" s="1" t="str">
        <f t="shared" si="29"/>
        <v/>
      </c>
      <c r="W111" s="47"/>
      <c r="X111" s="1" t="str">
        <f t="shared" si="30"/>
        <v/>
      </c>
      <c r="Y111" s="47"/>
      <c r="Z111" s="1" t="str">
        <f t="shared" si="31"/>
        <v/>
      </c>
      <c r="AA111" s="47"/>
      <c r="AB111" s="1" t="str">
        <f t="shared" si="32"/>
        <v/>
      </c>
      <c r="AC111" s="47"/>
      <c r="AD111" s="1" t="str">
        <f t="shared" si="33"/>
        <v/>
      </c>
      <c r="AE111" s="47"/>
      <c r="AF111" s="1" t="str">
        <f t="shared" si="34"/>
        <v/>
      </c>
      <c r="AG111" s="47"/>
    </row>
    <row r="112" spans="1:33">
      <c r="A112">
        <f t="shared" si="18"/>
        <v>0</v>
      </c>
      <c r="B112" s="2" t="str">
        <f t="shared" si="35"/>
        <v/>
      </c>
      <c r="C112" s="4" t="str">
        <f t="shared" si="19"/>
        <v/>
      </c>
      <c r="D112" s="3" t="str">
        <f t="shared" si="20"/>
        <v/>
      </c>
      <c r="E112" s="47"/>
      <c r="F112" s="3" t="str">
        <f t="shared" si="21"/>
        <v/>
      </c>
      <c r="G112" s="47"/>
      <c r="H112" s="3" t="str">
        <f t="shared" si="22"/>
        <v/>
      </c>
      <c r="I112" s="47"/>
      <c r="J112" s="3" t="str">
        <f t="shared" si="23"/>
        <v/>
      </c>
      <c r="K112" s="47"/>
      <c r="L112" s="3" t="str">
        <f t="shared" si="24"/>
        <v/>
      </c>
      <c r="M112" s="47"/>
      <c r="N112" s="3" t="str">
        <f t="shared" si="25"/>
        <v/>
      </c>
      <c r="O112" s="47"/>
      <c r="P112" s="3" t="str">
        <f t="shared" si="26"/>
        <v/>
      </c>
      <c r="Q112" s="47"/>
      <c r="R112" s="3" t="str">
        <f t="shared" si="27"/>
        <v/>
      </c>
      <c r="S112" s="47"/>
      <c r="T112" s="1" t="str">
        <f t="shared" si="28"/>
        <v/>
      </c>
      <c r="U112" s="47"/>
      <c r="V112" s="1" t="str">
        <f t="shared" si="29"/>
        <v/>
      </c>
      <c r="W112" s="47"/>
      <c r="X112" s="1" t="str">
        <f t="shared" si="30"/>
        <v/>
      </c>
      <c r="Y112" s="47"/>
      <c r="Z112" s="1" t="str">
        <f t="shared" si="31"/>
        <v/>
      </c>
      <c r="AA112" s="47"/>
      <c r="AB112" s="1" t="str">
        <f t="shared" si="32"/>
        <v/>
      </c>
      <c r="AC112" s="47"/>
      <c r="AD112" s="1" t="str">
        <f t="shared" si="33"/>
        <v/>
      </c>
      <c r="AE112" s="47"/>
      <c r="AF112" s="1" t="str">
        <f t="shared" si="34"/>
        <v/>
      </c>
      <c r="AG112" s="47"/>
    </row>
    <row r="113" spans="1:33">
      <c r="A113">
        <f t="shared" si="18"/>
        <v>0</v>
      </c>
      <c r="B113" s="2" t="str">
        <f t="shared" si="35"/>
        <v/>
      </c>
      <c r="C113" s="4" t="str">
        <f t="shared" si="19"/>
        <v/>
      </c>
      <c r="D113" s="3" t="str">
        <f t="shared" si="20"/>
        <v/>
      </c>
      <c r="E113" s="47"/>
      <c r="F113" s="3" t="str">
        <f t="shared" si="21"/>
        <v/>
      </c>
      <c r="G113" s="47"/>
      <c r="H113" s="3" t="str">
        <f t="shared" si="22"/>
        <v/>
      </c>
      <c r="I113" s="47"/>
      <c r="J113" s="3" t="str">
        <f t="shared" si="23"/>
        <v/>
      </c>
      <c r="K113" s="47"/>
      <c r="L113" s="3" t="str">
        <f t="shared" si="24"/>
        <v/>
      </c>
      <c r="M113" s="47"/>
      <c r="N113" s="3" t="str">
        <f t="shared" si="25"/>
        <v/>
      </c>
      <c r="O113" s="47"/>
      <c r="P113" s="3" t="str">
        <f t="shared" si="26"/>
        <v/>
      </c>
      <c r="Q113" s="47"/>
      <c r="R113" s="3" t="str">
        <f t="shared" si="27"/>
        <v/>
      </c>
      <c r="S113" s="47"/>
      <c r="T113" s="1" t="str">
        <f t="shared" si="28"/>
        <v/>
      </c>
      <c r="U113" s="47"/>
      <c r="V113" s="1" t="str">
        <f t="shared" si="29"/>
        <v/>
      </c>
      <c r="W113" s="47"/>
      <c r="X113" s="1" t="str">
        <f t="shared" si="30"/>
        <v/>
      </c>
      <c r="Y113" s="47"/>
      <c r="Z113" s="1" t="str">
        <f t="shared" si="31"/>
        <v/>
      </c>
      <c r="AA113" s="47"/>
      <c r="AB113" s="1" t="str">
        <f t="shared" si="32"/>
        <v/>
      </c>
      <c r="AC113" s="47"/>
      <c r="AD113" s="1" t="str">
        <f t="shared" si="33"/>
        <v/>
      </c>
      <c r="AE113" s="47"/>
      <c r="AF113" s="1" t="str">
        <f t="shared" si="34"/>
        <v/>
      </c>
      <c r="AG113" s="47"/>
    </row>
    <row r="114" spans="1:33">
      <c r="A114">
        <f t="shared" si="18"/>
        <v>0</v>
      </c>
      <c r="B114" s="2" t="str">
        <f t="shared" si="35"/>
        <v/>
      </c>
      <c r="C114" s="4" t="str">
        <f t="shared" si="19"/>
        <v/>
      </c>
      <c r="D114" s="3" t="str">
        <f t="shared" si="20"/>
        <v/>
      </c>
      <c r="E114" s="47"/>
      <c r="F114" s="3" t="str">
        <f t="shared" si="21"/>
        <v/>
      </c>
      <c r="G114" s="47"/>
      <c r="H114" s="3" t="str">
        <f t="shared" si="22"/>
        <v/>
      </c>
      <c r="I114" s="47"/>
      <c r="J114" s="3" t="str">
        <f t="shared" si="23"/>
        <v/>
      </c>
      <c r="K114" s="47"/>
      <c r="L114" s="3" t="str">
        <f t="shared" si="24"/>
        <v/>
      </c>
      <c r="M114" s="47"/>
      <c r="N114" s="3" t="str">
        <f t="shared" si="25"/>
        <v/>
      </c>
      <c r="O114" s="47"/>
      <c r="P114" s="3" t="str">
        <f t="shared" si="26"/>
        <v/>
      </c>
      <c r="Q114" s="47"/>
      <c r="R114" s="3" t="str">
        <f t="shared" si="27"/>
        <v/>
      </c>
      <c r="S114" s="47"/>
      <c r="T114" s="1" t="str">
        <f t="shared" si="28"/>
        <v/>
      </c>
      <c r="U114" s="47"/>
      <c r="V114" s="1" t="str">
        <f t="shared" si="29"/>
        <v/>
      </c>
      <c r="W114" s="47"/>
      <c r="X114" s="1" t="str">
        <f t="shared" si="30"/>
        <v/>
      </c>
      <c r="Y114" s="47"/>
      <c r="Z114" s="1" t="str">
        <f t="shared" si="31"/>
        <v/>
      </c>
      <c r="AA114" s="47"/>
      <c r="AB114" s="1" t="str">
        <f t="shared" si="32"/>
        <v/>
      </c>
      <c r="AC114" s="47"/>
      <c r="AD114" s="1" t="str">
        <f t="shared" si="33"/>
        <v/>
      </c>
      <c r="AE114" s="47"/>
      <c r="AF114" s="1" t="str">
        <f t="shared" si="34"/>
        <v/>
      </c>
      <c r="AG114" s="47"/>
    </row>
    <row r="115" spans="1:33">
      <c r="A115">
        <f t="shared" si="18"/>
        <v>0</v>
      </c>
      <c r="B115" s="2" t="str">
        <f t="shared" si="35"/>
        <v/>
      </c>
      <c r="C115" s="4" t="str">
        <f t="shared" si="19"/>
        <v/>
      </c>
      <c r="D115" s="3" t="str">
        <f t="shared" si="20"/>
        <v/>
      </c>
      <c r="E115" s="47"/>
      <c r="F115" s="3" t="str">
        <f t="shared" si="21"/>
        <v/>
      </c>
      <c r="G115" s="47"/>
      <c r="H115" s="3" t="str">
        <f t="shared" si="22"/>
        <v/>
      </c>
      <c r="I115" s="47"/>
      <c r="J115" s="3" t="str">
        <f t="shared" si="23"/>
        <v/>
      </c>
      <c r="K115" s="47"/>
      <c r="L115" s="3" t="str">
        <f t="shared" si="24"/>
        <v/>
      </c>
      <c r="M115" s="47"/>
      <c r="N115" s="3" t="str">
        <f t="shared" si="25"/>
        <v/>
      </c>
      <c r="O115" s="47"/>
      <c r="P115" s="3" t="str">
        <f t="shared" si="26"/>
        <v/>
      </c>
      <c r="Q115" s="47"/>
      <c r="R115" s="3" t="str">
        <f t="shared" si="27"/>
        <v/>
      </c>
      <c r="S115" s="47"/>
      <c r="T115" s="1" t="str">
        <f t="shared" si="28"/>
        <v/>
      </c>
      <c r="U115" s="47"/>
      <c r="V115" s="1" t="str">
        <f t="shared" si="29"/>
        <v/>
      </c>
      <c r="W115" s="47"/>
      <c r="X115" s="1" t="str">
        <f t="shared" si="30"/>
        <v/>
      </c>
      <c r="Y115" s="47"/>
      <c r="Z115" s="1" t="str">
        <f t="shared" si="31"/>
        <v/>
      </c>
      <c r="AA115" s="47"/>
      <c r="AB115" s="1" t="str">
        <f t="shared" si="32"/>
        <v/>
      </c>
      <c r="AC115" s="47"/>
      <c r="AD115" s="1" t="str">
        <f t="shared" si="33"/>
        <v/>
      </c>
      <c r="AE115" s="47"/>
      <c r="AF115" s="1" t="str">
        <f t="shared" si="34"/>
        <v/>
      </c>
      <c r="AG115" s="47"/>
    </row>
    <row r="116" spans="1:33">
      <c r="A116">
        <f t="shared" si="18"/>
        <v>0</v>
      </c>
      <c r="B116" s="2" t="str">
        <f t="shared" si="35"/>
        <v/>
      </c>
      <c r="C116" s="4" t="str">
        <f t="shared" si="19"/>
        <v/>
      </c>
      <c r="D116" s="3" t="str">
        <f t="shared" si="20"/>
        <v/>
      </c>
      <c r="E116" s="47"/>
      <c r="F116" s="3" t="str">
        <f t="shared" si="21"/>
        <v/>
      </c>
      <c r="G116" s="47"/>
      <c r="H116" s="3" t="str">
        <f t="shared" si="22"/>
        <v/>
      </c>
      <c r="I116" s="47"/>
      <c r="J116" s="3" t="str">
        <f t="shared" si="23"/>
        <v/>
      </c>
      <c r="K116" s="47"/>
      <c r="L116" s="3" t="str">
        <f t="shared" si="24"/>
        <v/>
      </c>
      <c r="M116" s="47"/>
      <c r="N116" s="3" t="str">
        <f t="shared" si="25"/>
        <v/>
      </c>
      <c r="O116" s="47"/>
      <c r="P116" s="3" t="str">
        <f t="shared" si="26"/>
        <v/>
      </c>
      <c r="Q116" s="47"/>
      <c r="R116" s="3" t="str">
        <f t="shared" si="27"/>
        <v/>
      </c>
      <c r="S116" s="47"/>
      <c r="T116" s="1" t="str">
        <f t="shared" si="28"/>
        <v/>
      </c>
      <c r="U116" s="47"/>
      <c r="V116" s="1" t="str">
        <f t="shared" si="29"/>
        <v/>
      </c>
      <c r="W116" s="47"/>
      <c r="X116" s="1" t="str">
        <f t="shared" si="30"/>
        <v/>
      </c>
      <c r="Y116" s="47"/>
      <c r="Z116" s="1" t="str">
        <f t="shared" si="31"/>
        <v/>
      </c>
      <c r="AA116" s="47"/>
      <c r="AB116" s="1" t="str">
        <f t="shared" si="32"/>
        <v/>
      </c>
      <c r="AC116" s="47"/>
      <c r="AD116" s="1" t="str">
        <f t="shared" si="33"/>
        <v/>
      </c>
      <c r="AE116" s="47"/>
      <c r="AF116" s="1" t="str">
        <f t="shared" si="34"/>
        <v/>
      </c>
      <c r="AG116" s="47"/>
    </row>
    <row r="117" spans="1:33">
      <c r="A117">
        <f t="shared" si="18"/>
        <v>0</v>
      </c>
      <c r="B117" s="2" t="str">
        <f t="shared" si="35"/>
        <v/>
      </c>
      <c r="C117" s="4" t="str">
        <f t="shared" si="19"/>
        <v/>
      </c>
      <c r="D117" s="3" t="str">
        <f t="shared" si="20"/>
        <v/>
      </c>
      <c r="E117" s="47"/>
      <c r="F117" s="3" t="str">
        <f t="shared" si="21"/>
        <v/>
      </c>
      <c r="G117" s="47"/>
      <c r="H117" s="3" t="str">
        <f t="shared" si="22"/>
        <v/>
      </c>
      <c r="I117" s="47"/>
      <c r="J117" s="3" t="str">
        <f t="shared" si="23"/>
        <v/>
      </c>
      <c r="K117" s="47"/>
      <c r="L117" s="3" t="str">
        <f t="shared" si="24"/>
        <v/>
      </c>
      <c r="M117" s="47"/>
      <c r="N117" s="3" t="str">
        <f t="shared" si="25"/>
        <v/>
      </c>
      <c r="O117" s="47"/>
      <c r="P117" s="3" t="str">
        <f t="shared" si="26"/>
        <v/>
      </c>
      <c r="Q117" s="47"/>
      <c r="R117" s="3" t="str">
        <f t="shared" si="27"/>
        <v/>
      </c>
      <c r="S117" s="47"/>
      <c r="T117" s="1" t="str">
        <f t="shared" si="28"/>
        <v/>
      </c>
      <c r="U117" s="47"/>
      <c r="V117" s="1" t="str">
        <f t="shared" si="29"/>
        <v/>
      </c>
      <c r="W117" s="47"/>
      <c r="X117" s="1" t="str">
        <f t="shared" si="30"/>
        <v/>
      </c>
      <c r="Y117" s="47"/>
      <c r="Z117" s="1" t="str">
        <f t="shared" si="31"/>
        <v/>
      </c>
      <c r="AA117" s="47"/>
      <c r="AB117" s="1" t="str">
        <f t="shared" si="32"/>
        <v/>
      </c>
      <c r="AC117" s="47"/>
      <c r="AD117" s="1" t="str">
        <f t="shared" si="33"/>
        <v/>
      </c>
      <c r="AE117" s="47"/>
      <c r="AF117" s="1" t="str">
        <f t="shared" si="34"/>
        <v/>
      </c>
      <c r="AG117" s="47"/>
    </row>
    <row r="118" spans="1:33">
      <c r="A118">
        <f t="shared" si="18"/>
        <v>0</v>
      </c>
      <c r="B118" s="2" t="str">
        <f t="shared" si="35"/>
        <v/>
      </c>
      <c r="C118" s="4" t="str">
        <f t="shared" si="19"/>
        <v/>
      </c>
      <c r="D118" s="3" t="str">
        <f t="shared" si="20"/>
        <v/>
      </c>
      <c r="E118" s="47"/>
      <c r="F118" s="3" t="str">
        <f t="shared" si="21"/>
        <v/>
      </c>
      <c r="G118" s="47"/>
      <c r="H118" s="3" t="str">
        <f t="shared" si="22"/>
        <v/>
      </c>
      <c r="I118" s="47"/>
      <c r="J118" s="3" t="str">
        <f t="shared" si="23"/>
        <v/>
      </c>
      <c r="K118" s="47"/>
      <c r="L118" s="3" t="str">
        <f t="shared" si="24"/>
        <v/>
      </c>
      <c r="M118" s="47"/>
      <c r="N118" s="3" t="str">
        <f t="shared" si="25"/>
        <v/>
      </c>
      <c r="O118" s="47"/>
      <c r="P118" s="3" t="str">
        <f t="shared" si="26"/>
        <v/>
      </c>
      <c r="Q118" s="47"/>
      <c r="R118" s="3" t="str">
        <f t="shared" si="27"/>
        <v/>
      </c>
      <c r="S118" s="47"/>
      <c r="T118" s="1" t="str">
        <f t="shared" si="28"/>
        <v/>
      </c>
      <c r="U118" s="47"/>
      <c r="V118" s="1" t="str">
        <f t="shared" si="29"/>
        <v/>
      </c>
      <c r="W118" s="47"/>
      <c r="X118" s="1" t="str">
        <f t="shared" si="30"/>
        <v/>
      </c>
      <c r="Y118" s="47"/>
      <c r="Z118" s="1" t="str">
        <f t="shared" si="31"/>
        <v/>
      </c>
      <c r="AA118" s="47"/>
      <c r="AB118" s="1" t="str">
        <f t="shared" si="32"/>
        <v/>
      </c>
      <c r="AC118" s="47"/>
      <c r="AD118" s="1" t="str">
        <f t="shared" si="33"/>
        <v/>
      </c>
      <c r="AE118" s="47"/>
      <c r="AF118" s="1" t="str">
        <f t="shared" si="34"/>
        <v/>
      </c>
      <c r="AG118" s="47"/>
    </row>
    <row r="119" spans="1:33">
      <c r="A119">
        <f t="shared" si="18"/>
        <v>0</v>
      </c>
      <c r="B119" s="2" t="str">
        <f t="shared" si="35"/>
        <v/>
      </c>
      <c r="C119" s="4" t="str">
        <f t="shared" si="19"/>
        <v/>
      </c>
      <c r="D119" s="3" t="str">
        <f t="shared" si="20"/>
        <v/>
      </c>
      <c r="E119" s="47"/>
      <c r="F119" s="3" t="str">
        <f t="shared" si="21"/>
        <v/>
      </c>
      <c r="G119" s="47"/>
      <c r="H119" s="3" t="str">
        <f t="shared" si="22"/>
        <v/>
      </c>
      <c r="I119" s="47"/>
      <c r="J119" s="3" t="str">
        <f t="shared" si="23"/>
        <v/>
      </c>
      <c r="K119" s="47"/>
      <c r="L119" s="3" t="str">
        <f t="shared" si="24"/>
        <v/>
      </c>
      <c r="M119" s="47"/>
      <c r="N119" s="3" t="str">
        <f t="shared" si="25"/>
        <v/>
      </c>
      <c r="O119" s="47"/>
      <c r="P119" s="3" t="str">
        <f t="shared" si="26"/>
        <v/>
      </c>
      <c r="Q119" s="47"/>
      <c r="R119" s="3" t="str">
        <f t="shared" si="27"/>
        <v/>
      </c>
      <c r="S119" s="47"/>
      <c r="T119" s="1" t="str">
        <f t="shared" si="28"/>
        <v/>
      </c>
      <c r="U119" s="47"/>
      <c r="V119" s="1" t="str">
        <f t="shared" si="29"/>
        <v/>
      </c>
      <c r="W119" s="47"/>
      <c r="X119" s="1" t="str">
        <f t="shared" si="30"/>
        <v/>
      </c>
      <c r="Y119" s="47"/>
      <c r="Z119" s="1" t="str">
        <f t="shared" si="31"/>
        <v/>
      </c>
      <c r="AA119" s="47"/>
      <c r="AB119" s="1" t="str">
        <f t="shared" si="32"/>
        <v/>
      </c>
      <c r="AC119" s="47"/>
      <c r="AD119" s="1" t="str">
        <f t="shared" si="33"/>
        <v/>
      </c>
      <c r="AE119" s="47"/>
      <c r="AF119" s="1" t="str">
        <f t="shared" si="34"/>
        <v/>
      </c>
      <c r="AG119" s="47"/>
    </row>
    <row r="120" spans="1:33">
      <c r="A120">
        <f t="shared" si="18"/>
        <v>0</v>
      </c>
      <c r="B120" s="2" t="str">
        <f t="shared" si="35"/>
        <v/>
      </c>
      <c r="C120" s="4" t="str">
        <f t="shared" si="19"/>
        <v/>
      </c>
      <c r="D120" s="3" t="str">
        <f t="shared" si="20"/>
        <v/>
      </c>
      <c r="E120" s="47"/>
      <c r="F120" s="3" t="str">
        <f t="shared" si="21"/>
        <v/>
      </c>
      <c r="G120" s="47"/>
      <c r="H120" s="3" t="str">
        <f t="shared" si="22"/>
        <v/>
      </c>
      <c r="I120" s="47"/>
      <c r="J120" s="3" t="str">
        <f t="shared" si="23"/>
        <v/>
      </c>
      <c r="K120" s="47"/>
      <c r="L120" s="3" t="str">
        <f t="shared" si="24"/>
        <v/>
      </c>
      <c r="M120" s="47"/>
      <c r="N120" s="3" t="str">
        <f t="shared" si="25"/>
        <v/>
      </c>
      <c r="O120" s="47"/>
      <c r="P120" s="3" t="str">
        <f t="shared" si="26"/>
        <v/>
      </c>
      <c r="Q120" s="47"/>
      <c r="R120" s="3" t="str">
        <f t="shared" si="27"/>
        <v/>
      </c>
      <c r="S120" s="47"/>
      <c r="T120" s="1" t="str">
        <f t="shared" si="28"/>
        <v/>
      </c>
      <c r="U120" s="47"/>
      <c r="V120" s="1" t="str">
        <f t="shared" si="29"/>
        <v/>
      </c>
      <c r="W120" s="47"/>
      <c r="X120" s="1" t="str">
        <f t="shared" si="30"/>
        <v/>
      </c>
      <c r="Y120" s="47"/>
      <c r="Z120" s="1" t="str">
        <f t="shared" si="31"/>
        <v/>
      </c>
      <c r="AA120" s="47"/>
      <c r="AB120" s="1" t="str">
        <f t="shared" si="32"/>
        <v/>
      </c>
      <c r="AC120" s="47"/>
      <c r="AD120" s="1" t="str">
        <f t="shared" si="33"/>
        <v/>
      </c>
      <c r="AE120" s="47"/>
      <c r="AF120" s="1" t="str">
        <f t="shared" si="34"/>
        <v/>
      </c>
      <c r="AG120" s="47"/>
    </row>
    <row r="121" spans="1:33">
      <c r="A121">
        <f t="shared" si="18"/>
        <v>0</v>
      </c>
      <c r="B121" s="2" t="str">
        <f t="shared" si="35"/>
        <v/>
      </c>
      <c r="C121" s="4" t="str">
        <f t="shared" si="19"/>
        <v/>
      </c>
      <c r="D121" s="3" t="str">
        <f t="shared" si="20"/>
        <v/>
      </c>
      <c r="E121" s="47"/>
      <c r="F121" s="3" t="str">
        <f t="shared" si="21"/>
        <v/>
      </c>
      <c r="G121" s="47"/>
      <c r="H121" s="3" t="str">
        <f t="shared" si="22"/>
        <v/>
      </c>
      <c r="I121" s="47"/>
      <c r="J121" s="3" t="str">
        <f t="shared" si="23"/>
        <v/>
      </c>
      <c r="K121" s="47"/>
      <c r="L121" s="3" t="str">
        <f t="shared" si="24"/>
        <v/>
      </c>
      <c r="M121" s="47"/>
      <c r="N121" s="3" t="str">
        <f t="shared" si="25"/>
        <v/>
      </c>
      <c r="O121" s="47"/>
      <c r="P121" s="3" t="str">
        <f t="shared" si="26"/>
        <v/>
      </c>
      <c r="Q121" s="47"/>
      <c r="R121" s="3" t="str">
        <f t="shared" si="27"/>
        <v/>
      </c>
      <c r="S121" s="47"/>
      <c r="T121" s="1" t="str">
        <f t="shared" si="28"/>
        <v/>
      </c>
      <c r="U121" s="47"/>
      <c r="V121" s="1" t="str">
        <f t="shared" si="29"/>
        <v/>
      </c>
      <c r="W121" s="47"/>
      <c r="X121" s="1" t="str">
        <f t="shared" si="30"/>
        <v/>
      </c>
      <c r="Y121" s="47"/>
      <c r="Z121" s="1" t="str">
        <f t="shared" si="31"/>
        <v/>
      </c>
      <c r="AA121" s="47"/>
      <c r="AB121" s="1" t="str">
        <f t="shared" si="32"/>
        <v/>
      </c>
      <c r="AC121" s="47"/>
      <c r="AD121" s="1" t="str">
        <f t="shared" si="33"/>
        <v/>
      </c>
      <c r="AE121" s="47"/>
      <c r="AF121" s="1" t="str">
        <f t="shared" si="34"/>
        <v/>
      </c>
      <c r="AG121" s="47"/>
    </row>
    <row r="122" spans="1:33">
      <c r="A122">
        <f t="shared" si="18"/>
        <v>0</v>
      </c>
      <c r="B122" s="2" t="str">
        <f t="shared" si="35"/>
        <v/>
      </c>
      <c r="C122" s="4" t="str">
        <f t="shared" si="19"/>
        <v/>
      </c>
      <c r="D122" s="3" t="str">
        <f t="shared" si="20"/>
        <v/>
      </c>
      <c r="E122" s="47"/>
      <c r="F122" s="3" t="str">
        <f t="shared" si="21"/>
        <v/>
      </c>
      <c r="G122" s="47"/>
      <c r="H122" s="3" t="str">
        <f t="shared" si="22"/>
        <v/>
      </c>
      <c r="I122" s="47"/>
      <c r="J122" s="3" t="str">
        <f t="shared" si="23"/>
        <v/>
      </c>
      <c r="K122" s="47"/>
      <c r="L122" s="3" t="str">
        <f t="shared" si="24"/>
        <v/>
      </c>
      <c r="M122" s="47"/>
      <c r="N122" s="3" t="str">
        <f t="shared" si="25"/>
        <v/>
      </c>
      <c r="O122" s="47"/>
      <c r="P122" s="3" t="str">
        <f t="shared" si="26"/>
        <v/>
      </c>
      <c r="Q122" s="47"/>
      <c r="R122" s="3" t="str">
        <f t="shared" si="27"/>
        <v/>
      </c>
      <c r="S122" s="47"/>
      <c r="T122" s="1" t="str">
        <f t="shared" si="28"/>
        <v/>
      </c>
      <c r="U122" s="47"/>
      <c r="V122" s="1" t="str">
        <f t="shared" si="29"/>
        <v/>
      </c>
      <c r="W122" s="47"/>
      <c r="X122" s="1" t="str">
        <f t="shared" si="30"/>
        <v/>
      </c>
      <c r="Y122" s="47"/>
      <c r="Z122" s="1" t="str">
        <f t="shared" si="31"/>
        <v/>
      </c>
      <c r="AA122" s="47"/>
      <c r="AB122" s="1" t="str">
        <f t="shared" si="32"/>
        <v/>
      </c>
      <c r="AC122" s="47"/>
      <c r="AD122" s="1" t="str">
        <f t="shared" si="33"/>
        <v/>
      </c>
      <c r="AE122" s="47"/>
      <c r="AF122" s="1" t="str">
        <f t="shared" si="34"/>
        <v/>
      </c>
      <c r="AG122" s="47"/>
    </row>
    <row r="123" spans="1:33">
      <c r="A123">
        <f t="shared" si="18"/>
        <v>0</v>
      </c>
      <c r="B123" s="2" t="str">
        <f t="shared" si="35"/>
        <v/>
      </c>
      <c r="C123" s="4" t="str">
        <f t="shared" si="19"/>
        <v/>
      </c>
      <c r="D123" s="3" t="str">
        <f t="shared" si="20"/>
        <v/>
      </c>
      <c r="E123" s="47"/>
      <c r="F123" s="3" t="str">
        <f t="shared" si="21"/>
        <v/>
      </c>
      <c r="G123" s="47"/>
      <c r="H123" s="3" t="str">
        <f t="shared" si="22"/>
        <v/>
      </c>
      <c r="I123" s="47"/>
      <c r="J123" s="3" t="str">
        <f t="shared" si="23"/>
        <v/>
      </c>
      <c r="K123" s="47"/>
      <c r="L123" s="3" t="str">
        <f t="shared" si="24"/>
        <v/>
      </c>
      <c r="M123" s="47"/>
      <c r="N123" s="3" t="str">
        <f t="shared" si="25"/>
        <v/>
      </c>
      <c r="O123" s="47"/>
      <c r="P123" s="3" t="str">
        <f t="shared" si="26"/>
        <v/>
      </c>
      <c r="Q123" s="47"/>
      <c r="R123" s="3" t="str">
        <f t="shared" si="27"/>
        <v/>
      </c>
      <c r="S123" s="47"/>
      <c r="T123" s="1" t="str">
        <f t="shared" si="28"/>
        <v/>
      </c>
      <c r="U123" s="47"/>
      <c r="V123" s="1" t="str">
        <f t="shared" si="29"/>
        <v/>
      </c>
      <c r="W123" s="47"/>
      <c r="X123" s="1" t="str">
        <f t="shared" si="30"/>
        <v/>
      </c>
      <c r="Y123" s="47"/>
      <c r="Z123" s="1" t="str">
        <f t="shared" si="31"/>
        <v/>
      </c>
      <c r="AA123" s="47"/>
      <c r="AB123" s="1" t="str">
        <f t="shared" si="32"/>
        <v/>
      </c>
      <c r="AC123" s="47"/>
      <c r="AD123" s="1" t="str">
        <f t="shared" si="33"/>
        <v/>
      </c>
      <c r="AE123" s="47"/>
      <c r="AF123" s="1" t="str">
        <f t="shared" si="34"/>
        <v/>
      </c>
      <c r="AG123" s="47"/>
    </row>
    <row r="124" spans="1:33">
      <c r="A124">
        <f t="shared" si="18"/>
        <v>0</v>
      </c>
      <c r="B124" s="2" t="str">
        <f t="shared" si="35"/>
        <v/>
      </c>
      <c r="C124" s="4" t="str">
        <f t="shared" si="19"/>
        <v/>
      </c>
      <c r="D124" s="3" t="str">
        <f t="shared" si="20"/>
        <v/>
      </c>
      <c r="E124" s="47"/>
      <c r="F124" s="3" t="str">
        <f t="shared" si="21"/>
        <v/>
      </c>
      <c r="G124" s="47"/>
      <c r="H124" s="3" t="str">
        <f t="shared" si="22"/>
        <v/>
      </c>
      <c r="I124" s="47"/>
      <c r="J124" s="3" t="str">
        <f t="shared" si="23"/>
        <v/>
      </c>
      <c r="K124" s="47"/>
      <c r="L124" s="3" t="str">
        <f t="shared" si="24"/>
        <v/>
      </c>
      <c r="M124" s="47"/>
      <c r="N124" s="3" t="str">
        <f t="shared" si="25"/>
        <v/>
      </c>
      <c r="O124" s="47"/>
      <c r="P124" s="3" t="str">
        <f t="shared" si="26"/>
        <v/>
      </c>
      <c r="Q124" s="47"/>
      <c r="R124" s="3" t="str">
        <f t="shared" si="27"/>
        <v/>
      </c>
      <c r="S124" s="47"/>
      <c r="T124" s="1" t="str">
        <f t="shared" si="28"/>
        <v/>
      </c>
      <c r="U124" s="47"/>
      <c r="V124" s="1" t="str">
        <f t="shared" si="29"/>
        <v/>
      </c>
      <c r="W124" s="47"/>
      <c r="X124" s="1" t="str">
        <f t="shared" si="30"/>
        <v/>
      </c>
      <c r="Y124" s="47"/>
      <c r="Z124" s="1" t="str">
        <f t="shared" si="31"/>
        <v/>
      </c>
      <c r="AA124" s="47"/>
      <c r="AB124" s="1" t="str">
        <f t="shared" si="32"/>
        <v/>
      </c>
      <c r="AC124" s="47"/>
      <c r="AD124" s="1" t="str">
        <f t="shared" si="33"/>
        <v/>
      </c>
      <c r="AE124" s="47"/>
      <c r="AF124" s="1" t="str">
        <f t="shared" si="34"/>
        <v/>
      </c>
      <c r="AG124" s="47"/>
    </row>
    <row r="125" spans="1:33">
      <c r="A125">
        <f t="shared" si="18"/>
        <v>0</v>
      </c>
      <c r="B125" s="2" t="str">
        <f t="shared" si="35"/>
        <v/>
      </c>
      <c r="C125" s="4" t="str">
        <f t="shared" si="19"/>
        <v/>
      </c>
      <c r="D125" s="3" t="str">
        <f t="shared" si="20"/>
        <v/>
      </c>
      <c r="E125" s="47"/>
      <c r="F125" s="3" t="str">
        <f t="shared" si="21"/>
        <v/>
      </c>
      <c r="G125" s="47"/>
      <c r="H125" s="3" t="str">
        <f t="shared" si="22"/>
        <v/>
      </c>
      <c r="I125" s="47"/>
      <c r="J125" s="3" t="str">
        <f t="shared" si="23"/>
        <v/>
      </c>
      <c r="K125" s="47"/>
      <c r="L125" s="3" t="str">
        <f t="shared" si="24"/>
        <v/>
      </c>
      <c r="M125" s="47"/>
      <c r="N125" s="3" t="str">
        <f t="shared" si="25"/>
        <v/>
      </c>
      <c r="O125" s="47"/>
      <c r="P125" s="3" t="str">
        <f t="shared" si="26"/>
        <v/>
      </c>
      <c r="Q125" s="47"/>
      <c r="R125" s="3" t="str">
        <f t="shared" si="27"/>
        <v/>
      </c>
      <c r="S125" s="47"/>
      <c r="T125" s="1" t="str">
        <f t="shared" si="28"/>
        <v/>
      </c>
      <c r="U125" s="47"/>
      <c r="V125" s="1" t="str">
        <f t="shared" si="29"/>
        <v/>
      </c>
      <c r="W125" s="47"/>
      <c r="X125" s="1" t="str">
        <f t="shared" si="30"/>
        <v/>
      </c>
      <c r="Y125" s="47"/>
      <c r="Z125" s="1" t="str">
        <f t="shared" si="31"/>
        <v/>
      </c>
      <c r="AA125" s="47"/>
      <c r="AB125" s="1" t="str">
        <f t="shared" si="32"/>
        <v/>
      </c>
      <c r="AC125" s="47"/>
      <c r="AD125" s="1" t="str">
        <f t="shared" si="33"/>
        <v/>
      </c>
      <c r="AE125" s="47"/>
      <c r="AF125" s="1" t="str">
        <f t="shared" si="34"/>
        <v/>
      </c>
      <c r="AG125" s="47"/>
    </row>
    <row r="126" spans="1:33">
      <c r="A126">
        <f t="shared" si="18"/>
        <v>0</v>
      </c>
      <c r="B126" s="2" t="str">
        <f t="shared" si="35"/>
        <v/>
      </c>
      <c r="C126" s="4" t="str">
        <f t="shared" si="19"/>
        <v/>
      </c>
      <c r="D126" s="3" t="str">
        <f t="shared" si="20"/>
        <v/>
      </c>
      <c r="E126" s="47"/>
      <c r="F126" s="3" t="str">
        <f t="shared" si="21"/>
        <v/>
      </c>
      <c r="G126" s="47"/>
      <c r="H126" s="3" t="str">
        <f t="shared" si="22"/>
        <v/>
      </c>
      <c r="I126" s="47"/>
      <c r="J126" s="3" t="str">
        <f t="shared" si="23"/>
        <v/>
      </c>
      <c r="K126" s="47"/>
      <c r="L126" s="3" t="str">
        <f t="shared" si="24"/>
        <v/>
      </c>
      <c r="M126" s="47"/>
      <c r="N126" s="3" t="str">
        <f t="shared" si="25"/>
        <v/>
      </c>
      <c r="O126" s="47"/>
      <c r="P126" s="3" t="str">
        <f t="shared" si="26"/>
        <v/>
      </c>
      <c r="Q126" s="47"/>
      <c r="R126" s="3" t="str">
        <f t="shared" si="27"/>
        <v/>
      </c>
      <c r="S126" s="47"/>
      <c r="T126" s="1" t="str">
        <f t="shared" si="28"/>
        <v/>
      </c>
      <c r="U126" s="47"/>
      <c r="V126" s="1" t="str">
        <f t="shared" si="29"/>
        <v/>
      </c>
      <c r="W126" s="47"/>
      <c r="X126" s="1" t="str">
        <f t="shared" si="30"/>
        <v/>
      </c>
      <c r="Y126" s="47"/>
      <c r="Z126" s="1" t="str">
        <f t="shared" si="31"/>
        <v/>
      </c>
      <c r="AA126" s="47"/>
      <c r="AB126" s="1" t="str">
        <f t="shared" si="32"/>
        <v/>
      </c>
      <c r="AC126" s="47"/>
      <c r="AD126" s="1" t="str">
        <f t="shared" si="33"/>
        <v/>
      </c>
      <c r="AE126" s="47"/>
      <c r="AF126" s="1" t="str">
        <f t="shared" si="34"/>
        <v/>
      </c>
      <c r="AG126" s="47"/>
    </row>
    <row r="127" spans="1:33">
      <c r="A127">
        <f t="shared" si="18"/>
        <v>0</v>
      </c>
      <c r="B127" s="2" t="str">
        <f t="shared" si="35"/>
        <v/>
      </c>
      <c r="C127" s="4" t="str">
        <f t="shared" si="19"/>
        <v/>
      </c>
      <c r="D127" s="3" t="str">
        <f t="shared" si="20"/>
        <v/>
      </c>
      <c r="E127" s="47"/>
      <c r="F127" s="3" t="str">
        <f t="shared" si="21"/>
        <v/>
      </c>
      <c r="G127" s="47"/>
      <c r="H127" s="3" t="str">
        <f t="shared" si="22"/>
        <v/>
      </c>
      <c r="I127" s="47"/>
      <c r="J127" s="3" t="str">
        <f t="shared" si="23"/>
        <v/>
      </c>
      <c r="K127" s="47"/>
      <c r="L127" s="3" t="str">
        <f t="shared" si="24"/>
        <v/>
      </c>
      <c r="M127" s="47"/>
      <c r="N127" s="3" t="str">
        <f t="shared" si="25"/>
        <v/>
      </c>
      <c r="O127" s="47"/>
      <c r="P127" s="3" t="str">
        <f t="shared" si="26"/>
        <v/>
      </c>
      <c r="Q127" s="47"/>
      <c r="R127" s="3" t="str">
        <f t="shared" si="27"/>
        <v/>
      </c>
      <c r="S127" s="47"/>
      <c r="T127" s="1" t="str">
        <f t="shared" si="28"/>
        <v/>
      </c>
      <c r="U127" s="47"/>
      <c r="V127" s="1" t="str">
        <f t="shared" si="29"/>
        <v/>
      </c>
      <c r="W127" s="47"/>
      <c r="X127" s="1" t="str">
        <f t="shared" si="30"/>
        <v/>
      </c>
      <c r="Y127" s="47"/>
      <c r="Z127" s="1" t="str">
        <f t="shared" si="31"/>
        <v/>
      </c>
      <c r="AA127" s="47"/>
      <c r="AB127" s="1" t="str">
        <f t="shared" si="32"/>
        <v/>
      </c>
      <c r="AC127" s="47"/>
      <c r="AD127" s="1" t="str">
        <f t="shared" si="33"/>
        <v/>
      </c>
      <c r="AE127" s="47"/>
      <c r="AF127" s="1" t="str">
        <f t="shared" si="34"/>
        <v/>
      </c>
      <c r="AG127" s="47"/>
    </row>
    <row r="128" spans="1:33">
      <c r="A128">
        <f t="shared" si="18"/>
        <v>0</v>
      </c>
      <c r="B128" s="2" t="str">
        <f t="shared" si="35"/>
        <v/>
      </c>
      <c r="C128" s="4" t="str">
        <f t="shared" si="19"/>
        <v/>
      </c>
      <c r="D128" s="3" t="str">
        <f t="shared" si="20"/>
        <v/>
      </c>
      <c r="E128" s="47"/>
      <c r="F128" s="3" t="str">
        <f t="shared" si="21"/>
        <v/>
      </c>
      <c r="G128" s="47"/>
      <c r="H128" s="3" t="str">
        <f t="shared" si="22"/>
        <v/>
      </c>
      <c r="I128" s="47"/>
      <c r="J128" s="3" t="str">
        <f t="shared" si="23"/>
        <v/>
      </c>
      <c r="K128" s="47"/>
      <c r="L128" s="3" t="str">
        <f t="shared" si="24"/>
        <v/>
      </c>
      <c r="M128" s="47"/>
      <c r="N128" s="3" t="str">
        <f t="shared" si="25"/>
        <v/>
      </c>
      <c r="O128" s="47"/>
      <c r="P128" s="3" t="str">
        <f t="shared" si="26"/>
        <v/>
      </c>
      <c r="Q128" s="47"/>
      <c r="R128" s="3" t="str">
        <f t="shared" si="27"/>
        <v/>
      </c>
      <c r="S128" s="47"/>
      <c r="T128" s="1" t="str">
        <f t="shared" si="28"/>
        <v/>
      </c>
      <c r="U128" s="47"/>
      <c r="V128" s="1" t="str">
        <f t="shared" si="29"/>
        <v/>
      </c>
      <c r="W128" s="47"/>
      <c r="X128" s="1" t="str">
        <f t="shared" si="30"/>
        <v/>
      </c>
      <c r="Y128" s="47"/>
      <c r="Z128" s="1" t="str">
        <f t="shared" si="31"/>
        <v/>
      </c>
      <c r="AA128" s="47"/>
      <c r="AB128" s="1" t="str">
        <f t="shared" si="32"/>
        <v/>
      </c>
      <c r="AC128" s="47"/>
      <c r="AD128" s="1" t="str">
        <f t="shared" si="33"/>
        <v/>
      </c>
      <c r="AE128" s="47"/>
      <c r="AF128" s="1" t="str">
        <f t="shared" si="34"/>
        <v/>
      </c>
      <c r="AG128" s="47"/>
    </row>
    <row r="129" spans="1:33">
      <c r="A129">
        <f t="shared" si="18"/>
        <v>0</v>
      </c>
      <c r="B129" s="2" t="str">
        <f t="shared" si="35"/>
        <v/>
      </c>
      <c r="C129" s="4" t="str">
        <f t="shared" si="19"/>
        <v/>
      </c>
      <c r="D129" s="3" t="str">
        <f t="shared" si="20"/>
        <v/>
      </c>
      <c r="E129" s="47"/>
      <c r="F129" s="3" t="str">
        <f t="shared" si="21"/>
        <v/>
      </c>
      <c r="G129" s="47"/>
      <c r="H129" s="3" t="str">
        <f t="shared" si="22"/>
        <v/>
      </c>
      <c r="I129" s="47"/>
      <c r="J129" s="3" t="str">
        <f t="shared" si="23"/>
        <v/>
      </c>
      <c r="K129" s="47"/>
      <c r="L129" s="3" t="str">
        <f t="shared" si="24"/>
        <v/>
      </c>
      <c r="M129" s="47"/>
      <c r="N129" s="3" t="str">
        <f t="shared" si="25"/>
        <v/>
      </c>
      <c r="O129" s="47"/>
      <c r="P129" s="3" t="str">
        <f t="shared" si="26"/>
        <v/>
      </c>
      <c r="Q129" s="47"/>
      <c r="R129" s="3" t="str">
        <f t="shared" si="27"/>
        <v/>
      </c>
      <c r="S129" s="47"/>
      <c r="T129" s="1" t="str">
        <f t="shared" si="28"/>
        <v/>
      </c>
      <c r="U129" s="47"/>
      <c r="V129" s="1" t="str">
        <f t="shared" si="29"/>
        <v/>
      </c>
      <c r="W129" s="47"/>
      <c r="X129" s="1" t="str">
        <f t="shared" si="30"/>
        <v/>
      </c>
      <c r="Y129" s="47"/>
      <c r="Z129" s="1" t="str">
        <f t="shared" si="31"/>
        <v/>
      </c>
      <c r="AA129" s="47"/>
      <c r="AB129" s="1" t="str">
        <f t="shared" si="32"/>
        <v/>
      </c>
      <c r="AC129" s="47"/>
      <c r="AD129" s="1" t="str">
        <f t="shared" si="33"/>
        <v/>
      </c>
      <c r="AE129" s="47"/>
      <c r="AF129" s="1" t="str">
        <f t="shared" si="34"/>
        <v/>
      </c>
      <c r="AG129" s="47"/>
    </row>
    <row r="130" spans="1:33">
      <c r="A130">
        <f t="shared" si="18"/>
        <v>0</v>
      </c>
      <c r="B130" s="2" t="str">
        <f t="shared" si="35"/>
        <v/>
      </c>
      <c r="C130" s="4" t="str">
        <f t="shared" si="19"/>
        <v/>
      </c>
      <c r="D130" s="3" t="str">
        <f t="shared" si="20"/>
        <v/>
      </c>
      <c r="E130" s="47"/>
      <c r="F130" s="3" t="str">
        <f t="shared" si="21"/>
        <v/>
      </c>
      <c r="G130" s="47"/>
      <c r="H130" s="3" t="str">
        <f t="shared" si="22"/>
        <v/>
      </c>
      <c r="I130" s="47"/>
      <c r="J130" s="3" t="str">
        <f t="shared" si="23"/>
        <v/>
      </c>
      <c r="K130" s="47"/>
      <c r="L130" s="3" t="str">
        <f t="shared" si="24"/>
        <v/>
      </c>
      <c r="M130" s="47"/>
      <c r="N130" s="3" t="str">
        <f t="shared" si="25"/>
        <v/>
      </c>
      <c r="O130" s="47"/>
      <c r="P130" s="3" t="str">
        <f t="shared" si="26"/>
        <v/>
      </c>
      <c r="Q130" s="47"/>
      <c r="R130" s="3" t="str">
        <f t="shared" si="27"/>
        <v/>
      </c>
      <c r="S130" s="47"/>
      <c r="T130" s="1" t="str">
        <f t="shared" si="28"/>
        <v/>
      </c>
      <c r="U130" s="47"/>
      <c r="V130" s="1" t="str">
        <f t="shared" si="29"/>
        <v/>
      </c>
      <c r="W130" s="47"/>
      <c r="X130" s="1" t="str">
        <f t="shared" si="30"/>
        <v/>
      </c>
      <c r="Y130" s="47"/>
      <c r="Z130" s="1" t="str">
        <f t="shared" si="31"/>
        <v/>
      </c>
      <c r="AA130" s="47"/>
      <c r="AB130" s="1" t="str">
        <f t="shared" si="32"/>
        <v/>
      </c>
      <c r="AC130" s="47"/>
      <c r="AD130" s="1" t="str">
        <f t="shared" si="33"/>
        <v/>
      </c>
      <c r="AE130" s="47"/>
      <c r="AF130" s="1" t="str">
        <f t="shared" si="34"/>
        <v/>
      </c>
      <c r="AG130" s="47"/>
    </row>
    <row r="131" spans="1:33">
      <c r="A131">
        <f t="shared" si="18"/>
        <v>0</v>
      </c>
      <c r="B131" s="2" t="str">
        <f t="shared" si="35"/>
        <v/>
      </c>
      <c r="C131" s="4" t="str">
        <f t="shared" si="19"/>
        <v/>
      </c>
      <c r="D131" s="3" t="str">
        <f t="shared" si="20"/>
        <v/>
      </c>
      <c r="E131" s="47"/>
      <c r="F131" s="3" t="str">
        <f t="shared" si="21"/>
        <v/>
      </c>
      <c r="G131" s="47"/>
      <c r="H131" s="3" t="str">
        <f t="shared" si="22"/>
        <v/>
      </c>
      <c r="I131" s="47"/>
      <c r="J131" s="3" t="str">
        <f t="shared" si="23"/>
        <v/>
      </c>
      <c r="K131" s="47"/>
      <c r="L131" s="3" t="str">
        <f t="shared" si="24"/>
        <v/>
      </c>
      <c r="M131" s="47"/>
      <c r="N131" s="3" t="str">
        <f t="shared" si="25"/>
        <v/>
      </c>
      <c r="O131" s="47"/>
      <c r="P131" s="3" t="str">
        <f t="shared" si="26"/>
        <v/>
      </c>
      <c r="Q131" s="47"/>
      <c r="R131" s="3" t="str">
        <f t="shared" si="27"/>
        <v/>
      </c>
      <c r="S131" s="47"/>
      <c r="T131" s="1" t="str">
        <f t="shared" si="28"/>
        <v/>
      </c>
      <c r="U131" s="47"/>
      <c r="V131" s="1" t="str">
        <f t="shared" si="29"/>
        <v/>
      </c>
      <c r="W131" s="47"/>
      <c r="X131" s="1" t="str">
        <f t="shared" si="30"/>
        <v/>
      </c>
      <c r="Y131" s="47"/>
      <c r="Z131" s="1" t="str">
        <f t="shared" si="31"/>
        <v/>
      </c>
      <c r="AA131" s="47"/>
      <c r="AB131" s="1" t="str">
        <f t="shared" si="32"/>
        <v/>
      </c>
      <c r="AC131" s="47"/>
      <c r="AD131" s="1" t="str">
        <f t="shared" si="33"/>
        <v/>
      </c>
      <c r="AE131" s="47"/>
      <c r="AF131" s="1" t="str">
        <f t="shared" si="34"/>
        <v/>
      </c>
      <c r="AG131" s="47"/>
    </row>
    <row r="132" spans="1:33">
      <c r="A132">
        <f t="shared" si="18"/>
        <v>0</v>
      </c>
      <c r="B132" s="2" t="str">
        <f t="shared" si="35"/>
        <v/>
      </c>
      <c r="C132" s="4" t="str">
        <f t="shared" si="19"/>
        <v/>
      </c>
      <c r="D132" s="3" t="str">
        <f t="shared" si="20"/>
        <v/>
      </c>
      <c r="E132" s="47"/>
      <c r="F132" s="3" t="str">
        <f t="shared" si="21"/>
        <v/>
      </c>
      <c r="G132" s="47"/>
      <c r="H132" s="3" t="str">
        <f t="shared" si="22"/>
        <v/>
      </c>
      <c r="I132" s="47"/>
      <c r="J132" s="3" t="str">
        <f t="shared" si="23"/>
        <v/>
      </c>
      <c r="K132" s="47"/>
      <c r="L132" s="3" t="str">
        <f t="shared" si="24"/>
        <v/>
      </c>
      <c r="M132" s="47"/>
      <c r="N132" s="3" t="str">
        <f t="shared" si="25"/>
        <v/>
      </c>
      <c r="O132" s="47"/>
      <c r="P132" s="3" t="str">
        <f t="shared" si="26"/>
        <v/>
      </c>
      <c r="Q132" s="47"/>
      <c r="R132" s="3" t="str">
        <f t="shared" si="27"/>
        <v/>
      </c>
      <c r="S132" s="47"/>
      <c r="T132" s="1" t="str">
        <f t="shared" si="28"/>
        <v/>
      </c>
      <c r="U132" s="47"/>
      <c r="V132" s="1" t="str">
        <f t="shared" si="29"/>
        <v/>
      </c>
      <c r="W132" s="47"/>
      <c r="X132" s="1" t="str">
        <f t="shared" si="30"/>
        <v/>
      </c>
      <c r="Y132" s="47"/>
      <c r="Z132" s="1" t="str">
        <f t="shared" si="31"/>
        <v/>
      </c>
      <c r="AA132" s="47"/>
      <c r="AB132" s="1" t="str">
        <f t="shared" si="32"/>
        <v/>
      </c>
      <c r="AC132" s="47"/>
      <c r="AD132" s="1" t="str">
        <f t="shared" si="33"/>
        <v/>
      </c>
      <c r="AE132" s="47"/>
      <c r="AF132" s="1" t="str">
        <f t="shared" si="34"/>
        <v/>
      </c>
      <c r="AG132" s="47"/>
    </row>
    <row r="133" spans="1:33">
      <c r="A133">
        <f t="shared" si="18"/>
        <v>0</v>
      </c>
      <c r="B133" s="2" t="str">
        <f t="shared" si="35"/>
        <v/>
      </c>
      <c r="C133" s="4" t="str">
        <f t="shared" si="19"/>
        <v/>
      </c>
      <c r="D133" s="3" t="str">
        <f t="shared" si="20"/>
        <v/>
      </c>
      <c r="E133" s="47"/>
      <c r="F133" s="3" t="str">
        <f t="shared" si="21"/>
        <v/>
      </c>
      <c r="G133" s="47"/>
      <c r="H133" s="3" t="str">
        <f t="shared" si="22"/>
        <v/>
      </c>
      <c r="I133" s="47"/>
      <c r="J133" s="3" t="str">
        <f t="shared" si="23"/>
        <v/>
      </c>
      <c r="K133" s="47"/>
      <c r="L133" s="3" t="str">
        <f t="shared" si="24"/>
        <v/>
      </c>
      <c r="M133" s="47"/>
      <c r="N133" s="3" t="str">
        <f t="shared" si="25"/>
        <v/>
      </c>
      <c r="O133" s="47"/>
      <c r="P133" s="3" t="str">
        <f t="shared" si="26"/>
        <v/>
      </c>
      <c r="Q133" s="47"/>
      <c r="R133" s="3" t="str">
        <f t="shared" si="27"/>
        <v/>
      </c>
      <c r="S133" s="47"/>
      <c r="T133" s="1" t="str">
        <f t="shared" si="28"/>
        <v/>
      </c>
      <c r="U133" s="47"/>
      <c r="V133" s="1" t="str">
        <f t="shared" si="29"/>
        <v/>
      </c>
      <c r="W133" s="47"/>
      <c r="X133" s="1" t="str">
        <f t="shared" si="30"/>
        <v/>
      </c>
      <c r="Y133" s="47"/>
      <c r="Z133" s="1" t="str">
        <f t="shared" si="31"/>
        <v/>
      </c>
      <c r="AA133" s="47"/>
      <c r="AB133" s="1" t="str">
        <f t="shared" si="32"/>
        <v/>
      </c>
      <c r="AC133" s="47"/>
      <c r="AD133" s="1" t="str">
        <f t="shared" si="33"/>
        <v/>
      </c>
      <c r="AE133" s="47"/>
      <c r="AF133" s="1" t="str">
        <f t="shared" si="34"/>
        <v/>
      </c>
      <c r="AG133" s="47"/>
    </row>
    <row r="134" spans="1:33">
      <c r="A134">
        <f t="shared" si="18"/>
        <v>0</v>
      </c>
      <c r="B134" s="2" t="str">
        <f t="shared" si="35"/>
        <v/>
      </c>
      <c r="C134" s="4" t="str">
        <f t="shared" si="19"/>
        <v/>
      </c>
      <c r="D134" s="3" t="str">
        <f t="shared" si="20"/>
        <v/>
      </c>
      <c r="E134" s="47"/>
      <c r="F134" s="3" t="str">
        <f t="shared" si="21"/>
        <v/>
      </c>
      <c r="G134" s="47"/>
      <c r="H134" s="3" t="str">
        <f t="shared" si="22"/>
        <v/>
      </c>
      <c r="I134" s="47"/>
      <c r="J134" s="3" t="str">
        <f t="shared" si="23"/>
        <v/>
      </c>
      <c r="K134" s="47"/>
      <c r="L134" s="3" t="str">
        <f t="shared" si="24"/>
        <v/>
      </c>
      <c r="M134" s="47"/>
      <c r="N134" s="3" t="str">
        <f t="shared" si="25"/>
        <v/>
      </c>
      <c r="O134" s="47"/>
      <c r="P134" s="3" t="str">
        <f t="shared" si="26"/>
        <v/>
      </c>
      <c r="Q134" s="47"/>
      <c r="R134" s="3" t="str">
        <f t="shared" si="27"/>
        <v/>
      </c>
      <c r="S134" s="47"/>
      <c r="T134" s="1" t="str">
        <f t="shared" si="28"/>
        <v/>
      </c>
      <c r="U134" s="47"/>
      <c r="V134" s="1" t="str">
        <f t="shared" si="29"/>
        <v/>
      </c>
      <c r="W134" s="47"/>
      <c r="X134" s="1" t="str">
        <f t="shared" si="30"/>
        <v/>
      </c>
      <c r="Y134" s="47"/>
      <c r="Z134" s="1" t="str">
        <f t="shared" si="31"/>
        <v/>
      </c>
      <c r="AA134" s="47"/>
      <c r="AB134" s="1" t="str">
        <f t="shared" si="32"/>
        <v/>
      </c>
      <c r="AC134" s="47"/>
      <c r="AD134" s="1" t="str">
        <f t="shared" si="33"/>
        <v/>
      </c>
      <c r="AE134" s="47"/>
      <c r="AF134" s="1" t="str">
        <f t="shared" si="34"/>
        <v/>
      </c>
      <c r="AG134" s="47"/>
    </row>
    <row r="135" spans="1:33">
      <c r="A135">
        <f t="shared" ref="A135:A198" si="36">$C$1</f>
        <v>0</v>
      </c>
      <c r="B135" s="2" t="str">
        <f t="shared" si="35"/>
        <v/>
      </c>
      <c r="C135" s="4" t="str">
        <f t="shared" si="19"/>
        <v/>
      </c>
      <c r="D135" s="3" t="str">
        <f t="shared" si="20"/>
        <v/>
      </c>
      <c r="E135" s="47"/>
      <c r="F135" s="3" t="str">
        <f t="shared" si="21"/>
        <v/>
      </c>
      <c r="G135" s="47"/>
      <c r="H135" s="3" t="str">
        <f t="shared" si="22"/>
        <v/>
      </c>
      <c r="I135" s="47"/>
      <c r="J135" s="3" t="str">
        <f t="shared" si="23"/>
        <v/>
      </c>
      <c r="K135" s="47"/>
      <c r="L135" s="3" t="str">
        <f t="shared" si="24"/>
        <v/>
      </c>
      <c r="M135" s="47"/>
      <c r="N135" s="3" t="str">
        <f t="shared" si="25"/>
        <v/>
      </c>
      <c r="O135" s="47"/>
      <c r="P135" s="3" t="str">
        <f t="shared" si="26"/>
        <v/>
      </c>
      <c r="Q135" s="47"/>
      <c r="R135" s="3" t="str">
        <f t="shared" si="27"/>
        <v/>
      </c>
      <c r="S135" s="47"/>
      <c r="T135" s="1" t="str">
        <f t="shared" si="28"/>
        <v/>
      </c>
      <c r="U135" s="47"/>
      <c r="V135" s="1" t="str">
        <f t="shared" si="29"/>
        <v/>
      </c>
      <c r="W135" s="47"/>
      <c r="X135" s="1" t="str">
        <f t="shared" si="30"/>
        <v/>
      </c>
      <c r="Y135" s="47"/>
      <c r="Z135" s="1" t="str">
        <f t="shared" si="31"/>
        <v/>
      </c>
      <c r="AA135" s="47"/>
      <c r="AB135" s="1" t="str">
        <f t="shared" si="32"/>
        <v/>
      </c>
      <c r="AC135" s="47"/>
      <c r="AD135" s="1" t="str">
        <f t="shared" si="33"/>
        <v/>
      </c>
      <c r="AE135" s="47"/>
      <c r="AF135" s="1" t="str">
        <f t="shared" si="34"/>
        <v/>
      </c>
      <c r="AG135" s="47"/>
    </row>
    <row r="136" spans="1:33">
      <c r="A136">
        <f t="shared" si="36"/>
        <v>0</v>
      </c>
      <c r="B136" s="2" t="str">
        <f t="shared" si="35"/>
        <v/>
      </c>
      <c r="C136" s="4" t="str">
        <f t="shared" ref="C136:C199" si="37">TEXT(B136,"AAA")</f>
        <v/>
      </c>
      <c r="D136" s="3" t="str">
        <f t="shared" ref="D136:D199" si="38">IF(NOT(AND($F$3&lt;=B136,B136&lt;=$F$4)),"",$F$2&amp;"")</f>
        <v/>
      </c>
      <c r="E136" s="47"/>
      <c r="F136" s="3" t="str">
        <f t="shared" ref="F136:F199" si="39">IF(NOT(AND($G$3&lt;=B136,B136&lt;=$G$4)),"",$G$2&amp;"")</f>
        <v/>
      </c>
      <c r="G136" s="47"/>
      <c r="H136" s="3" t="str">
        <f t="shared" ref="H136:H199" si="40">IF(NOT(AND($H$3&lt;=B136,B136&lt;=$H$4)),"",$H$2&amp;"")</f>
        <v/>
      </c>
      <c r="I136" s="47"/>
      <c r="J136" s="3" t="str">
        <f t="shared" ref="J136:J199" si="41">IF(NOT(AND($I$3&lt;=B136,B136&lt;=$I$4)),"",$I$2&amp;"")</f>
        <v/>
      </c>
      <c r="K136" s="47"/>
      <c r="L136" s="3" t="str">
        <f t="shared" ref="L136:L199" si="42">IF(NOT(AND($J$3&lt;=B136,B136&lt;=$J$4)),"",$J$2&amp;"")</f>
        <v/>
      </c>
      <c r="M136" s="47"/>
      <c r="N136" s="3" t="str">
        <f t="shared" ref="N136:N199" si="43">IF(NOT(AND($K$3&lt;=B136,B136&lt;=$K$4)),"",$K$2&amp;"")</f>
        <v/>
      </c>
      <c r="O136" s="47"/>
      <c r="P136" s="3" t="str">
        <f t="shared" ref="P136:P199" si="44">IF(NOT(AND($L$3&lt;=B136,B136&lt;=$L$4)),"",$L$2&amp;"")</f>
        <v/>
      </c>
      <c r="Q136" s="47"/>
      <c r="R136" s="3" t="str">
        <f t="shared" ref="R136:R199" si="45">IF(NOT(AND($M$3&lt;=B136,B136&lt;=$M$4)),"",$M$2&amp;"")</f>
        <v/>
      </c>
      <c r="S136" s="47"/>
      <c r="T136" s="1" t="str">
        <f t="shared" ref="T136:T199" si="46">IF(NOT(AND($N$3&lt;=B136,B136&lt;=$N$4)),"",$N$2&amp;"")</f>
        <v/>
      </c>
      <c r="U136" s="47"/>
      <c r="V136" s="1" t="str">
        <f t="shared" ref="V136:V199" si="47">IF(NOT(AND($O$3&lt;=B136,B136&lt;=$O$4)),"",$O$2&amp;"")</f>
        <v/>
      </c>
      <c r="W136" s="47"/>
      <c r="X136" s="1" t="str">
        <f t="shared" ref="X136:X199" si="48">IF(NOT(AND($P$3&lt;=B136,B136&lt;=$P$4)),"",$P$2&amp;"")</f>
        <v/>
      </c>
      <c r="Y136" s="47"/>
      <c r="Z136" s="1" t="str">
        <f t="shared" ref="Z136:Z199" si="49">IF(NOT(AND($Q$3&lt;=B136,B136&lt;=$Q$4)),"",$Q$2&amp;"")</f>
        <v/>
      </c>
      <c r="AA136" s="47"/>
      <c r="AB136" s="1" t="str">
        <f t="shared" ref="AB136:AB199" si="50">IF(NOT(AND($R$3&lt;=B136,B136&lt;=$R$4)),"",$R$2&amp;"")</f>
        <v/>
      </c>
      <c r="AC136" s="47"/>
      <c r="AD136" s="1" t="str">
        <f t="shared" ref="AD136:AD199" si="51">IF(NOT(AND($S$3&lt;=B136,B136&lt;=$S$4)),"",$S$2&amp;"")</f>
        <v/>
      </c>
      <c r="AE136" s="47"/>
      <c r="AF136" s="1" t="str">
        <f t="shared" ref="AF136:AF199" si="52">IF(NOT(AND($T$3&lt;=B136,B136&lt;=$T$4)),"",$T$2&amp;"")</f>
        <v/>
      </c>
      <c r="AG136" s="47"/>
    </row>
    <row r="137" spans="1:33">
      <c r="A137">
        <f t="shared" si="36"/>
        <v>0</v>
      </c>
      <c r="B137" s="2" t="str">
        <f t="shared" ref="B137:B200" si="53">IFERROR(IF(B136+1&gt;$C$3,"",B136+1),"")</f>
        <v/>
      </c>
      <c r="C137" s="4" t="str">
        <f t="shared" si="37"/>
        <v/>
      </c>
      <c r="D137" s="3" t="str">
        <f t="shared" si="38"/>
        <v/>
      </c>
      <c r="E137" s="47"/>
      <c r="F137" s="3" t="str">
        <f t="shared" si="39"/>
        <v/>
      </c>
      <c r="G137" s="47"/>
      <c r="H137" s="3" t="str">
        <f t="shared" si="40"/>
        <v/>
      </c>
      <c r="I137" s="47"/>
      <c r="J137" s="3" t="str">
        <f t="shared" si="41"/>
        <v/>
      </c>
      <c r="K137" s="47"/>
      <c r="L137" s="3" t="str">
        <f t="shared" si="42"/>
        <v/>
      </c>
      <c r="M137" s="47"/>
      <c r="N137" s="3" t="str">
        <f t="shared" si="43"/>
        <v/>
      </c>
      <c r="O137" s="47"/>
      <c r="P137" s="3" t="str">
        <f t="shared" si="44"/>
        <v/>
      </c>
      <c r="Q137" s="47"/>
      <c r="R137" s="3" t="str">
        <f t="shared" si="45"/>
        <v/>
      </c>
      <c r="S137" s="47"/>
      <c r="T137" s="1" t="str">
        <f t="shared" si="46"/>
        <v/>
      </c>
      <c r="U137" s="47"/>
      <c r="V137" s="1" t="str">
        <f t="shared" si="47"/>
        <v/>
      </c>
      <c r="W137" s="47"/>
      <c r="X137" s="1" t="str">
        <f t="shared" si="48"/>
        <v/>
      </c>
      <c r="Y137" s="47"/>
      <c r="Z137" s="1" t="str">
        <f t="shared" si="49"/>
        <v/>
      </c>
      <c r="AA137" s="47"/>
      <c r="AB137" s="1" t="str">
        <f t="shared" si="50"/>
        <v/>
      </c>
      <c r="AC137" s="47"/>
      <c r="AD137" s="1" t="str">
        <f t="shared" si="51"/>
        <v/>
      </c>
      <c r="AE137" s="47"/>
      <c r="AF137" s="1" t="str">
        <f t="shared" si="52"/>
        <v/>
      </c>
      <c r="AG137" s="47"/>
    </row>
    <row r="138" spans="1:33">
      <c r="A138">
        <f t="shared" si="36"/>
        <v>0</v>
      </c>
      <c r="B138" s="2" t="str">
        <f t="shared" si="53"/>
        <v/>
      </c>
      <c r="C138" s="4" t="str">
        <f t="shared" si="37"/>
        <v/>
      </c>
      <c r="D138" s="3" t="str">
        <f t="shared" si="38"/>
        <v/>
      </c>
      <c r="E138" s="47"/>
      <c r="F138" s="3" t="str">
        <f t="shared" si="39"/>
        <v/>
      </c>
      <c r="G138" s="47"/>
      <c r="H138" s="3" t="str">
        <f t="shared" si="40"/>
        <v/>
      </c>
      <c r="I138" s="47"/>
      <c r="J138" s="3" t="str">
        <f t="shared" si="41"/>
        <v/>
      </c>
      <c r="K138" s="47"/>
      <c r="L138" s="3" t="str">
        <f t="shared" si="42"/>
        <v/>
      </c>
      <c r="M138" s="47"/>
      <c r="N138" s="3" t="str">
        <f t="shared" si="43"/>
        <v/>
      </c>
      <c r="O138" s="47"/>
      <c r="P138" s="3" t="str">
        <f t="shared" si="44"/>
        <v/>
      </c>
      <c r="Q138" s="47"/>
      <c r="R138" s="3" t="str">
        <f t="shared" si="45"/>
        <v/>
      </c>
      <c r="S138" s="47"/>
      <c r="T138" s="1" t="str">
        <f t="shared" si="46"/>
        <v/>
      </c>
      <c r="U138" s="47"/>
      <c r="V138" s="1" t="str">
        <f t="shared" si="47"/>
        <v/>
      </c>
      <c r="W138" s="47"/>
      <c r="X138" s="1" t="str">
        <f t="shared" si="48"/>
        <v/>
      </c>
      <c r="Y138" s="47"/>
      <c r="Z138" s="1" t="str">
        <f t="shared" si="49"/>
        <v/>
      </c>
      <c r="AA138" s="47"/>
      <c r="AB138" s="1" t="str">
        <f t="shared" si="50"/>
        <v/>
      </c>
      <c r="AC138" s="47"/>
      <c r="AD138" s="1" t="str">
        <f t="shared" si="51"/>
        <v/>
      </c>
      <c r="AE138" s="47"/>
      <c r="AF138" s="1" t="str">
        <f t="shared" si="52"/>
        <v/>
      </c>
      <c r="AG138" s="47"/>
    </row>
    <row r="139" spans="1:33">
      <c r="A139">
        <f t="shared" si="36"/>
        <v>0</v>
      </c>
      <c r="B139" s="2" t="str">
        <f t="shared" si="53"/>
        <v/>
      </c>
      <c r="C139" s="4" t="str">
        <f t="shared" si="37"/>
        <v/>
      </c>
      <c r="D139" s="3" t="str">
        <f t="shared" si="38"/>
        <v/>
      </c>
      <c r="E139" s="47"/>
      <c r="F139" s="3" t="str">
        <f t="shared" si="39"/>
        <v/>
      </c>
      <c r="G139" s="47"/>
      <c r="H139" s="3" t="str">
        <f t="shared" si="40"/>
        <v/>
      </c>
      <c r="I139" s="47"/>
      <c r="J139" s="3" t="str">
        <f t="shared" si="41"/>
        <v/>
      </c>
      <c r="K139" s="47"/>
      <c r="L139" s="3" t="str">
        <f t="shared" si="42"/>
        <v/>
      </c>
      <c r="M139" s="47"/>
      <c r="N139" s="3" t="str">
        <f t="shared" si="43"/>
        <v/>
      </c>
      <c r="O139" s="47"/>
      <c r="P139" s="3" t="str">
        <f t="shared" si="44"/>
        <v/>
      </c>
      <c r="Q139" s="47"/>
      <c r="R139" s="3" t="str">
        <f t="shared" si="45"/>
        <v/>
      </c>
      <c r="S139" s="47"/>
      <c r="T139" s="1" t="str">
        <f t="shared" si="46"/>
        <v/>
      </c>
      <c r="U139" s="47"/>
      <c r="V139" s="1" t="str">
        <f t="shared" si="47"/>
        <v/>
      </c>
      <c r="W139" s="47"/>
      <c r="X139" s="1" t="str">
        <f t="shared" si="48"/>
        <v/>
      </c>
      <c r="Y139" s="47"/>
      <c r="Z139" s="1" t="str">
        <f t="shared" si="49"/>
        <v/>
      </c>
      <c r="AA139" s="47"/>
      <c r="AB139" s="1" t="str">
        <f t="shared" si="50"/>
        <v/>
      </c>
      <c r="AC139" s="47"/>
      <c r="AD139" s="1" t="str">
        <f t="shared" si="51"/>
        <v/>
      </c>
      <c r="AE139" s="47"/>
      <c r="AF139" s="1" t="str">
        <f t="shared" si="52"/>
        <v/>
      </c>
      <c r="AG139" s="47"/>
    </row>
    <row r="140" spans="1:33">
      <c r="A140">
        <f t="shared" si="36"/>
        <v>0</v>
      </c>
      <c r="B140" s="2" t="str">
        <f t="shared" si="53"/>
        <v/>
      </c>
      <c r="C140" s="4" t="str">
        <f t="shared" si="37"/>
        <v/>
      </c>
      <c r="D140" s="3" t="str">
        <f t="shared" si="38"/>
        <v/>
      </c>
      <c r="E140" s="47"/>
      <c r="F140" s="3" t="str">
        <f t="shared" si="39"/>
        <v/>
      </c>
      <c r="G140" s="47"/>
      <c r="H140" s="3" t="str">
        <f t="shared" si="40"/>
        <v/>
      </c>
      <c r="I140" s="47"/>
      <c r="J140" s="3" t="str">
        <f t="shared" si="41"/>
        <v/>
      </c>
      <c r="K140" s="47"/>
      <c r="L140" s="3" t="str">
        <f t="shared" si="42"/>
        <v/>
      </c>
      <c r="M140" s="47"/>
      <c r="N140" s="3" t="str">
        <f t="shared" si="43"/>
        <v/>
      </c>
      <c r="O140" s="47"/>
      <c r="P140" s="3" t="str">
        <f t="shared" si="44"/>
        <v/>
      </c>
      <c r="Q140" s="47"/>
      <c r="R140" s="3" t="str">
        <f t="shared" si="45"/>
        <v/>
      </c>
      <c r="S140" s="47"/>
      <c r="T140" s="1" t="str">
        <f t="shared" si="46"/>
        <v/>
      </c>
      <c r="U140" s="47"/>
      <c r="V140" s="1" t="str">
        <f t="shared" si="47"/>
        <v/>
      </c>
      <c r="W140" s="47"/>
      <c r="X140" s="1" t="str">
        <f t="shared" si="48"/>
        <v/>
      </c>
      <c r="Y140" s="47"/>
      <c r="Z140" s="1" t="str">
        <f t="shared" si="49"/>
        <v/>
      </c>
      <c r="AA140" s="47"/>
      <c r="AB140" s="1" t="str">
        <f t="shared" si="50"/>
        <v/>
      </c>
      <c r="AC140" s="47"/>
      <c r="AD140" s="1" t="str">
        <f t="shared" si="51"/>
        <v/>
      </c>
      <c r="AE140" s="47"/>
      <c r="AF140" s="1" t="str">
        <f t="shared" si="52"/>
        <v/>
      </c>
      <c r="AG140" s="47"/>
    </row>
    <row r="141" spans="1:33">
      <c r="A141">
        <f t="shared" si="36"/>
        <v>0</v>
      </c>
      <c r="B141" s="2" t="str">
        <f t="shared" si="53"/>
        <v/>
      </c>
      <c r="C141" s="4" t="str">
        <f t="shared" si="37"/>
        <v/>
      </c>
      <c r="D141" s="3" t="str">
        <f t="shared" si="38"/>
        <v/>
      </c>
      <c r="E141" s="47"/>
      <c r="F141" s="3" t="str">
        <f t="shared" si="39"/>
        <v/>
      </c>
      <c r="G141" s="47"/>
      <c r="H141" s="3" t="str">
        <f t="shared" si="40"/>
        <v/>
      </c>
      <c r="I141" s="47"/>
      <c r="J141" s="3" t="str">
        <f t="shared" si="41"/>
        <v/>
      </c>
      <c r="K141" s="47"/>
      <c r="L141" s="3" t="str">
        <f t="shared" si="42"/>
        <v/>
      </c>
      <c r="M141" s="47"/>
      <c r="N141" s="3" t="str">
        <f t="shared" si="43"/>
        <v/>
      </c>
      <c r="O141" s="47"/>
      <c r="P141" s="3" t="str">
        <f t="shared" si="44"/>
        <v/>
      </c>
      <c r="Q141" s="47"/>
      <c r="R141" s="3" t="str">
        <f t="shared" si="45"/>
        <v/>
      </c>
      <c r="S141" s="47"/>
      <c r="T141" s="1" t="str">
        <f t="shared" si="46"/>
        <v/>
      </c>
      <c r="U141" s="47"/>
      <c r="V141" s="1" t="str">
        <f t="shared" si="47"/>
        <v/>
      </c>
      <c r="W141" s="47"/>
      <c r="X141" s="1" t="str">
        <f t="shared" si="48"/>
        <v/>
      </c>
      <c r="Y141" s="47"/>
      <c r="Z141" s="1" t="str">
        <f t="shared" si="49"/>
        <v/>
      </c>
      <c r="AA141" s="47"/>
      <c r="AB141" s="1" t="str">
        <f t="shared" si="50"/>
        <v/>
      </c>
      <c r="AC141" s="47"/>
      <c r="AD141" s="1" t="str">
        <f t="shared" si="51"/>
        <v/>
      </c>
      <c r="AE141" s="47"/>
      <c r="AF141" s="1" t="str">
        <f t="shared" si="52"/>
        <v/>
      </c>
      <c r="AG141" s="47"/>
    </row>
    <row r="142" spans="1:33">
      <c r="A142">
        <f t="shared" si="36"/>
        <v>0</v>
      </c>
      <c r="B142" s="2" t="str">
        <f t="shared" si="53"/>
        <v/>
      </c>
      <c r="C142" s="4" t="str">
        <f t="shared" si="37"/>
        <v/>
      </c>
      <c r="D142" s="3" t="str">
        <f t="shared" si="38"/>
        <v/>
      </c>
      <c r="E142" s="47"/>
      <c r="F142" s="3" t="str">
        <f t="shared" si="39"/>
        <v/>
      </c>
      <c r="G142" s="47"/>
      <c r="H142" s="3" t="str">
        <f t="shared" si="40"/>
        <v/>
      </c>
      <c r="I142" s="47"/>
      <c r="J142" s="3" t="str">
        <f t="shared" si="41"/>
        <v/>
      </c>
      <c r="K142" s="47"/>
      <c r="L142" s="3" t="str">
        <f t="shared" si="42"/>
        <v/>
      </c>
      <c r="M142" s="47"/>
      <c r="N142" s="3" t="str">
        <f t="shared" si="43"/>
        <v/>
      </c>
      <c r="O142" s="47"/>
      <c r="P142" s="3" t="str">
        <f t="shared" si="44"/>
        <v/>
      </c>
      <c r="Q142" s="47"/>
      <c r="R142" s="3" t="str">
        <f t="shared" si="45"/>
        <v/>
      </c>
      <c r="S142" s="47"/>
      <c r="T142" s="1" t="str">
        <f t="shared" si="46"/>
        <v/>
      </c>
      <c r="U142" s="47"/>
      <c r="V142" s="1" t="str">
        <f t="shared" si="47"/>
        <v/>
      </c>
      <c r="W142" s="47"/>
      <c r="X142" s="1" t="str">
        <f t="shared" si="48"/>
        <v/>
      </c>
      <c r="Y142" s="47"/>
      <c r="Z142" s="1" t="str">
        <f t="shared" si="49"/>
        <v/>
      </c>
      <c r="AA142" s="47"/>
      <c r="AB142" s="1" t="str">
        <f t="shared" si="50"/>
        <v/>
      </c>
      <c r="AC142" s="47"/>
      <c r="AD142" s="1" t="str">
        <f t="shared" si="51"/>
        <v/>
      </c>
      <c r="AE142" s="47"/>
      <c r="AF142" s="1" t="str">
        <f t="shared" si="52"/>
        <v/>
      </c>
      <c r="AG142" s="47"/>
    </row>
    <row r="143" spans="1:33">
      <c r="A143">
        <f t="shared" si="36"/>
        <v>0</v>
      </c>
      <c r="B143" s="2" t="str">
        <f t="shared" si="53"/>
        <v/>
      </c>
      <c r="C143" s="4" t="str">
        <f t="shared" si="37"/>
        <v/>
      </c>
      <c r="D143" s="3" t="str">
        <f t="shared" si="38"/>
        <v/>
      </c>
      <c r="E143" s="47"/>
      <c r="F143" s="3" t="str">
        <f t="shared" si="39"/>
        <v/>
      </c>
      <c r="G143" s="47"/>
      <c r="H143" s="3" t="str">
        <f t="shared" si="40"/>
        <v/>
      </c>
      <c r="I143" s="47"/>
      <c r="J143" s="3" t="str">
        <f t="shared" si="41"/>
        <v/>
      </c>
      <c r="K143" s="47"/>
      <c r="L143" s="3" t="str">
        <f t="shared" si="42"/>
        <v/>
      </c>
      <c r="M143" s="47"/>
      <c r="N143" s="3" t="str">
        <f t="shared" si="43"/>
        <v/>
      </c>
      <c r="O143" s="47"/>
      <c r="P143" s="3" t="str">
        <f t="shared" si="44"/>
        <v/>
      </c>
      <c r="Q143" s="47"/>
      <c r="R143" s="3" t="str">
        <f t="shared" si="45"/>
        <v/>
      </c>
      <c r="S143" s="47"/>
      <c r="T143" s="1" t="str">
        <f t="shared" si="46"/>
        <v/>
      </c>
      <c r="U143" s="47"/>
      <c r="V143" s="1" t="str">
        <f t="shared" si="47"/>
        <v/>
      </c>
      <c r="W143" s="47"/>
      <c r="X143" s="1" t="str">
        <f t="shared" si="48"/>
        <v/>
      </c>
      <c r="Y143" s="47"/>
      <c r="Z143" s="1" t="str">
        <f t="shared" si="49"/>
        <v/>
      </c>
      <c r="AA143" s="47"/>
      <c r="AB143" s="1" t="str">
        <f t="shared" si="50"/>
        <v/>
      </c>
      <c r="AC143" s="47"/>
      <c r="AD143" s="1" t="str">
        <f t="shared" si="51"/>
        <v/>
      </c>
      <c r="AE143" s="47"/>
      <c r="AF143" s="1" t="str">
        <f t="shared" si="52"/>
        <v/>
      </c>
      <c r="AG143" s="47"/>
    </row>
    <row r="144" spans="1:33">
      <c r="A144">
        <f t="shared" si="36"/>
        <v>0</v>
      </c>
      <c r="B144" s="2" t="str">
        <f t="shared" si="53"/>
        <v/>
      </c>
      <c r="C144" s="4" t="str">
        <f t="shared" si="37"/>
        <v/>
      </c>
      <c r="D144" s="3" t="str">
        <f t="shared" si="38"/>
        <v/>
      </c>
      <c r="E144" s="47"/>
      <c r="F144" s="3" t="str">
        <f t="shared" si="39"/>
        <v/>
      </c>
      <c r="G144" s="47"/>
      <c r="H144" s="3" t="str">
        <f t="shared" si="40"/>
        <v/>
      </c>
      <c r="I144" s="47"/>
      <c r="J144" s="3" t="str">
        <f t="shared" si="41"/>
        <v/>
      </c>
      <c r="K144" s="47"/>
      <c r="L144" s="3" t="str">
        <f t="shared" si="42"/>
        <v/>
      </c>
      <c r="M144" s="47"/>
      <c r="N144" s="3" t="str">
        <f t="shared" si="43"/>
        <v/>
      </c>
      <c r="O144" s="47"/>
      <c r="P144" s="3" t="str">
        <f t="shared" si="44"/>
        <v/>
      </c>
      <c r="Q144" s="47"/>
      <c r="R144" s="3" t="str">
        <f t="shared" si="45"/>
        <v/>
      </c>
      <c r="S144" s="47"/>
      <c r="T144" s="1" t="str">
        <f t="shared" si="46"/>
        <v/>
      </c>
      <c r="U144" s="47"/>
      <c r="V144" s="1" t="str">
        <f t="shared" si="47"/>
        <v/>
      </c>
      <c r="W144" s="47"/>
      <c r="X144" s="1" t="str">
        <f t="shared" si="48"/>
        <v/>
      </c>
      <c r="Y144" s="47"/>
      <c r="Z144" s="1" t="str">
        <f t="shared" si="49"/>
        <v/>
      </c>
      <c r="AA144" s="47"/>
      <c r="AB144" s="1" t="str">
        <f t="shared" si="50"/>
        <v/>
      </c>
      <c r="AC144" s="47"/>
      <c r="AD144" s="1" t="str">
        <f t="shared" si="51"/>
        <v/>
      </c>
      <c r="AE144" s="47"/>
      <c r="AF144" s="1" t="str">
        <f t="shared" si="52"/>
        <v/>
      </c>
      <c r="AG144" s="47"/>
    </row>
    <row r="145" spans="1:33">
      <c r="A145">
        <f t="shared" si="36"/>
        <v>0</v>
      </c>
      <c r="B145" s="2" t="str">
        <f t="shared" si="53"/>
        <v/>
      </c>
      <c r="C145" s="4" t="str">
        <f t="shared" si="37"/>
        <v/>
      </c>
      <c r="D145" s="3" t="str">
        <f t="shared" si="38"/>
        <v/>
      </c>
      <c r="E145" s="47"/>
      <c r="F145" s="3" t="str">
        <f t="shared" si="39"/>
        <v/>
      </c>
      <c r="G145" s="47"/>
      <c r="H145" s="3" t="str">
        <f t="shared" si="40"/>
        <v/>
      </c>
      <c r="I145" s="47"/>
      <c r="J145" s="3" t="str">
        <f t="shared" si="41"/>
        <v/>
      </c>
      <c r="K145" s="47"/>
      <c r="L145" s="3" t="str">
        <f t="shared" si="42"/>
        <v/>
      </c>
      <c r="M145" s="47"/>
      <c r="N145" s="3" t="str">
        <f t="shared" si="43"/>
        <v/>
      </c>
      <c r="O145" s="47"/>
      <c r="P145" s="3" t="str">
        <f t="shared" si="44"/>
        <v/>
      </c>
      <c r="Q145" s="47"/>
      <c r="R145" s="3" t="str">
        <f t="shared" si="45"/>
        <v/>
      </c>
      <c r="S145" s="47"/>
      <c r="T145" s="1" t="str">
        <f t="shared" si="46"/>
        <v/>
      </c>
      <c r="U145" s="47"/>
      <c r="V145" s="1" t="str">
        <f t="shared" si="47"/>
        <v/>
      </c>
      <c r="W145" s="47"/>
      <c r="X145" s="1" t="str">
        <f t="shared" si="48"/>
        <v/>
      </c>
      <c r="Y145" s="47"/>
      <c r="Z145" s="1" t="str">
        <f t="shared" si="49"/>
        <v/>
      </c>
      <c r="AA145" s="47"/>
      <c r="AB145" s="1" t="str">
        <f t="shared" si="50"/>
        <v/>
      </c>
      <c r="AC145" s="47"/>
      <c r="AD145" s="1" t="str">
        <f t="shared" si="51"/>
        <v/>
      </c>
      <c r="AE145" s="47"/>
      <c r="AF145" s="1" t="str">
        <f t="shared" si="52"/>
        <v/>
      </c>
      <c r="AG145" s="47"/>
    </row>
    <row r="146" spans="1:33">
      <c r="A146">
        <f t="shared" si="36"/>
        <v>0</v>
      </c>
      <c r="B146" s="2" t="str">
        <f t="shared" si="53"/>
        <v/>
      </c>
      <c r="C146" s="4" t="str">
        <f t="shared" si="37"/>
        <v/>
      </c>
      <c r="D146" s="3" t="str">
        <f t="shared" si="38"/>
        <v/>
      </c>
      <c r="E146" s="47"/>
      <c r="F146" s="3" t="str">
        <f t="shared" si="39"/>
        <v/>
      </c>
      <c r="G146" s="47"/>
      <c r="H146" s="3" t="str">
        <f t="shared" si="40"/>
        <v/>
      </c>
      <c r="I146" s="47"/>
      <c r="J146" s="3" t="str">
        <f t="shared" si="41"/>
        <v/>
      </c>
      <c r="K146" s="47"/>
      <c r="L146" s="3" t="str">
        <f t="shared" si="42"/>
        <v/>
      </c>
      <c r="M146" s="47"/>
      <c r="N146" s="3" t="str">
        <f t="shared" si="43"/>
        <v/>
      </c>
      <c r="O146" s="47"/>
      <c r="P146" s="3" t="str">
        <f t="shared" si="44"/>
        <v/>
      </c>
      <c r="Q146" s="47"/>
      <c r="R146" s="3" t="str">
        <f t="shared" si="45"/>
        <v/>
      </c>
      <c r="S146" s="47"/>
      <c r="T146" s="1" t="str">
        <f t="shared" si="46"/>
        <v/>
      </c>
      <c r="U146" s="47"/>
      <c r="V146" s="1" t="str">
        <f t="shared" si="47"/>
        <v/>
      </c>
      <c r="W146" s="47"/>
      <c r="X146" s="1" t="str">
        <f t="shared" si="48"/>
        <v/>
      </c>
      <c r="Y146" s="47"/>
      <c r="Z146" s="1" t="str">
        <f t="shared" si="49"/>
        <v/>
      </c>
      <c r="AA146" s="47"/>
      <c r="AB146" s="1" t="str">
        <f t="shared" si="50"/>
        <v/>
      </c>
      <c r="AC146" s="47"/>
      <c r="AD146" s="1" t="str">
        <f t="shared" si="51"/>
        <v/>
      </c>
      <c r="AE146" s="47"/>
      <c r="AF146" s="1" t="str">
        <f t="shared" si="52"/>
        <v/>
      </c>
      <c r="AG146" s="47"/>
    </row>
    <row r="147" spans="1:33">
      <c r="A147">
        <f t="shared" si="36"/>
        <v>0</v>
      </c>
      <c r="B147" s="2" t="str">
        <f t="shared" si="53"/>
        <v/>
      </c>
      <c r="C147" s="4" t="str">
        <f t="shared" si="37"/>
        <v/>
      </c>
      <c r="D147" s="3" t="str">
        <f t="shared" si="38"/>
        <v/>
      </c>
      <c r="E147" s="47"/>
      <c r="F147" s="3" t="str">
        <f t="shared" si="39"/>
        <v/>
      </c>
      <c r="G147" s="47"/>
      <c r="H147" s="3" t="str">
        <f t="shared" si="40"/>
        <v/>
      </c>
      <c r="I147" s="47"/>
      <c r="J147" s="3" t="str">
        <f t="shared" si="41"/>
        <v/>
      </c>
      <c r="K147" s="47"/>
      <c r="L147" s="3" t="str">
        <f t="shared" si="42"/>
        <v/>
      </c>
      <c r="M147" s="47"/>
      <c r="N147" s="3" t="str">
        <f t="shared" si="43"/>
        <v/>
      </c>
      <c r="O147" s="47"/>
      <c r="P147" s="3" t="str">
        <f t="shared" si="44"/>
        <v/>
      </c>
      <c r="Q147" s="47"/>
      <c r="R147" s="3" t="str">
        <f t="shared" si="45"/>
        <v/>
      </c>
      <c r="S147" s="47"/>
      <c r="T147" s="1" t="str">
        <f t="shared" si="46"/>
        <v/>
      </c>
      <c r="U147" s="47"/>
      <c r="V147" s="1" t="str">
        <f t="shared" si="47"/>
        <v/>
      </c>
      <c r="W147" s="47"/>
      <c r="X147" s="1" t="str">
        <f t="shared" si="48"/>
        <v/>
      </c>
      <c r="Y147" s="47"/>
      <c r="Z147" s="1" t="str">
        <f t="shared" si="49"/>
        <v/>
      </c>
      <c r="AA147" s="47"/>
      <c r="AB147" s="1" t="str">
        <f t="shared" si="50"/>
        <v/>
      </c>
      <c r="AC147" s="47"/>
      <c r="AD147" s="1" t="str">
        <f t="shared" si="51"/>
        <v/>
      </c>
      <c r="AE147" s="47"/>
      <c r="AF147" s="1" t="str">
        <f t="shared" si="52"/>
        <v/>
      </c>
      <c r="AG147" s="47"/>
    </row>
    <row r="148" spans="1:33">
      <c r="A148">
        <f t="shared" si="36"/>
        <v>0</v>
      </c>
      <c r="B148" s="2" t="str">
        <f t="shared" si="53"/>
        <v/>
      </c>
      <c r="C148" s="4" t="str">
        <f t="shared" si="37"/>
        <v/>
      </c>
      <c r="D148" s="3" t="str">
        <f t="shared" si="38"/>
        <v/>
      </c>
      <c r="E148" s="47"/>
      <c r="F148" s="3" t="str">
        <f t="shared" si="39"/>
        <v/>
      </c>
      <c r="G148" s="47"/>
      <c r="H148" s="3" t="str">
        <f t="shared" si="40"/>
        <v/>
      </c>
      <c r="I148" s="47"/>
      <c r="J148" s="3" t="str">
        <f t="shared" si="41"/>
        <v/>
      </c>
      <c r="K148" s="47"/>
      <c r="L148" s="3" t="str">
        <f t="shared" si="42"/>
        <v/>
      </c>
      <c r="M148" s="47"/>
      <c r="N148" s="3" t="str">
        <f t="shared" si="43"/>
        <v/>
      </c>
      <c r="O148" s="47"/>
      <c r="P148" s="3" t="str">
        <f t="shared" si="44"/>
        <v/>
      </c>
      <c r="Q148" s="47"/>
      <c r="R148" s="3" t="str">
        <f t="shared" si="45"/>
        <v/>
      </c>
      <c r="S148" s="47"/>
      <c r="T148" s="1" t="str">
        <f t="shared" si="46"/>
        <v/>
      </c>
      <c r="U148" s="47"/>
      <c r="V148" s="1" t="str">
        <f t="shared" si="47"/>
        <v/>
      </c>
      <c r="W148" s="47"/>
      <c r="X148" s="1" t="str">
        <f t="shared" si="48"/>
        <v/>
      </c>
      <c r="Y148" s="47"/>
      <c r="Z148" s="1" t="str">
        <f t="shared" si="49"/>
        <v/>
      </c>
      <c r="AA148" s="47"/>
      <c r="AB148" s="1" t="str">
        <f t="shared" si="50"/>
        <v/>
      </c>
      <c r="AC148" s="47"/>
      <c r="AD148" s="1" t="str">
        <f t="shared" si="51"/>
        <v/>
      </c>
      <c r="AE148" s="47"/>
      <c r="AF148" s="1" t="str">
        <f t="shared" si="52"/>
        <v/>
      </c>
      <c r="AG148" s="47"/>
    </row>
    <row r="149" spans="1:33">
      <c r="A149">
        <f t="shared" si="36"/>
        <v>0</v>
      </c>
      <c r="B149" s="2" t="str">
        <f t="shared" si="53"/>
        <v/>
      </c>
      <c r="C149" s="4" t="str">
        <f t="shared" si="37"/>
        <v/>
      </c>
      <c r="D149" s="3" t="str">
        <f t="shared" si="38"/>
        <v/>
      </c>
      <c r="E149" s="47"/>
      <c r="F149" s="3" t="str">
        <f t="shared" si="39"/>
        <v/>
      </c>
      <c r="G149" s="47"/>
      <c r="H149" s="3" t="str">
        <f t="shared" si="40"/>
        <v/>
      </c>
      <c r="I149" s="47"/>
      <c r="J149" s="3" t="str">
        <f t="shared" si="41"/>
        <v/>
      </c>
      <c r="K149" s="47"/>
      <c r="L149" s="3" t="str">
        <f t="shared" si="42"/>
        <v/>
      </c>
      <c r="M149" s="47"/>
      <c r="N149" s="3" t="str">
        <f t="shared" si="43"/>
        <v/>
      </c>
      <c r="O149" s="47"/>
      <c r="P149" s="3" t="str">
        <f t="shared" si="44"/>
        <v/>
      </c>
      <c r="Q149" s="47"/>
      <c r="R149" s="3" t="str">
        <f t="shared" si="45"/>
        <v/>
      </c>
      <c r="S149" s="47"/>
      <c r="T149" s="1" t="str">
        <f t="shared" si="46"/>
        <v/>
      </c>
      <c r="U149" s="47"/>
      <c r="V149" s="1" t="str">
        <f t="shared" si="47"/>
        <v/>
      </c>
      <c r="W149" s="47"/>
      <c r="X149" s="1" t="str">
        <f t="shared" si="48"/>
        <v/>
      </c>
      <c r="Y149" s="47"/>
      <c r="Z149" s="1" t="str">
        <f t="shared" si="49"/>
        <v/>
      </c>
      <c r="AA149" s="47"/>
      <c r="AB149" s="1" t="str">
        <f t="shared" si="50"/>
        <v/>
      </c>
      <c r="AC149" s="47"/>
      <c r="AD149" s="1" t="str">
        <f t="shared" si="51"/>
        <v/>
      </c>
      <c r="AE149" s="47"/>
      <c r="AF149" s="1" t="str">
        <f t="shared" si="52"/>
        <v/>
      </c>
      <c r="AG149" s="47"/>
    </row>
    <row r="150" spans="1:33">
      <c r="A150">
        <f t="shared" si="36"/>
        <v>0</v>
      </c>
      <c r="B150" s="2" t="str">
        <f t="shared" si="53"/>
        <v/>
      </c>
      <c r="C150" s="4" t="str">
        <f t="shared" si="37"/>
        <v/>
      </c>
      <c r="D150" s="3" t="str">
        <f t="shared" si="38"/>
        <v/>
      </c>
      <c r="E150" s="47"/>
      <c r="F150" s="3" t="str">
        <f t="shared" si="39"/>
        <v/>
      </c>
      <c r="G150" s="47"/>
      <c r="H150" s="3" t="str">
        <f t="shared" si="40"/>
        <v/>
      </c>
      <c r="I150" s="47"/>
      <c r="J150" s="3" t="str">
        <f t="shared" si="41"/>
        <v/>
      </c>
      <c r="K150" s="47"/>
      <c r="L150" s="3" t="str">
        <f t="shared" si="42"/>
        <v/>
      </c>
      <c r="M150" s="47"/>
      <c r="N150" s="3" t="str">
        <f t="shared" si="43"/>
        <v/>
      </c>
      <c r="O150" s="47"/>
      <c r="P150" s="3" t="str">
        <f t="shared" si="44"/>
        <v/>
      </c>
      <c r="Q150" s="47"/>
      <c r="R150" s="3" t="str">
        <f t="shared" si="45"/>
        <v/>
      </c>
      <c r="S150" s="47"/>
      <c r="T150" s="1" t="str">
        <f t="shared" si="46"/>
        <v/>
      </c>
      <c r="U150" s="47"/>
      <c r="V150" s="1" t="str">
        <f t="shared" si="47"/>
        <v/>
      </c>
      <c r="W150" s="47"/>
      <c r="X150" s="1" t="str">
        <f t="shared" si="48"/>
        <v/>
      </c>
      <c r="Y150" s="47"/>
      <c r="Z150" s="1" t="str">
        <f t="shared" si="49"/>
        <v/>
      </c>
      <c r="AA150" s="47"/>
      <c r="AB150" s="1" t="str">
        <f t="shared" si="50"/>
        <v/>
      </c>
      <c r="AC150" s="47"/>
      <c r="AD150" s="1" t="str">
        <f t="shared" si="51"/>
        <v/>
      </c>
      <c r="AE150" s="47"/>
      <c r="AF150" s="1" t="str">
        <f t="shared" si="52"/>
        <v/>
      </c>
      <c r="AG150" s="47"/>
    </row>
    <row r="151" spans="1:33">
      <c r="A151">
        <f t="shared" si="36"/>
        <v>0</v>
      </c>
      <c r="B151" s="2" t="str">
        <f t="shared" si="53"/>
        <v/>
      </c>
      <c r="C151" s="4" t="str">
        <f t="shared" si="37"/>
        <v/>
      </c>
      <c r="D151" s="3" t="str">
        <f t="shared" si="38"/>
        <v/>
      </c>
      <c r="E151" s="47"/>
      <c r="F151" s="3" t="str">
        <f t="shared" si="39"/>
        <v/>
      </c>
      <c r="G151" s="47"/>
      <c r="H151" s="3" t="str">
        <f t="shared" si="40"/>
        <v/>
      </c>
      <c r="I151" s="47"/>
      <c r="J151" s="3" t="str">
        <f t="shared" si="41"/>
        <v/>
      </c>
      <c r="K151" s="47"/>
      <c r="L151" s="3" t="str">
        <f t="shared" si="42"/>
        <v/>
      </c>
      <c r="M151" s="47"/>
      <c r="N151" s="3" t="str">
        <f t="shared" si="43"/>
        <v/>
      </c>
      <c r="O151" s="47"/>
      <c r="P151" s="3" t="str">
        <f t="shared" si="44"/>
        <v/>
      </c>
      <c r="Q151" s="47"/>
      <c r="R151" s="3" t="str">
        <f t="shared" si="45"/>
        <v/>
      </c>
      <c r="S151" s="47"/>
      <c r="T151" s="1" t="str">
        <f t="shared" si="46"/>
        <v/>
      </c>
      <c r="U151" s="47"/>
      <c r="V151" s="1" t="str">
        <f t="shared" si="47"/>
        <v/>
      </c>
      <c r="W151" s="47"/>
      <c r="X151" s="1" t="str">
        <f t="shared" si="48"/>
        <v/>
      </c>
      <c r="Y151" s="47"/>
      <c r="Z151" s="1" t="str">
        <f t="shared" si="49"/>
        <v/>
      </c>
      <c r="AA151" s="47"/>
      <c r="AB151" s="1" t="str">
        <f t="shared" si="50"/>
        <v/>
      </c>
      <c r="AC151" s="47"/>
      <c r="AD151" s="1" t="str">
        <f t="shared" si="51"/>
        <v/>
      </c>
      <c r="AE151" s="47"/>
      <c r="AF151" s="1" t="str">
        <f t="shared" si="52"/>
        <v/>
      </c>
      <c r="AG151" s="47"/>
    </row>
    <row r="152" spans="1:33">
      <c r="A152">
        <f t="shared" si="36"/>
        <v>0</v>
      </c>
      <c r="B152" s="2" t="str">
        <f t="shared" si="53"/>
        <v/>
      </c>
      <c r="C152" s="4" t="str">
        <f t="shared" si="37"/>
        <v/>
      </c>
      <c r="D152" s="3" t="str">
        <f t="shared" si="38"/>
        <v/>
      </c>
      <c r="E152" s="47"/>
      <c r="F152" s="3" t="str">
        <f t="shared" si="39"/>
        <v/>
      </c>
      <c r="G152" s="47"/>
      <c r="H152" s="3" t="str">
        <f t="shared" si="40"/>
        <v/>
      </c>
      <c r="I152" s="47"/>
      <c r="J152" s="3" t="str">
        <f t="shared" si="41"/>
        <v/>
      </c>
      <c r="K152" s="47"/>
      <c r="L152" s="3" t="str">
        <f t="shared" si="42"/>
        <v/>
      </c>
      <c r="M152" s="47"/>
      <c r="N152" s="3" t="str">
        <f t="shared" si="43"/>
        <v/>
      </c>
      <c r="O152" s="47"/>
      <c r="P152" s="3" t="str">
        <f t="shared" si="44"/>
        <v/>
      </c>
      <c r="Q152" s="47"/>
      <c r="R152" s="3" t="str">
        <f t="shared" si="45"/>
        <v/>
      </c>
      <c r="S152" s="47"/>
      <c r="T152" s="1" t="str">
        <f t="shared" si="46"/>
        <v/>
      </c>
      <c r="U152" s="47"/>
      <c r="V152" s="1" t="str">
        <f t="shared" si="47"/>
        <v/>
      </c>
      <c r="W152" s="47"/>
      <c r="X152" s="1" t="str">
        <f t="shared" si="48"/>
        <v/>
      </c>
      <c r="Y152" s="47"/>
      <c r="Z152" s="1" t="str">
        <f t="shared" si="49"/>
        <v/>
      </c>
      <c r="AA152" s="47"/>
      <c r="AB152" s="1" t="str">
        <f t="shared" si="50"/>
        <v/>
      </c>
      <c r="AC152" s="47"/>
      <c r="AD152" s="1" t="str">
        <f t="shared" si="51"/>
        <v/>
      </c>
      <c r="AE152" s="47"/>
      <c r="AF152" s="1" t="str">
        <f t="shared" si="52"/>
        <v/>
      </c>
      <c r="AG152" s="47"/>
    </row>
    <row r="153" spans="1:33">
      <c r="A153">
        <f t="shared" si="36"/>
        <v>0</v>
      </c>
      <c r="B153" s="2" t="str">
        <f t="shared" si="53"/>
        <v/>
      </c>
      <c r="C153" s="4" t="str">
        <f t="shared" si="37"/>
        <v/>
      </c>
      <c r="D153" s="3" t="str">
        <f t="shared" si="38"/>
        <v/>
      </c>
      <c r="E153" s="47"/>
      <c r="F153" s="3" t="str">
        <f t="shared" si="39"/>
        <v/>
      </c>
      <c r="G153" s="47"/>
      <c r="H153" s="3" t="str">
        <f t="shared" si="40"/>
        <v/>
      </c>
      <c r="I153" s="47"/>
      <c r="J153" s="3" t="str">
        <f t="shared" si="41"/>
        <v/>
      </c>
      <c r="K153" s="47"/>
      <c r="L153" s="3" t="str">
        <f t="shared" si="42"/>
        <v/>
      </c>
      <c r="M153" s="47"/>
      <c r="N153" s="3" t="str">
        <f t="shared" si="43"/>
        <v/>
      </c>
      <c r="O153" s="47"/>
      <c r="P153" s="3" t="str">
        <f t="shared" si="44"/>
        <v/>
      </c>
      <c r="Q153" s="47"/>
      <c r="R153" s="3" t="str">
        <f t="shared" si="45"/>
        <v/>
      </c>
      <c r="S153" s="47"/>
      <c r="T153" s="1" t="str">
        <f t="shared" si="46"/>
        <v/>
      </c>
      <c r="U153" s="47"/>
      <c r="V153" s="1" t="str">
        <f t="shared" si="47"/>
        <v/>
      </c>
      <c r="W153" s="47"/>
      <c r="X153" s="1" t="str">
        <f t="shared" si="48"/>
        <v/>
      </c>
      <c r="Y153" s="47"/>
      <c r="Z153" s="1" t="str">
        <f t="shared" si="49"/>
        <v/>
      </c>
      <c r="AA153" s="47"/>
      <c r="AB153" s="1" t="str">
        <f t="shared" si="50"/>
        <v/>
      </c>
      <c r="AC153" s="47"/>
      <c r="AD153" s="1" t="str">
        <f t="shared" si="51"/>
        <v/>
      </c>
      <c r="AE153" s="47"/>
      <c r="AF153" s="1" t="str">
        <f t="shared" si="52"/>
        <v/>
      </c>
      <c r="AG153" s="47"/>
    </row>
    <row r="154" spans="1:33">
      <c r="A154">
        <f t="shared" si="36"/>
        <v>0</v>
      </c>
      <c r="B154" s="2" t="str">
        <f t="shared" si="53"/>
        <v/>
      </c>
      <c r="C154" s="4" t="str">
        <f t="shared" si="37"/>
        <v/>
      </c>
      <c r="D154" s="3" t="str">
        <f t="shared" si="38"/>
        <v/>
      </c>
      <c r="E154" s="47"/>
      <c r="F154" s="3" t="str">
        <f t="shared" si="39"/>
        <v/>
      </c>
      <c r="G154" s="47"/>
      <c r="H154" s="3" t="str">
        <f t="shared" si="40"/>
        <v/>
      </c>
      <c r="I154" s="47"/>
      <c r="J154" s="3" t="str">
        <f t="shared" si="41"/>
        <v/>
      </c>
      <c r="K154" s="47"/>
      <c r="L154" s="3" t="str">
        <f t="shared" si="42"/>
        <v/>
      </c>
      <c r="M154" s="47"/>
      <c r="N154" s="3" t="str">
        <f t="shared" si="43"/>
        <v/>
      </c>
      <c r="O154" s="47"/>
      <c r="P154" s="3" t="str">
        <f t="shared" si="44"/>
        <v/>
      </c>
      <c r="Q154" s="47"/>
      <c r="R154" s="3" t="str">
        <f t="shared" si="45"/>
        <v/>
      </c>
      <c r="S154" s="47"/>
      <c r="T154" s="1" t="str">
        <f t="shared" si="46"/>
        <v/>
      </c>
      <c r="U154" s="47"/>
      <c r="V154" s="1" t="str">
        <f t="shared" si="47"/>
        <v/>
      </c>
      <c r="W154" s="47"/>
      <c r="X154" s="1" t="str">
        <f t="shared" si="48"/>
        <v/>
      </c>
      <c r="Y154" s="47"/>
      <c r="Z154" s="1" t="str">
        <f t="shared" si="49"/>
        <v/>
      </c>
      <c r="AA154" s="47"/>
      <c r="AB154" s="1" t="str">
        <f t="shared" si="50"/>
        <v/>
      </c>
      <c r="AC154" s="47"/>
      <c r="AD154" s="1" t="str">
        <f t="shared" si="51"/>
        <v/>
      </c>
      <c r="AE154" s="47"/>
      <c r="AF154" s="1" t="str">
        <f t="shared" si="52"/>
        <v/>
      </c>
      <c r="AG154" s="47"/>
    </row>
    <row r="155" spans="1:33">
      <c r="A155">
        <f t="shared" si="36"/>
        <v>0</v>
      </c>
      <c r="B155" s="2" t="str">
        <f t="shared" si="53"/>
        <v/>
      </c>
      <c r="C155" s="4" t="str">
        <f t="shared" si="37"/>
        <v/>
      </c>
      <c r="D155" s="3" t="str">
        <f t="shared" si="38"/>
        <v/>
      </c>
      <c r="E155" s="47"/>
      <c r="F155" s="3" t="str">
        <f t="shared" si="39"/>
        <v/>
      </c>
      <c r="G155" s="47"/>
      <c r="H155" s="3" t="str">
        <f t="shared" si="40"/>
        <v/>
      </c>
      <c r="I155" s="47"/>
      <c r="J155" s="3" t="str">
        <f t="shared" si="41"/>
        <v/>
      </c>
      <c r="K155" s="47"/>
      <c r="L155" s="3" t="str">
        <f t="shared" si="42"/>
        <v/>
      </c>
      <c r="M155" s="47"/>
      <c r="N155" s="3" t="str">
        <f t="shared" si="43"/>
        <v/>
      </c>
      <c r="O155" s="47"/>
      <c r="P155" s="3" t="str">
        <f t="shared" si="44"/>
        <v/>
      </c>
      <c r="Q155" s="47"/>
      <c r="R155" s="3" t="str">
        <f t="shared" si="45"/>
        <v/>
      </c>
      <c r="S155" s="47"/>
      <c r="T155" s="1" t="str">
        <f t="shared" si="46"/>
        <v/>
      </c>
      <c r="U155" s="47"/>
      <c r="V155" s="1" t="str">
        <f t="shared" si="47"/>
        <v/>
      </c>
      <c r="W155" s="47"/>
      <c r="X155" s="1" t="str">
        <f t="shared" si="48"/>
        <v/>
      </c>
      <c r="Y155" s="47"/>
      <c r="Z155" s="1" t="str">
        <f t="shared" si="49"/>
        <v/>
      </c>
      <c r="AA155" s="47"/>
      <c r="AB155" s="1" t="str">
        <f t="shared" si="50"/>
        <v/>
      </c>
      <c r="AC155" s="47"/>
      <c r="AD155" s="1" t="str">
        <f t="shared" si="51"/>
        <v/>
      </c>
      <c r="AE155" s="47"/>
      <c r="AF155" s="1" t="str">
        <f t="shared" si="52"/>
        <v/>
      </c>
      <c r="AG155" s="47"/>
    </row>
    <row r="156" spans="1:33">
      <c r="A156">
        <f t="shared" si="36"/>
        <v>0</v>
      </c>
      <c r="B156" s="2" t="str">
        <f t="shared" si="53"/>
        <v/>
      </c>
      <c r="C156" s="4" t="str">
        <f t="shared" si="37"/>
        <v/>
      </c>
      <c r="D156" s="3" t="str">
        <f t="shared" si="38"/>
        <v/>
      </c>
      <c r="E156" s="47"/>
      <c r="F156" s="3" t="str">
        <f t="shared" si="39"/>
        <v/>
      </c>
      <c r="G156" s="47"/>
      <c r="H156" s="3" t="str">
        <f t="shared" si="40"/>
        <v/>
      </c>
      <c r="I156" s="47"/>
      <c r="J156" s="3" t="str">
        <f t="shared" si="41"/>
        <v/>
      </c>
      <c r="K156" s="47"/>
      <c r="L156" s="3" t="str">
        <f t="shared" si="42"/>
        <v/>
      </c>
      <c r="M156" s="47"/>
      <c r="N156" s="3" t="str">
        <f t="shared" si="43"/>
        <v/>
      </c>
      <c r="O156" s="47"/>
      <c r="P156" s="3" t="str">
        <f t="shared" si="44"/>
        <v/>
      </c>
      <c r="Q156" s="47"/>
      <c r="R156" s="3" t="str">
        <f t="shared" si="45"/>
        <v/>
      </c>
      <c r="S156" s="47"/>
      <c r="T156" s="1" t="str">
        <f t="shared" si="46"/>
        <v/>
      </c>
      <c r="U156" s="47"/>
      <c r="V156" s="1" t="str">
        <f t="shared" si="47"/>
        <v/>
      </c>
      <c r="W156" s="47"/>
      <c r="X156" s="1" t="str">
        <f t="shared" si="48"/>
        <v/>
      </c>
      <c r="Y156" s="47"/>
      <c r="Z156" s="1" t="str">
        <f t="shared" si="49"/>
        <v/>
      </c>
      <c r="AA156" s="47"/>
      <c r="AB156" s="1" t="str">
        <f t="shared" si="50"/>
        <v/>
      </c>
      <c r="AC156" s="47"/>
      <c r="AD156" s="1" t="str">
        <f t="shared" si="51"/>
        <v/>
      </c>
      <c r="AE156" s="47"/>
      <c r="AF156" s="1" t="str">
        <f t="shared" si="52"/>
        <v/>
      </c>
      <c r="AG156" s="47"/>
    </row>
    <row r="157" spans="1:33">
      <c r="A157">
        <f t="shared" si="36"/>
        <v>0</v>
      </c>
      <c r="B157" s="2" t="str">
        <f t="shared" si="53"/>
        <v/>
      </c>
      <c r="C157" s="4" t="str">
        <f t="shared" si="37"/>
        <v/>
      </c>
      <c r="D157" s="3" t="str">
        <f t="shared" si="38"/>
        <v/>
      </c>
      <c r="E157" s="47"/>
      <c r="F157" s="3" t="str">
        <f t="shared" si="39"/>
        <v/>
      </c>
      <c r="G157" s="47"/>
      <c r="H157" s="3" t="str">
        <f t="shared" si="40"/>
        <v/>
      </c>
      <c r="I157" s="47"/>
      <c r="J157" s="3" t="str">
        <f t="shared" si="41"/>
        <v/>
      </c>
      <c r="K157" s="47"/>
      <c r="L157" s="3" t="str">
        <f t="shared" si="42"/>
        <v/>
      </c>
      <c r="M157" s="47"/>
      <c r="N157" s="3" t="str">
        <f t="shared" si="43"/>
        <v/>
      </c>
      <c r="O157" s="47"/>
      <c r="P157" s="3" t="str">
        <f t="shared" si="44"/>
        <v/>
      </c>
      <c r="Q157" s="47"/>
      <c r="R157" s="3" t="str">
        <f t="shared" si="45"/>
        <v/>
      </c>
      <c r="S157" s="47"/>
      <c r="T157" s="1" t="str">
        <f t="shared" si="46"/>
        <v/>
      </c>
      <c r="U157" s="47"/>
      <c r="V157" s="1" t="str">
        <f t="shared" si="47"/>
        <v/>
      </c>
      <c r="W157" s="47"/>
      <c r="X157" s="1" t="str">
        <f t="shared" si="48"/>
        <v/>
      </c>
      <c r="Y157" s="47"/>
      <c r="Z157" s="1" t="str">
        <f t="shared" si="49"/>
        <v/>
      </c>
      <c r="AA157" s="47"/>
      <c r="AB157" s="1" t="str">
        <f t="shared" si="50"/>
        <v/>
      </c>
      <c r="AC157" s="47"/>
      <c r="AD157" s="1" t="str">
        <f t="shared" si="51"/>
        <v/>
      </c>
      <c r="AE157" s="47"/>
      <c r="AF157" s="1" t="str">
        <f t="shared" si="52"/>
        <v/>
      </c>
      <c r="AG157" s="47"/>
    </row>
    <row r="158" spans="1:33">
      <c r="A158">
        <f t="shared" si="36"/>
        <v>0</v>
      </c>
      <c r="B158" s="2" t="str">
        <f t="shared" si="53"/>
        <v/>
      </c>
      <c r="C158" s="4" t="str">
        <f t="shared" si="37"/>
        <v/>
      </c>
      <c r="D158" s="3" t="str">
        <f t="shared" si="38"/>
        <v/>
      </c>
      <c r="E158" s="47"/>
      <c r="F158" s="3" t="str">
        <f t="shared" si="39"/>
        <v/>
      </c>
      <c r="G158" s="47"/>
      <c r="H158" s="3" t="str">
        <f t="shared" si="40"/>
        <v/>
      </c>
      <c r="I158" s="47"/>
      <c r="J158" s="3" t="str">
        <f t="shared" si="41"/>
        <v/>
      </c>
      <c r="K158" s="47"/>
      <c r="L158" s="3" t="str">
        <f t="shared" si="42"/>
        <v/>
      </c>
      <c r="M158" s="47"/>
      <c r="N158" s="3" t="str">
        <f t="shared" si="43"/>
        <v/>
      </c>
      <c r="O158" s="47"/>
      <c r="P158" s="3" t="str">
        <f t="shared" si="44"/>
        <v/>
      </c>
      <c r="Q158" s="47"/>
      <c r="R158" s="3" t="str">
        <f t="shared" si="45"/>
        <v/>
      </c>
      <c r="S158" s="47"/>
      <c r="T158" s="1" t="str">
        <f t="shared" si="46"/>
        <v/>
      </c>
      <c r="U158" s="47"/>
      <c r="V158" s="1" t="str">
        <f t="shared" si="47"/>
        <v/>
      </c>
      <c r="W158" s="47"/>
      <c r="X158" s="1" t="str">
        <f t="shared" si="48"/>
        <v/>
      </c>
      <c r="Y158" s="47"/>
      <c r="Z158" s="1" t="str">
        <f t="shared" si="49"/>
        <v/>
      </c>
      <c r="AA158" s="47"/>
      <c r="AB158" s="1" t="str">
        <f t="shared" si="50"/>
        <v/>
      </c>
      <c r="AC158" s="47"/>
      <c r="AD158" s="1" t="str">
        <f t="shared" si="51"/>
        <v/>
      </c>
      <c r="AE158" s="47"/>
      <c r="AF158" s="1" t="str">
        <f t="shared" si="52"/>
        <v/>
      </c>
      <c r="AG158" s="47"/>
    </row>
    <row r="159" spans="1:33">
      <c r="A159">
        <f t="shared" si="36"/>
        <v>0</v>
      </c>
      <c r="B159" s="2" t="str">
        <f t="shared" si="53"/>
        <v/>
      </c>
      <c r="C159" s="4" t="str">
        <f t="shared" si="37"/>
        <v/>
      </c>
      <c r="D159" s="3" t="str">
        <f t="shared" si="38"/>
        <v/>
      </c>
      <c r="E159" s="47"/>
      <c r="F159" s="3" t="str">
        <f t="shared" si="39"/>
        <v/>
      </c>
      <c r="G159" s="47"/>
      <c r="H159" s="3" t="str">
        <f t="shared" si="40"/>
        <v/>
      </c>
      <c r="I159" s="47"/>
      <c r="J159" s="3" t="str">
        <f t="shared" si="41"/>
        <v/>
      </c>
      <c r="K159" s="47"/>
      <c r="L159" s="3" t="str">
        <f t="shared" si="42"/>
        <v/>
      </c>
      <c r="M159" s="47"/>
      <c r="N159" s="3" t="str">
        <f t="shared" si="43"/>
        <v/>
      </c>
      <c r="O159" s="47"/>
      <c r="P159" s="3" t="str">
        <f t="shared" si="44"/>
        <v/>
      </c>
      <c r="Q159" s="47"/>
      <c r="R159" s="3" t="str">
        <f t="shared" si="45"/>
        <v/>
      </c>
      <c r="S159" s="47"/>
      <c r="T159" s="1" t="str">
        <f t="shared" si="46"/>
        <v/>
      </c>
      <c r="U159" s="47"/>
      <c r="V159" s="1" t="str">
        <f t="shared" si="47"/>
        <v/>
      </c>
      <c r="W159" s="47"/>
      <c r="X159" s="1" t="str">
        <f t="shared" si="48"/>
        <v/>
      </c>
      <c r="Y159" s="47"/>
      <c r="Z159" s="1" t="str">
        <f t="shared" si="49"/>
        <v/>
      </c>
      <c r="AA159" s="47"/>
      <c r="AB159" s="1" t="str">
        <f t="shared" si="50"/>
        <v/>
      </c>
      <c r="AC159" s="47"/>
      <c r="AD159" s="1" t="str">
        <f t="shared" si="51"/>
        <v/>
      </c>
      <c r="AE159" s="47"/>
      <c r="AF159" s="1" t="str">
        <f t="shared" si="52"/>
        <v/>
      </c>
      <c r="AG159" s="47"/>
    </row>
    <row r="160" spans="1:33">
      <c r="A160">
        <f t="shared" si="36"/>
        <v>0</v>
      </c>
      <c r="B160" s="2" t="str">
        <f t="shared" si="53"/>
        <v/>
      </c>
      <c r="C160" s="4" t="str">
        <f t="shared" si="37"/>
        <v/>
      </c>
      <c r="D160" s="3" t="str">
        <f t="shared" si="38"/>
        <v/>
      </c>
      <c r="E160" s="47"/>
      <c r="F160" s="3" t="str">
        <f t="shared" si="39"/>
        <v/>
      </c>
      <c r="G160" s="47"/>
      <c r="H160" s="3" t="str">
        <f t="shared" si="40"/>
        <v/>
      </c>
      <c r="I160" s="47"/>
      <c r="J160" s="3" t="str">
        <f t="shared" si="41"/>
        <v/>
      </c>
      <c r="K160" s="47"/>
      <c r="L160" s="3" t="str">
        <f t="shared" si="42"/>
        <v/>
      </c>
      <c r="M160" s="47"/>
      <c r="N160" s="3" t="str">
        <f t="shared" si="43"/>
        <v/>
      </c>
      <c r="O160" s="47"/>
      <c r="P160" s="3" t="str">
        <f t="shared" si="44"/>
        <v/>
      </c>
      <c r="Q160" s="47"/>
      <c r="R160" s="3" t="str">
        <f t="shared" si="45"/>
        <v/>
      </c>
      <c r="S160" s="47"/>
      <c r="T160" s="1" t="str">
        <f t="shared" si="46"/>
        <v/>
      </c>
      <c r="U160" s="47"/>
      <c r="V160" s="1" t="str">
        <f t="shared" si="47"/>
        <v/>
      </c>
      <c r="W160" s="47"/>
      <c r="X160" s="1" t="str">
        <f t="shared" si="48"/>
        <v/>
      </c>
      <c r="Y160" s="47"/>
      <c r="Z160" s="1" t="str">
        <f t="shared" si="49"/>
        <v/>
      </c>
      <c r="AA160" s="47"/>
      <c r="AB160" s="1" t="str">
        <f t="shared" si="50"/>
        <v/>
      </c>
      <c r="AC160" s="47"/>
      <c r="AD160" s="1" t="str">
        <f t="shared" si="51"/>
        <v/>
      </c>
      <c r="AE160" s="47"/>
      <c r="AF160" s="1" t="str">
        <f t="shared" si="52"/>
        <v/>
      </c>
      <c r="AG160" s="47"/>
    </row>
    <row r="161" spans="1:33">
      <c r="A161">
        <f t="shared" si="36"/>
        <v>0</v>
      </c>
      <c r="B161" s="2" t="str">
        <f t="shared" si="53"/>
        <v/>
      </c>
      <c r="C161" s="4" t="str">
        <f t="shared" si="37"/>
        <v/>
      </c>
      <c r="D161" s="3" t="str">
        <f t="shared" si="38"/>
        <v/>
      </c>
      <c r="E161" s="47"/>
      <c r="F161" s="3" t="str">
        <f t="shared" si="39"/>
        <v/>
      </c>
      <c r="G161" s="47"/>
      <c r="H161" s="3" t="str">
        <f t="shared" si="40"/>
        <v/>
      </c>
      <c r="I161" s="47"/>
      <c r="J161" s="3" t="str">
        <f t="shared" si="41"/>
        <v/>
      </c>
      <c r="K161" s="47"/>
      <c r="L161" s="3" t="str">
        <f t="shared" si="42"/>
        <v/>
      </c>
      <c r="M161" s="47"/>
      <c r="N161" s="3" t="str">
        <f t="shared" si="43"/>
        <v/>
      </c>
      <c r="O161" s="47"/>
      <c r="P161" s="3" t="str">
        <f t="shared" si="44"/>
        <v/>
      </c>
      <c r="Q161" s="47"/>
      <c r="R161" s="3" t="str">
        <f t="shared" si="45"/>
        <v/>
      </c>
      <c r="S161" s="47"/>
      <c r="T161" s="1" t="str">
        <f t="shared" si="46"/>
        <v/>
      </c>
      <c r="U161" s="47"/>
      <c r="V161" s="1" t="str">
        <f t="shared" si="47"/>
        <v/>
      </c>
      <c r="W161" s="47"/>
      <c r="X161" s="1" t="str">
        <f t="shared" si="48"/>
        <v/>
      </c>
      <c r="Y161" s="47"/>
      <c r="Z161" s="1" t="str">
        <f t="shared" si="49"/>
        <v/>
      </c>
      <c r="AA161" s="47"/>
      <c r="AB161" s="1" t="str">
        <f t="shared" si="50"/>
        <v/>
      </c>
      <c r="AC161" s="47"/>
      <c r="AD161" s="1" t="str">
        <f t="shared" si="51"/>
        <v/>
      </c>
      <c r="AE161" s="47"/>
      <c r="AF161" s="1" t="str">
        <f t="shared" si="52"/>
        <v/>
      </c>
      <c r="AG161" s="47"/>
    </row>
    <row r="162" spans="1:33">
      <c r="A162">
        <f t="shared" si="36"/>
        <v>0</v>
      </c>
      <c r="B162" s="2" t="str">
        <f t="shared" si="53"/>
        <v/>
      </c>
      <c r="C162" s="4" t="str">
        <f t="shared" si="37"/>
        <v/>
      </c>
      <c r="D162" s="3" t="str">
        <f t="shared" si="38"/>
        <v/>
      </c>
      <c r="E162" s="47"/>
      <c r="F162" s="3" t="str">
        <f t="shared" si="39"/>
        <v/>
      </c>
      <c r="G162" s="47"/>
      <c r="H162" s="3" t="str">
        <f t="shared" si="40"/>
        <v/>
      </c>
      <c r="I162" s="47"/>
      <c r="J162" s="3" t="str">
        <f t="shared" si="41"/>
        <v/>
      </c>
      <c r="K162" s="47"/>
      <c r="L162" s="3" t="str">
        <f t="shared" si="42"/>
        <v/>
      </c>
      <c r="M162" s="47"/>
      <c r="N162" s="3" t="str">
        <f t="shared" si="43"/>
        <v/>
      </c>
      <c r="O162" s="47"/>
      <c r="P162" s="3" t="str">
        <f t="shared" si="44"/>
        <v/>
      </c>
      <c r="Q162" s="47"/>
      <c r="R162" s="3" t="str">
        <f t="shared" si="45"/>
        <v/>
      </c>
      <c r="S162" s="47"/>
      <c r="T162" s="1" t="str">
        <f t="shared" si="46"/>
        <v/>
      </c>
      <c r="U162" s="47"/>
      <c r="V162" s="1" t="str">
        <f t="shared" si="47"/>
        <v/>
      </c>
      <c r="W162" s="47"/>
      <c r="X162" s="1" t="str">
        <f t="shared" si="48"/>
        <v/>
      </c>
      <c r="Y162" s="47"/>
      <c r="Z162" s="1" t="str">
        <f t="shared" si="49"/>
        <v/>
      </c>
      <c r="AA162" s="47"/>
      <c r="AB162" s="1" t="str">
        <f t="shared" si="50"/>
        <v/>
      </c>
      <c r="AC162" s="47"/>
      <c r="AD162" s="1" t="str">
        <f t="shared" si="51"/>
        <v/>
      </c>
      <c r="AE162" s="47"/>
      <c r="AF162" s="1" t="str">
        <f t="shared" si="52"/>
        <v/>
      </c>
      <c r="AG162" s="47"/>
    </row>
    <row r="163" spans="1:33">
      <c r="A163">
        <f t="shared" si="36"/>
        <v>0</v>
      </c>
      <c r="B163" s="2" t="str">
        <f t="shared" si="53"/>
        <v/>
      </c>
      <c r="C163" s="4" t="str">
        <f t="shared" si="37"/>
        <v/>
      </c>
      <c r="D163" s="3" t="str">
        <f t="shared" si="38"/>
        <v/>
      </c>
      <c r="E163" s="47"/>
      <c r="F163" s="3" t="str">
        <f t="shared" si="39"/>
        <v/>
      </c>
      <c r="G163" s="47"/>
      <c r="H163" s="3" t="str">
        <f t="shared" si="40"/>
        <v/>
      </c>
      <c r="I163" s="47"/>
      <c r="J163" s="3" t="str">
        <f t="shared" si="41"/>
        <v/>
      </c>
      <c r="K163" s="47"/>
      <c r="L163" s="3" t="str">
        <f t="shared" si="42"/>
        <v/>
      </c>
      <c r="M163" s="47"/>
      <c r="N163" s="3" t="str">
        <f t="shared" si="43"/>
        <v/>
      </c>
      <c r="O163" s="47"/>
      <c r="P163" s="3" t="str">
        <f t="shared" si="44"/>
        <v/>
      </c>
      <c r="Q163" s="47"/>
      <c r="R163" s="3" t="str">
        <f t="shared" si="45"/>
        <v/>
      </c>
      <c r="S163" s="47"/>
      <c r="T163" s="1" t="str">
        <f t="shared" si="46"/>
        <v/>
      </c>
      <c r="U163" s="47"/>
      <c r="V163" s="1" t="str">
        <f t="shared" si="47"/>
        <v/>
      </c>
      <c r="W163" s="47"/>
      <c r="X163" s="1" t="str">
        <f t="shared" si="48"/>
        <v/>
      </c>
      <c r="Y163" s="47"/>
      <c r="Z163" s="1" t="str">
        <f t="shared" si="49"/>
        <v/>
      </c>
      <c r="AA163" s="47"/>
      <c r="AB163" s="1" t="str">
        <f t="shared" si="50"/>
        <v/>
      </c>
      <c r="AC163" s="47"/>
      <c r="AD163" s="1" t="str">
        <f t="shared" si="51"/>
        <v/>
      </c>
      <c r="AE163" s="47"/>
      <c r="AF163" s="1" t="str">
        <f t="shared" si="52"/>
        <v/>
      </c>
      <c r="AG163" s="47"/>
    </row>
    <row r="164" spans="1:33">
      <c r="A164">
        <f t="shared" si="36"/>
        <v>0</v>
      </c>
      <c r="B164" s="2" t="str">
        <f t="shared" si="53"/>
        <v/>
      </c>
      <c r="C164" s="4" t="str">
        <f t="shared" si="37"/>
        <v/>
      </c>
      <c r="D164" s="3" t="str">
        <f t="shared" si="38"/>
        <v/>
      </c>
      <c r="E164" s="47"/>
      <c r="F164" s="3" t="str">
        <f t="shared" si="39"/>
        <v/>
      </c>
      <c r="G164" s="47"/>
      <c r="H164" s="3" t="str">
        <f t="shared" si="40"/>
        <v/>
      </c>
      <c r="I164" s="47"/>
      <c r="J164" s="3" t="str">
        <f t="shared" si="41"/>
        <v/>
      </c>
      <c r="K164" s="47"/>
      <c r="L164" s="3" t="str">
        <f t="shared" si="42"/>
        <v/>
      </c>
      <c r="M164" s="47"/>
      <c r="N164" s="3" t="str">
        <f t="shared" si="43"/>
        <v/>
      </c>
      <c r="O164" s="47"/>
      <c r="P164" s="3" t="str">
        <f t="shared" si="44"/>
        <v/>
      </c>
      <c r="Q164" s="47"/>
      <c r="R164" s="3" t="str">
        <f t="shared" si="45"/>
        <v/>
      </c>
      <c r="S164" s="47"/>
      <c r="T164" s="1" t="str">
        <f t="shared" si="46"/>
        <v/>
      </c>
      <c r="U164" s="47"/>
      <c r="V164" s="1" t="str">
        <f t="shared" si="47"/>
        <v/>
      </c>
      <c r="W164" s="47"/>
      <c r="X164" s="1" t="str">
        <f t="shared" si="48"/>
        <v/>
      </c>
      <c r="Y164" s="47"/>
      <c r="Z164" s="1" t="str">
        <f t="shared" si="49"/>
        <v/>
      </c>
      <c r="AA164" s="47"/>
      <c r="AB164" s="1" t="str">
        <f t="shared" si="50"/>
        <v/>
      </c>
      <c r="AC164" s="47"/>
      <c r="AD164" s="1" t="str">
        <f t="shared" si="51"/>
        <v/>
      </c>
      <c r="AE164" s="47"/>
      <c r="AF164" s="1" t="str">
        <f t="shared" si="52"/>
        <v/>
      </c>
      <c r="AG164" s="47"/>
    </row>
    <row r="165" spans="1:33">
      <c r="A165">
        <f t="shared" si="36"/>
        <v>0</v>
      </c>
      <c r="B165" s="2" t="str">
        <f t="shared" si="53"/>
        <v/>
      </c>
      <c r="C165" s="4" t="str">
        <f t="shared" si="37"/>
        <v/>
      </c>
      <c r="D165" s="3" t="str">
        <f t="shared" si="38"/>
        <v/>
      </c>
      <c r="E165" s="47"/>
      <c r="F165" s="3" t="str">
        <f t="shared" si="39"/>
        <v/>
      </c>
      <c r="G165" s="47"/>
      <c r="H165" s="3" t="str">
        <f t="shared" si="40"/>
        <v/>
      </c>
      <c r="I165" s="47"/>
      <c r="J165" s="3" t="str">
        <f t="shared" si="41"/>
        <v/>
      </c>
      <c r="K165" s="47"/>
      <c r="L165" s="3" t="str">
        <f t="shared" si="42"/>
        <v/>
      </c>
      <c r="M165" s="47"/>
      <c r="N165" s="3" t="str">
        <f t="shared" si="43"/>
        <v/>
      </c>
      <c r="O165" s="47"/>
      <c r="P165" s="3" t="str">
        <f t="shared" si="44"/>
        <v/>
      </c>
      <c r="Q165" s="47"/>
      <c r="R165" s="3" t="str">
        <f t="shared" si="45"/>
        <v/>
      </c>
      <c r="S165" s="47"/>
      <c r="T165" s="1" t="str">
        <f t="shared" si="46"/>
        <v/>
      </c>
      <c r="U165" s="47"/>
      <c r="V165" s="1" t="str">
        <f t="shared" si="47"/>
        <v/>
      </c>
      <c r="W165" s="47"/>
      <c r="X165" s="1" t="str">
        <f t="shared" si="48"/>
        <v/>
      </c>
      <c r="Y165" s="47"/>
      <c r="Z165" s="1" t="str">
        <f t="shared" si="49"/>
        <v/>
      </c>
      <c r="AA165" s="47"/>
      <c r="AB165" s="1" t="str">
        <f t="shared" si="50"/>
        <v/>
      </c>
      <c r="AC165" s="47"/>
      <c r="AD165" s="1" t="str">
        <f t="shared" si="51"/>
        <v/>
      </c>
      <c r="AE165" s="47"/>
      <c r="AF165" s="1" t="str">
        <f t="shared" si="52"/>
        <v/>
      </c>
      <c r="AG165" s="47"/>
    </row>
    <row r="166" spans="1:33">
      <c r="A166">
        <f t="shared" si="36"/>
        <v>0</v>
      </c>
      <c r="B166" s="2" t="str">
        <f t="shared" si="53"/>
        <v/>
      </c>
      <c r="C166" s="4" t="str">
        <f t="shared" si="37"/>
        <v/>
      </c>
      <c r="D166" s="3" t="str">
        <f t="shared" si="38"/>
        <v/>
      </c>
      <c r="E166" s="47"/>
      <c r="F166" s="3" t="str">
        <f t="shared" si="39"/>
        <v/>
      </c>
      <c r="G166" s="47"/>
      <c r="H166" s="3" t="str">
        <f t="shared" si="40"/>
        <v/>
      </c>
      <c r="I166" s="47"/>
      <c r="J166" s="3" t="str">
        <f t="shared" si="41"/>
        <v/>
      </c>
      <c r="K166" s="47"/>
      <c r="L166" s="3" t="str">
        <f t="shared" si="42"/>
        <v/>
      </c>
      <c r="M166" s="47"/>
      <c r="N166" s="3" t="str">
        <f t="shared" si="43"/>
        <v/>
      </c>
      <c r="O166" s="47"/>
      <c r="P166" s="3" t="str">
        <f t="shared" si="44"/>
        <v/>
      </c>
      <c r="Q166" s="47"/>
      <c r="R166" s="3" t="str">
        <f t="shared" si="45"/>
        <v/>
      </c>
      <c r="S166" s="47"/>
      <c r="T166" s="1" t="str">
        <f t="shared" si="46"/>
        <v/>
      </c>
      <c r="U166" s="47"/>
      <c r="V166" s="1" t="str">
        <f t="shared" si="47"/>
        <v/>
      </c>
      <c r="W166" s="47"/>
      <c r="X166" s="1" t="str">
        <f t="shared" si="48"/>
        <v/>
      </c>
      <c r="Y166" s="47"/>
      <c r="Z166" s="1" t="str">
        <f t="shared" si="49"/>
        <v/>
      </c>
      <c r="AA166" s="47"/>
      <c r="AB166" s="1" t="str">
        <f t="shared" si="50"/>
        <v/>
      </c>
      <c r="AC166" s="47"/>
      <c r="AD166" s="1" t="str">
        <f t="shared" si="51"/>
        <v/>
      </c>
      <c r="AE166" s="47"/>
      <c r="AF166" s="1" t="str">
        <f t="shared" si="52"/>
        <v/>
      </c>
      <c r="AG166" s="47"/>
    </row>
    <row r="167" spans="1:33">
      <c r="A167">
        <f t="shared" si="36"/>
        <v>0</v>
      </c>
      <c r="B167" s="2" t="str">
        <f t="shared" si="53"/>
        <v/>
      </c>
      <c r="C167" s="4" t="str">
        <f t="shared" si="37"/>
        <v/>
      </c>
      <c r="D167" s="3" t="str">
        <f t="shared" si="38"/>
        <v/>
      </c>
      <c r="E167" s="47"/>
      <c r="F167" s="3" t="str">
        <f t="shared" si="39"/>
        <v/>
      </c>
      <c r="G167" s="47"/>
      <c r="H167" s="3" t="str">
        <f t="shared" si="40"/>
        <v/>
      </c>
      <c r="I167" s="47"/>
      <c r="J167" s="3" t="str">
        <f t="shared" si="41"/>
        <v/>
      </c>
      <c r="K167" s="47"/>
      <c r="L167" s="3" t="str">
        <f t="shared" si="42"/>
        <v/>
      </c>
      <c r="M167" s="47"/>
      <c r="N167" s="3" t="str">
        <f t="shared" si="43"/>
        <v/>
      </c>
      <c r="O167" s="47"/>
      <c r="P167" s="3" t="str">
        <f t="shared" si="44"/>
        <v/>
      </c>
      <c r="Q167" s="47"/>
      <c r="R167" s="3" t="str">
        <f t="shared" si="45"/>
        <v/>
      </c>
      <c r="S167" s="47"/>
      <c r="T167" s="1" t="str">
        <f t="shared" si="46"/>
        <v/>
      </c>
      <c r="U167" s="47"/>
      <c r="V167" s="1" t="str">
        <f t="shared" si="47"/>
        <v/>
      </c>
      <c r="W167" s="47"/>
      <c r="X167" s="1" t="str">
        <f t="shared" si="48"/>
        <v/>
      </c>
      <c r="Y167" s="47"/>
      <c r="Z167" s="1" t="str">
        <f t="shared" si="49"/>
        <v/>
      </c>
      <c r="AA167" s="47"/>
      <c r="AB167" s="1" t="str">
        <f t="shared" si="50"/>
        <v/>
      </c>
      <c r="AC167" s="47"/>
      <c r="AD167" s="1" t="str">
        <f t="shared" si="51"/>
        <v/>
      </c>
      <c r="AE167" s="47"/>
      <c r="AF167" s="1" t="str">
        <f t="shared" si="52"/>
        <v/>
      </c>
      <c r="AG167" s="47"/>
    </row>
    <row r="168" spans="1:33">
      <c r="A168">
        <f t="shared" si="36"/>
        <v>0</v>
      </c>
      <c r="B168" s="2" t="str">
        <f t="shared" si="53"/>
        <v/>
      </c>
      <c r="C168" s="4" t="str">
        <f t="shared" si="37"/>
        <v/>
      </c>
      <c r="D168" s="3" t="str">
        <f t="shared" si="38"/>
        <v/>
      </c>
      <c r="E168" s="47"/>
      <c r="F168" s="3" t="str">
        <f t="shared" si="39"/>
        <v/>
      </c>
      <c r="G168" s="47"/>
      <c r="H168" s="3" t="str">
        <f t="shared" si="40"/>
        <v/>
      </c>
      <c r="I168" s="47"/>
      <c r="J168" s="3" t="str">
        <f t="shared" si="41"/>
        <v/>
      </c>
      <c r="K168" s="47"/>
      <c r="L168" s="3" t="str">
        <f t="shared" si="42"/>
        <v/>
      </c>
      <c r="M168" s="47"/>
      <c r="N168" s="3" t="str">
        <f t="shared" si="43"/>
        <v/>
      </c>
      <c r="O168" s="47"/>
      <c r="P168" s="3" t="str">
        <f t="shared" si="44"/>
        <v/>
      </c>
      <c r="Q168" s="47"/>
      <c r="R168" s="3" t="str">
        <f t="shared" si="45"/>
        <v/>
      </c>
      <c r="S168" s="47"/>
      <c r="T168" s="1" t="str">
        <f t="shared" si="46"/>
        <v/>
      </c>
      <c r="U168" s="47"/>
      <c r="V168" s="1" t="str">
        <f t="shared" si="47"/>
        <v/>
      </c>
      <c r="W168" s="47"/>
      <c r="X168" s="1" t="str">
        <f t="shared" si="48"/>
        <v/>
      </c>
      <c r="Y168" s="47"/>
      <c r="Z168" s="1" t="str">
        <f t="shared" si="49"/>
        <v/>
      </c>
      <c r="AA168" s="47"/>
      <c r="AB168" s="1" t="str">
        <f t="shared" si="50"/>
        <v/>
      </c>
      <c r="AC168" s="47"/>
      <c r="AD168" s="1" t="str">
        <f t="shared" si="51"/>
        <v/>
      </c>
      <c r="AE168" s="47"/>
      <c r="AF168" s="1" t="str">
        <f t="shared" si="52"/>
        <v/>
      </c>
      <c r="AG168" s="47"/>
    </row>
    <row r="169" spans="1:33">
      <c r="A169">
        <f t="shared" si="36"/>
        <v>0</v>
      </c>
      <c r="B169" s="2" t="str">
        <f t="shared" si="53"/>
        <v/>
      </c>
      <c r="C169" s="4" t="str">
        <f t="shared" si="37"/>
        <v/>
      </c>
      <c r="D169" s="3" t="str">
        <f t="shared" si="38"/>
        <v/>
      </c>
      <c r="E169" s="47"/>
      <c r="F169" s="3" t="str">
        <f t="shared" si="39"/>
        <v/>
      </c>
      <c r="G169" s="47"/>
      <c r="H169" s="3" t="str">
        <f t="shared" si="40"/>
        <v/>
      </c>
      <c r="I169" s="47"/>
      <c r="J169" s="3" t="str">
        <f t="shared" si="41"/>
        <v/>
      </c>
      <c r="K169" s="47"/>
      <c r="L169" s="3" t="str">
        <f t="shared" si="42"/>
        <v/>
      </c>
      <c r="M169" s="47"/>
      <c r="N169" s="3" t="str">
        <f t="shared" si="43"/>
        <v/>
      </c>
      <c r="O169" s="47"/>
      <c r="P169" s="3" t="str">
        <f t="shared" si="44"/>
        <v/>
      </c>
      <c r="Q169" s="47"/>
      <c r="R169" s="3" t="str">
        <f t="shared" si="45"/>
        <v/>
      </c>
      <c r="S169" s="47"/>
      <c r="T169" s="1" t="str">
        <f t="shared" si="46"/>
        <v/>
      </c>
      <c r="U169" s="47"/>
      <c r="V169" s="1" t="str">
        <f t="shared" si="47"/>
        <v/>
      </c>
      <c r="W169" s="47"/>
      <c r="X169" s="1" t="str">
        <f t="shared" si="48"/>
        <v/>
      </c>
      <c r="Y169" s="47"/>
      <c r="Z169" s="1" t="str">
        <f t="shared" si="49"/>
        <v/>
      </c>
      <c r="AA169" s="47"/>
      <c r="AB169" s="1" t="str">
        <f t="shared" si="50"/>
        <v/>
      </c>
      <c r="AC169" s="47"/>
      <c r="AD169" s="1" t="str">
        <f t="shared" si="51"/>
        <v/>
      </c>
      <c r="AE169" s="47"/>
      <c r="AF169" s="1" t="str">
        <f t="shared" si="52"/>
        <v/>
      </c>
      <c r="AG169" s="47"/>
    </row>
    <row r="170" spans="1:33">
      <c r="A170">
        <f t="shared" si="36"/>
        <v>0</v>
      </c>
      <c r="B170" s="2" t="str">
        <f t="shared" si="53"/>
        <v/>
      </c>
      <c r="C170" s="4" t="str">
        <f t="shared" si="37"/>
        <v/>
      </c>
      <c r="D170" s="3" t="str">
        <f t="shared" si="38"/>
        <v/>
      </c>
      <c r="E170" s="47"/>
      <c r="F170" s="3" t="str">
        <f t="shared" si="39"/>
        <v/>
      </c>
      <c r="G170" s="47"/>
      <c r="H170" s="3" t="str">
        <f t="shared" si="40"/>
        <v/>
      </c>
      <c r="I170" s="47"/>
      <c r="J170" s="3" t="str">
        <f t="shared" si="41"/>
        <v/>
      </c>
      <c r="K170" s="47"/>
      <c r="L170" s="3" t="str">
        <f t="shared" si="42"/>
        <v/>
      </c>
      <c r="M170" s="47"/>
      <c r="N170" s="3" t="str">
        <f t="shared" si="43"/>
        <v/>
      </c>
      <c r="O170" s="47"/>
      <c r="P170" s="3" t="str">
        <f t="shared" si="44"/>
        <v/>
      </c>
      <c r="Q170" s="47"/>
      <c r="R170" s="3" t="str">
        <f t="shared" si="45"/>
        <v/>
      </c>
      <c r="S170" s="47"/>
      <c r="T170" s="1" t="str">
        <f t="shared" si="46"/>
        <v/>
      </c>
      <c r="U170" s="47"/>
      <c r="V170" s="1" t="str">
        <f t="shared" si="47"/>
        <v/>
      </c>
      <c r="W170" s="47"/>
      <c r="X170" s="1" t="str">
        <f t="shared" si="48"/>
        <v/>
      </c>
      <c r="Y170" s="47"/>
      <c r="Z170" s="1" t="str">
        <f t="shared" si="49"/>
        <v/>
      </c>
      <c r="AA170" s="47"/>
      <c r="AB170" s="1" t="str">
        <f t="shared" si="50"/>
        <v/>
      </c>
      <c r="AC170" s="47"/>
      <c r="AD170" s="1" t="str">
        <f t="shared" si="51"/>
        <v/>
      </c>
      <c r="AE170" s="47"/>
      <c r="AF170" s="1" t="str">
        <f t="shared" si="52"/>
        <v/>
      </c>
      <c r="AG170" s="47"/>
    </row>
    <row r="171" spans="1:33">
      <c r="A171">
        <f t="shared" si="36"/>
        <v>0</v>
      </c>
      <c r="B171" s="2" t="str">
        <f t="shared" si="53"/>
        <v/>
      </c>
      <c r="C171" s="4" t="str">
        <f t="shared" si="37"/>
        <v/>
      </c>
      <c r="D171" s="3" t="str">
        <f t="shared" si="38"/>
        <v/>
      </c>
      <c r="E171" s="47"/>
      <c r="F171" s="3" t="str">
        <f t="shared" si="39"/>
        <v/>
      </c>
      <c r="G171" s="47"/>
      <c r="H171" s="3" t="str">
        <f t="shared" si="40"/>
        <v/>
      </c>
      <c r="I171" s="47"/>
      <c r="J171" s="3" t="str">
        <f t="shared" si="41"/>
        <v/>
      </c>
      <c r="K171" s="47"/>
      <c r="L171" s="3" t="str">
        <f t="shared" si="42"/>
        <v/>
      </c>
      <c r="M171" s="47"/>
      <c r="N171" s="3" t="str">
        <f t="shared" si="43"/>
        <v/>
      </c>
      <c r="O171" s="47"/>
      <c r="P171" s="3" t="str">
        <f t="shared" si="44"/>
        <v/>
      </c>
      <c r="Q171" s="47"/>
      <c r="R171" s="3" t="str">
        <f t="shared" si="45"/>
        <v/>
      </c>
      <c r="S171" s="47"/>
      <c r="T171" s="1" t="str">
        <f t="shared" si="46"/>
        <v/>
      </c>
      <c r="U171" s="47"/>
      <c r="V171" s="1" t="str">
        <f t="shared" si="47"/>
        <v/>
      </c>
      <c r="W171" s="47"/>
      <c r="X171" s="1" t="str">
        <f t="shared" si="48"/>
        <v/>
      </c>
      <c r="Y171" s="47"/>
      <c r="Z171" s="1" t="str">
        <f t="shared" si="49"/>
        <v/>
      </c>
      <c r="AA171" s="47"/>
      <c r="AB171" s="1" t="str">
        <f t="shared" si="50"/>
        <v/>
      </c>
      <c r="AC171" s="47"/>
      <c r="AD171" s="1" t="str">
        <f t="shared" si="51"/>
        <v/>
      </c>
      <c r="AE171" s="47"/>
      <c r="AF171" s="1" t="str">
        <f t="shared" si="52"/>
        <v/>
      </c>
      <c r="AG171" s="47"/>
    </row>
    <row r="172" spans="1:33">
      <c r="A172">
        <f t="shared" si="36"/>
        <v>0</v>
      </c>
      <c r="B172" s="2" t="str">
        <f t="shared" si="53"/>
        <v/>
      </c>
      <c r="C172" s="4" t="str">
        <f t="shared" si="37"/>
        <v/>
      </c>
      <c r="D172" s="3" t="str">
        <f t="shared" si="38"/>
        <v/>
      </c>
      <c r="E172" s="47"/>
      <c r="F172" s="3" t="str">
        <f t="shared" si="39"/>
        <v/>
      </c>
      <c r="G172" s="47"/>
      <c r="H172" s="3" t="str">
        <f t="shared" si="40"/>
        <v/>
      </c>
      <c r="I172" s="47"/>
      <c r="J172" s="3" t="str">
        <f t="shared" si="41"/>
        <v/>
      </c>
      <c r="K172" s="47"/>
      <c r="L172" s="3" t="str">
        <f t="shared" si="42"/>
        <v/>
      </c>
      <c r="M172" s="47"/>
      <c r="N172" s="3" t="str">
        <f t="shared" si="43"/>
        <v/>
      </c>
      <c r="O172" s="47"/>
      <c r="P172" s="3" t="str">
        <f t="shared" si="44"/>
        <v/>
      </c>
      <c r="Q172" s="47"/>
      <c r="R172" s="3" t="str">
        <f t="shared" si="45"/>
        <v/>
      </c>
      <c r="S172" s="47"/>
      <c r="T172" s="1" t="str">
        <f t="shared" si="46"/>
        <v/>
      </c>
      <c r="U172" s="47"/>
      <c r="V172" s="1" t="str">
        <f t="shared" si="47"/>
        <v/>
      </c>
      <c r="W172" s="47"/>
      <c r="X172" s="1" t="str">
        <f t="shared" si="48"/>
        <v/>
      </c>
      <c r="Y172" s="47"/>
      <c r="Z172" s="1" t="str">
        <f t="shared" si="49"/>
        <v/>
      </c>
      <c r="AA172" s="47"/>
      <c r="AB172" s="1" t="str">
        <f t="shared" si="50"/>
        <v/>
      </c>
      <c r="AC172" s="47"/>
      <c r="AD172" s="1" t="str">
        <f t="shared" si="51"/>
        <v/>
      </c>
      <c r="AE172" s="47"/>
      <c r="AF172" s="1" t="str">
        <f t="shared" si="52"/>
        <v/>
      </c>
      <c r="AG172" s="47"/>
    </row>
    <row r="173" spans="1:33">
      <c r="A173">
        <f t="shared" si="36"/>
        <v>0</v>
      </c>
      <c r="B173" s="2" t="str">
        <f t="shared" si="53"/>
        <v/>
      </c>
      <c r="C173" s="4" t="str">
        <f t="shared" si="37"/>
        <v/>
      </c>
      <c r="D173" s="3" t="str">
        <f t="shared" si="38"/>
        <v/>
      </c>
      <c r="E173" s="47"/>
      <c r="F173" s="3" t="str">
        <f t="shared" si="39"/>
        <v/>
      </c>
      <c r="G173" s="47"/>
      <c r="H173" s="3" t="str">
        <f t="shared" si="40"/>
        <v/>
      </c>
      <c r="I173" s="47"/>
      <c r="J173" s="3" t="str">
        <f t="shared" si="41"/>
        <v/>
      </c>
      <c r="K173" s="47"/>
      <c r="L173" s="3" t="str">
        <f t="shared" si="42"/>
        <v/>
      </c>
      <c r="M173" s="47"/>
      <c r="N173" s="3" t="str">
        <f t="shared" si="43"/>
        <v/>
      </c>
      <c r="O173" s="47"/>
      <c r="P173" s="3" t="str">
        <f t="shared" si="44"/>
        <v/>
      </c>
      <c r="Q173" s="47"/>
      <c r="R173" s="3" t="str">
        <f t="shared" si="45"/>
        <v/>
      </c>
      <c r="S173" s="47"/>
      <c r="T173" s="1" t="str">
        <f t="shared" si="46"/>
        <v/>
      </c>
      <c r="U173" s="47"/>
      <c r="V173" s="1" t="str">
        <f t="shared" si="47"/>
        <v/>
      </c>
      <c r="W173" s="47"/>
      <c r="X173" s="1" t="str">
        <f t="shared" si="48"/>
        <v/>
      </c>
      <c r="Y173" s="47"/>
      <c r="Z173" s="1" t="str">
        <f t="shared" si="49"/>
        <v/>
      </c>
      <c r="AA173" s="47"/>
      <c r="AB173" s="1" t="str">
        <f t="shared" si="50"/>
        <v/>
      </c>
      <c r="AC173" s="47"/>
      <c r="AD173" s="1" t="str">
        <f t="shared" si="51"/>
        <v/>
      </c>
      <c r="AE173" s="47"/>
      <c r="AF173" s="1" t="str">
        <f t="shared" si="52"/>
        <v/>
      </c>
      <c r="AG173" s="47"/>
    </row>
    <row r="174" spans="1:33">
      <c r="A174">
        <f t="shared" si="36"/>
        <v>0</v>
      </c>
      <c r="B174" s="2" t="str">
        <f t="shared" si="53"/>
        <v/>
      </c>
      <c r="C174" s="4" t="str">
        <f t="shared" si="37"/>
        <v/>
      </c>
      <c r="D174" s="3" t="str">
        <f t="shared" si="38"/>
        <v/>
      </c>
      <c r="E174" s="47"/>
      <c r="F174" s="3" t="str">
        <f t="shared" si="39"/>
        <v/>
      </c>
      <c r="G174" s="47"/>
      <c r="H174" s="3" t="str">
        <f t="shared" si="40"/>
        <v/>
      </c>
      <c r="I174" s="47"/>
      <c r="J174" s="3" t="str">
        <f t="shared" si="41"/>
        <v/>
      </c>
      <c r="K174" s="47"/>
      <c r="L174" s="3" t="str">
        <f t="shared" si="42"/>
        <v/>
      </c>
      <c r="M174" s="47"/>
      <c r="N174" s="3" t="str">
        <f t="shared" si="43"/>
        <v/>
      </c>
      <c r="O174" s="47"/>
      <c r="P174" s="3" t="str">
        <f t="shared" si="44"/>
        <v/>
      </c>
      <c r="Q174" s="47"/>
      <c r="R174" s="3" t="str">
        <f t="shared" si="45"/>
        <v/>
      </c>
      <c r="S174" s="47"/>
      <c r="T174" s="1" t="str">
        <f t="shared" si="46"/>
        <v/>
      </c>
      <c r="U174" s="47"/>
      <c r="V174" s="1" t="str">
        <f t="shared" si="47"/>
        <v/>
      </c>
      <c r="W174" s="47"/>
      <c r="X174" s="1" t="str">
        <f t="shared" si="48"/>
        <v/>
      </c>
      <c r="Y174" s="47"/>
      <c r="Z174" s="1" t="str">
        <f t="shared" si="49"/>
        <v/>
      </c>
      <c r="AA174" s="47"/>
      <c r="AB174" s="1" t="str">
        <f t="shared" si="50"/>
        <v/>
      </c>
      <c r="AC174" s="47"/>
      <c r="AD174" s="1" t="str">
        <f t="shared" si="51"/>
        <v/>
      </c>
      <c r="AE174" s="47"/>
      <c r="AF174" s="1" t="str">
        <f t="shared" si="52"/>
        <v/>
      </c>
      <c r="AG174" s="47"/>
    </row>
    <row r="175" spans="1:33">
      <c r="A175">
        <f t="shared" si="36"/>
        <v>0</v>
      </c>
      <c r="B175" s="2" t="str">
        <f t="shared" si="53"/>
        <v/>
      </c>
      <c r="C175" s="4" t="str">
        <f t="shared" si="37"/>
        <v/>
      </c>
      <c r="D175" s="3" t="str">
        <f t="shared" si="38"/>
        <v/>
      </c>
      <c r="E175" s="47"/>
      <c r="F175" s="3" t="str">
        <f t="shared" si="39"/>
        <v/>
      </c>
      <c r="G175" s="47"/>
      <c r="H175" s="3" t="str">
        <f t="shared" si="40"/>
        <v/>
      </c>
      <c r="I175" s="47"/>
      <c r="J175" s="3" t="str">
        <f t="shared" si="41"/>
        <v/>
      </c>
      <c r="K175" s="47"/>
      <c r="L175" s="3" t="str">
        <f t="shared" si="42"/>
        <v/>
      </c>
      <c r="M175" s="47"/>
      <c r="N175" s="3" t="str">
        <f t="shared" si="43"/>
        <v/>
      </c>
      <c r="O175" s="47"/>
      <c r="P175" s="3" t="str">
        <f t="shared" si="44"/>
        <v/>
      </c>
      <c r="Q175" s="47"/>
      <c r="R175" s="3" t="str">
        <f t="shared" si="45"/>
        <v/>
      </c>
      <c r="S175" s="47"/>
      <c r="T175" s="1" t="str">
        <f t="shared" si="46"/>
        <v/>
      </c>
      <c r="U175" s="47"/>
      <c r="V175" s="1" t="str">
        <f t="shared" si="47"/>
        <v/>
      </c>
      <c r="W175" s="47"/>
      <c r="X175" s="1" t="str">
        <f t="shared" si="48"/>
        <v/>
      </c>
      <c r="Y175" s="47"/>
      <c r="Z175" s="1" t="str">
        <f t="shared" si="49"/>
        <v/>
      </c>
      <c r="AA175" s="47"/>
      <c r="AB175" s="1" t="str">
        <f t="shared" si="50"/>
        <v/>
      </c>
      <c r="AC175" s="47"/>
      <c r="AD175" s="1" t="str">
        <f t="shared" si="51"/>
        <v/>
      </c>
      <c r="AE175" s="47"/>
      <c r="AF175" s="1" t="str">
        <f t="shared" si="52"/>
        <v/>
      </c>
      <c r="AG175" s="47"/>
    </row>
    <row r="176" spans="1:33">
      <c r="A176">
        <f t="shared" si="36"/>
        <v>0</v>
      </c>
      <c r="B176" s="2" t="str">
        <f t="shared" si="53"/>
        <v/>
      </c>
      <c r="C176" s="4" t="str">
        <f t="shared" si="37"/>
        <v/>
      </c>
      <c r="D176" s="3" t="str">
        <f t="shared" si="38"/>
        <v/>
      </c>
      <c r="E176" s="47"/>
      <c r="F176" s="3" t="str">
        <f t="shared" si="39"/>
        <v/>
      </c>
      <c r="G176" s="47"/>
      <c r="H176" s="3" t="str">
        <f t="shared" si="40"/>
        <v/>
      </c>
      <c r="I176" s="47"/>
      <c r="J176" s="3" t="str">
        <f t="shared" si="41"/>
        <v/>
      </c>
      <c r="K176" s="47"/>
      <c r="L176" s="3" t="str">
        <f t="shared" si="42"/>
        <v/>
      </c>
      <c r="M176" s="47"/>
      <c r="N176" s="3" t="str">
        <f t="shared" si="43"/>
        <v/>
      </c>
      <c r="O176" s="47"/>
      <c r="P176" s="3" t="str">
        <f t="shared" si="44"/>
        <v/>
      </c>
      <c r="Q176" s="47"/>
      <c r="R176" s="3" t="str">
        <f t="shared" si="45"/>
        <v/>
      </c>
      <c r="S176" s="47"/>
      <c r="T176" s="1" t="str">
        <f t="shared" si="46"/>
        <v/>
      </c>
      <c r="U176" s="47"/>
      <c r="V176" s="1" t="str">
        <f t="shared" si="47"/>
        <v/>
      </c>
      <c r="W176" s="47"/>
      <c r="X176" s="1" t="str">
        <f t="shared" si="48"/>
        <v/>
      </c>
      <c r="Y176" s="47"/>
      <c r="Z176" s="1" t="str">
        <f t="shared" si="49"/>
        <v/>
      </c>
      <c r="AA176" s="47"/>
      <c r="AB176" s="1" t="str">
        <f t="shared" si="50"/>
        <v/>
      </c>
      <c r="AC176" s="47"/>
      <c r="AD176" s="1" t="str">
        <f t="shared" si="51"/>
        <v/>
      </c>
      <c r="AE176" s="47"/>
      <c r="AF176" s="1" t="str">
        <f t="shared" si="52"/>
        <v/>
      </c>
      <c r="AG176" s="47"/>
    </row>
    <row r="177" spans="1:33">
      <c r="A177">
        <f t="shared" si="36"/>
        <v>0</v>
      </c>
      <c r="B177" s="2" t="str">
        <f t="shared" si="53"/>
        <v/>
      </c>
      <c r="C177" s="4" t="str">
        <f t="shared" si="37"/>
        <v/>
      </c>
      <c r="D177" s="3" t="str">
        <f t="shared" si="38"/>
        <v/>
      </c>
      <c r="E177" s="47"/>
      <c r="F177" s="3" t="str">
        <f t="shared" si="39"/>
        <v/>
      </c>
      <c r="G177" s="47"/>
      <c r="H177" s="3" t="str">
        <f t="shared" si="40"/>
        <v/>
      </c>
      <c r="I177" s="47"/>
      <c r="J177" s="3" t="str">
        <f t="shared" si="41"/>
        <v/>
      </c>
      <c r="K177" s="47"/>
      <c r="L177" s="3" t="str">
        <f t="shared" si="42"/>
        <v/>
      </c>
      <c r="M177" s="47"/>
      <c r="N177" s="3" t="str">
        <f t="shared" si="43"/>
        <v/>
      </c>
      <c r="O177" s="47"/>
      <c r="P177" s="3" t="str">
        <f t="shared" si="44"/>
        <v/>
      </c>
      <c r="Q177" s="47"/>
      <c r="R177" s="3" t="str">
        <f t="shared" si="45"/>
        <v/>
      </c>
      <c r="S177" s="47"/>
      <c r="T177" s="1" t="str">
        <f t="shared" si="46"/>
        <v/>
      </c>
      <c r="U177" s="47"/>
      <c r="V177" s="1" t="str">
        <f t="shared" si="47"/>
        <v/>
      </c>
      <c r="W177" s="47"/>
      <c r="X177" s="1" t="str">
        <f t="shared" si="48"/>
        <v/>
      </c>
      <c r="Y177" s="47"/>
      <c r="Z177" s="1" t="str">
        <f t="shared" si="49"/>
        <v/>
      </c>
      <c r="AA177" s="47"/>
      <c r="AB177" s="1" t="str">
        <f t="shared" si="50"/>
        <v/>
      </c>
      <c r="AC177" s="47"/>
      <c r="AD177" s="1" t="str">
        <f t="shared" si="51"/>
        <v/>
      </c>
      <c r="AE177" s="47"/>
      <c r="AF177" s="1" t="str">
        <f t="shared" si="52"/>
        <v/>
      </c>
      <c r="AG177" s="47"/>
    </row>
    <row r="178" spans="1:33">
      <c r="A178">
        <f t="shared" si="36"/>
        <v>0</v>
      </c>
      <c r="B178" s="2" t="str">
        <f t="shared" si="53"/>
        <v/>
      </c>
      <c r="C178" s="4" t="str">
        <f t="shared" si="37"/>
        <v/>
      </c>
      <c r="D178" s="3" t="str">
        <f t="shared" si="38"/>
        <v/>
      </c>
      <c r="E178" s="47"/>
      <c r="F178" s="3" t="str">
        <f t="shared" si="39"/>
        <v/>
      </c>
      <c r="G178" s="47"/>
      <c r="H178" s="3" t="str">
        <f t="shared" si="40"/>
        <v/>
      </c>
      <c r="I178" s="47"/>
      <c r="J178" s="3" t="str">
        <f t="shared" si="41"/>
        <v/>
      </c>
      <c r="K178" s="47"/>
      <c r="L178" s="3" t="str">
        <f t="shared" si="42"/>
        <v/>
      </c>
      <c r="M178" s="47"/>
      <c r="N178" s="3" t="str">
        <f t="shared" si="43"/>
        <v/>
      </c>
      <c r="O178" s="47"/>
      <c r="P178" s="3" t="str">
        <f t="shared" si="44"/>
        <v/>
      </c>
      <c r="Q178" s="47"/>
      <c r="R178" s="3" t="str">
        <f t="shared" si="45"/>
        <v/>
      </c>
      <c r="S178" s="47"/>
      <c r="T178" s="1" t="str">
        <f t="shared" si="46"/>
        <v/>
      </c>
      <c r="U178" s="47"/>
      <c r="V178" s="1" t="str">
        <f t="shared" si="47"/>
        <v/>
      </c>
      <c r="W178" s="47"/>
      <c r="X178" s="1" t="str">
        <f t="shared" si="48"/>
        <v/>
      </c>
      <c r="Y178" s="47"/>
      <c r="Z178" s="1" t="str">
        <f t="shared" si="49"/>
        <v/>
      </c>
      <c r="AA178" s="47"/>
      <c r="AB178" s="1" t="str">
        <f t="shared" si="50"/>
        <v/>
      </c>
      <c r="AC178" s="47"/>
      <c r="AD178" s="1" t="str">
        <f t="shared" si="51"/>
        <v/>
      </c>
      <c r="AE178" s="47"/>
      <c r="AF178" s="1" t="str">
        <f t="shared" si="52"/>
        <v/>
      </c>
      <c r="AG178" s="47"/>
    </row>
    <row r="179" spans="1:33">
      <c r="A179">
        <f t="shared" si="36"/>
        <v>0</v>
      </c>
      <c r="B179" s="2" t="str">
        <f t="shared" si="53"/>
        <v/>
      </c>
      <c r="C179" s="4" t="str">
        <f t="shared" si="37"/>
        <v/>
      </c>
      <c r="D179" s="3" t="str">
        <f t="shared" si="38"/>
        <v/>
      </c>
      <c r="E179" s="47"/>
      <c r="F179" s="3" t="str">
        <f t="shared" si="39"/>
        <v/>
      </c>
      <c r="G179" s="47"/>
      <c r="H179" s="3" t="str">
        <f t="shared" si="40"/>
        <v/>
      </c>
      <c r="I179" s="47"/>
      <c r="J179" s="3" t="str">
        <f t="shared" si="41"/>
        <v/>
      </c>
      <c r="K179" s="47"/>
      <c r="L179" s="3" t="str">
        <f t="shared" si="42"/>
        <v/>
      </c>
      <c r="M179" s="47"/>
      <c r="N179" s="3" t="str">
        <f t="shared" si="43"/>
        <v/>
      </c>
      <c r="O179" s="47"/>
      <c r="P179" s="3" t="str">
        <f t="shared" si="44"/>
        <v/>
      </c>
      <c r="Q179" s="47"/>
      <c r="R179" s="3" t="str">
        <f t="shared" si="45"/>
        <v/>
      </c>
      <c r="S179" s="47"/>
      <c r="T179" s="1" t="str">
        <f t="shared" si="46"/>
        <v/>
      </c>
      <c r="U179" s="47"/>
      <c r="V179" s="1" t="str">
        <f t="shared" si="47"/>
        <v/>
      </c>
      <c r="W179" s="47"/>
      <c r="X179" s="1" t="str">
        <f t="shared" si="48"/>
        <v/>
      </c>
      <c r="Y179" s="47"/>
      <c r="Z179" s="1" t="str">
        <f t="shared" si="49"/>
        <v/>
      </c>
      <c r="AA179" s="47"/>
      <c r="AB179" s="1" t="str">
        <f t="shared" si="50"/>
        <v/>
      </c>
      <c r="AC179" s="47"/>
      <c r="AD179" s="1" t="str">
        <f t="shared" si="51"/>
        <v/>
      </c>
      <c r="AE179" s="47"/>
      <c r="AF179" s="1" t="str">
        <f t="shared" si="52"/>
        <v/>
      </c>
      <c r="AG179" s="47"/>
    </row>
    <row r="180" spans="1:33">
      <c r="A180">
        <f t="shared" si="36"/>
        <v>0</v>
      </c>
      <c r="B180" s="2" t="str">
        <f t="shared" si="53"/>
        <v/>
      </c>
      <c r="C180" s="4" t="str">
        <f t="shared" si="37"/>
        <v/>
      </c>
      <c r="D180" s="3" t="str">
        <f t="shared" si="38"/>
        <v/>
      </c>
      <c r="E180" s="47"/>
      <c r="F180" s="3" t="str">
        <f t="shared" si="39"/>
        <v/>
      </c>
      <c r="G180" s="47"/>
      <c r="H180" s="3" t="str">
        <f t="shared" si="40"/>
        <v/>
      </c>
      <c r="I180" s="47"/>
      <c r="J180" s="3" t="str">
        <f t="shared" si="41"/>
        <v/>
      </c>
      <c r="K180" s="47"/>
      <c r="L180" s="3" t="str">
        <f t="shared" si="42"/>
        <v/>
      </c>
      <c r="M180" s="47"/>
      <c r="N180" s="3" t="str">
        <f t="shared" si="43"/>
        <v/>
      </c>
      <c r="O180" s="47"/>
      <c r="P180" s="3" t="str">
        <f t="shared" si="44"/>
        <v/>
      </c>
      <c r="Q180" s="47"/>
      <c r="R180" s="3" t="str">
        <f t="shared" si="45"/>
        <v/>
      </c>
      <c r="S180" s="47"/>
      <c r="T180" s="1" t="str">
        <f t="shared" si="46"/>
        <v/>
      </c>
      <c r="U180" s="47"/>
      <c r="V180" s="1" t="str">
        <f t="shared" si="47"/>
        <v/>
      </c>
      <c r="W180" s="47"/>
      <c r="X180" s="1" t="str">
        <f t="shared" si="48"/>
        <v/>
      </c>
      <c r="Y180" s="47"/>
      <c r="Z180" s="1" t="str">
        <f t="shared" si="49"/>
        <v/>
      </c>
      <c r="AA180" s="47"/>
      <c r="AB180" s="1" t="str">
        <f t="shared" si="50"/>
        <v/>
      </c>
      <c r="AC180" s="47"/>
      <c r="AD180" s="1" t="str">
        <f t="shared" si="51"/>
        <v/>
      </c>
      <c r="AE180" s="47"/>
      <c r="AF180" s="1" t="str">
        <f t="shared" si="52"/>
        <v/>
      </c>
      <c r="AG180" s="47"/>
    </row>
    <row r="181" spans="1:33">
      <c r="A181">
        <f t="shared" si="36"/>
        <v>0</v>
      </c>
      <c r="B181" s="2" t="str">
        <f t="shared" si="53"/>
        <v/>
      </c>
      <c r="C181" s="4" t="str">
        <f t="shared" si="37"/>
        <v/>
      </c>
      <c r="D181" s="3" t="str">
        <f t="shared" si="38"/>
        <v/>
      </c>
      <c r="E181" s="47"/>
      <c r="F181" s="3" t="str">
        <f t="shared" si="39"/>
        <v/>
      </c>
      <c r="G181" s="47"/>
      <c r="H181" s="3" t="str">
        <f t="shared" si="40"/>
        <v/>
      </c>
      <c r="I181" s="47"/>
      <c r="J181" s="3" t="str">
        <f t="shared" si="41"/>
        <v/>
      </c>
      <c r="K181" s="47"/>
      <c r="L181" s="3" t="str">
        <f t="shared" si="42"/>
        <v/>
      </c>
      <c r="M181" s="47"/>
      <c r="N181" s="3" t="str">
        <f t="shared" si="43"/>
        <v/>
      </c>
      <c r="O181" s="47"/>
      <c r="P181" s="3" t="str">
        <f t="shared" si="44"/>
        <v/>
      </c>
      <c r="Q181" s="47"/>
      <c r="R181" s="3" t="str">
        <f t="shared" si="45"/>
        <v/>
      </c>
      <c r="S181" s="47"/>
      <c r="T181" s="1" t="str">
        <f t="shared" si="46"/>
        <v/>
      </c>
      <c r="U181" s="47"/>
      <c r="V181" s="1" t="str">
        <f t="shared" si="47"/>
        <v/>
      </c>
      <c r="W181" s="47"/>
      <c r="X181" s="1" t="str">
        <f t="shared" si="48"/>
        <v/>
      </c>
      <c r="Y181" s="47"/>
      <c r="Z181" s="1" t="str">
        <f t="shared" si="49"/>
        <v/>
      </c>
      <c r="AA181" s="47"/>
      <c r="AB181" s="1" t="str">
        <f t="shared" si="50"/>
        <v/>
      </c>
      <c r="AC181" s="47"/>
      <c r="AD181" s="1" t="str">
        <f t="shared" si="51"/>
        <v/>
      </c>
      <c r="AE181" s="47"/>
      <c r="AF181" s="1" t="str">
        <f t="shared" si="52"/>
        <v/>
      </c>
      <c r="AG181" s="47"/>
    </row>
    <row r="182" spans="1:33">
      <c r="A182">
        <f t="shared" si="36"/>
        <v>0</v>
      </c>
      <c r="B182" s="2" t="str">
        <f t="shared" si="53"/>
        <v/>
      </c>
      <c r="C182" s="4" t="str">
        <f t="shared" si="37"/>
        <v/>
      </c>
      <c r="D182" s="3" t="str">
        <f t="shared" si="38"/>
        <v/>
      </c>
      <c r="E182" s="47"/>
      <c r="F182" s="3" t="str">
        <f t="shared" si="39"/>
        <v/>
      </c>
      <c r="G182" s="47"/>
      <c r="H182" s="3" t="str">
        <f t="shared" si="40"/>
        <v/>
      </c>
      <c r="I182" s="47"/>
      <c r="J182" s="3" t="str">
        <f t="shared" si="41"/>
        <v/>
      </c>
      <c r="K182" s="47"/>
      <c r="L182" s="3" t="str">
        <f t="shared" si="42"/>
        <v/>
      </c>
      <c r="M182" s="47"/>
      <c r="N182" s="3" t="str">
        <f t="shared" si="43"/>
        <v/>
      </c>
      <c r="O182" s="47"/>
      <c r="P182" s="3" t="str">
        <f t="shared" si="44"/>
        <v/>
      </c>
      <c r="Q182" s="47"/>
      <c r="R182" s="3" t="str">
        <f t="shared" si="45"/>
        <v/>
      </c>
      <c r="S182" s="47"/>
      <c r="T182" s="1" t="str">
        <f t="shared" si="46"/>
        <v/>
      </c>
      <c r="U182" s="47"/>
      <c r="V182" s="1" t="str">
        <f t="shared" si="47"/>
        <v/>
      </c>
      <c r="W182" s="47"/>
      <c r="X182" s="1" t="str">
        <f t="shared" si="48"/>
        <v/>
      </c>
      <c r="Y182" s="47"/>
      <c r="Z182" s="1" t="str">
        <f t="shared" si="49"/>
        <v/>
      </c>
      <c r="AA182" s="47"/>
      <c r="AB182" s="1" t="str">
        <f t="shared" si="50"/>
        <v/>
      </c>
      <c r="AC182" s="47"/>
      <c r="AD182" s="1" t="str">
        <f t="shared" si="51"/>
        <v/>
      </c>
      <c r="AE182" s="47"/>
      <c r="AF182" s="1" t="str">
        <f t="shared" si="52"/>
        <v/>
      </c>
      <c r="AG182" s="47"/>
    </row>
    <row r="183" spans="1:33">
      <c r="A183">
        <f t="shared" si="36"/>
        <v>0</v>
      </c>
      <c r="B183" s="2" t="str">
        <f t="shared" si="53"/>
        <v/>
      </c>
      <c r="C183" s="4" t="str">
        <f t="shared" si="37"/>
        <v/>
      </c>
      <c r="D183" s="3" t="str">
        <f t="shared" si="38"/>
        <v/>
      </c>
      <c r="E183" s="47"/>
      <c r="F183" s="3" t="str">
        <f t="shared" si="39"/>
        <v/>
      </c>
      <c r="G183" s="47"/>
      <c r="H183" s="3" t="str">
        <f t="shared" si="40"/>
        <v/>
      </c>
      <c r="I183" s="47"/>
      <c r="J183" s="3" t="str">
        <f t="shared" si="41"/>
        <v/>
      </c>
      <c r="K183" s="47"/>
      <c r="L183" s="3" t="str">
        <f t="shared" si="42"/>
        <v/>
      </c>
      <c r="M183" s="47"/>
      <c r="N183" s="3" t="str">
        <f t="shared" si="43"/>
        <v/>
      </c>
      <c r="O183" s="47"/>
      <c r="P183" s="3" t="str">
        <f t="shared" si="44"/>
        <v/>
      </c>
      <c r="Q183" s="47"/>
      <c r="R183" s="3" t="str">
        <f t="shared" si="45"/>
        <v/>
      </c>
      <c r="S183" s="47"/>
      <c r="T183" s="1" t="str">
        <f t="shared" si="46"/>
        <v/>
      </c>
      <c r="U183" s="47"/>
      <c r="V183" s="1" t="str">
        <f t="shared" si="47"/>
        <v/>
      </c>
      <c r="W183" s="47"/>
      <c r="X183" s="1" t="str">
        <f t="shared" si="48"/>
        <v/>
      </c>
      <c r="Y183" s="47"/>
      <c r="Z183" s="1" t="str">
        <f t="shared" si="49"/>
        <v/>
      </c>
      <c r="AA183" s="47"/>
      <c r="AB183" s="1" t="str">
        <f t="shared" si="50"/>
        <v/>
      </c>
      <c r="AC183" s="47"/>
      <c r="AD183" s="1" t="str">
        <f t="shared" si="51"/>
        <v/>
      </c>
      <c r="AE183" s="47"/>
      <c r="AF183" s="1" t="str">
        <f t="shared" si="52"/>
        <v/>
      </c>
      <c r="AG183" s="47"/>
    </row>
    <row r="184" spans="1:33">
      <c r="A184">
        <f t="shared" si="36"/>
        <v>0</v>
      </c>
      <c r="B184" s="2" t="str">
        <f t="shared" si="53"/>
        <v/>
      </c>
      <c r="C184" s="4" t="str">
        <f t="shared" si="37"/>
        <v/>
      </c>
      <c r="D184" s="3" t="str">
        <f t="shared" si="38"/>
        <v/>
      </c>
      <c r="E184" s="47"/>
      <c r="F184" s="3" t="str">
        <f t="shared" si="39"/>
        <v/>
      </c>
      <c r="G184" s="47"/>
      <c r="H184" s="3" t="str">
        <f t="shared" si="40"/>
        <v/>
      </c>
      <c r="I184" s="47"/>
      <c r="J184" s="3" t="str">
        <f t="shared" si="41"/>
        <v/>
      </c>
      <c r="K184" s="47"/>
      <c r="L184" s="3" t="str">
        <f t="shared" si="42"/>
        <v/>
      </c>
      <c r="M184" s="47"/>
      <c r="N184" s="3" t="str">
        <f t="shared" si="43"/>
        <v/>
      </c>
      <c r="O184" s="47"/>
      <c r="P184" s="3" t="str">
        <f t="shared" si="44"/>
        <v/>
      </c>
      <c r="Q184" s="47"/>
      <c r="R184" s="3" t="str">
        <f t="shared" si="45"/>
        <v/>
      </c>
      <c r="S184" s="47"/>
      <c r="T184" s="1" t="str">
        <f t="shared" si="46"/>
        <v/>
      </c>
      <c r="U184" s="47"/>
      <c r="V184" s="1" t="str">
        <f t="shared" si="47"/>
        <v/>
      </c>
      <c r="W184" s="47"/>
      <c r="X184" s="1" t="str">
        <f t="shared" si="48"/>
        <v/>
      </c>
      <c r="Y184" s="47"/>
      <c r="Z184" s="1" t="str">
        <f t="shared" si="49"/>
        <v/>
      </c>
      <c r="AA184" s="47"/>
      <c r="AB184" s="1" t="str">
        <f t="shared" si="50"/>
        <v/>
      </c>
      <c r="AC184" s="47"/>
      <c r="AD184" s="1" t="str">
        <f t="shared" si="51"/>
        <v/>
      </c>
      <c r="AE184" s="47"/>
      <c r="AF184" s="1" t="str">
        <f t="shared" si="52"/>
        <v/>
      </c>
      <c r="AG184" s="47"/>
    </row>
    <row r="185" spans="1:33">
      <c r="A185">
        <f t="shared" si="36"/>
        <v>0</v>
      </c>
      <c r="B185" s="2" t="str">
        <f t="shared" si="53"/>
        <v/>
      </c>
      <c r="C185" s="4" t="str">
        <f t="shared" si="37"/>
        <v/>
      </c>
      <c r="D185" s="3" t="str">
        <f t="shared" si="38"/>
        <v/>
      </c>
      <c r="E185" s="47"/>
      <c r="F185" s="3" t="str">
        <f t="shared" si="39"/>
        <v/>
      </c>
      <c r="G185" s="47"/>
      <c r="H185" s="3" t="str">
        <f t="shared" si="40"/>
        <v/>
      </c>
      <c r="I185" s="47"/>
      <c r="J185" s="3" t="str">
        <f t="shared" si="41"/>
        <v/>
      </c>
      <c r="K185" s="47"/>
      <c r="L185" s="3" t="str">
        <f t="shared" si="42"/>
        <v/>
      </c>
      <c r="M185" s="47"/>
      <c r="N185" s="3" t="str">
        <f t="shared" si="43"/>
        <v/>
      </c>
      <c r="O185" s="47"/>
      <c r="P185" s="3" t="str">
        <f t="shared" si="44"/>
        <v/>
      </c>
      <c r="Q185" s="47"/>
      <c r="R185" s="3" t="str">
        <f t="shared" si="45"/>
        <v/>
      </c>
      <c r="S185" s="47"/>
      <c r="T185" s="1" t="str">
        <f t="shared" si="46"/>
        <v/>
      </c>
      <c r="U185" s="47"/>
      <c r="V185" s="1" t="str">
        <f t="shared" si="47"/>
        <v/>
      </c>
      <c r="W185" s="47"/>
      <c r="X185" s="1" t="str">
        <f t="shared" si="48"/>
        <v/>
      </c>
      <c r="Y185" s="47"/>
      <c r="Z185" s="1" t="str">
        <f t="shared" si="49"/>
        <v/>
      </c>
      <c r="AA185" s="47"/>
      <c r="AB185" s="1" t="str">
        <f t="shared" si="50"/>
        <v/>
      </c>
      <c r="AC185" s="47"/>
      <c r="AD185" s="1" t="str">
        <f t="shared" si="51"/>
        <v/>
      </c>
      <c r="AE185" s="47"/>
      <c r="AF185" s="1" t="str">
        <f t="shared" si="52"/>
        <v/>
      </c>
      <c r="AG185" s="47"/>
    </row>
    <row r="186" spans="1:33">
      <c r="A186">
        <f t="shared" si="36"/>
        <v>0</v>
      </c>
      <c r="B186" s="2" t="str">
        <f t="shared" si="53"/>
        <v/>
      </c>
      <c r="C186" s="4" t="str">
        <f t="shared" si="37"/>
        <v/>
      </c>
      <c r="D186" s="3" t="str">
        <f t="shared" si="38"/>
        <v/>
      </c>
      <c r="E186" s="47"/>
      <c r="F186" s="3" t="str">
        <f t="shared" si="39"/>
        <v/>
      </c>
      <c r="G186" s="47"/>
      <c r="H186" s="3" t="str">
        <f t="shared" si="40"/>
        <v/>
      </c>
      <c r="I186" s="47"/>
      <c r="J186" s="3" t="str">
        <f t="shared" si="41"/>
        <v/>
      </c>
      <c r="K186" s="47"/>
      <c r="L186" s="3" t="str">
        <f t="shared" si="42"/>
        <v/>
      </c>
      <c r="M186" s="47"/>
      <c r="N186" s="3" t="str">
        <f t="shared" si="43"/>
        <v/>
      </c>
      <c r="O186" s="47"/>
      <c r="P186" s="3" t="str">
        <f t="shared" si="44"/>
        <v/>
      </c>
      <c r="Q186" s="47"/>
      <c r="R186" s="3" t="str">
        <f t="shared" si="45"/>
        <v/>
      </c>
      <c r="S186" s="47"/>
      <c r="T186" s="1" t="str">
        <f t="shared" si="46"/>
        <v/>
      </c>
      <c r="U186" s="47"/>
      <c r="V186" s="1" t="str">
        <f t="shared" si="47"/>
        <v/>
      </c>
      <c r="W186" s="47"/>
      <c r="X186" s="1" t="str">
        <f t="shared" si="48"/>
        <v/>
      </c>
      <c r="Y186" s="47"/>
      <c r="Z186" s="1" t="str">
        <f t="shared" si="49"/>
        <v/>
      </c>
      <c r="AA186" s="47"/>
      <c r="AB186" s="1" t="str">
        <f t="shared" si="50"/>
        <v/>
      </c>
      <c r="AC186" s="47"/>
      <c r="AD186" s="1" t="str">
        <f t="shared" si="51"/>
        <v/>
      </c>
      <c r="AE186" s="47"/>
      <c r="AF186" s="1" t="str">
        <f t="shared" si="52"/>
        <v/>
      </c>
      <c r="AG186" s="47"/>
    </row>
    <row r="187" spans="1:33">
      <c r="A187">
        <f t="shared" si="36"/>
        <v>0</v>
      </c>
      <c r="B187" s="2" t="str">
        <f t="shared" si="53"/>
        <v/>
      </c>
      <c r="C187" s="4" t="str">
        <f t="shared" si="37"/>
        <v/>
      </c>
      <c r="D187" s="3" t="str">
        <f t="shared" si="38"/>
        <v/>
      </c>
      <c r="E187" s="47"/>
      <c r="F187" s="3" t="str">
        <f t="shared" si="39"/>
        <v/>
      </c>
      <c r="G187" s="47"/>
      <c r="H187" s="3" t="str">
        <f t="shared" si="40"/>
        <v/>
      </c>
      <c r="I187" s="47"/>
      <c r="J187" s="3" t="str">
        <f t="shared" si="41"/>
        <v/>
      </c>
      <c r="K187" s="47"/>
      <c r="L187" s="3" t="str">
        <f t="shared" si="42"/>
        <v/>
      </c>
      <c r="M187" s="47"/>
      <c r="N187" s="3" t="str">
        <f t="shared" si="43"/>
        <v/>
      </c>
      <c r="O187" s="47"/>
      <c r="P187" s="3" t="str">
        <f t="shared" si="44"/>
        <v/>
      </c>
      <c r="Q187" s="47"/>
      <c r="R187" s="3" t="str">
        <f t="shared" si="45"/>
        <v/>
      </c>
      <c r="S187" s="47"/>
      <c r="T187" s="1" t="str">
        <f t="shared" si="46"/>
        <v/>
      </c>
      <c r="U187" s="47"/>
      <c r="V187" s="1" t="str">
        <f t="shared" si="47"/>
        <v/>
      </c>
      <c r="W187" s="47"/>
      <c r="X187" s="1" t="str">
        <f t="shared" si="48"/>
        <v/>
      </c>
      <c r="Y187" s="47"/>
      <c r="Z187" s="1" t="str">
        <f t="shared" si="49"/>
        <v/>
      </c>
      <c r="AA187" s="47"/>
      <c r="AB187" s="1" t="str">
        <f t="shared" si="50"/>
        <v/>
      </c>
      <c r="AC187" s="47"/>
      <c r="AD187" s="1" t="str">
        <f t="shared" si="51"/>
        <v/>
      </c>
      <c r="AE187" s="47"/>
      <c r="AF187" s="1" t="str">
        <f t="shared" si="52"/>
        <v/>
      </c>
      <c r="AG187" s="47"/>
    </row>
    <row r="188" spans="1:33">
      <c r="A188">
        <f t="shared" si="36"/>
        <v>0</v>
      </c>
      <c r="B188" s="2" t="str">
        <f t="shared" si="53"/>
        <v/>
      </c>
      <c r="C188" s="4" t="str">
        <f t="shared" si="37"/>
        <v/>
      </c>
      <c r="D188" s="3" t="str">
        <f t="shared" si="38"/>
        <v/>
      </c>
      <c r="E188" s="47"/>
      <c r="F188" s="3" t="str">
        <f t="shared" si="39"/>
        <v/>
      </c>
      <c r="G188" s="47"/>
      <c r="H188" s="3" t="str">
        <f t="shared" si="40"/>
        <v/>
      </c>
      <c r="I188" s="47"/>
      <c r="J188" s="3" t="str">
        <f t="shared" si="41"/>
        <v/>
      </c>
      <c r="K188" s="47"/>
      <c r="L188" s="3" t="str">
        <f t="shared" si="42"/>
        <v/>
      </c>
      <c r="M188" s="47"/>
      <c r="N188" s="3" t="str">
        <f t="shared" si="43"/>
        <v/>
      </c>
      <c r="O188" s="47"/>
      <c r="P188" s="3" t="str">
        <f t="shared" si="44"/>
        <v/>
      </c>
      <c r="Q188" s="47"/>
      <c r="R188" s="3" t="str">
        <f t="shared" si="45"/>
        <v/>
      </c>
      <c r="S188" s="47"/>
      <c r="T188" s="1" t="str">
        <f t="shared" si="46"/>
        <v/>
      </c>
      <c r="U188" s="47"/>
      <c r="V188" s="1" t="str">
        <f t="shared" si="47"/>
        <v/>
      </c>
      <c r="W188" s="47"/>
      <c r="X188" s="1" t="str">
        <f t="shared" si="48"/>
        <v/>
      </c>
      <c r="Y188" s="47"/>
      <c r="Z188" s="1" t="str">
        <f t="shared" si="49"/>
        <v/>
      </c>
      <c r="AA188" s="47"/>
      <c r="AB188" s="1" t="str">
        <f t="shared" si="50"/>
        <v/>
      </c>
      <c r="AC188" s="47"/>
      <c r="AD188" s="1" t="str">
        <f t="shared" si="51"/>
        <v/>
      </c>
      <c r="AE188" s="47"/>
      <c r="AF188" s="1" t="str">
        <f t="shared" si="52"/>
        <v/>
      </c>
      <c r="AG188" s="47"/>
    </row>
    <row r="189" spans="1:33">
      <c r="A189">
        <f t="shared" si="36"/>
        <v>0</v>
      </c>
      <c r="B189" s="2" t="str">
        <f t="shared" si="53"/>
        <v/>
      </c>
      <c r="C189" s="4" t="str">
        <f t="shared" si="37"/>
        <v/>
      </c>
      <c r="D189" s="3" t="str">
        <f t="shared" si="38"/>
        <v/>
      </c>
      <c r="E189" s="47"/>
      <c r="F189" s="3" t="str">
        <f t="shared" si="39"/>
        <v/>
      </c>
      <c r="G189" s="47"/>
      <c r="H189" s="3" t="str">
        <f t="shared" si="40"/>
        <v/>
      </c>
      <c r="I189" s="47"/>
      <c r="J189" s="3" t="str">
        <f t="shared" si="41"/>
        <v/>
      </c>
      <c r="K189" s="47"/>
      <c r="L189" s="3" t="str">
        <f t="shared" si="42"/>
        <v/>
      </c>
      <c r="M189" s="47"/>
      <c r="N189" s="3" t="str">
        <f t="shared" si="43"/>
        <v/>
      </c>
      <c r="O189" s="47"/>
      <c r="P189" s="3" t="str">
        <f t="shared" si="44"/>
        <v/>
      </c>
      <c r="Q189" s="47"/>
      <c r="R189" s="3" t="str">
        <f t="shared" si="45"/>
        <v/>
      </c>
      <c r="S189" s="47"/>
      <c r="T189" s="1" t="str">
        <f t="shared" si="46"/>
        <v/>
      </c>
      <c r="U189" s="47"/>
      <c r="V189" s="1" t="str">
        <f t="shared" si="47"/>
        <v/>
      </c>
      <c r="W189" s="47"/>
      <c r="X189" s="1" t="str">
        <f t="shared" si="48"/>
        <v/>
      </c>
      <c r="Y189" s="47"/>
      <c r="Z189" s="1" t="str">
        <f t="shared" si="49"/>
        <v/>
      </c>
      <c r="AA189" s="47"/>
      <c r="AB189" s="1" t="str">
        <f t="shared" si="50"/>
        <v/>
      </c>
      <c r="AC189" s="47"/>
      <c r="AD189" s="1" t="str">
        <f t="shared" si="51"/>
        <v/>
      </c>
      <c r="AE189" s="47"/>
      <c r="AF189" s="1" t="str">
        <f t="shared" si="52"/>
        <v/>
      </c>
      <c r="AG189" s="47"/>
    </row>
    <row r="190" spans="1:33">
      <c r="A190">
        <f t="shared" si="36"/>
        <v>0</v>
      </c>
      <c r="B190" s="2" t="str">
        <f t="shared" si="53"/>
        <v/>
      </c>
      <c r="C190" s="4" t="str">
        <f t="shared" si="37"/>
        <v/>
      </c>
      <c r="D190" s="3" t="str">
        <f t="shared" si="38"/>
        <v/>
      </c>
      <c r="E190" s="47"/>
      <c r="F190" s="3" t="str">
        <f t="shared" si="39"/>
        <v/>
      </c>
      <c r="G190" s="47"/>
      <c r="H190" s="3" t="str">
        <f t="shared" si="40"/>
        <v/>
      </c>
      <c r="I190" s="47"/>
      <c r="J190" s="3" t="str">
        <f t="shared" si="41"/>
        <v/>
      </c>
      <c r="K190" s="47"/>
      <c r="L190" s="3" t="str">
        <f t="shared" si="42"/>
        <v/>
      </c>
      <c r="M190" s="47"/>
      <c r="N190" s="3" t="str">
        <f t="shared" si="43"/>
        <v/>
      </c>
      <c r="O190" s="47"/>
      <c r="P190" s="3" t="str">
        <f t="shared" si="44"/>
        <v/>
      </c>
      <c r="Q190" s="47"/>
      <c r="R190" s="3" t="str">
        <f t="shared" si="45"/>
        <v/>
      </c>
      <c r="S190" s="47"/>
      <c r="T190" s="1" t="str">
        <f t="shared" si="46"/>
        <v/>
      </c>
      <c r="U190" s="47"/>
      <c r="V190" s="1" t="str">
        <f t="shared" si="47"/>
        <v/>
      </c>
      <c r="W190" s="47"/>
      <c r="X190" s="1" t="str">
        <f t="shared" si="48"/>
        <v/>
      </c>
      <c r="Y190" s="47"/>
      <c r="Z190" s="1" t="str">
        <f t="shared" si="49"/>
        <v/>
      </c>
      <c r="AA190" s="47"/>
      <c r="AB190" s="1" t="str">
        <f t="shared" si="50"/>
        <v/>
      </c>
      <c r="AC190" s="47"/>
      <c r="AD190" s="1" t="str">
        <f t="shared" si="51"/>
        <v/>
      </c>
      <c r="AE190" s="47"/>
      <c r="AF190" s="1" t="str">
        <f t="shared" si="52"/>
        <v/>
      </c>
      <c r="AG190" s="47"/>
    </row>
    <row r="191" spans="1:33">
      <c r="A191">
        <f t="shared" si="36"/>
        <v>0</v>
      </c>
      <c r="B191" s="2" t="str">
        <f t="shared" si="53"/>
        <v/>
      </c>
      <c r="C191" s="4" t="str">
        <f t="shared" si="37"/>
        <v/>
      </c>
      <c r="D191" s="3" t="str">
        <f t="shared" si="38"/>
        <v/>
      </c>
      <c r="E191" s="47"/>
      <c r="F191" s="3" t="str">
        <f t="shared" si="39"/>
        <v/>
      </c>
      <c r="G191" s="47"/>
      <c r="H191" s="3" t="str">
        <f t="shared" si="40"/>
        <v/>
      </c>
      <c r="I191" s="47"/>
      <c r="J191" s="3" t="str">
        <f t="shared" si="41"/>
        <v/>
      </c>
      <c r="K191" s="47"/>
      <c r="L191" s="3" t="str">
        <f t="shared" si="42"/>
        <v/>
      </c>
      <c r="M191" s="47"/>
      <c r="N191" s="3" t="str">
        <f t="shared" si="43"/>
        <v/>
      </c>
      <c r="O191" s="47"/>
      <c r="P191" s="3" t="str">
        <f t="shared" si="44"/>
        <v/>
      </c>
      <c r="Q191" s="47"/>
      <c r="R191" s="3" t="str">
        <f t="shared" si="45"/>
        <v/>
      </c>
      <c r="S191" s="47"/>
      <c r="T191" s="1" t="str">
        <f t="shared" si="46"/>
        <v/>
      </c>
      <c r="U191" s="47"/>
      <c r="V191" s="1" t="str">
        <f t="shared" si="47"/>
        <v/>
      </c>
      <c r="W191" s="47"/>
      <c r="X191" s="1" t="str">
        <f t="shared" si="48"/>
        <v/>
      </c>
      <c r="Y191" s="47"/>
      <c r="Z191" s="1" t="str">
        <f t="shared" si="49"/>
        <v/>
      </c>
      <c r="AA191" s="47"/>
      <c r="AB191" s="1" t="str">
        <f t="shared" si="50"/>
        <v/>
      </c>
      <c r="AC191" s="47"/>
      <c r="AD191" s="1" t="str">
        <f t="shared" si="51"/>
        <v/>
      </c>
      <c r="AE191" s="47"/>
      <c r="AF191" s="1" t="str">
        <f t="shared" si="52"/>
        <v/>
      </c>
      <c r="AG191" s="47"/>
    </row>
    <row r="192" spans="1:33">
      <c r="A192">
        <f t="shared" si="36"/>
        <v>0</v>
      </c>
      <c r="B192" s="2" t="str">
        <f t="shared" si="53"/>
        <v/>
      </c>
      <c r="C192" s="4" t="str">
        <f t="shared" si="37"/>
        <v/>
      </c>
      <c r="D192" s="3" t="str">
        <f t="shared" si="38"/>
        <v/>
      </c>
      <c r="E192" s="47"/>
      <c r="F192" s="3" t="str">
        <f t="shared" si="39"/>
        <v/>
      </c>
      <c r="G192" s="47"/>
      <c r="H192" s="3" t="str">
        <f t="shared" si="40"/>
        <v/>
      </c>
      <c r="I192" s="47"/>
      <c r="J192" s="3" t="str">
        <f t="shared" si="41"/>
        <v/>
      </c>
      <c r="K192" s="47"/>
      <c r="L192" s="3" t="str">
        <f t="shared" si="42"/>
        <v/>
      </c>
      <c r="M192" s="47"/>
      <c r="N192" s="3" t="str">
        <f t="shared" si="43"/>
        <v/>
      </c>
      <c r="O192" s="47"/>
      <c r="P192" s="3" t="str">
        <f t="shared" si="44"/>
        <v/>
      </c>
      <c r="Q192" s="47"/>
      <c r="R192" s="3" t="str">
        <f t="shared" si="45"/>
        <v/>
      </c>
      <c r="S192" s="47"/>
      <c r="T192" s="1" t="str">
        <f t="shared" si="46"/>
        <v/>
      </c>
      <c r="U192" s="47"/>
      <c r="V192" s="1" t="str">
        <f t="shared" si="47"/>
        <v/>
      </c>
      <c r="W192" s="47"/>
      <c r="X192" s="1" t="str">
        <f t="shared" si="48"/>
        <v/>
      </c>
      <c r="Y192" s="47"/>
      <c r="Z192" s="1" t="str">
        <f t="shared" si="49"/>
        <v/>
      </c>
      <c r="AA192" s="47"/>
      <c r="AB192" s="1" t="str">
        <f t="shared" si="50"/>
        <v/>
      </c>
      <c r="AC192" s="47"/>
      <c r="AD192" s="1" t="str">
        <f t="shared" si="51"/>
        <v/>
      </c>
      <c r="AE192" s="47"/>
      <c r="AF192" s="1" t="str">
        <f t="shared" si="52"/>
        <v/>
      </c>
      <c r="AG192" s="47"/>
    </row>
    <row r="193" spans="1:33">
      <c r="A193">
        <f t="shared" si="36"/>
        <v>0</v>
      </c>
      <c r="B193" s="2" t="str">
        <f t="shared" si="53"/>
        <v/>
      </c>
      <c r="C193" s="4" t="str">
        <f t="shared" si="37"/>
        <v/>
      </c>
      <c r="D193" s="3" t="str">
        <f t="shared" si="38"/>
        <v/>
      </c>
      <c r="E193" s="47"/>
      <c r="F193" s="3" t="str">
        <f t="shared" si="39"/>
        <v/>
      </c>
      <c r="G193" s="47"/>
      <c r="H193" s="3" t="str">
        <f t="shared" si="40"/>
        <v/>
      </c>
      <c r="I193" s="47"/>
      <c r="J193" s="3" t="str">
        <f t="shared" si="41"/>
        <v/>
      </c>
      <c r="K193" s="47"/>
      <c r="L193" s="3" t="str">
        <f t="shared" si="42"/>
        <v/>
      </c>
      <c r="M193" s="47"/>
      <c r="N193" s="3" t="str">
        <f t="shared" si="43"/>
        <v/>
      </c>
      <c r="O193" s="47"/>
      <c r="P193" s="3" t="str">
        <f t="shared" si="44"/>
        <v/>
      </c>
      <c r="Q193" s="47"/>
      <c r="R193" s="3" t="str">
        <f t="shared" si="45"/>
        <v/>
      </c>
      <c r="S193" s="47"/>
      <c r="T193" s="1" t="str">
        <f t="shared" si="46"/>
        <v/>
      </c>
      <c r="U193" s="47"/>
      <c r="V193" s="1" t="str">
        <f t="shared" si="47"/>
        <v/>
      </c>
      <c r="W193" s="47"/>
      <c r="X193" s="1" t="str">
        <f t="shared" si="48"/>
        <v/>
      </c>
      <c r="Y193" s="47"/>
      <c r="Z193" s="1" t="str">
        <f t="shared" si="49"/>
        <v/>
      </c>
      <c r="AA193" s="47"/>
      <c r="AB193" s="1" t="str">
        <f t="shared" si="50"/>
        <v/>
      </c>
      <c r="AC193" s="47"/>
      <c r="AD193" s="1" t="str">
        <f t="shared" si="51"/>
        <v/>
      </c>
      <c r="AE193" s="47"/>
      <c r="AF193" s="1" t="str">
        <f t="shared" si="52"/>
        <v/>
      </c>
      <c r="AG193" s="47"/>
    </row>
    <row r="194" spans="1:33">
      <c r="A194">
        <f t="shared" si="36"/>
        <v>0</v>
      </c>
      <c r="B194" s="2" t="str">
        <f t="shared" si="53"/>
        <v/>
      </c>
      <c r="C194" s="4" t="str">
        <f t="shared" si="37"/>
        <v/>
      </c>
      <c r="D194" s="3" t="str">
        <f t="shared" si="38"/>
        <v/>
      </c>
      <c r="E194" s="47"/>
      <c r="F194" s="3" t="str">
        <f t="shared" si="39"/>
        <v/>
      </c>
      <c r="G194" s="47"/>
      <c r="H194" s="3" t="str">
        <f t="shared" si="40"/>
        <v/>
      </c>
      <c r="I194" s="47"/>
      <c r="J194" s="3" t="str">
        <f t="shared" si="41"/>
        <v/>
      </c>
      <c r="K194" s="47"/>
      <c r="L194" s="3" t="str">
        <f t="shared" si="42"/>
        <v/>
      </c>
      <c r="M194" s="47"/>
      <c r="N194" s="3" t="str">
        <f t="shared" si="43"/>
        <v/>
      </c>
      <c r="O194" s="47"/>
      <c r="P194" s="3" t="str">
        <f t="shared" si="44"/>
        <v/>
      </c>
      <c r="Q194" s="47"/>
      <c r="R194" s="3" t="str">
        <f t="shared" si="45"/>
        <v/>
      </c>
      <c r="S194" s="47"/>
      <c r="T194" s="1" t="str">
        <f t="shared" si="46"/>
        <v/>
      </c>
      <c r="U194" s="47"/>
      <c r="V194" s="1" t="str">
        <f t="shared" si="47"/>
        <v/>
      </c>
      <c r="W194" s="47"/>
      <c r="X194" s="1" t="str">
        <f t="shared" si="48"/>
        <v/>
      </c>
      <c r="Y194" s="47"/>
      <c r="Z194" s="1" t="str">
        <f t="shared" si="49"/>
        <v/>
      </c>
      <c r="AA194" s="47"/>
      <c r="AB194" s="1" t="str">
        <f t="shared" si="50"/>
        <v/>
      </c>
      <c r="AC194" s="47"/>
      <c r="AD194" s="1" t="str">
        <f t="shared" si="51"/>
        <v/>
      </c>
      <c r="AE194" s="47"/>
      <c r="AF194" s="1" t="str">
        <f t="shared" si="52"/>
        <v/>
      </c>
      <c r="AG194" s="47"/>
    </row>
    <row r="195" spans="1:33">
      <c r="A195">
        <f t="shared" si="36"/>
        <v>0</v>
      </c>
      <c r="B195" s="2" t="str">
        <f t="shared" si="53"/>
        <v/>
      </c>
      <c r="C195" s="4" t="str">
        <f t="shared" si="37"/>
        <v/>
      </c>
      <c r="D195" s="3" t="str">
        <f t="shared" si="38"/>
        <v/>
      </c>
      <c r="E195" s="47"/>
      <c r="F195" s="3" t="str">
        <f t="shared" si="39"/>
        <v/>
      </c>
      <c r="G195" s="47"/>
      <c r="H195" s="3" t="str">
        <f t="shared" si="40"/>
        <v/>
      </c>
      <c r="I195" s="47"/>
      <c r="J195" s="3" t="str">
        <f t="shared" si="41"/>
        <v/>
      </c>
      <c r="K195" s="47"/>
      <c r="L195" s="3" t="str">
        <f t="shared" si="42"/>
        <v/>
      </c>
      <c r="M195" s="47"/>
      <c r="N195" s="3" t="str">
        <f t="shared" si="43"/>
        <v/>
      </c>
      <c r="O195" s="47"/>
      <c r="P195" s="3" t="str">
        <f t="shared" si="44"/>
        <v/>
      </c>
      <c r="Q195" s="47"/>
      <c r="R195" s="3" t="str">
        <f t="shared" si="45"/>
        <v/>
      </c>
      <c r="S195" s="47"/>
      <c r="T195" s="1" t="str">
        <f t="shared" si="46"/>
        <v/>
      </c>
      <c r="U195" s="47"/>
      <c r="V195" s="1" t="str">
        <f t="shared" si="47"/>
        <v/>
      </c>
      <c r="W195" s="47"/>
      <c r="X195" s="1" t="str">
        <f t="shared" si="48"/>
        <v/>
      </c>
      <c r="Y195" s="47"/>
      <c r="Z195" s="1" t="str">
        <f t="shared" si="49"/>
        <v/>
      </c>
      <c r="AA195" s="47"/>
      <c r="AB195" s="1" t="str">
        <f t="shared" si="50"/>
        <v/>
      </c>
      <c r="AC195" s="47"/>
      <c r="AD195" s="1" t="str">
        <f t="shared" si="51"/>
        <v/>
      </c>
      <c r="AE195" s="47"/>
      <c r="AF195" s="1" t="str">
        <f t="shared" si="52"/>
        <v/>
      </c>
      <c r="AG195" s="47"/>
    </row>
    <row r="196" spans="1:33">
      <c r="A196">
        <f t="shared" si="36"/>
        <v>0</v>
      </c>
      <c r="B196" s="2" t="str">
        <f t="shared" si="53"/>
        <v/>
      </c>
      <c r="C196" s="4" t="str">
        <f t="shared" si="37"/>
        <v/>
      </c>
      <c r="D196" s="3" t="str">
        <f t="shared" si="38"/>
        <v/>
      </c>
      <c r="E196" s="47"/>
      <c r="F196" s="3" t="str">
        <f t="shared" si="39"/>
        <v/>
      </c>
      <c r="G196" s="47"/>
      <c r="H196" s="3" t="str">
        <f t="shared" si="40"/>
        <v/>
      </c>
      <c r="I196" s="47"/>
      <c r="J196" s="3" t="str">
        <f t="shared" si="41"/>
        <v/>
      </c>
      <c r="K196" s="47"/>
      <c r="L196" s="3" t="str">
        <f t="shared" si="42"/>
        <v/>
      </c>
      <c r="M196" s="47"/>
      <c r="N196" s="3" t="str">
        <f t="shared" si="43"/>
        <v/>
      </c>
      <c r="O196" s="47"/>
      <c r="P196" s="3" t="str">
        <f t="shared" si="44"/>
        <v/>
      </c>
      <c r="Q196" s="47"/>
      <c r="R196" s="3" t="str">
        <f t="shared" si="45"/>
        <v/>
      </c>
      <c r="S196" s="47"/>
      <c r="T196" s="1" t="str">
        <f t="shared" si="46"/>
        <v/>
      </c>
      <c r="U196" s="47"/>
      <c r="V196" s="1" t="str">
        <f t="shared" si="47"/>
        <v/>
      </c>
      <c r="W196" s="47"/>
      <c r="X196" s="1" t="str">
        <f t="shared" si="48"/>
        <v/>
      </c>
      <c r="Y196" s="47"/>
      <c r="Z196" s="1" t="str">
        <f t="shared" si="49"/>
        <v/>
      </c>
      <c r="AA196" s="47"/>
      <c r="AB196" s="1" t="str">
        <f t="shared" si="50"/>
        <v/>
      </c>
      <c r="AC196" s="47"/>
      <c r="AD196" s="1" t="str">
        <f t="shared" si="51"/>
        <v/>
      </c>
      <c r="AE196" s="47"/>
      <c r="AF196" s="1" t="str">
        <f t="shared" si="52"/>
        <v/>
      </c>
      <c r="AG196" s="47"/>
    </row>
    <row r="197" spans="1:33">
      <c r="A197">
        <f t="shared" si="36"/>
        <v>0</v>
      </c>
      <c r="B197" s="2" t="str">
        <f t="shared" si="53"/>
        <v/>
      </c>
      <c r="C197" s="4" t="str">
        <f t="shared" si="37"/>
        <v/>
      </c>
      <c r="D197" s="3" t="str">
        <f t="shared" si="38"/>
        <v/>
      </c>
      <c r="E197" s="47"/>
      <c r="F197" s="3" t="str">
        <f t="shared" si="39"/>
        <v/>
      </c>
      <c r="G197" s="47"/>
      <c r="H197" s="3" t="str">
        <f t="shared" si="40"/>
        <v/>
      </c>
      <c r="I197" s="47"/>
      <c r="J197" s="3" t="str">
        <f t="shared" si="41"/>
        <v/>
      </c>
      <c r="K197" s="47"/>
      <c r="L197" s="3" t="str">
        <f t="shared" si="42"/>
        <v/>
      </c>
      <c r="M197" s="47"/>
      <c r="N197" s="3" t="str">
        <f t="shared" si="43"/>
        <v/>
      </c>
      <c r="O197" s="47"/>
      <c r="P197" s="3" t="str">
        <f t="shared" si="44"/>
        <v/>
      </c>
      <c r="Q197" s="47"/>
      <c r="R197" s="3" t="str">
        <f t="shared" si="45"/>
        <v/>
      </c>
      <c r="S197" s="47"/>
      <c r="T197" s="1" t="str">
        <f t="shared" si="46"/>
        <v/>
      </c>
      <c r="U197" s="47"/>
      <c r="V197" s="1" t="str">
        <f t="shared" si="47"/>
        <v/>
      </c>
      <c r="W197" s="47"/>
      <c r="X197" s="1" t="str">
        <f t="shared" si="48"/>
        <v/>
      </c>
      <c r="Y197" s="47"/>
      <c r="Z197" s="1" t="str">
        <f t="shared" si="49"/>
        <v/>
      </c>
      <c r="AA197" s="47"/>
      <c r="AB197" s="1" t="str">
        <f t="shared" si="50"/>
        <v/>
      </c>
      <c r="AC197" s="47"/>
      <c r="AD197" s="1" t="str">
        <f t="shared" si="51"/>
        <v/>
      </c>
      <c r="AE197" s="47"/>
      <c r="AF197" s="1" t="str">
        <f t="shared" si="52"/>
        <v/>
      </c>
      <c r="AG197" s="47"/>
    </row>
    <row r="198" spans="1:33">
      <c r="A198">
        <f t="shared" si="36"/>
        <v>0</v>
      </c>
      <c r="B198" s="2" t="str">
        <f t="shared" si="53"/>
        <v/>
      </c>
      <c r="C198" s="4" t="str">
        <f t="shared" si="37"/>
        <v/>
      </c>
      <c r="D198" s="3" t="str">
        <f t="shared" si="38"/>
        <v/>
      </c>
      <c r="E198" s="47"/>
      <c r="F198" s="3" t="str">
        <f t="shared" si="39"/>
        <v/>
      </c>
      <c r="G198" s="47"/>
      <c r="H198" s="3" t="str">
        <f t="shared" si="40"/>
        <v/>
      </c>
      <c r="I198" s="47"/>
      <c r="J198" s="3" t="str">
        <f t="shared" si="41"/>
        <v/>
      </c>
      <c r="K198" s="47"/>
      <c r="L198" s="3" t="str">
        <f t="shared" si="42"/>
        <v/>
      </c>
      <c r="M198" s="47"/>
      <c r="N198" s="3" t="str">
        <f t="shared" si="43"/>
        <v/>
      </c>
      <c r="O198" s="47"/>
      <c r="P198" s="3" t="str">
        <f t="shared" si="44"/>
        <v/>
      </c>
      <c r="Q198" s="47"/>
      <c r="R198" s="3" t="str">
        <f t="shared" si="45"/>
        <v/>
      </c>
      <c r="S198" s="47"/>
      <c r="T198" s="1" t="str">
        <f t="shared" si="46"/>
        <v/>
      </c>
      <c r="U198" s="47"/>
      <c r="V198" s="1" t="str">
        <f t="shared" si="47"/>
        <v/>
      </c>
      <c r="W198" s="47"/>
      <c r="X198" s="1" t="str">
        <f t="shared" si="48"/>
        <v/>
      </c>
      <c r="Y198" s="47"/>
      <c r="Z198" s="1" t="str">
        <f t="shared" si="49"/>
        <v/>
      </c>
      <c r="AA198" s="47"/>
      <c r="AB198" s="1" t="str">
        <f t="shared" si="50"/>
        <v/>
      </c>
      <c r="AC198" s="47"/>
      <c r="AD198" s="1" t="str">
        <f t="shared" si="51"/>
        <v/>
      </c>
      <c r="AE198" s="47"/>
      <c r="AF198" s="1" t="str">
        <f t="shared" si="52"/>
        <v/>
      </c>
      <c r="AG198" s="47"/>
    </row>
    <row r="199" spans="1:33">
      <c r="A199">
        <f t="shared" ref="A199:A262" si="54">$C$1</f>
        <v>0</v>
      </c>
      <c r="B199" s="2" t="str">
        <f t="shared" si="53"/>
        <v/>
      </c>
      <c r="C199" s="4" t="str">
        <f t="shared" si="37"/>
        <v/>
      </c>
      <c r="D199" s="3" t="str">
        <f t="shared" si="38"/>
        <v/>
      </c>
      <c r="E199" s="47"/>
      <c r="F199" s="3" t="str">
        <f t="shared" si="39"/>
        <v/>
      </c>
      <c r="G199" s="47"/>
      <c r="H199" s="3" t="str">
        <f t="shared" si="40"/>
        <v/>
      </c>
      <c r="I199" s="47"/>
      <c r="J199" s="3" t="str">
        <f t="shared" si="41"/>
        <v/>
      </c>
      <c r="K199" s="47"/>
      <c r="L199" s="3" t="str">
        <f t="shared" si="42"/>
        <v/>
      </c>
      <c r="M199" s="47"/>
      <c r="N199" s="3" t="str">
        <f t="shared" si="43"/>
        <v/>
      </c>
      <c r="O199" s="47"/>
      <c r="P199" s="3" t="str">
        <f t="shared" si="44"/>
        <v/>
      </c>
      <c r="Q199" s="47"/>
      <c r="R199" s="3" t="str">
        <f t="shared" si="45"/>
        <v/>
      </c>
      <c r="S199" s="47"/>
      <c r="T199" s="1" t="str">
        <f t="shared" si="46"/>
        <v/>
      </c>
      <c r="U199" s="47"/>
      <c r="V199" s="1" t="str">
        <f t="shared" si="47"/>
        <v/>
      </c>
      <c r="W199" s="47"/>
      <c r="X199" s="1" t="str">
        <f t="shared" si="48"/>
        <v/>
      </c>
      <c r="Y199" s="47"/>
      <c r="Z199" s="1" t="str">
        <f t="shared" si="49"/>
        <v/>
      </c>
      <c r="AA199" s="47"/>
      <c r="AB199" s="1" t="str">
        <f t="shared" si="50"/>
        <v/>
      </c>
      <c r="AC199" s="47"/>
      <c r="AD199" s="1" t="str">
        <f t="shared" si="51"/>
        <v/>
      </c>
      <c r="AE199" s="47"/>
      <c r="AF199" s="1" t="str">
        <f t="shared" si="52"/>
        <v/>
      </c>
      <c r="AG199" s="47"/>
    </row>
    <row r="200" spans="1:33">
      <c r="A200">
        <f t="shared" si="54"/>
        <v>0</v>
      </c>
      <c r="B200" s="2" t="str">
        <f t="shared" si="53"/>
        <v/>
      </c>
      <c r="C200" s="4" t="str">
        <f t="shared" ref="C200:C263" si="55">TEXT(B200,"AAA")</f>
        <v/>
      </c>
      <c r="D200" s="3" t="str">
        <f t="shared" ref="D200:D263" si="56">IF(NOT(AND($F$3&lt;=B200,B200&lt;=$F$4)),"",$F$2&amp;"")</f>
        <v/>
      </c>
      <c r="E200" s="47"/>
      <c r="F200" s="3" t="str">
        <f t="shared" ref="F200:F263" si="57">IF(NOT(AND($G$3&lt;=B200,B200&lt;=$G$4)),"",$G$2&amp;"")</f>
        <v/>
      </c>
      <c r="G200" s="47"/>
      <c r="H200" s="3" t="str">
        <f t="shared" ref="H200:H263" si="58">IF(NOT(AND($H$3&lt;=B200,B200&lt;=$H$4)),"",$H$2&amp;"")</f>
        <v/>
      </c>
      <c r="I200" s="47"/>
      <c r="J200" s="3" t="str">
        <f t="shared" ref="J200:J263" si="59">IF(NOT(AND($I$3&lt;=B200,B200&lt;=$I$4)),"",$I$2&amp;"")</f>
        <v/>
      </c>
      <c r="K200" s="47"/>
      <c r="L200" s="3" t="str">
        <f t="shared" ref="L200:L263" si="60">IF(NOT(AND($J$3&lt;=B200,B200&lt;=$J$4)),"",$J$2&amp;"")</f>
        <v/>
      </c>
      <c r="M200" s="47"/>
      <c r="N200" s="3" t="str">
        <f t="shared" ref="N200:N263" si="61">IF(NOT(AND($K$3&lt;=B200,B200&lt;=$K$4)),"",$K$2&amp;"")</f>
        <v/>
      </c>
      <c r="O200" s="47"/>
      <c r="P200" s="3" t="str">
        <f t="shared" ref="P200:P263" si="62">IF(NOT(AND($L$3&lt;=B200,B200&lt;=$L$4)),"",$L$2&amp;"")</f>
        <v/>
      </c>
      <c r="Q200" s="47"/>
      <c r="R200" s="3" t="str">
        <f t="shared" ref="R200:R263" si="63">IF(NOT(AND($M$3&lt;=B200,B200&lt;=$M$4)),"",$M$2&amp;"")</f>
        <v/>
      </c>
      <c r="S200" s="47"/>
      <c r="T200" s="1" t="str">
        <f t="shared" ref="T200:T263" si="64">IF(NOT(AND($N$3&lt;=B200,B200&lt;=$N$4)),"",$N$2&amp;"")</f>
        <v/>
      </c>
      <c r="U200" s="47"/>
      <c r="V200" s="1" t="str">
        <f t="shared" ref="V200:V263" si="65">IF(NOT(AND($O$3&lt;=B200,B200&lt;=$O$4)),"",$O$2&amp;"")</f>
        <v/>
      </c>
      <c r="W200" s="47"/>
      <c r="X200" s="1" t="str">
        <f t="shared" ref="X200:X263" si="66">IF(NOT(AND($P$3&lt;=B200,B200&lt;=$P$4)),"",$P$2&amp;"")</f>
        <v/>
      </c>
      <c r="Y200" s="47"/>
      <c r="Z200" s="1" t="str">
        <f t="shared" ref="Z200:Z263" si="67">IF(NOT(AND($Q$3&lt;=B200,B200&lt;=$Q$4)),"",$Q$2&amp;"")</f>
        <v/>
      </c>
      <c r="AA200" s="47"/>
      <c r="AB200" s="1" t="str">
        <f t="shared" ref="AB200:AB263" si="68">IF(NOT(AND($R$3&lt;=B200,B200&lt;=$R$4)),"",$R$2&amp;"")</f>
        <v/>
      </c>
      <c r="AC200" s="47"/>
      <c r="AD200" s="1" t="str">
        <f t="shared" ref="AD200:AD263" si="69">IF(NOT(AND($S$3&lt;=B200,B200&lt;=$S$4)),"",$S$2&amp;"")</f>
        <v/>
      </c>
      <c r="AE200" s="47"/>
      <c r="AF200" s="1" t="str">
        <f t="shared" ref="AF200:AF263" si="70">IF(NOT(AND($T$3&lt;=B200,B200&lt;=$T$4)),"",$T$2&amp;"")</f>
        <v/>
      </c>
      <c r="AG200" s="47"/>
    </row>
    <row r="201" spans="1:33">
      <c r="A201">
        <f t="shared" si="54"/>
        <v>0</v>
      </c>
      <c r="B201" s="2" t="str">
        <f t="shared" ref="B201:B264" si="71">IFERROR(IF(B200+1&gt;$C$3,"",B200+1),"")</f>
        <v/>
      </c>
      <c r="C201" s="4" t="str">
        <f t="shared" si="55"/>
        <v/>
      </c>
      <c r="D201" s="3" t="str">
        <f t="shared" si="56"/>
        <v/>
      </c>
      <c r="E201" s="47"/>
      <c r="F201" s="3" t="str">
        <f t="shared" si="57"/>
        <v/>
      </c>
      <c r="G201" s="47"/>
      <c r="H201" s="3" t="str">
        <f t="shared" si="58"/>
        <v/>
      </c>
      <c r="I201" s="47"/>
      <c r="J201" s="3" t="str">
        <f t="shared" si="59"/>
        <v/>
      </c>
      <c r="K201" s="47"/>
      <c r="L201" s="3" t="str">
        <f t="shared" si="60"/>
        <v/>
      </c>
      <c r="M201" s="47"/>
      <c r="N201" s="3" t="str">
        <f t="shared" si="61"/>
        <v/>
      </c>
      <c r="O201" s="47"/>
      <c r="P201" s="3" t="str">
        <f t="shared" si="62"/>
        <v/>
      </c>
      <c r="Q201" s="47"/>
      <c r="R201" s="3" t="str">
        <f t="shared" si="63"/>
        <v/>
      </c>
      <c r="S201" s="47"/>
      <c r="T201" s="1" t="str">
        <f t="shared" si="64"/>
        <v/>
      </c>
      <c r="U201" s="47"/>
      <c r="V201" s="1" t="str">
        <f t="shared" si="65"/>
        <v/>
      </c>
      <c r="W201" s="47"/>
      <c r="X201" s="1" t="str">
        <f t="shared" si="66"/>
        <v/>
      </c>
      <c r="Y201" s="47"/>
      <c r="Z201" s="1" t="str">
        <f t="shared" si="67"/>
        <v/>
      </c>
      <c r="AA201" s="47"/>
      <c r="AB201" s="1" t="str">
        <f t="shared" si="68"/>
        <v/>
      </c>
      <c r="AC201" s="47"/>
      <c r="AD201" s="1" t="str">
        <f t="shared" si="69"/>
        <v/>
      </c>
      <c r="AE201" s="47"/>
      <c r="AF201" s="1" t="str">
        <f t="shared" si="70"/>
        <v/>
      </c>
      <c r="AG201" s="47"/>
    </row>
    <row r="202" spans="1:33">
      <c r="A202">
        <f t="shared" si="54"/>
        <v>0</v>
      </c>
      <c r="B202" s="2" t="str">
        <f t="shared" si="71"/>
        <v/>
      </c>
      <c r="C202" s="4" t="str">
        <f t="shared" si="55"/>
        <v/>
      </c>
      <c r="D202" s="3" t="str">
        <f t="shared" si="56"/>
        <v/>
      </c>
      <c r="E202" s="47"/>
      <c r="F202" s="3" t="str">
        <f t="shared" si="57"/>
        <v/>
      </c>
      <c r="G202" s="47"/>
      <c r="H202" s="3" t="str">
        <f t="shared" si="58"/>
        <v/>
      </c>
      <c r="I202" s="47"/>
      <c r="J202" s="3" t="str">
        <f t="shared" si="59"/>
        <v/>
      </c>
      <c r="K202" s="47"/>
      <c r="L202" s="3" t="str">
        <f t="shared" si="60"/>
        <v/>
      </c>
      <c r="M202" s="47"/>
      <c r="N202" s="3" t="str">
        <f t="shared" si="61"/>
        <v/>
      </c>
      <c r="O202" s="47"/>
      <c r="P202" s="3" t="str">
        <f t="shared" si="62"/>
        <v/>
      </c>
      <c r="Q202" s="47"/>
      <c r="R202" s="3" t="str">
        <f t="shared" si="63"/>
        <v/>
      </c>
      <c r="S202" s="47"/>
      <c r="T202" s="1" t="str">
        <f t="shared" si="64"/>
        <v/>
      </c>
      <c r="U202" s="47"/>
      <c r="V202" s="1" t="str">
        <f t="shared" si="65"/>
        <v/>
      </c>
      <c r="W202" s="47"/>
      <c r="X202" s="1" t="str">
        <f t="shared" si="66"/>
        <v/>
      </c>
      <c r="Y202" s="47"/>
      <c r="Z202" s="1" t="str">
        <f t="shared" si="67"/>
        <v/>
      </c>
      <c r="AA202" s="47"/>
      <c r="AB202" s="1" t="str">
        <f t="shared" si="68"/>
        <v/>
      </c>
      <c r="AC202" s="47"/>
      <c r="AD202" s="1" t="str">
        <f t="shared" si="69"/>
        <v/>
      </c>
      <c r="AE202" s="47"/>
      <c r="AF202" s="1" t="str">
        <f t="shared" si="70"/>
        <v/>
      </c>
      <c r="AG202" s="47"/>
    </row>
    <row r="203" spans="1:33">
      <c r="A203">
        <f t="shared" si="54"/>
        <v>0</v>
      </c>
      <c r="B203" s="2" t="str">
        <f t="shared" si="71"/>
        <v/>
      </c>
      <c r="C203" s="4" t="str">
        <f t="shared" si="55"/>
        <v/>
      </c>
      <c r="D203" s="3" t="str">
        <f t="shared" si="56"/>
        <v/>
      </c>
      <c r="E203" s="47"/>
      <c r="F203" s="3" t="str">
        <f t="shared" si="57"/>
        <v/>
      </c>
      <c r="G203" s="47"/>
      <c r="H203" s="3" t="str">
        <f t="shared" si="58"/>
        <v/>
      </c>
      <c r="I203" s="47"/>
      <c r="J203" s="3" t="str">
        <f t="shared" si="59"/>
        <v/>
      </c>
      <c r="K203" s="47"/>
      <c r="L203" s="3" t="str">
        <f t="shared" si="60"/>
        <v/>
      </c>
      <c r="M203" s="47"/>
      <c r="N203" s="3" t="str">
        <f t="shared" si="61"/>
        <v/>
      </c>
      <c r="O203" s="47"/>
      <c r="P203" s="3" t="str">
        <f t="shared" si="62"/>
        <v/>
      </c>
      <c r="Q203" s="47"/>
      <c r="R203" s="3" t="str">
        <f t="shared" si="63"/>
        <v/>
      </c>
      <c r="S203" s="47"/>
      <c r="T203" s="1" t="str">
        <f t="shared" si="64"/>
        <v/>
      </c>
      <c r="U203" s="47"/>
      <c r="V203" s="1" t="str">
        <f t="shared" si="65"/>
        <v/>
      </c>
      <c r="W203" s="47"/>
      <c r="X203" s="1" t="str">
        <f t="shared" si="66"/>
        <v/>
      </c>
      <c r="Y203" s="47"/>
      <c r="Z203" s="1" t="str">
        <f t="shared" si="67"/>
        <v/>
      </c>
      <c r="AA203" s="47"/>
      <c r="AB203" s="1" t="str">
        <f t="shared" si="68"/>
        <v/>
      </c>
      <c r="AC203" s="47"/>
      <c r="AD203" s="1" t="str">
        <f t="shared" si="69"/>
        <v/>
      </c>
      <c r="AE203" s="47"/>
      <c r="AF203" s="1" t="str">
        <f t="shared" si="70"/>
        <v/>
      </c>
      <c r="AG203" s="47"/>
    </row>
    <row r="204" spans="1:33">
      <c r="A204">
        <f t="shared" si="54"/>
        <v>0</v>
      </c>
      <c r="B204" s="2" t="str">
        <f t="shared" si="71"/>
        <v/>
      </c>
      <c r="C204" s="4" t="str">
        <f t="shared" si="55"/>
        <v/>
      </c>
      <c r="D204" s="3" t="str">
        <f t="shared" si="56"/>
        <v/>
      </c>
      <c r="E204" s="47"/>
      <c r="F204" s="3" t="str">
        <f t="shared" si="57"/>
        <v/>
      </c>
      <c r="G204" s="47"/>
      <c r="H204" s="3" t="str">
        <f t="shared" si="58"/>
        <v/>
      </c>
      <c r="I204" s="47"/>
      <c r="J204" s="3" t="str">
        <f t="shared" si="59"/>
        <v/>
      </c>
      <c r="K204" s="47"/>
      <c r="L204" s="3" t="str">
        <f t="shared" si="60"/>
        <v/>
      </c>
      <c r="M204" s="47"/>
      <c r="N204" s="3" t="str">
        <f t="shared" si="61"/>
        <v/>
      </c>
      <c r="O204" s="47"/>
      <c r="P204" s="3" t="str">
        <f t="shared" si="62"/>
        <v/>
      </c>
      <c r="Q204" s="47"/>
      <c r="R204" s="3" t="str">
        <f t="shared" si="63"/>
        <v/>
      </c>
      <c r="S204" s="47"/>
      <c r="T204" s="1" t="str">
        <f t="shared" si="64"/>
        <v/>
      </c>
      <c r="U204" s="47"/>
      <c r="V204" s="1" t="str">
        <f t="shared" si="65"/>
        <v/>
      </c>
      <c r="W204" s="47"/>
      <c r="X204" s="1" t="str">
        <f t="shared" si="66"/>
        <v/>
      </c>
      <c r="Y204" s="47"/>
      <c r="Z204" s="1" t="str">
        <f t="shared" si="67"/>
        <v/>
      </c>
      <c r="AA204" s="47"/>
      <c r="AB204" s="1" t="str">
        <f t="shared" si="68"/>
        <v/>
      </c>
      <c r="AC204" s="47"/>
      <c r="AD204" s="1" t="str">
        <f t="shared" si="69"/>
        <v/>
      </c>
      <c r="AE204" s="47"/>
      <c r="AF204" s="1" t="str">
        <f t="shared" si="70"/>
        <v/>
      </c>
      <c r="AG204" s="47"/>
    </row>
    <row r="205" spans="1:33">
      <c r="A205">
        <f t="shared" si="54"/>
        <v>0</v>
      </c>
      <c r="B205" s="2" t="str">
        <f t="shared" si="71"/>
        <v/>
      </c>
      <c r="C205" s="4" t="str">
        <f t="shared" si="55"/>
        <v/>
      </c>
      <c r="D205" s="3" t="str">
        <f t="shared" si="56"/>
        <v/>
      </c>
      <c r="E205" s="47"/>
      <c r="F205" s="3" t="str">
        <f t="shared" si="57"/>
        <v/>
      </c>
      <c r="G205" s="47"/>
      <c r="H205" s="3" t="str">
        <f t="shared" si="58"/>
        <v/>
      </c>
      <c r="I205" s="47"/>
      <c r="J205" s="3" t="str">
        <f t="shared" si="59"/>
        <v/>
      </c>
      <c r="K205" s="47"/>
      <c r="L205" s="3" t="str">
        <f t="shared" si="60"/>
        <v/>
      </c>
      <c r="M205" s="47"/>
      <c r="N205" s="3" t="str">
        <f t="shared" si="61"/>
        <v/>
      </c>
      <c r="O205" s="47"/>
      <c r="P205" s="3" t="str">
        <f t="shared" si="62"/>
        <v/>
      </c>
      <c r="Q205" s="47"/>
      <c r="R205" s="3" t="str">
        <f t="shared" si="63"/>
        <v/>
      </c>
      <c r="S205" s="47"/>
      <c r="T205" s="1" t="str">
        <f t="shared" si="64"/>
        <v/>
      </c>
      <c r="U205" s="47"/>
      <c r="V205" s="1" t="str">
        <f t="shared" si="65"/>
        <v/>
      </c>
      <c r="W205" s="47"/>
      <c r="X205" s="1" t="str">
        <f t="shared" si="66"/>
        <v/>
      </c>
      <c r="Y205" s="47"/>
      <c r="Z205" s="1" t="str">
        <f t="shared" si="67"/>
        <v/>
      </c>
      <c r="AA205" s="47"/>
      <c r="AB205" s="1" t="str">
        <f t="shared" si="68"/>
        <v/>
      </c>
      <c r="AC205" s="47"/>
      <c r="AD205" s="1" t="str">
        <f t="shared" si="69"/>
        <v/>
      </c>
      <c r="AE205" s="47"/>
      <c r="AF205" s="1" t="str">
        <f t="shared" si="70"/>
        <v/>
      </c>
      <c r="AG205" s="47"/>
    </row>
    <row r="206" spans="1:33">
      <c r="A206">
        <f t="shared" si="54"/>
        <v>0</v>
      </c>
      <c r="B206" s="2" t="str">
        <f t="shared" si="71"/>
        <v/>
      </c>
      <c r="C206" s="4" t="str">
        <f t="shared" si="55"/>
        <v/>
      </c>
      <c r="D206" s="3" t="str">
        <f t="shared" si="56"/>
        <v/>
      </c>
      <c r="E206" s="47"/>
      <c r="F206" s="3" t="str">
        <f t="shared" si="57"/>
        <v/>
      </c>
      <c r="G206" s="47"/>
      <c r="H206" s="3" t="str">
        <f t="shared" si="58"/>
        <v/>
      </c>
      <c r="I206" s="47"/>
      <c r="J206" s="3" t="str">
        <f t="shared" si="59"/>
        <v/>
      </c>
      <c r="K206" s="47"/>
      <c r="L206" s="3" t="str">
        <f t="shared" si="60"/>
        <v/>
      </c>
      <c r="M206" s="47"/>
      <c r="N206" s="3" t="str">
        <f t="shared" si="61"/>
        <v/>
      </c>
      <c r="O206" s="47"/>
      <c r="P206" s="3" t="str">
        <f t="shared" si="62"/>
        <v/>
      </c>
      <c r="Q206" s="47"/>
      <c r="R206" s="3" t="str">
        <f t="shared" si="63"/>
        <v/>
      </c>
      <c r="S206" s="47"/>
      <c r="T206" s="1" t="str">
        <f t="shared" si="64"/>
        <v/>
      </c>
      <c r="U206" s="47"/>
      <c r="V206" s="1" t="str">
        <f t="shared" si="65"/>
        <v/>
      </c>
      <c r="W206" s="47"/>
      <c r="X206" s="1" t="str">
        <f t="shared" si="66"/>
        <v/>
      </c>
      <c r="Y206" s="47"/>
      <c r="Z206" s="1" t="str">
        <f t="shared" si="67"/>
        <v/>
      </c>
      <c r="AA206" s="47"/>
      <c r="AB206" s="1" t="str">
        <f t="shared" si="68"/>
        <v/>
      </c>
      <c r="AC206" s="47"/>
      <c r="AD206" s="1" t="str">
        <f t="shared" si="69"/>
        <v/>
      </c>
      <c r="AE206" s="47"/>
      <c r="AF206" s="1" t="str">
        <f t="shared" si="70"/>
        <v/>
      </c>
      <c r="AG206" s="47"/>
    </row>
    <row r="207" spans="1:33">
      <c r="A207">
        <f t="shared" si="54"/>
        <v>0</v>
      </c>
      <c r="B207" s="2" t="str">
        <f t="shared" si="71"/>
        <v/>
      </c>
      <c r="C207" s="4" t="str">
        <f t="shared" si="55"/>
        <v/>
      </c>
      <c r="D207" s="3" t="str">
        <f t="shared" si="56"/>
        <v/>
      </c>
      <c r="E207" s="47"/>
      <c r="F207" s="3" t="str">
        <f t="shared" si="57"/>
        <v/>
      </c>
      <c r="G207" s="47"/>
      <c r="H207" s="3" t="str">
        <f t="shared" si="58"/>
        <v/>
      </c>
      <c r="I207" s="47"/>
      <c r="J207" s="3" t="str">
        <f t="shared" si="59"/>
        <v/>
      </c>
      <c r="K207" s="47"/>
      <c r="L207" s="3" t="str">
        <f t="shared" si="60"/>
        <v/>
      </c>
      <c r="M207" s="47"/>
      <c r="N207" s="3" t="str">
        <f t="shared" si="61"/>
        <v/>
      </c>
      <c r="O207" s="47"/>
      <c r="P207" s="3" t="str">
        <f t="shared" si="62"/>
        <v/>
      </c>
      <c r="Q207" s="47"/>
      <c r="R207" s="3" t="str">
        <f t="shared" si="63"/>
        <v/>
      </c>
      <c r="S207" s="47"/>
      <c r="T207" s="1" t="str">
        <f t="shared" si="64"/>
        <v/>
      </c>
      <c r="U207" s="47"/>
      <c r="V207" s="1" t="str">
        <f t="shared" si="65"/>
        <v/>
      </c>
      <c r="W207" s="47"/>
      <c r="X207" s="1" t="str">
        <f t="shared" si="66"/>
        <v/>
      </c>
      <c r="Y207" s="47"/>
      <c r="Z207" s="1" t="str">
        <f t="shared" si="67"/>
        <v/>
      </c>
      <c r="AA207" s="47"/>
      <c r="AB207" s="1" t="str">
        <f t="shared" si="68"/>
        <v/>
      </c>
      <c r="AC207" s="47"/>
      <c r="AD207" s="1" t="str">
        <f t="shared" si="69"/>
        <v/>
      </c>
      <c r="AE207" s="47"/>
      <c r="AF207" s="1" t="str">
        <f t="shared" si="70"/>
        <v/>
      </c>
      <c r="AG207" s="47"/>
    </row>
    <row r="208" spans="1:33">
      <c r="A208">
        <f t="shared" si="54"/>
        <v>0</v>
      </c>
      <c r="B208" s="2" t="str">
        <f t="shared" si="71"/>
        <v/>
      </c>
      <c r="C208" s="4" t="str">
        <f t="shared" si="55"/>
        <v/>
      </c>
      <c r="D208" s="3" t="str">
        <f t="shared" si="56"/>
        <v/>
      </c>
      <c r="E208" s="47"/>
      <c r="F208" s="3" t="str">
        <f t="shared" si="57"/>
        <v/>
      </c>
      <c r="G208" s="47"/>
      <c r="H208" s="3" t="str">
        <f t="shared" si="58"/>
        <v/>
      </c>
      <c r="I208" s="47"/>
      <c r="J208" s="3" t="str">
        <f t="shared" si="59"/>
        <v/>
      </c>
      <c r="K208" s="47"/>
      <c r="L208" s="3" t="str">
        <f t="shared" si="60"/>
        <v/>
      </c>
      <c r="M208" s="47"/>
      <c r="N208" s="3" t="str">
        <f t="shared" si="61"/>
        <v/>
      </c>
      <c r="O208" s="47"/>
      <c r="P208" s="3" t="str">
        <f t="shared" si="62"/>
        <v/>
      </c>
      <c r="Q208" s="47"/>
      <c r="R208" s="3" t="str">
        <f t="shared" si="63"/>
        <v/>
      </c>
      <c r="S208" s="47"/>
      <c r="T208" s="1" t="str">
        <f t="shared" si="64"/>
        <v/>
      </c>
      <c r="U208" s="47"/>
      <c r="V208" s="1" t="str">
        <f t="shared" si="65"/>
        <v/>
      </c>
      <c r="W208" s="47"/>
      <c r="X208" s="1" t="str">
        <f t="shared" si="66"/>
        <v/>
      </c>
      <c r="Y208" s="47"/>
      <c r="Z208" s="1" t="str">
        <f t="shared" si="67"/>
        <v/>
      </c>
      <c r="AA208" s="47"/>
      <c r="AB208" s="1" t="str">
        <f t="shared" si="68"/>
        <v/>
      </c>
      <c r="AC208" s="47"/>
      <c r="AD208" s="1" t="str">
        <f t="shared" si="69"/>
        <v/>
      </c>
      <c r="AE208" s="47"/>
      <c r="AF208" s="1" t="str">
        <f t="shared" si="70"/>
        <v/>
      </c>
      <c r="AG208" s="47"/>
    </row>
    <row r="209" spans="1:33">
      <c r="A209">
        <f t="shared" si="54"/>
        <v>0</v>
      </c>
      <c r="B209" s="2" t="str">
        <f t="shared" si="71"/>
        <v/>
      </c>
      <c r="C209" s="4" t="str">
        <f t="shared" si="55"/>
        <v/>
      </c>
      <c r="D209" s="3" t="str">
        <f t="shared" si="56"/>
        <v/>
      </c>
      <c r="E209" s="47"/>
      <c r="F209" s="3" t="str">
        <f t="shared" si="57"/>
        <v/>
      </c>
      <c r="G209" s="47"/>
      <c r="H209" s="3" t="str">
        <f t="shared" si="58"/>
        <v/>
      </c>
      <c r="I209" s="47"/>
      <c r="J209" s="3" t="str">
        <f t="shared" si="59"/>
        <v/>
      </c>
      <c r="K209" s="47"/>
      <c r="L209" s="3" t="str">
        <f t="shared" si="60"/>
        <v/>
      </c>
      <c r="M209" s="47"/>
      <c r="N209" s="3" t="str">
        <f t="shared" si="61"/>
        <v/>
      </c>
      <c r="O209" s="47"/>
      <c r="P209" s="3" t="str">
        <f t="shared" si="62"/>
        <v/>
      </c>
      <c r="Q209" s="47"/>
      <c r="R209" s="3" t="str">
        <f t="shared" si="63"/>
        <v/>
      </c>
      <c r="S209" s="47"/>
      <c r="T209" s="1" t="str">
        <f t="shared" si="64"/>
        <v/>
      </c>
      <c r="U209" s="47"/>
      <c r="V209" s="1" t="str">
        <f t="shared" si="65"/>
        <v/>
      </c>
      <c r="W209" s="47"/>
      <c r="X209" s="1" t="str">
        <f t="shared" si="66"/>
        <v/>
      </c>
      <c r="Y209" s="47"/>
      <c r="Z209" s="1" t="str">
        <f t="shared" si="67"/>
        <v/>
      </c>
      <c r="AA209" s="47"/>
      <c r="AB209" s="1" t="str">
        <f t="shared" si="68"/>
        <v/>
      </c>
      <c r="AC209" s="47"/>
      <c r="AD209" s="1" t="str">
        <f t="shared" si="69"/>
        <v/>
      </c>
      <c r="AE209" s="47"/>
      <c r="AF209" s="1" t="str">
        <f t="shared" si="70"/>
        <v/>
      </c>
      <c r="AG209" s="47"/>
    </row>
    <row r="210" spans="1:33">
      <c r="A210">
        <f t="shared" si="54"/>
        <v>0</v>
      </c>
      <c r="B210" s="2" t="str">
        <f t="shared" si="71"/>
        <v/>
      </c>
      <c r="C210" s="4" t="str">
        <f t="shared" si="55"/>
        <v/>
      </c>
      <c r="D210" s="3" t="str">
        <f t="shared" si="56"/>
        <v/>
      </c>
      <c r="E210" s="47"/>
      <c r="F210" s="3" t="str">
        <f t="shared" si="57"/>
        <v/>
      </c>
      <c r="G210" s="47"/>
      <c r="H210" s="3" t="str">
        <f t="shared" si="58"/>
        <v/>
      </c>
      <c r="I210" s="47"/>
      <c r="J210" s="3" t="str">
        <f t="shared" si="59"/>
        <v/>
      </c>
      <c r="K210" s="47"/>
      <c r="L210" s="3" t="str">
        <f t="shared" si="60"/>
        <v/>
      </c>
      <c r="M210" s="47"/>
      <c r="N210" s="3" t="str">
        <f t="shared" si="61"/>
        <v/>
      </c>
      <c r="O210" s="47"/>
      <c r="P210" s="3" t="str">
        <f t="shared" si="62"/>
        <v/>
      </c>
      <c r="Q210" s="47"/>
      <c r="R210" s="3" t="str">
        <f t="shared" si="63"/>
        <v/>
      </c>
      <c r="S210" s="47"/>
      <c r="T210" s="1" t="str">
        <f t="shared" si="64"/>
        <v/>
      </c>
      <c r="U210" s="47"/>
      <c r="V210" s="1" t="str">
        <f t="shared" si="65"/>
        <v/>
      </c>
      <c r="W210" s="47"/>
      <c r="X210" s="1" t="str">
        <f t="shared" si="66"/>
        <v/>
      </c>
      <c r="Y210" s="47"/>
      <c r="Z210" s="1" t="str">
        <f t="shared" si="67"/>
        <v/>
      </c>
      <c r="AA210" s="47"/>
      <c r="AB210" s="1" t="str">
        <f t="shared" si="68"/>
        <v/>
      </c>
      <c r="AC210" s="47"/>
      <c r="AD210" s="1" t="str">
        <f t="shared" si="69"/>
        <v/>
      </c>
      <c r="AE210" s="47"/>
      <c r="AF210" s="1" t="str">
        <f t="shared" si="70"/>
        <v/>
      </c>
      <c r="AG210" s="47"/>
    </row>
    <row r="211" spans="1:33">
      <c r="A211">
        <f t="shared" si="54"/>
        <v>0</v>
      </c>
      <c r="B211" s="2" t="str">
        <f t="shared" si="71"/>
        <v/>
      </c>
      <c r="C211" s="4" t="str">
        <f t="shared" si="55"/>
        <v/>
      </c>
      <c r="D211" s="3" t="str">
        <f t="shared" si="56"/>
        <v/>
      </c>
      <c r="E211" s="47"/>
      <c r="F211" s="3" t="str">
        <f t="shared" si="57"/>
        <v/>
      </c>
      <c r="G211" s="47"/>
      <c r="H211" s="3" t="str">
        <f t="shared" si="58"/>
        <v/>
      </c>
      <c r="I211" s="47"/>
      <c r="J211" s="3" t="str">
        <f t="shared" si="59"/>
        <v/>
      </c>
      <c r="K211" s="47"/>
      <c r="L211" s="3" t="str">
        <f t="shared" si="60"/>
        <v/>
      </c>
      <c r="M211" s="47"/>
      <c r="N211" s="3" t="str">
        <f t="shared" si="61"/>
        <v/>
      </c>
      <c r="O211" s="47"/>
      <c r="P211" s="3" t="str">
        <f t="shared" si="62"/>
        <v/>
      </c>
      <c r="Q211" s="47"/>
      <c r="R211" s="3" t="str">
        <f t="shared" si="63"/>
        <v/>
      </c>
      <c r="S211" s="47"/>
      <c r="T211" s="1" t="str">
        <f t="shared" si="64"/>
        <v/>
      </c>
      <c r="U211" s="47"/>
      <c r="V211" s="1" t="str">
        <f t="shared" si="65"/>
        <v/>
      </c>
      <c r="W211" s="47"/>
      <c r="X211" s="1" t="str">
        <f t="shared" si="66"/>
        <v/>
      </c>
      <c r="Y211" s="47"/>
      <c r="Z211" s="1" t="str">
        <f t="shared" si="67"/>
        <v/>
      </c>
      <c r="AA211" s="47"/>
      <c r="AB211" s="1" t="str">
        <f t="shared" si="68"/>
        <v/>
      </c>
      <c r="AC211" s="47"/>
      <c r="AD211" s="1" t="str">
        <f t="shared" si="69"/>
        <v/>
      </c>
      <c r="AE211" s="47"/>
      <c r="AF211" s="1" t="str">
        <f t="shared" si="70"/>
        <v/>
      </c>
      <c r="AG211" s="47"/>
    </row>
    <row r="212" spans="1:33">
      <c r="A212">
        <f t="shared" si="54"/>
        <v>0</v>
      </c>
      <c r="B212" s="2" t="str">
        <f t="shared" si="71"/>
        <v/>
      </c>
      <c r="C212" s="4" t="str">
        <f t="shared" si="55"/>
        <v/>
      </c>
      <c r="D212" s="3" t="str">
        <f t="shared" si="56"/>
        <v/>
      </c>
      <c r="E212" s="47"/>
      <c r="F212" s="3" t="str">
        <f t="shared" si="57"/>
        <v/>
      </c>
      <c r="G212" s="47"/>
      <c r="H212" s="3" t="str">
        <f t="shared" si="58"/>
        <v/>
      </c>
      <c r="I212" s="47"/>
      <c r="J212" s="3" t="str">
        <f t="shared" si="59"/>
        <v/>
      </c>
      <c r="K212" s="47"/>
      <c r="L212" s="3" t="str">
        <f t="shared" si="60"/>
        <v/>
      </c>
      <c r="M212" s="47"/>
      <c r="N212" s="3" t="str">
        <f t="shared" si="61"/>
        <v/>
      </c>
      <c r="O212" s="47"/>
      <c r="P212" s="3" t="str">
        <f t="shared" si="62"/>
        <v/>
      </c>
      <c r="Q212" s="47"/>
      <c r="R212" s="3" t="str">
        <f t="shared" si="63"/>
        <v/>
      </c>
      <c r="S212" s="47"/>
      <c r="T212" s="1" t="str">
        <f t="shared" si="64"/>
        <v/>
      </c>
      <c r="U212" s="47"/>
      <c r="V212" s="1" t="str">
        <f t="shared" si="65"/>
        <v/>
      </c>
      <c r="W212" s="47"/>
      <c r="X212" s="1" t="str">
        <f t="shared" si="66"/>
        <v/>
      </c>
      <c r="Y212" s="47"/>
      <c r="Z212" s="1" t="str">
        <f t="shared" si="67"/>
        <v/>
      </c>
      <c r="AA212" s="47"/>
      <c r="AB212" s="1" t="str">
        <f t="shared" si="68"/>
        <v/>
      </c>
      <c r="AC212" s="47"/>
      <c r="AD212" s="1" t="str">
        <f t="shared" si="69"/>
        <v/>
      </c>
      <c r="AE212" s="47"/>
      <c r="AF212" s="1" t="str">
        <f t="shared" si="70"/>
        <v/>
      </c>
      <c r="AG212" s="47"/>
    </row>
    <row r="213" spans="1:33">
      <c r="A213">
        <f t="shared" si="54"/>
        <v>0</v>
      </c>
      <c r="B213" s="2" t="str">
        <f t="shared" si="71"/>
        <v/>
      </c>
      <c r="C213" s="4" t="str">
        <f t="shared" si="55"/>
        <v/>
      </c>
      <c r="D213" s="3" t="str">
        <f t="shared" si="56"/>
        <v/>
      </c>
      <c r="E213" s="47"/>
      <c r="F213" s="3" t="str">
        <f t="shared" si="57"/>
        <v/>
      </c>
      <c r="G213" s="47"/>
      <c r="H213" s="3" t="str">
        <f t="shared" si="58"/>
        <v/>
      </c>
      <c r="I213" s="47"/>
      <c r="J213" s="3" t="str">
        <f t="shared" si="59"/>
        <v/>
      </c>
      <c r="K213" s="47"/>
      <c r="L213" s="3" t="str">
        <f t="shared" si="60"/>
        <v/>
      </c>
      <c r="M213" s="47"/>
      <c r="N213" s="3" t="str">
        <f t="shared" si="61"/>
        <v/>
      </c>
      <c r="O213" s="47"/>
      <c r="P213" s="3" t="str">
        <f t="shared" si="62"/>
        <v/>
      </c>
      <c r="Q213" s="47"/>
      <c r="R213" s="3" t="str">
        <f t="shared" si="63"/>
        <v/>
      </c>
      <c r="S213" s="47"/>
      <c r="T213" s="1" t="str">
        <f t="shared" si="64"/>
        <v/>
      </c>
      <c r="U213" s="47"/>
      <c r="V213" s="1" t="str">
        <f t="shared" si="65"/>
        <v/>
      </c>
      <c r="W213" s="47"/>
      <c r="X213" s="1" t="str">
        <f t="shared" si="66"/>
        <v/>
      </c>
      <c r="Y213" s="47"/>
      <c r="Z213" s="1" t="str">
        <f t="shared" si="67"/>
        <v/>
      </c>
      <c r="AA213" s="47"/>
      <c r="AB213" s="1" t="str">
        <f t="shared" si="68"/>
        <v/>
      </c>
      <c r="AC213" s="47"/>
      <c r="AD213" s="1" t="str">
        <f t="shared" si="69"/>
        <v/>
      </c>
      <c r="AE213" s="47"/>
      <c r="AF213" s="1" t="str">
        <f t="shared" si="70"/>
        <v/>
      </c>
      <c r="AG213" s="47"/>
    </row>
    <row r="214" spans="1:33">
      <c r="A214">
        <f t="shared" si="54"/>
        <v>0</v>
      </c>
      <c r="B214" s="2" t="str">
        <f t="shared" si="71"/>
        <v/>
      </c>
      <c r="C214" s="4" t="str">
        <f t="shared" si="55"/>
        <v/>
      </c>
      <c r="D214" s="3" t="str">
        <f t="shared" si="56"/>
        <v/>
      </c>
      <c r="E214" s="47"/>
      <c r="F214" s="3" t="str">
        <f t="shared" si="57"/>
        <v/>
      </c>
      <c r="G214" s="47"/>
      <c r="H214" s="3" t="str">
        <f t="shared" si="58"/>
        <v/>
      </c>
      <c r="I214" s="47"/>
      <c r="J214" s="3" t="str">
        <f t="shared" si="59"/>
        <v/>
      </c>
      <c r="K214" s="47"/>
      <c r="L214" s="3" t="str">
        <f t="shared" si="60"/>
        <v/>
      </c>
      <c r="M214" s="47"/>
      <c r="N214" s="3" t="str">
        <f t="shared" si="61"/>
        <v/>
      </c>
      <c r="O214" s="47"/>
      <c r="P214" s="3" t="str">
        <f t="shared" si="62"/>
        <v/>
      </c>
      <c r="Q214" s="47"/>
      <c r="R214" s="3" t="str">
        <f t="shared" si="63"/>
        <v/>
      </c>
      <c r="S214" s="47"/>
      <c r="T214" s="1" t="str">
        <f t="shared" si="64"/>
        <v/>
      </c>
      <c r="U214" s="47"/>
      <c r="V214" s="1" t="str">
        <f t="shared" si="65"/>
        <v/>
      </c>
      <c r="W214" s="47"/>
      <c r="X214" s="1" t="str">
        <f t="shared" si="66"/>
        <v/>
      </c>
      <c r="Y214" s="47"/>
      <c r="Z214" s="1" t="str">
        <f t="shared" si="67"/>
        <v/>
      </c>
      <c r="AA214" s="47"/>
      <c r="AB214" s="1" t="str">
        <f t="shared" si="68"/>
        <v/>
      </c>
      <c r="AC214" s="47"/>
      <c r="AD214" s="1" t="str">
        <f t="shared" si="69"/>
        <v/>
      </c>
      <c r="AE214" s="47"/>
      <c r="AF214" s="1" t="str">
        <f t="shared" si="70"/>
        <v/>
      </c>
      <c r="AG214" s="47"/>
    </row>
    <row r="215" spans="1:33">
      <c r="A215">
        <f t="shared" si="54"/>
        <v>0</v>
      </c>
      <c r="B215" s="2" t="str">
        <f t="shared" si="71"/>
        <v/>
      </c>
      <c r="C215" s="4" t="str">
        <f t="shared" si="55"/>
        <v/>
      </c>
      <c r="D215" s="3" t="str">
        <f t="shared" si="56"/>
        <v/>
      </c>
      <c r="E215" s="47"/>
      <c r="F215" s="3" t="str">
        <f t="shared" si="57"/>
        <v/>
      </c>
      <c r="G215" s="47"/>
      <c r="H215" s="3" t="str">
        <f t="shared" si="58"/>
        <v/>
      </c>
      <c r="I215" s="47"/>
      <c r="J215" s="3" t="str">
        <f t="shared" si="59"/>
        <v/>
      </c>
      <c r="K215" s="47"/>
      <c r="L215" s="3" t="str">
        <f t="shared" si="60"/>
        <v/>
      </c>
      <c r="M215" s="47"/>
      <c r="N215" s="3" t="str">
        <f t="shared" si="61"/>
        <v/>
      </c>
      <c r="O215" s="47"/>
      <c r="P215" s="3" t="str">
        <f t="shared" si="62"/>
        <v/>
      </c>
      <c r="Q215" s="47"/>
      <c r="R215" s="3" t="str">
        <f t="shared" si="63"/>
        <v/>
      </c>
      <c r="S215" s="47"/>
      <c r="T215" s="1" t="str">
        <f t="shared" si="64"/>
        <v/>
      </c>
      <c r="U215" s="47"/>
      <c r="V215" s="1" t="str">
        <f t="shared" si="65"/>
        <v/>
      </c>
      <c r="W215" s="47"/>
      <c r="X215" s="1" t="str">
        <f t="shared" si="66"/>
        <v/>
      </c>
      <c r="Y215" s="47"/>
      <c r="Z215" s="1" t="str">
        <f t="shared" si="67"/>
        <v/>
      </c>
      <c r="AA215" s="47"/>
      <c r="AB215" s="1" t="str">
        <f t="shared" si="68"/>
        <v/>
      </c>
      <c r="AC215" s="47"/>
      <c r="AD215" s="1" t="str">
        <f t="shared" si="69"/>
        <v/>
      </c>
      <c r="AE215" s="47"/>
      <c r="AF215" s="1" t="str">
        <f t="shared" si="70"/>
        <v/>
      </c>
      <c r="AG215" s="47"/>
    </row>
    <row r="216" spans="1:33">
      <c r="A216">
        <f t="shared" si="54"/>
        <v>0</v>
      </c>
      <c r="B216" s="2" t="str">
        <f t="shared" si="71"/>
        <v/>
      </c>
      <c r="C216" s="4" t="str">
        <f t="shared" si="55"/>
        <v/>
      </c>
      <c r="D216" s="3" t="str">
        <f t="shared" si="56"/>
        <v/>
      </c>
      <c r="E216" s="47"/>
      <c r="F216" s="3" t="str">
        <f t="shared" si="57"/>
        <v/>
      </c>
      <c r="G216" s="47"/>
      <c r="H216" s="3" t="str">
        <f t="shared" si="58"/>
        <v/>
      </c>
      <c r="I216" s="47"/>
      <c r="J216" s="3" t="str">
        <f t="shared" si="59"/>
        <v/>
      </c>
      <c r="K216" s="47"/>
      <c r="L216" s="3" t="str">
        <f t="shared" si="60"/>
        <v/>
      </c>
      <c r="M216" s="47"/>
      <c r="N216" s="3" t="str">
        <f t="shared" si="61"/>
        <v/>
      </c>
      <c r="O216" s="47"/>
      <c r="P216" s="3" t="str">
        <f t="shared" si="62"/>
        <v/>
      </c>
      <c r="Q216" s="47"/>
      <c r="R216" s="3" t="str">
        <f t="shared" si="63"/>
        <v/>
      </c>
      <c r="S216" s="47"/>
      <c r="T216" s="1" t="str">
        <f t="shared" si="64"/>
        <v/>
      </c>
      <c r="U216" s="47"/>
      <c r="V216" s="1" t="str">
        <f t="shared" si="65"/>
        <v/>
      </c>
      <c r="W216" s="47"/>
      <c r="X216" s="1" t="str">
        <f t="shared" si="66"/>
        <v/>
      </c>
      <c r="Y216" s="47"/>
      <c r="Z216" s="1" t="str">
        <f t="shared" si="67"/>
        <v/>
      </c>
      <c r="AA216" s="47"/>
      <c r="AB216" s="1" t="str">
        <f t="shared" si="68"/>
        <v/>
      </c>
      <c r="AC216" s="47"/>
      <c r="AD216" s="1" t="str">
        <f t="shared" si="69"/>
        <v/>
      </c>
      <c r="AE216" s="47"/>
      <c r="AF216" s="1" t="str">
        <f t="shared" si="70"/>
        <v/>
      </c>
      <c r="AG216" s="47"/>
    </row>
    <row r="217" spans="1:33">
      <c r="A217">
        <f t="shared" si="54"/>
        <v>0</v>
      </c>
      <c r="B217" s="2" t="str">
        <f t="shared" si="71"/>
        <v/>
      </c>
      <c r="C217" s="4" t="str">
        <f t="shared" si="55"/>
        <v/>
      </c>
      <c r="D217" s="3" t="str">
        <f t="shared" si="56"/>
        <v/>
      </c>
      <c r="E217" s="47"/>
      <c r="F217" s="3" t="str">
        <f t="shared" si="57"/>
        <v/>
      </c>
      <c r="G217" s="47"/>
      <c r="H217" s="3" t="str">
        <f t="shared" si="58"/>
        <v/>
      </c>
      <c r="I217" s="47"/>
      <c r="J217" s="3" t="str">
        <f t="shared" si="59"/>
        <v/>
      </c>
      <c r="K217" s="47"/>
      <c r="L217" s="3" t="str">
        <f t="shared" si="60"/>
        <v/>
      </c>
      <c r="M217" s="47"/>
      <c r="N217" s="3" t="str">
        <f t="shared" si="61"/>
        <v/>
      </c>
      <c r="O217" s="47"/>
      <c r="P217" s="3" t="str">
        <f t="shared" si="62"/>
        <v/>
      </c>
      <c r="Q217" s="47"/>
      <c r="R217" s="3" t="str">
        <f t="shared" si="63"/>
        <v/>
      </c>
      <c r="S217" s="47"/>
      <c r="T217" s="1" t="str">
        <f t="shared" si="64"/>
        <v/>
      </c>
      <c r="U217" s="47"/>
      <c r="V217" s="1" t="str">
        <f t="shared" si="65"/>
        <v/>
      </c>
      <c r="W217" s="47"/>
      <c r="X217" s="1" t="str">
        <f t="shared" si="66"/>
        <v/>
      </c>
      <c r="Y217" s="47"/>
      <c r="Z217" s="1" t="str">
        <f t="shared" si="67"/>
        <v/>
      </c>
      <c r="AA217" s="47"/>
      <c r="AB217" s="1" t="str">
        <f t="shared" si="68"/>
        <v/>
      </c>
      <c r="AC217" s="47"/>
      <c r="AD217" s="1" t="str">
        <f t="shared" si="69"/>
        <v/>
      </c>
      <c r="AE217" s="47"/>
      <c r="AF217" s="1" t="str">
        <f t="shared" si="70"/>
        <v/>
      </c>
      <c r="AG217" s="47"/>
    </row>
    <row r="218" spans="1:33">
      <c r="A218">
        <f t="shared" si="54"/>
        <v>0</v>
      </c>
      <c r="B218" s="2" t="str">
        <f t="shared" si="71"/>
        <v/>
      </c>
      <c r="C218" s="4" t="str">
        <f t="shared" si="55"/>
        <v/>
      </c>
      <c r="D218" s="3" t="str">
        <f t="shared" si="56"/>
        <v/>
      </c>
      <c r="E218" s="47"/>
      <c r="F218" s="3" t="str">
        <f t="shared" si="57"/>
        <v/>
      </c>
      <c r="G218" s="47"/>
      <c r="H218" s="3" t="str">
        <f t="shared" si="58"/>
        <v/>
      </c>
      <c r="I218" s="47"/>
      <c r="J218" s="3" t="str">
        <f t="shared" si="59"/>
        <v/>
      </c>
      <c r="K218" s="47"/>
      <c r="L218" s="3" t="str">
        <f t="shared" si="60"/>
        <v/>
      </c>
      <c r="M218" s="47"/>
      <c r="N218" s="3" t="str">
        <f t="shared" si="61"/>
        <v/>
      </c>
      <c r="O218" s="47"/>
      <c r="P218" s="3" t="str">
        <f t="shared" si="62"/>
        <v/>
      </c>
      <c r="Q218" s="47"/>
      <c r="R218" s="3" t="str">
        <f t="shared" si="63"/>
        <v/>
      </c>
      <c r="S218" s="47"/>
      <c r="T218" s="1" t="str">
        <f t="shared" si="64"/>
        <v/>
      </c>
      <c r="U218" s="47"/>
      <c r="V218" s="1" t="str">
        <f t="shared" si="65"/>
        <v/>
      </c>
      <c r="W218" s="47"/>
      <c r="X218" s="1" t="str">
        <f t="shared" si="66"/>
        <v/>
      </c>
      <c r="Y218" s="47"/>
      <c r="Z218" s="1" t="str">
        <f t="shared" si="67"/>
        <v/>
      </c>
      <c r="AA218" s="47"/>
      <c r="AB218" s="1" t="str">
        <f t="shared" si="68"/>
        <v/>
      </c>
      <c r="AC218" s="47"/>
      <c r="AD218" s="1" t="str">
        <f t="shared" si="69"/>
        <v/>
      </c>
      <c r="AE218" s="47"/>
      <c r="AF218" s="1" t="str">
        <f t="shared" si="70"/>
        <v/>
      </c>
      <c r="AG218" s="47"/>
    </row>
    <row r="219" spans="1:33">
      <c r="A219">
        <f t="shared" si="54"/>
        <v>0</v>
      </c>
      <c r="B219" s="2" t="str">
        <f t="shared" si="71"/>
        <v/>
      </c>
      <c r="C219" s="4" t="str">
        <f t="shared" si="55"/>
        <v/>
      </c>
      <c r="D219" s="3" t="str">
        <f t="shared" si="56"/>
        <v/>
      </c>
      <c r="E219" s="47"/>
      <c r="F219" s="3" t="str">
        <f t="shared" si="57"/>
        <v/>
      </c>
      <c r="G219" s="47"/>
      <c r="H219" s="3" t="str">
        <f t="shared" si="58"/>
        <v/>
      </c>
      <c r="I219" s="47"/>
      <c r="J219" s="3" t="str">
        <f t="shared" si="59"/>
        <v/>
      </c>
      <c r="K219" s="47"/>
      <c r="L219" s="3" t="str">
        <f t="shared" si="60"/>
        <v/>
      </c>
      <c r="M219" s="47"/>
      <c r="N219" s="3" t="str">
        <f t="shared" si="61"/>
        <v/>
      </c>
      <c r="O219" s="47"/>
      <c r="P219" s="3" t="str">
        <f t="shared" si="62"/>
        <v/>
      </c>
      <c r="Q219" s="47"/>
      <c r="R219" s="3" t="str">
        <f t="shared" si="63"/>
        <v/>
      </c>
      <c r="S219" s="47"/>
      <c r="T219" s="1" t="str">
        <f t="shared" si="64"/>
        <v/>
      </c>
      <c r="U219" s="47"/>
      <c r="V219" s="1" t="str">
        <f t="shared" si="65"/>
        <v/>
      </c>
      <c r="W219" s="47"/>
      <c r="X219" s="1" t="str">
        <f t="shared" si="66"/>
        <v/>
      </c>
      <c r="Y219" s="47"/>
      <c r="Z219" s="1" t="str">
        <f t="shared" si="67"/>
        <v/>
      </c>
      <c r="AA219" s="47"/>
      <c r="AB219" s="1" t="str">
        <f t="shared" si="68"/>
        <v/>
      </c>
      <c r="AC219" s="47"/>
      <c r="AD219" s="1" t="str">
        <f t="shared" si="69"/>
        <v/>
      </c>
      <c r="AE219" s="47"/>
      <c r="AF219" s="1" t="str">
        <f t="shared" si="70"/>
        <v/>
      </c>
      <c r="AG219" s="47"/>
    </row>
    <row r="220" spans="1:33">
      <c r="A220">
        <f t="shared" si="54"/>
        <v>0</v>
      </c>
      <c r="B220" s="2" t="str">
        <f t="shared" si="71"/>
        <v/>
      </c>
      <c r="C220" s="4" t="str">
        <f t="shared" si="55"/>
        <v/>
      </c>
      <c r="D220" s="3" t="str">
        <f t="shared" si="56"/>
        <v/>
      </c>
      <c r="E220" s="47"/>
      <c r="F220" s="3" t="str">
        <f t="shared" si="57"/>
        <v/>
      </c>
      <c r="G220" s="47"/>
      <c r="H220" s="3" t="str">
        <f t="shared" si="58"/>
        <v/>
      </c>
      <c r="I220" s="47"/>
      <c r="J220" s="3" t="str">
        <f t="shared" si="59"/>
        <v/>
      </c>
      <c r="K220" s="47"/>
      <c r="L220" s="3" t="str">
        <f t="shared" si="60"/>
        <v/>
      </c>
      <c r="M220" s="47"/>
      <c r="N220" s="3" t="str">
        <f t="shared" si="61"/>
        <v/>
      </c>
      <c r="O220" s="47"/>
      <c r="P220" s="3" t="str">
        <f t="shared" si="62"/>
        <v/>
      </c>
      <c r="Q220" s="47"/>
      <c r="R220" s="3" t="str">
        <f t="shared" si="63"/>
        <v/>
      </c>
      <c r="S220" s="47"/>
      <c r="T220" s="1" t="str">
        <f t="shared" si="64"/>
        <v/>
      </c>
      <c r="U220" s="47"/>
      <c r="V220" s="1" t="str">
        <f t="shared" si="65"/>
        <v/>
      </c>
      <c r="W220" s="47"/>
      <c r="X220" s="1" t="str">
        <f t="shared" si="66"/>
        <v/>
      </c>
      <c r="Y220" s="47"/>
      <c r="Z220" s="1" t="str">
        <f t="shared" si="67"/>
        <v/>
      </c>
      <c r="AA220" s="47"/>
      <c r="AB220" s="1" t="str">
        <f t="shared" si="68"/>
        <v/>
      </c>
      <c r="AC220" s="47"/>
      <c r="AD220" s="1" t="str">
        <f t="shared" si="69"/>
        <v/>
      </c>
      <c r="AE220" s="47"/>
      <c r="AF220" s="1" t="str">
        <f t="shared" si="70"/>
        <v/>
      </c>
      <c r="AG220" s="47"/>
    </row>
    <row r="221" spans="1:33">
      <c r="A221">
        <f t="shared" si="54"/>
        <v>0</v>
      </c>
      <c r="B221" s="2" t="str">
        <f t="shared" si="71"/>
        <v/>
      </c>
      <c r="C221" s="4" t="str">
        <f t="shared" si="55"/>
        <v/>
      </c>
      <c r="D221" s="3" t="str">
        <f t="shared" si="56"/>
        <v/>
      </c>
      <c r="E221" s="47"/>
      <c r="F221" s="3" t="str">
        <f t="shared" si="57"/>
        <v/>
      </c>
      <c r="G221" s="47"/>
      <c r="H221" s="3" t="str">
        <f t="shared" si="58"/>
        <v/>
      </c>
      <c r="I221" s="47"/>
      <c r="J221" s="3" t="str">
        <f t="shared" si="59"/>
        <v/>
      </c>
      <c r="K221" s="47"/>
      <c r="L221" s="3" t="str">
        <f t="shared" si="60"/>
        <v/>
      </c>
      <c r="M221" s="47"/>
      <c r="N221" s="3" t="str">
        <f t="shared" si="61"/>
        <v/>
      </c>
      <c r="O221" s="47"/>
      <c r="P221" s="3" t="str">
        <f t="shared" si="62"/>
        <v/>
      </c>
      <c r="Q221" s="47"/>
      <c r="R221" s="3" t="str">
        <f t="shared" si="63"/>
        <v/>
      </c>
      <c r="S221" s="47"/>
      <c r="T221" s="1" t="str">
        <f t="shared" si="64"/>
        <v/>
      </c>
      <c r="U221" s="47"/>
      <c r="V221" s="1" t="str">
        <f t="shared" si="65"/>
        <v/>
      </c>
      <c r="W221" s="47"/>
      <c r="X221" s="1" t="str">
        <f t="shared" si="66"/>
        <v/>
      </c>
      <c r="Y221" s="47"/>
      <c r="Z221" s="1" t="str">
        <f t="shared" si="67"/>
        <v/>
      </c>
      <c r="AA221" s="47"/>
      <c r="AB221" s="1" t="str">
        <f t="shared" si="68"/>
        <v/>
      </c>
      <c r="AC221" s="47"/>
      <c r="AD221" s="1" t="str">
        <f t="shared" si="69"/>
        <v/>
      </c>
      <c r="AE221" s="47"/>
      <c r="AF221" s="1" t="str">
        <f t="shared" si="70"/>
        <v/>
      </c>
      <c r="AG221" s="47"/>
    </row>
    <row r="222" spans="1:33">
      <c r="A222">
        <f t="shared" si="54"/>
        <v>0</v>
      </c>
      <c r="B222" s="2" t="str">
        <f t="shared" si="71"/>
        <v/>
      </c>
      <c r="C222" s="4" t="str">
        <f t="shared" si="55"/>
        <v/>
      </c>
      <c r="D222" s="3" t="str">
        <f t="shared" si="56"/>
        <v/>
      </c>
      <c r="E222" s="47"/>
      <c r="F222" s="3" t="str">
        <f t="shared" si="57"/>
        <v/>
      </c>
      <c r="G222" s="47"/>
      <c r="H222" s="3" t="str">
        <f t="shared" si="58"/>
        <v/>
      </c>
      <c r="I222" s="47"/>
      <c r="J222" s="3" t="str">
        <f t="shared" si="59"/>
        <v/>
      </c>
      <c r="K222" s="47"/>
      <c r="L222" s="3" t="str">
        <f t="shared" si="60"/>
        <v/>
      </c>
      <c r="M222" s="47"/>
      <c r="N222" s="3" t="str">
        <f t="shared" si="61"/>
        <v/>
      </c>
      <c r="O222" s="47"/>
      <c r="P222" s="3" t="str">
        <f t="shared" si="62"/>
        <v/>
      </c>
      <c r="Q222" s="47"/>
      <c r="R222" s="3" t="str">
        <f t="shared" si="63"/>
        <v/>
      </c>
      <c r="S222" s="47"/>
      <c r="T222" s="1" t="str">
        <f t="shared" si="64"/>
        <v/>
      </c>
      <c r="U222" s="47"/>
      <c r="V222" s="1" t="str">
        <f t="shared" si="65"/>
        <v/>
      </c>
      <c r="W222" s="47"/>
      <c r="X222" s="1" t="str">
        <f t="shared" si="66"/>
        <v/>
      </c>
      <c r="Y222" s="47"/>
      <c r="Z222" s="1" t="str">
        <f t="shared" si="67"/>
        <v/>
      </c>
      <c r="AA222" s="47"/>
      <c r="AB222" s="1" t="str">
        <f t="shared" si="68"/>
        <v/>
      </c>
      <c r="AC222" s="47"/>
      <c r="AD222" s="1" t="str">
        <f t="shared" si="69"/>
        <v/>
      </c>
      <c r="AE222" s="47"/>
      <c r="AF222" s="1" t="str">
        <f t="shared" si="70"/>
        <v/>
      </c>
      <c r="AG222" s="47"/>
    </row>
    <row r="223" spans="1:33">
      <c r="A223">
        <f t="shared" si="54"/>
        <v>0</v>
      </c>
      <c r="B223" s="2" t="str">
        <f t="shared" si="71"/>
        <v/>
      </c>
      <c r="C223" s="4" t="str">
        <f t="shared" si="55"/>
        <v/>
      </c>
      <c r="D223" s="3" t="str">
        <f t="shared" si="56"/>
        <v/>
      </c>
      <c r="E223" s="47"/>
      <c r="F223" s="3" t="str">
        <f t="shared" si="57"/>
        <v/>
      </c>
      <c r="G223" s="47"/>
      <c r="H223" s="3" t="str">
        <f t="shared" si="58"/>
        <v/>
      </c>
      <c r="I223" s="47"/>
      <c r="J223" s="3" t="str">
        <f t="shared" si="59"/>
        <v/>
      </c>
      <c r="K223" s="47"/>
      <c r="L223" s="3" t="str">
        <f t="shared" si="60"/>
        <v/>
      </c>
      <c r="M223" s="47"/>
      <c r="N223" s="3" t="str">
        <f t="shared" si="61"/>
        <v/>
      </c>
      <c r="O223" s="47"/>
      <c r="P223" s="3" t="str">
        <f t="shared" si="62"/>
        <v/>
      </c>
      <c r="Q223" s="47"/>
      <c r="R223" s="3" t="str">
        <f t="shared" si="63"/>
        <v/>
      </c>
      <c r="S223" s="47"/>
      <c r="T223" s="1" t="str">
        <f t="shared" si="64"/>
        <v/>
      </c>
      <c r="U223" s="47"/>
      <c r="V223" s="1" t="str">
        <f t="shared" si="65"/>
        <v/>
      </c>
      <c r="W223" s="47"/>
      <c r="X223" s="1" t="str">
        <f t="shared" si="66"/>
        <v/>
      </c>
      <c r="Y223" s="47"/>
      <c r="Z223" s="1" t="str">
        <f t="shared" si="67"/>
        <v/>
      </c>
      <c r="AA223" s="47"/>
      <c r="AB223" s="1" t="str">
        <f t="shared" si="68"/>
        <v/>
      </c>
      <c r="AC223" s="47"/>
      <c r="AD223" s="1" t="str">
        <f t="shared" si="69"/>
        <v/>
      </c>
      <c r="AE223" s="47"/>
      <c r="AF223" s="1" t="str">
        <f t="shared" si="70"/>
        <v/>
      </c>
      <c r="AG223" s="47"/>
    </row>
    <row r="224" spans="1:33">
      <c r="A224">
        <f t="shared" si="54"/>
        <v>0</v>
      </c>
      <c r="B224" s="2" t="str">
        <f t="shared" si="71"/>
        <v/>
      </c>
      <c r="C224" s="4" t="str">
        <f t="shared" si="55"/>
        <v/>
      </c>
      <c r="D224" s="3" t="str">
        <f t="shared" si="56"/>
        <v/>
      </c>
      <c r="E224" s="47"/>
      <c r="F224" s="3" t="str">
        <f t="shared" si="57"/>
        <v/>
      </c>
      <c r="G224" s="47"/>
      <c r="H224" s="3" t="str">
        <f t="shared" si="58"/>
        <v/>
      </c>
      <c r="I224" s="47"/>
      <c r="J224" s="3" t="str">
        <f t="shared" si="59"/>
        <v/>
      </c>
      <c r="K224" s="47"/>
      <c r="L224" s="3" t="str">
        <f t="shared" si="60"/>
        <v/>
      </c>
      <c r="M224" s="47"/>
      <c r="N224" s="3" t="str">
        <f t="shared" si="61"/>
        <v/>
      </c>
      <c r="O224" s="47"/>
      <c r="P224" s="3" t="str">
        <f t="shared" si="62"/>
        <v/>
      </c>
      <c r="Q224" s="47"/>
      <c r="R224" s="3" t="str">
        <f t="shared" si="63"/>
        <v/>
      </c>
      <c r="S224" s="47"/>
      <c r="T224" s="1" t="str">
        <f t="shared" si="64"/>
        <v/>
      </c>
      <c r="U224" s="47"/>
      <c r="V224" s="1" t="str">
        <f t="shared" si="65"/>
        <v/>
      </c>
      <c r="W224" s="47"/>
      <c r="X224" s="1" t="str">
        <f t="shared" si="66"/>
        <v/>
      </c>
      <c r="Y224" s="47"/>
      <c r="Z224" s="1" t="str">
        <f t="shared" si="67"/>
        <v/>
      </c>
      <c r="AA224" s="47"/>
      <c r="AB224" s="1" t="str">
        <f t="shared" si="68"/>
        <v/>
      </c>
      <c r="AC224" s="47"/>
      <c r="AD224" s="1" t="str">
        <f t="shared" si="69"/>
        <v/>
      </c>
      <c r="AE224" s="47"/>
      <c r="AF224" s="1" t="str">
        <f t="shared" si="70"/>
        <v/>
      </c>
      <c r="AG224" s="47"/>
    </row>
    <row r="225" spans="1:33">
      <c r="A225">
        <f t="shared" si="54"/>
        <v>0</v>
      </c>
      <c r="B225" s="2" t="str">
        <f t="shared" si="71"/>
        <v/>
      </c>
      <c r="C225" s="4" t="str">
        <f t="shared" si="55"/>
        <v/>
      </c>
      <c r="D225" s="3" t="str">
        <f t="shared" si="56"/>
        <v/>
      </c>
      <c r="E225" s="47"/>
      <c r="F225" s="3" t="str">
        <f t="shared" si="57"/>
        <v/>
      </c>
      <c r="G225" s="47"/>
      <c r="H225" s="3" t="str">
        <f t="shared" si="58"/>
        <v/>
      </c>
      <c r="I225" s="47"/>
      <c r="J225" s="3" t="str">
        <f t="shared" si="59"/>
        <v/>
      </c>
      <c r="K225" s="47"/>
      <c r="L225" s="3" t="str">
        <f t="shared" si="60"/>
        <v/>
      </c>
      <c r="M225" s="47"/>
      <c r="N225" s="3" t="str">
        <f t="shared" si="61"/>
        <v/>
      </c>
      <c r="O225" s="47"/>
      <c r="P225" s="3" t="str">
        <f t="shared" si="62"/>
        <v/>
      </c>
      <c r="Q225" s="47"/>
      <c r="R225" s="3" t="str">
        <f t="shared" si="63"/>
        <v/>
      </c>
      <c r="S225" s="47"/>
      <c r="T225" s="1" t="str">
        <f t="shared" si="64"/>
        <v/>
      </c>
      <c r="U225" s="47"/>
      <c r="V225" s="1" t="str">
        <f t="shared" si="65"/>
        <v/>
      </c>
      <c r="W225" s="47"/>
      <c r="X225" s="1" t="str">
        <f t="shared" si="66"/>
        <v/>
      </c>
      <c r="Y225" s="47"/>
      <c r="Z225" s="1" t="str">
        <f t="shared" si="67"/>
        <v/>
      </c>
      <c r="AA225" s="47"/>
      <c r="AB225" s="1" t="str">
        <f t="shared" si="68"/>
        <v/>
      </c>
      <c r="AC225" s="47"/>
      <c r="AD225" s="1" t="str">
        <f t="shared" si="69"/>
        <v/>
      </c>
      <c r="AE225" s="47"/>
      <c r="AF225" s="1" t="str">
        <f t="shared" si="70"/>
        <v/>
      </c>
      <c r="AG225" s="47"/>
    </row>
    <row r="226" spans="1:33">
      <c r="A226">
        <f t="shared" si="54"/>
        <v>0</v>
      </c>
      <c r="B226" s="2" t="str">
        <f t="shared" si="71"/>
        <v/>
      </c>
      <c r="C226" s="4" t="str">
        <f t="shared" si="55"/>
        <v/>
      </c>
      <c r="D226" s="3" t="str">
        <f t="shared" si="56"/>
        <v/>
      </c>
      <c r="E226" s="47"/>
      <c r="F226" s="3" t="str">
        <f t="shared" si="57"/>
        <v/>
      </c>
      <c r="G226" s="47"/>
      <c r="H226" s="3" t="str">
        <f t="shared" si="58"/>
        <v/>
      </c>
      <c r="I226" s="47"/>
      <c r="J226" s="3" t="str">
        <f t="shared" si="59"/>
        <v/>
      </c>
      <c r="K226" s="47"/>
      <c r="L226" s="3" t="str">
        <f t="shared" si="60"/>
        <v/>
      </c>
      <c r="M226" s="47"/>
      <c r="N226" s="3" t="str">
        <f t="shared" si="61"/>
        <v/>
      </c>
      <c r="O226" s="47"/>
      <c r="P226" s="3" t="str">
        <f t="shared" si="62"/>
        <v/>
      </c>
      <c r="Q226" s="47"/>
      <c r="R226" s="3" t="str">
        <f t="shared" si="63"/>
        <v/>
      </c>
      <c r="S226" s="47"/>
      <c r="T226" s="1" t="str">
        <f t="shared" si="64"/>
        <v/>
      </c>
      <c r="U226" s="47"/>
      <c r="V226" s="1" t="str">
        <f t="shared" si="65"/>
        <v/>
      </c>
      <c r="W226" s="47"/>
      <c r="X226" s="1" t="str">
        <f t="shared" si="66"/>
        <v/>
      </c>
      <c r="Y226" s="47"/>
      <c r="Z226" s="1" t="str">
        <f t="shared" si="67"/>
        <v/>
      </c>
      <c r="AA226" s="47"/>
      <c r="AB226" s="1" t="str">
        <f t="shared" si="68"/>
        <v/>
      </c>
      <c r="AC226" s="47"/>
      <c r="AD226" s="1" t="str">
        <f t="shared" si="69"/>
        <v/>
      </c>
      <c r="AE226" s="47"/>
      <c r="AF226" s="1" t="str">
        <f t="shared" si="70"/>
        <v/>
      </c>
      <c r="AG226" s="47"/>
    </row>
    <row r="227" spans="1:33">
      <c r="A227">
        <f t="shared" si="54"/>
        <v>0</v>
      </c>
      <c r="B227" s="2" t="str">
        <f t="shared" si="71"/>
        <v/>
      </c>
      <c r="C227" s="4" t="str">
        <f t="shared" si="55"/>
        <v/>
      </c>
      <c r="D227" s="3" t="str">
        <f t="shared" si="56"/>
        <v/>
      </c>
      <c r="E227" s="47"/>
      <c r="F227" s="3" t="str">
        <f t="shared" si="57"/>
        <v/>
      </c>
      <c r="G227" s="47"/>
      <c r="H227" s="3" t="str">
        <f t="shared" si="58"/>
        <v/>
      </c>
      <c r="I227" s="47"/>
      <c r="J227" s="3" t="str">
        <f t="shared" si="59"/>
        <v/>
      </c>
      <c r="K227" s="47"/>
      <c r="L227" s="3" t="str">
        <f t="shared" si="60"/>
        <v/>
      </c>
      <c r="M227" s="47"/>
      <c r="N227" s="3" t="str">
        <f t="shared" si="61"/>
        <v/>
      </c>
      <c r="O227" s="47"/>
      <c r="P227" s="3" t="str">
        <f t="shared" si="62"/>
        <v/>
      </c>
      <c r="Q227" s="47"/>
      <c r="R227" s="3" t="str">
        <f t="shared" si="63"/>
        <v/>
      </c>
      <c r="S227" s="47"/>
      <c r="T227" s="1" t="str">
        <f t="shared" si="64"/>
        <v/>
      </c>
      <c r="U227" s="47"/>
      <c r="V227" s="1" t="str">
        <f t="shared" si="65"/>
        <v/>
      </c>
      <c r="W227" s="47"/>
      <c r="X227" s="1" t="str">
        <f t="shared" si="66"/>
        <v/>
      </c>
      <c r="Y227" s="47"/>
      <c r="Z227" s="1" t="str">
        <f t="shared" si="67"/>
        <v/>
      </c>
      <c r="AA227" s="47"/>
      <c r="AB227" s="1" t="str">
        <f t="shared" si="68"/>
        <v/>
      </c>
      <c r="AC227" s="47"/>
      <c r="AD227" s="1" t="str">
        <f t="shared" si="69"/>
        <v/>
      </c>
      <c r="AE227" s="47"/>
      <c r="AF227" s="1" t="str">
        <f t="shared" si="70"/>
        <v/>
      </c>
      <c r="AG227" s="47"/>
    </row>
    <row r="228" spans="1:33">
      <c r="A228">
        <f t="shared" si="54"/>
        <v>0</v>
      </c>
      <c r="B228" s="2" t="str">
        <f t="shared" si="71"/>
        <v/>
      </c>
      <c r="C228" s="4" t="str">
        <f t="shared" si="55"/>
        <v/>
      </c>
      <c r="D228" s="3" t="str">
        <f t="shared" si="56"/>
        <v/>
      </c>
      <c r="E228" s="47"/>
      <c r="F228" s="3" t="str">
        <f t="shared" si="57"/>
        <v/>
      </c>
      <c r="G228" s="47"/>
      <c r="H228" s="3" t="str">
        <f t="shared" si="58"/>
        <v/>
      </c>
      <c r="I228" s="47"/>
      <c r="J228" s="3" t="str">
        <f t="shared" si="59"/>
        <v/>
      </c>
      <c r="K228" s="47"/>
      <c r="L228" s="3" t="str">
        <f t="shared" si="60"/>
        <v/>
      </c>
      <c r="M228" s="47"/>
      <c r="N228" s="3" t="str">
        <f t="shared" si="61"/>
        <v/>
      </c>
      <c r="O228" s="47"/>
      <c r="P228" s="3" t="str">
        <f t="shared" si="62"/>
        <v/>
      </c>
      <c r="Q228" s="47"/>
      <c r="R228" s="3" t="str">
        <f t="shared" si="63"/>
        <v/>
      </c>
      <c r="S228" s="47"/>
      <c r="T228" s="1" t="str">
        <f t="shared" si="64"/>
        <v/>
      </c>
      <c r="U228" s="47"/>
      <c r="V228" s="1" t="str">
        <f t="shared" si="65"/>
        <v/>
      </c>
      <c r="W228" s="47"/>
      <c r="X228" s="1" t="str">
        <f t="shared" si="66"/>
        <v/>
      </c>
      <c r="Y228" s="47"/>
      <c r="Z228" s="1" t="str">
        <f t="shared" si="67"/>
        <v/>
      </c>
      <c r="AA228" s="47"/>
      <c r="AB228" s="1" t="str">
        <f t="shared" si="68"/>
        <v/>
      </c>
      <c r="AC228" s="47"/>
      <c r="AD228" s="1" t="str">
        <f t="shared" si="69"/>
        <v/>
      </c>
      <c r="AE228" s="47"/>
      <c r="AF228" s="1" t="str">
        <f t="shared" si="70"/>
        <v/>
      </c>
      <c r="AG228" s="47"/>
    </row>
    <row r="229" spans="1:33">
      <c r="A229">
        <f t="shared" si="54"/>
        <v>0</v>
      </c>
      <c r="B229" s="2" t="str">
        <f t="shared" si="71"/>
        <v/>
      </c>
      <c r="C229" s="4" t="str">
        <f t="shared" si="55"/>
        <v/>
      </c>
      <c r="D229" s="3" t="str">
        <f t="shared" si="56"/>
        <v/>
      </c>
      <c r="E229" s="47"/>
      <c r="F229" s="3" t="str">
        <f t="shared" si="57"/>
        <v/>
      </c>
      <c r="G229" s="47"/>
      <c r="H229" s="3" t="str">
        <f t="shared" si="58"/>
        <v/>
      </c>
      <c r="I229" s="47"/>
      <c r="J229" s="3" t="str">
        <f t="shared" si="59"/>
        <v/>
      </c>
      <c r="K229" s="47"/>
      <c r="L229" s="3" t="str">
        <f t="shared" si="60"/>
        <v/>
      </c>
      <c r="M229" s="47"/>
      <c r="N229" s="3" t="str">
        <f t="shared" si="61"/>
        <v/>
      </c>
      <c r="O229" s="47"/>
      <c r="P229" s="3" t="str">
        <f t="shared" si="62"/>
        <v/>
      </c>
      <c r="Q229" s="47"/>
      <c r="R229" s="3" t="str">
        <f t="shared" si="63"/>
        <v/>
      </c>
      <c r="S229" s="47"/>
      <c r="T229" s="1" t="str">
        <f t="shared" si="64"/>
        <v/>
      </c>
      <c r="U229" s="47"/>
      <c r="V229" s="1" t="str">
        <f t="shared" si="65"/>
        <v/>
      </c>
      <c r="W229" s="47"/>
      <c r="X229" s="1" t="str">
        <f t="shared" si="66"/>
        <v/>
      </c>
      <c r="Y229" s="47"/>
      <c r="Z229" s="1" t="str">
        <f t="shared" si="67"/>
        <v/>
      </c>
      <c r="AA229" s="47"/>
      <c r="AB229" s="1" t="str">
        <f t="shared" si="68"/>
        <v/>
      </c>
      <c r="AC229" s="47"/>
      <c r="AD229" s="1" t="str">
        <f t="shared" si="69"/>
        <v/>
      </c>
      <c r="AE229" s="47"/>
      <c r="AF229" s="1" t="str">
        <f t="shared" si="70"/>
        <v/>
      </c>
      <c r="AG229" s="47"/>
    </row>
    <row r="230" spans="1:33">
      <c r="A230">
        <f t="shared" si="54"/>
        <v>0</v>
      </c>
      <c r="B230" s="2" t="str">
        <f t="shared" si="71"/>
        <v/>
      </c>
      <c r="C230" s="4" t="str">
        <f t="shared" si="55"/>
        <v/>
      </c>
      <c r="D230" s="3" t="str">
        <f t="shared" si="56"/>
        <v/>
      </c>
      <c r="E230" s="47"/>
      <c r="F230" s="3" t="str">
        <f t="shared" si="57"/>
        <v/>
      </c>
      <c r="G230" s="47"/>
      <c r="H230" s="3" t="str">
        <f t="shared" si="58"/>
        <v/>
      </c>
      <c r="I230" s="47"/>
      <c r="J230" s="3" t="str">
        <f t="shared" si="59"/>
        <v/>
      </c>
      <c r="K230" s="47"/>
      <c r="L230" s="3" t="str">
        <f t="shared" si="60"/>
        <v/>
      </c>
      <c r="M230" s="47"/>
      <c r="N230" s="3" t="str">
        <f t="shared" si="61"/>
        <v/>
      </c>
      <c r="O230" s="47"/>
      <c r="P230" s="3" t="str">
        <f t="shared" si="62"/>
        <v/>
      </c>
      <c r="Q230" s="47"/>
      <c r="R230" s="3" t="str">
        <f t="shared" si="63"/>
        <v/>
      </c>
      <c r="S230" s="47"/>
      <c r="T230" s="1" t="str">
        <f t="shared" si="64"/>
        <v/>
      </c>
      <c r="U230" s="47"/>
      <c r="V230" s="1" t="str">
        <f t="shared" si="65"/>
        <v/>
      </c>
      <c r="W230" s="47"/>
      <c r="X230" s="1" t="str">
        <f t="shared" si="66"/>
        <v/>
      </c>
      <c r="Y230" s="47"/>
      <c r="Z230" s="1" t="str">
        <f t="shared" si="67"/>
        <v/>
      </c>
      <c r="AA230" s="47"/>
      <c r="AB230" s="1" t="str">
        <f t="shared" si="68"/>
        <v/>
      </c>
      <c r="AC230" s="47"/>
      <c r="AD230" s="1" t="str">
        <f t="shared" si="69"/>
        <v/>
      </c>
      <c r="AE230" s="47"/>
      <c r="AF230" s="1" t="str">
        <f t="shared" si="70"/>
        <v/>
      </c>
      <c r="AG230" s="47"/>
    </row>
    <row r="231" spans="1:33">
      <c r="A231">
        <f t="shared" si="54"/>
        <v>0</v>
      </c>
      <c r="B231" s="2" t="str">
        <f t="shared" si="71"/>
        <v/>
      </c>
      <c r="C231" s="4" t="str">
        <f t="shared" si="55"/>
        <v/>
      </c>
      <c r="D231" s="3" t="str">
        <f t="shared" si="56"/>
        <v/>
      </c>
      <c r="E231" s="47"/>
      <c r="F231" s="3" t="str">
        <f t="shared" si="57"/>
        <v/>
      </c>
      <c r="G231" s="47"/>
      <c r="H231" s="3" t="str">
        <f t="shared" si="58"/>
        <v/>
      </c>
      <c r="I231" s="47"/>
      <c r="J231" s="3" t="str">
        <f t="shared" si="59"/>
        <v/>
      </c>
      <c r="K231" s="47"/>
      <c r="L231" s="3" t="str">
        <f t="shared" si="60"/>
        <v/>
      </c>
      <c r="M231" s="47"/>
      <c r="N231" s="3" t="str">
        <f t="shared" si="61"/>
        <v/>
      </c>
      <c r="O231" s="47"/>
      <c r="P231" s="3" t="str">
        <f t="shared" si="62"/>
        <v/>
      </c>
      <c r="Q231" s="47"/>
      <c r="R231" s="3" t="str">
        <f t="shared" si="63"/>
        <v/>
      </c>
      <c r="S231" s="47"/>
      <c r="T231" s="1" t="str">
        <f t="shared" si="64"/>
        <v/>
      </c>
      <c r="U231" s="47"/>
      <c r="V231" s="1" t="str">
        <f t="shared" si="65"/>
        <v/>
      </c>
      <c r="W231" s="47"/>
      <c r="X231" s="1" t="str">
        <f t="shared" si="66"/>
        <v/>
      </c>
      <c r="Y231" s="47"/>
      <c r="Z231" s="1" t="str">
        <f t="shared" si="67"/>
        <v/>
      </c>
      <c r="AA231" s="47"/>
      <c r="AB231" s="1" t="str">
        <f t="shared" si="68"/>
        <v/>
      </c>
      <c r="AC231" s="47"/>
      <c r="AD231" s="1" t="str">
        <f t="shared" si="69"/>
        <v/>
      </c>
      <c r="AE231" s="47"/>
      <c r="AF231" s="1" t="str">
        <f t="shared" si="70"/>
        <v/>
      </c>
      <c r="AG231" s="47"/>
    </row>
    <row r="232" spans="1:33">
      <c r="A232">
        <f t="shared" si="54"/>
        <v>0</v>
      </c>
      <c r="B232" s="2" t="str">
        <f t="shared" si="71"/>
        <v/>
      </c>
      <c r="C232" s="4" t="str">
        <f t="shared" si="55"/>
        <v/>
      </c>
      <c r="D232" s="3" t="str">
        <f t="shared" si="56"/>
        <v/>
      </c>
      <c r="E232" s="47"/>
      <c r="F232" s="3" t="str">
        <f t="shared" si="57"/>
        <v/>
      </c>
      <c r="G232" s="47"/>
      <c r="H232" s="3" t="str">
        <f t="shared" si="58"/>
        <v/>
      </c>
      <c r="I232" s="47"/>
      <c r="J232" s="3" t="str">
        <f t="shared" si="59"/>
        <v/>
      </c>
      <c r="K232" s="47"/>
      <c r="L232" s="3" t="str">
        <f t="shared" si="60"/>
        <v/>
      </c>
      <c r="M232" s="47"/>
      <c r="N232" s="3" t="str">
        <f t="shared" si="61"/>
        <v/>
      </c>
      <c r="O232" s="47"/>
      <c r="P232" s="3" t="str">
        <f t="shared" si="62"/>
        <v/>
      </c>
      <c r="Q232" s="47"/>
      <c r="R232" s="3" t="str">
        <f t="shared" si="63"/>
        <v/>
      </c>
      <c r="S232" s="47"/>
      <c r="T232" s="1" t="str">
        <f t="shared" si="64"/>
        <v/>
      </c>
      <c r="U232" s="47"/>
      <c r="V232" s="1" t="str">
        <f t="shared" si="65"/>
        <v/>
      </c>
      <c r="W232" s="47"/>
      <c r="X232" s="1" t="str">
        <f t="shared" si="66"/>
        <v/>
      </c>
      <c r="Y232" s="47"/>
      <c r="Z232" s="1" t="str">
        <f t="shared" si="67"/>
        <v/>
      </c>
      <c r="AA232" s="47"/>
      <c r="AB232" s="1" t="str">
        <f t="shared" si="68"/>
        <v/>
      </c>
      <c r="AC232" s="47"/>
      <c r="AD232" s="1" t="str">
        <f t="shared" si="69"/>
        <v/>
      </c>
      <c r="AE232" s="47"/>
      <c r="AF232" s="1" t="str">
        <f t="shared" si="70"/>
        <v/>
      </c>
      <c r="AG232" s="47"/>
    </row>
    <row r="233" spans="1:33">
      <c r="A233">
        <f t="shared" si="54"/>
        <v>0</v>
      </c>
      <c r="B233" s="2" t="str">
        <f t="shared" si="71"/>
        <v/>
      </c>
      <c r="C233" s="4" t="str">
        <f t="shared" si="55"/>
        <v/>
      </c>
      <c r="D233" s="3" t="str">
        <f t="shared" si="56"/>
        <v/>
      </c>
      <c r="E233" s="47"/>
      <c r="F233" s="3" t="str">
        <f t="shared" si="57"/>
        <v/>
      </c>
      <c r="G233" s="47"/>
      <c r="H233" s="3" t="str">
        <f t="shared" si="58"/>
        <v/>
      </c>
      <c r="I233" s="47"/>
      <c r="J233" s="3" t="str">
        <f t="shared" si="59"/>
        <v/>
      </c>
      <c r="K233" s="47"/>
      <c r="L233" s="3" t="str">
        <f t="shared" si="60"/>
        <v/>
      </c>
      <c r="M233" s="47"/>
      <c r="N233" s="3" t="str">
        <f t="shared" si="61"/>
        <v/>
      </c>
      <c r="O233" s="47"/>
      <c r="P233" s="3" t="str">
        <f t="shared" si="62"/>
        <v/>
      </c>
      <c r="Q233" s="47"/>
      <c r="R233" s="3" t="str">
        <f t="shared" si="63"/>
        <v/>
      </c>
      <c r="S233" s="47"/>
      <c r="T233" s="1" t="str">
        <f t="shared" si="64"/>
        <v/>
      </c>
      <c r="U233" s="47"/>
      <c r="V233" s="1" t="str">
        <f t="shared" si="65"/>
        <v/>
      </c>
      <c r="W233" s="47"/>
      <c r="X233" s="1" t="str">
        <f t="shared" si="66"/>
        <v/>
      </c>
      <c r="Y233" s="47"/>
      <c r="Z233" s="1" t="str">
        <f t="shared" si="67"/>
        <v/>
      </c>
      <c r="AA233" s="47"/>
      <c r="AB233" s="1" t="str">
        <f t="shared" si="68"/>
        <v/>
      </c>
      <c r="AC233" s="47"/>
      <c r="AD233" s="1" t="str">
        <f t="shared" si="69"/>
        <v/>
      </c>
      <c r="AE233" s="47"/>
      <c r="AF233" s="1" t="str">
        <f t="shared" si="70"/>
        <v/>
      </c>
      <c r="AG233" s="47"/>
    </row>
    <row r="234" spans="1:33">
      <c r="A234">
        <f t="shared" si="54"/>
        <v>0</v>
      </c>
      <c r="B234" s="2" t="str">
        <f t="shared" si="71"/>
        <v/>
      </c>
      <c r="C234" s="4" t="str">
        <f t="shared" si="55"/>
        <v/>
      </c>
      <c r="D234" s="3" t="str">
        <f t="shared" si="56"/>
        <v/>
      </c>
      <c r="E234" s="47"/>
      <c r="F234" s="3" t="str">
        <f t="shared" si="57"/>
        <v/>
      </c>
      <c r="G234" s="47"/>
      <c r="H234" s="3" t="str">
        <f t="shared" si="58"/>
        <v/>
      </c>
      <c r="I234" s="47"/>
      <c r="J234" s="3" t="str">
        <f t="shared" si="59"/>
        <v/>
      </c>
      <c r="K234" s="47"/>
      <c r="L234" s="3" t="str">
        <f t="shared" si="60"/>
        <v/>
      </c>
      <c r="M234" s="47"/>
      <c r="N234" s="3" t="str">
        <f t="shared" si="61"/>
        <v/>
      </c>
      <c r="O234" s="47"/>
      <c r="P234" s="3" t="str">
        <f t="shared" si="62"/>
        <v/>
      </c>
      <c r="Q234" s="47"/>
      <c r="R234" s="3" t="str">
        <f t="shared" si="63"/>
        <v/>
      </c>
      <c r="S234" s="47"/>
      <c r="T234" s="1" t="str">
        <f t="shared" si="64"/>
        <v/>
      </c>
      <c r="U234" s="47"/>
      <c r="V234" s="1" t="str">
        <f t="shared" si="65"/>
        <v/>
      </c>
      <c r="W234" s="47"/>
      <c r="X234" s="1" t="str">
        <f t="shared" si="66"/>
        <v/>
      </c>
      <c r="Y234" s="47"/>
      <c r="Z234" s="1" t="str">
        <f t="shared" si="67"/>
        <v/>
      </c>
      <c r="AA234" s="47"/>
      <c r="AB234" s="1" t="str">
        <f t="shared" si="68"/>
        <v/>
      </c>
      <c r="AC234" s="47"/>
      <c r="AD234" s="1" t="str">
        <f t="shared" si="69"/>
        <v/>
      </c>
      <c r="AE234" s="47"/>
      <c r="AF234" s="1" t="str">
        <f t="shared" si="70"/>
        <v/>
      </c>
      <c r="AG234" s="47"/>
    </row>
    <row r="235" spans="1:33">
      <c r="A235">
        <f t="shared" si="54"/>
        <v>0</v>
      </c>
      <c r="B235" s="2" t="str">
        <f t="shared" si="71"/>
        <v/>
      </c>
      <c r="C235" s="4" t="str">
        <f t="shared" si="55"/>
        <v/>
      </c>
      <c r="D235" s="3" t="str">
        <f t="shared" si="56"/>
        <v/>
      </c>
      <c r="E235" s="47"/>
      <c r="F235" s="3" t="str">
        <f t="shared" si="57"/>
        <v/>
      </c>
      <c r="G235" s="47"/>
      <c r="H235" s="3" t="str">
        <f t="shared" si="58"/>
        <v/>
      </c>
      <c r="I235" s="47"/>
      <c r="J235" s="3" t="str">
        <f t="shared" si="59"/>
        <v/>
      </c>
      <c r="K235" s="47"/>
      <c r="L235" s="3" t="str">
        <f t="shared" si="60"/>
        <v/>
      </c>
      <c r="M235" s="47"/>
      <c r="N235" s="3" t="str">
        <f t="shared" si="61"/>
        <v/>
      </c>
      <c r="O235" s="47"/>
      <c r="P235" s="3" t="str">
        <f t="shared" si="62"/>
        <v/>
      </c>
      <c r="Q235" s="47"/>
      <c r="R235" s="3" t="str">
        <f t="shared" si="63"/>
        <v/>
      </c>
      <c r="S235" s="47"/>
      <c r="T235" s="1" t="str">
        <f t="shared" si="64"/>
        <v/>
      </c>
      <c r="U235" s="47"/>
      <c r="V235" s="1" t="str">
        <f t="shared" si="65"/>
        <v/>
      </c>
      <c r="W235" s="47"/>
      <c r="X235" s="1" t="str">
        <f t="shared" si="66"/>
        <v/>
      </c>
      <c r="Y235" s="47"/>
      <c r="Z235" s="1" t="str">
        <f t="shared" si="67"/>
        <v/>
      </c>
      <c r="AA235" s="47"/>
      <c r="AB235" s="1" t="str">
        <f t="shared" si="68"/>
        <v/>
      </c>
      <c r="AC235" s="47"/>
      <c r="AD235" s="1" t="str">
        <f t="shared" si="69"/>
        <v/>
      </c>
      <c r="AE235" s="47"/>
      <c r="AF235" s="1" t="str">
        <f t="shared" si="70"/>
        <v/>
      </c>
      <c r="AG235" s="47"/>
    </row>
    <row r="236" spans="1:33">
      <c r="A236">
        <f t="shared" si="54"/>
        <v>0</v>
      </c>
      <c r="B236" s="2" t="str">
        <f t="shared" si="71"/>
        <v/>
      </c>
      <c r="C236" s="4" t="str">
        <f t="shared" si="55"/>
        <v/>
      </c>
      <c r="D236" s="3" t="str">
        <f t="shared" si="56"/>
        <v/>
      </c>
      <c r="E236" s="47"/>
      <c r="F236" s="3" t="str">
        <f t="shared" si="57"/>
        <v/>
      </c>
      <c r="G236" s="47"/>
      <c r="H236" s="3" t="str">
        <f t="shared" si="58"/>
        <v/>
      </c>
      <c r="I236" s="47"/>
      <c r="J236" s="3" t="str">
        <f t="shared" si="59"/>
        <v/>
      </c>
      <c r="K236" s="47"/>
      <c r="L236" s="3" t="str">
        <f t="shared" si="60"/>
        <v/>
      </c>
      <c r="M236" s="47"/>
      <c r="N236" s="3" t="str">
        <f t="shared" si="61"/>
        <v/>
      </c>
      <c r="O236" s="47"/>
      <c r="P236" s="3" t="str">
        <f t="shared" si="62"/>
        <v/>
      </c>
      <c r="Q236" s="47"/>
      <c r="R236" s="3" t="str">
        <f t="shared" si="63"/>
        <v/>
      </c>
      <c r="S236" s="47"/>
      <c r="T236" s="1" t="str">
        <f t="shared" si="64"/>
        <v/>
      </c>
      <c r="U236" s="47"/>
      <c r="V236" s="1" t="str">
        <f t="shared" si="65"/>
        <v/>
      </c>
      <c r="W236" s="47"/>
      <c r="X236" s="1" t="str">
        <f t="shared" si="66"/>
        <v/>
      </c>
      <c r="Y236" s="47"/>
      <c r="Z236" s="1" t="str">
        <f t="shared" si="67"/>
        <v/>
      </c>
      <c r="AA236" s="47"/>
      <c r="AB236" s="1" t="str">
        <f t="shared" si="68"/>
        <v/>
      </c>
      <c r="AC236" s="47"/>
      <c r="AD236" s="1" t="str">
        <f t="shared" si="69"/>
        <v/>
      </c>
      <c r="AE236" s="47"/>
      <c r="AF236" s="1" t="str">
        <f t="shared" si="70"/>
        <v/>
      </c>
      <c r="AG236" s="47"/>
    </row>
    <row r="237" spans="1:33">
      <c r="A237">
        <f t="shared" si="54"/>
        <v>0</v>
      </c>
      <c r="B237" s="2" t="str">
        <f t="shared" si="71"/>
        <v/>
      </c>
      <c r="C237" s="4" t="str">
        <f t="shared" si="55"/>
        <v/>
      </c>
      <c r="D237" s="3" t="str">
        <f t="shared" si="56"/>
        <v/>
      </c>
      <c r="E237" s="47"/>
      <c r="F237" s="3" t="str">
        <f t="shared" si="57"/>
        <v/>
      </c>
      <c r="G237" s="47"/>
      <c r="H237" s="3" t="str">
        <f t="shared" si="58"/>
        <v/>
      </c>
      <c r="I237" s="47"/>
      <c r="J237" s="3" t="str">
        <f t="shared" si="59"/>
        <v/>
      </c>
      <c r="K237" s="47"/>
      <c r="L237" s="3" t="str">
        <f t="shared" si="60"/>
        <v/>
      </c>
      <c r="M237" s="47"/>
      <c r="N237" s="3" t="str">
        <f t="shared" si="61"/>
        <v/>
      </c>
      <c r="O237" s="47"/>
      <c r="P237" s="3" t="str">
        <f t="shared" si="62"/>
        <v/>
      </c>
      <c r="Q237" s="47"/>
      <c r="R237" s="3" t="str">
        <f t="shared" si="63"/>
        <v/>
      </c>
      <c r="S237" s="47"/>
      <c r="T237" s="1" t="str">
        <f t="shared" si="64"/>
        <v/>
      </c>
      <c r="U237" s="47"/>
      <c r="V237" s="1" t="str">
        <f t="shared" si="65"/>
        <v/>
      </c>
      <c r="W237" s="47"/>
      <c r="X237" s="1" t="str">
        <f t="shared" si="66"/>
        <v/>
      </c>
      <c r="Y237" s="47"/>
      <c r="Z237" s="1" t="str">
        <f t="shared" si="67"/>
        <v/>
      </c>
      <c r="AA237" s="47"/>
      <c r="AB237" s="1" t="str">
        <f t="shared" si="68"/>
        <v/>
      </c>
      <c r="AC237" s="47"/>
      <c r="AD237" s="1" t="str">
        <f t="shared" si="69"/>
        <v/>
      </c>
      <c r="AE237" s="47"/>
      <c r="AF237" s="1" t="str">
        <f t="shared" si="70"/>
        <v/>
      </c>
      <c r="AG237" s="47"/>
    </row>
    <row r="238" spans="1:33">
      <c r="A238">
        <f t="shared" si="54"/>
        <v>0</v>
      </c>
      <c r="B238" s="2" t="str">
        <f t="shared" si="71"/>
        <v/>
      </c>
      <c r="C238" s="4" t="str">
        <f t="shared" si="55"/>
        <v/>
      </c>
      <c r="D238" s="3" t="str">
        <f t="shared" si="56"/>
        <v/>
      </c>
      <c r="E238" s="47"/>
      <c r="F238" s="3" t="str">
        <f t="shared" si="57"/>
        <v/>
      </c>
      <c r="G238" s="47"/>
      <c r="H238" s="3" t="str">
        <f t="shared" si="58"/>
        <v/>
      </c>
      <c r="I238" s="47"/>
      <c r="J238" s="3" t="str">
        <f t="shared" si="59"/>
        <v/>
      </c>
      <c r="K238" s="47"/>
      <c r="L238" s="3" t="str">
        <f t="shared" si="60"/>
        <v/>
      </c>
      <c r="M238" s="47"/>
      <c r="N238" s="3" t="str">
        <f t="shared" si="61"/>
        <v/>
      </c>
      <c r="O238" s="47"/>
      <c r="P238" s="3" t="str">
        <f t="shared" si="62"/>
        <v/>
      </c>
      <c r="Q238" s="47"/>
      <c r="R238" s="3" t="str">
        <f t="shared" si="63"/>
        <v/>
      </c>
      <c r="S238" s="47"/>
      <c r="T238" s="1" t="str">
        <f t="shared" si="64"/>
        <v/>
      </c>
      <c r="U238" s="47"/>
      <c r="V238" s="1" t="str">
        <f t="shared" si="65"/>
        <v/>
      </c>
      <c r="W238" s="47"/>
      <c r="X238" s="1" t="str">
        <f t="shared" si="66"/>
        <v/>
      </c>
      <c r="Y238" s="47"/>
      <c r="Z238" s="1" t="str">
        <f t="shared" si="67"/>
        <v/>
      </c>
      <c r="AA238" s="47"/>
      <c r="AB238" s="1" t="str">
        <f t="shared" si="68"/>
        <v/>
      </c>
      <c r="AC238" s="47"/>
      <c r="AD238" s="1" t="str">
        <f t="shared" si="69"/>
        <v/>
      </c>
      <c r="AE238" s="47"/>
      <c r="AF238" s="1" t="str">
        <f t="shared" si="70"/>
        <v/>
      </c>
      <c r="AG238" s="47"/>
    </row>
    <row r="239" spans="1:33">
      <c r="A239">
        <f t="shared" si="54"/>
        <v>0</v>
      </c>
      <c r="B239" s="2" t="str">
        <f t="shared" si="71"/>
        <v/>
      </c>
      <c r="C239" s="4" t="str">
        <f t="shared" si="55"/>
        <v/>
      </c>
      <c r="D239" s="3" t="str">
        <f t="shared" si="56"/>
        <v/>
      </c>
      <c r="E239" s="47"/>
      <c r="F239" s="3" t="str">
        <f t="shared" si="57"/>
        <v/>
      </c>
      <c r="G239" s="47"/>
      <c r="H239" s="3" t="str">
        <f t="shared" si="58"/>
        <v/>
      </c>
      <c r="I239" s="47"/>
      <c r="J239" s="3" t="str">
        <f t="shared" si="59"/>
        <v/>
      </c>
      <c r="K239" s="47"/>
      <c r="L239" s="3" t="str">
        <f t="shared" si="60"/>
        <v/>
      </c>
      <c r="M239" s="47"/>
      <c r="N239" s="3" t="str">
        <f t="shared" si="61"/>
        <v/>
      </c>
      <c r="O239" s="47"/>
      <c r="P239" s="3" t="str">
        <f t="shared" si="62"/>
        <v/>
      </c>
      <c r="Q239" s="47"/>
      <c r="R239" s="3" t="str">
        <f t="shared" si="63"/>
        <v/>
      </c>
      <c r="S239" s="47"/>
      <c r="T239" s="1" t="str">
        <f t="shared" si="64"/>
        <v/>
      </c>
      <c r="U239" s="47"/>
      <c r="V239" s="1" t="str">
        <f t="shared" si="65"/>
        <v/>
      </c>
      <c r="W239" s="47"/>
      <c r="X239" s="1" t="str">
        <f t="shared" si="66"/>
        <v/>
      </c>
      <c r="Y239" s="47"/>
      <c r="Z239" s="1" t="str">
        <f t="shared" si="67"/>
        <v/>
      </c>
      <c r="AA239" s="47"/>
      <c r="AB239" s="1" t="str">
        <f t="shared" si="68"/>
        <v/>
      </c>
      <c r="AC239" s="47"/>
      <c r="AD239" s="1" t="str">
        <f t="shared" si="69"/>
        <v/>
      </c>
      <c r="AE239" s="47"/>
      <c r="AF239" s="1" t="str">
        <f t="shared" si="70"/>
        <v/>
      </c>
      <c r="AG239" s="47"/>
    </row>
    <row r="240" spans="1:33">
      <c r="A240">
        <f t="shared" si="54"/>
        <v>0</v>
      </c>
      <c r="B240" s="2" t="str">
        <f t="shared" si="71"/>
        <v/>
      </c>
      <c r="C240" s="4" t="str">
        <f t="shared" si="55"/>
        <v/>
      </c>
      <c r="D240" s="3" t="str">
        <f t="shared" si="56"/>
        <v/>
      </c>
      <c r="E240" s="47"/>
      <c r="F240" s="3" t="str">
        <f t="shared" si="57"/>
        <v/>
      </c>
      <c r="G240" s="47"/>
      <c r="H240" s="3" t="str">
        <f t="shared" si="58"/>
        <v/>
      </c>
      <c r="I240" s="47"/>
      <c r="J240" s="3" t="str">
        <f t="shared" si="59"/>
        <v/>
      </c>
      <c r="K240" s="47"/>
      <c r="L240" s="3" t="str">
        <f t="shared" si="60"/>
        <v/>
      </c>
      <c r="M240" s="47"/>
      <c r="N240" s="3" t="str">
        <f t="shared" si="61"/>
        <v/>
      </c>
      <c r="O240" s="47"/>
      <c r="P240" s="3" t="str">
        <f t="shared" si="62"/>
        <v/>
      </c>
      <c r="Q240" s="47"/>
      <c r="R240" s="3" t="str">
        <f t="shared" si="63"/>
        <v/>
      </c>
      <c r="S240" s="47"/>
      <c r="T240" s="1" t="str">
        <f t="shared" si="64"/>
        <v/>
      </c>
      <c r="U240" s="47"/>
      <c r="V240" s="1" t="str">
        <f t="shared" si="65"/>
        <v/>
      </c>
      <c r="W240" s="47"/>
      <c r="X240" s="1" t="str">
        <f t="shared" si="66"/>
        <v/>
      </c>
      <c r="Y240" s="47"/>
      <c r="Z240" s="1" t="str">
        <f t="shared" si="67"/>
        <v/>
      </c>
      <c r="AA240" s="47"/>
      <c r="AB240" s="1" t="str">
        <f t="shared" si="68"/>
        <v/>
      </c>
      <c r="AC240" s="47"/>
      <c r="AD240" s="1" t="str">
        <f t="shared" si="69"/>
        <v/>
      </c>
      <c r="AE240" s="47"/>
      <c r="AF240" s="1" t="str">
        <f t="shared" si="70"/>
        <v/>
      </c>
      <c r="AG240" s="47"/>
    </row>
    <row r="241" spans="1:33">
      <c r="A241">
        <f t="shared" si="54"/>
        <v>0</v>
      </c>
      <c r="B241" s="2" t="str">
        <f t="shared" si="71"/>
        <v/>
      </c>
      <c r="C241" s="4" t="str">
        <f t="shared" si="55"/>
        <v/>
      </c>
      <c r="D241" s="3" t="str">
        <f t="shared" si="56"/>
        <v/>
      </c>
      <c r="E241" s="47"/>
      <c r="F241" s="3" t="str">
        <f t="shared" si="57"/>
        <v/>
      </c>
      <c r="G241" s="47"/>
      <c r="H241" s="3" t="str">
        <f t="shared" si="58"/>
        <v/>
      </c>
      <c r="I241" s="47"/>
      <c r="J241" s="3" t="str">
        <f t="shared" si="59"/>
        <v/>
      </c>
      <c r="K241" s="47"/>
      <c r="L241" s="3" t="str">
        <f t="shared" si="60"/>
        <v/>
      </c>
      <c r="M241" s="47"/>
      <c r="N241" s="3" t="str">
        <f t="shared" si="61"/>
        <v/>
      </c>
      <c r="O241" s="47"/>
      <c r="P241" s="3" t="str">
        <f t="shared" si="62"/>
        <v/>
      </c>
      <c r="Q241" s="47"/>
      <c r="R241" s="3" t="str">
        <f t="shared" si="63"/>
        <v/>
      </c>
      <c r="S241" s="47"/>
      <c r="T241" s="1" t="str">
        <f t="shared" si="64"/>
        <v/>
      </c>
      <c r="U241" s="47"/>
      <c r="V241" s="1" t="str">
        <f t="shared" si="65"/>
        <v/>
      </c>
      <c r="W241" s="47"/>
      <c r="X241" s="1" t="str">
        <f t="shared" si="66"/>
        <v/>
      </c>
      <c r="Y241" s="47"/>
      <c r="Z241" s="1" t="str">
        <f t="shared" si="67"/>
        <v/>
      </c>
      <c r="AA241" s="47"/>
      <c r="AB241" s="1" t="str">
        <f t="shared" si="68"/>
        <v/>
      </c>
      <c r="AC241" s="47"/>
      <c r="AD241" s="1" t="str">
        <f t="shared" si="69"/>
        <v/>
      </c>
      <c r="AE241" s="47"/>
      <c r="AF241" s="1" t="str">
        <f t="shared" si="70"/>
        <v/>
      </c>
      <c r="AG241" s="47"/>
    </row>
    <row r="242" spans="1:33">
      <c r="A242">
        <f t="shared" si="54"/>
        <v>0</v>
      </c>
      <c r="B242" s="2" t="str">
        <f t="shared" si="71"/>
        <v/>
      </c>
      <c r="C242" s="4" t="str">
        <f t="shared" si="55"/>
        <v/>
      </c>
      <c r="D242" s="3" t="str">
        <f t="shared" si="56"/>
        <v/>
      </c>
      <c r="E242" s="47"/>
      <c r="F242" s="3" t="str">
        <f t="shared" si="57"/>
        <v/>
      </c>
      <c r="G242" s="47"/>
      <c r="H242" s="3" t="str">
        <f t="shared" si="58"/>
        <v/>
      </c>
      <c r="I242" s="47"/>
      <c r="J242" s="3" t="str">
        <f t="shared" si="59"/>
        <v/>
      </c>
      <c r="K242" s="47"/>
      <c r="L242" s="3" t="str">
        <f t="shared" si="60"/>
        <v/>
      </c>
      <c r="M242" s="47"/>
      <c r="N242" s="3" t="str">
        <f t="shared" si="61"/>
        <v/>
      </c>
      <c r="O242" s="47"/>
      <c r="P242" s="3" t="str">
        <f t="shared" si="62"/>
        <v/>
      </c>
      <c r="Q242" s="47"/>
      <c r="R242" s="3" t="str">
        <f t="shared" si="63"/>
        <v/>
      </c>
      <c r="S242" s="47"/>
      <c r="T242" s="1" t="str">
        <f t="shared" si="64"/>
        <v/>
      </c>
      <c r="U242" s="47"/>
      <c r="V242" s="1" t="str">
        <f t="shared" si="65"/>
        <v/>
      </c>
      <c r="W242" s="47"/>
      <c r="X242" s="1" t="str">
        <f t="shared" si="66"/>
        <v/>
      </c>
      <c r="Y242" s="47"/>
      <c r="Z242" s="1" t="str">
        <f t="shared" si="67"/>
        <v/>
      </c>
      <c r="AA242" s="47"/>
      <c r="AB242" s="1" t="str">
        <f t="shared" si="68"/>
        <v/>
      </c>
      <c r="AC242" s="47"/>
      <c r="AD242" s="1" t="str">
        <f t="shared" si="69"/>
        <v/>
      </c>
      <c r="AE242" s="47"/>
      <c r="AF242" s="1" t="str">
        <f t="shared" si="70"/>
        <v/>
      </c>
      <c r="AG242" s="47"/>
    </row>
    <row r="243" spans="1:33">
      <c r="A243">
        <f t="shared" si="54"/>
        <v>0</v>
      </c>
      <c r="B243" s="2" t="str">
        <f t="shared" si="71"/>
        <v/>
      </c>
      <c r="C243" s="4" t="str">
        <f t="shared" si="55"/>
        <v/>
      </c>
      <c r="D243" s="3" t="str">
        <f t="shared" si="56"/>
        <v/>
      </c>
      <c r="E243" s="47"/>
      <c r="F243" s="3" t="str">
        <f t="shared" si="57"/>
        <v/>
      </c>
      <c r="G243" s="47"/>
      <c r="H243" s="3" t="str">
        <f t="shared" si="58"/>
        <v/>
      </c>
      <c r="I243" s="47"/>
      <c r="J243" s="3" t="str">
        <f t="shared" si="59"/>
        <v/>
      </c>
      <c r="K243" s="47"/>
      <c r="L243" s="3" t="str">
        <f t="shared" si="60"/>
        <v/>
      </c>
      <c r="M243" s="47"/>
      <c r="N243" s="3" t="str">
        <f t="shared" si="61"/>
        <v/>
      </c>
      <c r="O243" s="47"/>
      <c r="P243" s="3" t="str">
        <f t="shared" si="62"/>
        <v/>
      </c>
      <c r="Q243" s="47"/>
      <c r="R243" s="3" t="str">
        <f t="shared" si="63"/>
        <v/>
      </c>
      <c r="S243" s="47"/>
      <c r="T243" s="1" t="str">
        <f t="shared" si="64"/>
        <v/>
      </c>
      <c r="U243" s="47"/>
      <c r="V243" s="1" t="str">
        <f t="shared" si="65"/>
        <v/>
      </c>
      <c r="W243" s="47"/>
      <c r="X243" s="1" t="str">
        <f t="shared" si="66"/>
        <v/>
      </c>
      <c r="Y243" s="47"/>
      <c r="Z243" s="1" t="str">
        <f t="shared" si="67"/>
        <v/>
      </c>
      <c r="AA243" s="47"/>
      <c r="AB243" s="1" t="str">
        <f t="shared" si="68"/>
        <v/>
      </c>
      <c r="AC243" s="47"/>
      <c r="AD243" s="1" t="str">
        <f t="shared" si="69"/>
        <v/>
      </c>
      <c r="AE243" s="47"/>
      <c r="AF243" s="1" t="str">
        <f t="shared" si="70"/>
        <v/>
      </c>
      <c r="AG243" s="47"/>
    </row>
    <row r="244" spans="1:33">
      <c r="A244">
        <f t="shared" si="54"/>
        <v>0</v>
      </c>
      <c r="B244" s="2" t="str">
        <f t="shared" si="71"/>
        <v/>
      </c>
      <c r="C244" s="4" t="str">
        <f t="shared" si="55"/>
        <v/>
      </c>
      <c r="D244" s="3" t="str">
        <f t="shared" si="56"/>
        <v/>
      </c>
      <c r="E244" s="47"/>
      <c r="F244" s="3" t="str">
        <f t="shared" si="57"/>
        <v/>
      </c>
      <c r="G244" s="47"/>
      <c r="H244" s="3" t="str">
        <f t="shared" si="58"/>
        <v/>
      </c>
      <c r="I244" s="47"/>
      <c r="J244" s="3" t="str">
        <f t="shared" si="59"/>
        <v/>
      </c>
      <c r="K244" s="47"/>
      <c r="L244" s="3" t="str">
        <f t="shared" si="60"/>
        <v/>
      </c>
      <c r="M244" s="47"/>
      <c r="N244" s="3" t="str">
        <f t="shared" si="61"/>
        <v/>
      </c>
      <c r="O244" s="47"/>
      <c r="P244" s="3" t="str">
        <f t="shared" si="62"/>
        <v/>
      </c>
      <c r="Q244" s="47"/>
      <c r="R244" s="3" t="str">
        <f t="shared" si="63"/>
        <v/>
      </c>
      <c r="S244" s="47"/>
      <c r="T244" s="1" t="str">
        <f t="shared" si="64"/>
        <v/>
      </c>
      <c r="U244" s="47"/>
      <c r="V244" s="1" t="str">
        <f t="shared" si="65"/>
        <v/>
      </c>
      <c r="W244" s="47"/>
      <c r="X244" s="1" t="str">
        <f t="shared" si="66"/>
        <v/>
      </c>
      <c r="Y244" s="47"/>
      <c r="Z244" s="1" t="str">
        <f t="shared" si="67"/>
        <v/>
      </c>
      <c r="AA244" s="47"/>
      <c r="AB244" s="1" t="str">
        <f t="shared" si="68"/>
        <v/>
      </c>
      <c r="AC244" s="47"/>
      <c r="AD244" s="1" t="str">
        <f t="shared" si="69"/>
        <v/>
      </c>
      <c r="AE244" s="47"/>
      <c r="AF244" s="1" t="str">
        <f t="shared" si="70"/>
        <v/>
      </c>
      <c r="AG244" s="47"/>
    </row>
    <row r="245" spans="1:33">
      <c r="A245">
        <f t="shared" si="54"/>
        <v>0</v>
      </c>
      <c r="B245" s="2" t="str">
        <f t="shared" si="71"/>
        <v/>
      </c>
      <c r="C245" s="4" t="str">
        <f t="shared" si="55"/>
        <v/>
      </c>
      <c r="D245" s="3" t="str">
        <f t="shared" si="56"/>
        <v/>
      </c>
      <c r="E245" s="47"/>
      <c r="F245" s="3" t="str">
        <f t="shared" si="57"/>
        <v/>
      </c>
      <c r="G245" s="47"/>
      <c r="H245" s="3" t="str">
        <f t="shared" si="58"/>
        <v/>
      </c>
      <c r="I245" s="47"/>
      <c r="J245" s="3" t="str">
        <f t="shared" si="59"/>
        <v/>
      </c>
      <c r="K245" s="47"/>
      <c r="L245" s="3" t="str">
        <f t="shared" si="60"/>
        <v/>
      </c>
      <c r="M245" s="47"/>
      <c r="N245" s="3" t="str">
        <f t="shared" si="61"/>
        <v/>
      </c>
      <c r="O245" s="47"/>
      <c r="P245" s="3" t="str">
        <f t="shared" si="62"/>
        <v/>
      </c>
      <c r="Q245" s="47"/>
      <c r="R245" s="3" t="str">
        <f t="shared" si="63"/>
        <v/>
      </c>
      <c r="S245" s="47"/>
      <c r="T245" s="1" t="str">
        <f t="shared" si="64"/>
        <v/>
      </c>
      <c r="U245" s="47"/>
      <c r="V245" s="1" t="str">
        <f t="shared" si="65"/>
        <v/>
      </c>
      <c r="W245" s="47"/>
      <c r="X245" s="1" t="str">
        <f t="shared" si="66"/>
        <v/>
      </c>
      <c r="Y245" s="47"/>
      <c r="Z245" s="1" t="str">
        <f t="shared" si="67"/>
        <v/>
      </c>
      <c r="AA245" s="47"/>
      <c r="AB245" s="1" t="str">
        <f t="shared" si="68"/>
        <v/>
      </c>
      <c r="AC245" s="47"/>
      <c r="AD245" s="1" t="str">
        <f t="shared" si="69"/>
        <v/>
      </c>
      <c r="AE245" s="47"/>
      <c r="AF245" s="1" t="str">
        <f t="shared" si="70"/>
        <v/>
      </c>
      <c r="AG245" s="47"/>
    </row>
    <row r="246" spans="1:33">
      <c r="A246">
        <f t="shared" si="54"/>
        <v>0</v>
      </c>
      <c r="B246" s="2" t="str">
        <f t="shared" si="71"/>
        <v/>
      </c>
      <c r="C246" s="4" t="str">
        <f t="shared" si="55"/>
        <v/>
      </c>
      <c r="D246" s="3" t="str">
        <f t="shared" si="56"/>
        <v/>
      </c>
      <c r="E246" s="47"/>
      <c r="F246" s="3" t="str">
        <f t="shared" si="57"/>
        <v/>
      </c>
      <c r="G246" s="47"/>
      <c r="H246" s="3" t="str">
        <f t="shared" si="58"/>
        <v/>
      </c>
      <c r="I246" s="47"/>
      <c r="J246" s="3" t="str">
        <f t="shared" si="59"/>
        <v/>
      </c>
      <c r="K246" s="47"/>
      <c r="L246" s="3" t="str">
        <f t="shared" si="60"/>
        <v/>
      </c>
      <c r="M246" s="47"/>
      <c r="N246" s="3" t="str">
        <f t="shared" si="61"/>
        <v/>
      </c>
      <c r="O246" s="47"/>
      <c r="P246" s="3" t="str">
        <f t="shared" si="62"/>
        <v/>
      </c>
      <c r="Q246" s="47"/>
      <c r="R246" s="3" t="str">
        <f t="shared" si="63"/>
        <v/>
      </c>
      <c r="S246" s="47"/>
      <c r="T246" s="1" t="str">
        <f t="shared" si="64"/>
        <v/>
      </c>
      <c r="U246" s="47"/>
      <c r="V246" s="1" t="str">
        <f t="shared" si="65"/>
        <v/>
      </c>
      <c r="W246" s="47"/>
      <c r="X246" s="1" t="str">
        <f t="shared" si="66"/>
        <v/>
      </c>
      <c r="Y246" s="47"/>
      <c r="Z246" s="1" t="str">
        <f t="shared" si="67"/>
        <v/>
      </c>
      <c r="AA246" s="47"/>
      <c r="AB246" s="1" t="str">
        <f t="shared" si="68"/>
        <v/>
      </c>
      <c r="AC246" s="47"/>
      <c r="AD246" s="1" t="str">
        <f t="shared" si="69"/>
        <v/>
      </c>
      <c r="AE246" s="47"/>
      <c r="AF246" s="1" t="str">
        <f t="shared" si="70"/>
        <v/>
      </c>
      <c r="AG246" s="47"/>
    </row>
    <row r="247" spans="1:33">
      <c r="A247">
        <f t="shared" si="54"/>
        <v>0</v>
      </c>
      <c r="B247" s="2" t="str">
        <f t="shared" si="71"/>
        <v/>
      </c>
      <c r="C247" s="4" t="str">
        <f t="shared" si="55"/>
        <v/>
      </c>
      <c r="D247" s="3" t="str">
        <f t="shared" si="56"/>
        <v/>
      </c>
      <c r="E247" s="47"/>
      <c r="F247" s="3" t="str">
        <f t="shared" si="57"/>
        <v/>
      </c>
      <c r="G247" s="47"/>
      <c r="H247" s="3" t="str">
        <f t="shared" si="58"/>
        <v/>
      </c>
      <c r="I247" s="47"/>
      <c r="J247" s="3" t="str">
        <f t="shared" si="59"/>
        <v/>
      </c>
      <c r="K247" s="47"/>
      <c r="L247" s="3" t="str">
        <f t="shared" si="60"/>
        <v/>
      </c>
      <c r="M247" s="47"/>
      <c r="N247" s="3" t="str">
        <f t="shared" si="61"/>
        <v/>
      </c>
      <c r="O247" s="47"/>
      <c r="P247" s="3" t="str">
        <f t="shared" si="62"/>
        <v/>
      </c>
      <c r="Q247" s="47"/>
      <c r="R247" s="3" t="str">
        <f t="shared" si="63"/>
        <v/>
      </c>
      <c r="S247" s="47"/>
      <c r="T247" s="1" t="str">
        <f t="shared" si="64"/>
        <v/>
      </c>
      <c r="U247" s="47"/>
      <c r="V247" s="1" t="str">
        <f t="shared" si="65"/>
        <v/>
      </c>
      <c r="W247" s="47"/>
      <c r="X247" s="1" t="str">
        <f t="shared" si="66"/>
        <v/>
      </c>
      <c r="Y247" s="47"/>
      <c r="Z247" s="1" t="str">
        <f t="shared" si="67"/>
        <v/>
      </c>
      <c r="AA247" s="47"/>
      <c r="AB247" s="1" t="str">
        <f t="shared" si="68"/>
        <v/>
      </c>
      <c r="AC247" s="47"/>
      <c r="AD247" s="1" t="str">
        <f t="shared" si="69"/>
        <v/>
      </c>
      <c r="AE247" s="47"/>
      <c r="AF247" s="1" t="str">
        <f t="shared" si="70"/>
        <v/>
      </c>
      <c r="AG247" s="47"/>
    </row>
    <row r="248" spans="1:33">
      <c r="A248">
        <f t="shared" si="54"/>
        <v>0</v>
      </c>
      <c r="B248" s="2" t="str">
        <f t="shared" si="71"/>
        <v/>
      </c>
      <c r="C248" s="4" t="str">
        <f t="shared" si="55"/>
        <v/>
      </c>
      <c r="D248" s="3" t="str">
        <f t="shared" si="56"/>
        <v/>
      </c>
      <c r="E248" s="47"/>
      <c r="F248" s="3" t="str">
        <f t="shared" si="57"/>
        <v/>
      </c>
      <c r="G248" s="47"/>
      <c r="H248" s="3" t="str">
        <f t="shared" si="58"/>
        <v/>
      </c>
      <c r="I248" s="47"/>
      <c r="J248" s="3" t="str">
        <f t="shared" si="59"/>
        <v/>
      </c>
      <c r="K248" s="47"/>
      <c r="L248" s="3" t="str">
        <f t="shared" si="60"/>
        <v/>
      </c>
      <c r="M248" s="47"/>
      <c r="N248" s="3" t="str">
        <f t="shared" si="61"/>
        <v/>
      </c>
      <c r="O248" s="47"/>
      <c r="P248" s="3" t="str">
        <f t="shared" si="62"/>
        <v/>
      </c>
      <c r="Q248" s="47"/>
      <c r="R248" s="3" t="str">
        <f t="shared" si="63"/>
        <v/>
      </c>
      <c r="S248" s="47"/>
      <c r="T248" s="1" t="str">
        <f t="shared" si="64"/>
        <v/>
      </c>
      <c r="U248" s="47"/>
      <c r="V248" s="1" t="str">
        <f t="shared" si="65"/>
        <v/>
      </c>
      <c r="W248" s="47"/>
      <c r="X248" s="1" t="str">
        <f t="shared" si="66"/>
        <v/>
      </c>
      <c r="Y248" s="47"/>
      <c r="Z248" s="1" t="str">
        <f t="shared" si="67"/>
        <v/>
      </c>
      <c r="AA248" s="47"/>
      <c r="AB248" s="1" t="str">
        <f t="shared" si="68"/>
        <v/>
      </c>
      <c r="AC248" s="47"/>
      <c r="AD248" s="1" t="str">
        <f t="shared" si="69"/>
        <v/>
      </c>
      <c r="AE248" s="47"/>
      <c r="AF248" s="1" t="str">
        <f t="shared" si="70"/>
        <v/>
      </c>
      <c r="AG248" s="47"/>
    </row>
    <row r="249" spans="1:33">
      <c r="A249">
        <f t="shared" si="54"/>
        <v>0</v>
      </c>
      <c r="B249" s="2" t="str">
        <f t="shared" si="71"/>
        <v/>
      </c>
      <c r="C249" s="4" t="str">
        <f t="shared" si="55"/>
        <v/>
      </c>
      <c r="D249" s="3" t="str">
        <f t="shared" si="56"/>
        <v/>
      </c>
      <c r="E249" s="47"/>
      <c r="F249" s="3" t="str">
        <f t="shared" si="57"/>
        <v/>
      </c>
      <c r="G249" s="47"/>
      <c r="H249" s="3" t="str">
        <f t="shared" si="58"/>
        <v/>
      </c>
      <c r="I249" s="47"/>
      <c r="J249" s="3" t="str">
        <f t="shared" si="59"/>
        <v/>
      </c>
      <c r="K249" s="47"/>
      <c r="L249" s="3" t="str">
        <f t="shared" si="60"/>
        <v/>
      </c>
      <c r="M249" s="47"/>
      <c r="N249" s="3" t="str">
        <f t="shared" si="61"/>
        <v/>
      </c>
      <c r="O249" s="47"/>
      <c r="P249" s="3" t="str">
        <f t="shared" si="62"/>
        <v/>
      </c>
      <c r="Q249" s="47"/>
      <c r="R249" s="3" t="str">
        <f t="shared" si="63"/>
        <v/>
      </c>
      <c r="S249" s="47"/>
      <c r="T249" s="1" t="str">
        <f t="shared" si="64"/>
        <v/>
      </c>
      <c r="U249" s="47"/>
      <c r="V249" s="1" t="str">
        <f t="shared" si="65"/>
        <v/>
      </c>
      <c r="W249" s="47"/>
      <c r="X249" s="1" t="str">
        <f t="shared" si="66"/>
        <v/>
      </c>
      <c r="Y249" s="47"/>
      <c r="Z249" s="1" t="str">
        <f t="shared" si="67"/>
        <v/>
      </c>
      <c r="AA249" s="47"/>
      <c r="AB249" s="1" t="str">
        <f t="shared" si="68"/>
        <v/>
      </c>
      <c r="AC249" s="47"/>
      <c r="AD249" s="1" t="str">
        <f t="shared" si="69"/>
        <v/>
      </c>
      <c r="AE249" s="47"/>
      <c r="AF249" s="1" t="str">
        <f t="shared" si="70"/>
        <v/>
      </c>
      <c r="AG249" s="47"/>
    </row>
    <row r="250" spans="1:33">
      <c r="A250">
        <f t="shared" si="54"/>
        <v>0</v>
      </c>
      <c r="B250" s="2" t="str">
        <f t="shared" si="71"/>
        <v/>
      </c>
      <c r="C250" s="4" t="str">
        <f t="shared" si="55"/>
        <v/>
      </c>
      <c r="D250" s="3" t="str">
        <f t="shared" si="56"/>
        <v/>
      </c>
      <c r="E250" s="47"/>
      <c r="F250" s="3" t="str">
        <f t="shared" si="57"/>
        <v/>
      </c>
      <c r="G250" s="47"/>
      <c r="H250" s="3" t="str">
        <f t="shared" si="58"/>
        <v/>
      </c>
      <c r="I250" s="47"/>
      <c r="J250" s="3" t="str">
        <f t="shared" si="59"/>
        <v/>
      </c>
      <c r="K250" s="47"/>
      <c r="L250" s="3" t="str">
        <f t="shared" si="60"/>
        <v/>
      </c>
      <c r="M250" s="47"/>
      <c r="N250" s="3" t="str">
        <f t="shared" si="61"/>
        <v/>
      </c>
      <c r="O250" s="47"/>
      <c r="P250" s="3" t="str">
        <f t="shared" si="62"/>
        <v/>
      </c>
      <c r="Q250" s="47"/>
      <c r="R250" s="3" t="str">
        <f t="shared" si="63"/>
        <v/>
      </c>
      <c r="S250" s="47"/>
      <c r="T250" s="1" t="str">
        <f t="shared" si="64"/>
        <v/>
      </c>
      <c r="U250" s="47"/>
      <c r="V250" s="1" t="str">
        <f t="shared" si="65"/>
        <v/>
      </c>
      <c r="W250" s="47"/>
      <c r="X250" s="1" t="str">
        <f t="shared" si="66"/>
        <v/>
      </c>
      <c r="Y250" s="47"/>
      <c r="Z250" s="1" t="str">
        <f t="shared" si="67"/>
        <v/>
      </c>
      <c r="AA250" s="47"/>
      <c r="AB250" s="1" t="str">
        <f t="shared" si="68"/>
        <v/>
      </c>
      <c r="AC250" s="47"/>
      <c r="AD250" s="1" t="str">
        <f t="shared" si="69"/>
        <v/>
      </c>
      <c r="AE250" s="47"/>
      <c r="AF250" s="1" t="str">
        <f t="shared" si="70"/>
        <v/>
      </c>
      <c r="AG250" s="47"/>
    </row>
    <row r="251" spans="1:33">
      <c r="A251">
        <f t="shared" si="54"/>
        <v>0</v>
      </c>
      <c r="B251" s="2" t="str">
        <f t="shared" si="71"/>
        <v/>
      </c>
      <c r="C251" s="4" t="str">
        <f t="shared" si="55"/>
        <v/>
      </c>
      <c r="D251" s="3" t="str">
        <f t="shared" si="56"/>
        <v/>
      </c>
      <c r="E251" s="47"/>
      <c r="F251" s="3" t="str">
        <f t="shared" si="57"/>
        <v/>
      </c>
      <c r="G251" s="47"/>
      <c r="H251" s="3" t="str">
        <f t="shared" si="58"/>
        <v/>
      </c>
      <c r="I251" s="47"/>
      <c r="J251" s="3" t="str">
        <f t="shared" si="59"/>
        <v/>
      </c>
      <c r="K251" s="47"/>
      <c r="L251" s="3" t="str">
        <f t="shared" si="60"/>
        <v/>
      </c>
      <c r="M251" s="47"/>
      <c r="N251" s="3" t="str">
        <f t="shared" si="61"/>
        <v/>
      </c>
      <c r="O251" s="47"/>
      <c r="P251" s="3" t="str">
        <f t="shared" si="62"/>
        <v/>
      </c>
      <c r="Q251" s="47"/>
      <c r="R251" s="3" t="str">
        <f t="shared" si="63"/>
        <v/>
      </c>
      <c r="S251" s="47"/>
      <c r="T251" s="1" t="str">
        <f t="shared" si="64"/>
        <v/>
      </c>
      <c r="U251" s="47"/>
      <c r="V251" s="1" t="str">
        <f t="shared" si="65"/>
        <v/>
      </c>
      <c r="W251" s="47"/>
      <c r="X251" s="1" t="str">
        <f t="shared" si="66"/>
        <v/>
      </c>
      <c r="Y251" s="47"/>
      <c r="Z251" s="1" t="str">
        <f t="shared" si="67"/>
        <v/>
      </c>
      <c r="AA251" s="47"/>
      <c r="AB251" s="1" t="str">
        <f t="shared" si="68"/>
        <v/>
      </c>
      <c r="AC251" s="47"/>
      <c r="AD251" s="1" t="str">
        <f t="shared" si="69"/>
        <v/>
      </c>
      <c r="AE251" s="47"/>
      <c r="AF251" s="1" t="str">
        <f t="shared" si="70"/>
        <v/>
      </c>
      <c r="AG251" s="47"/>
    </row>
    <row r="252" spans="1:33">
      <c r="A252">
        <f t="shared" si="54"/>
        <v>0</v>
      </c>
      <c r="B252" s="2" t="str">
        <f t="shared" si="71"/>
        <v/>
      </c>
      <c r="C252" s="4" t="str">
        <f t="shared" si="55"/>
        <v/>
      </c>
      <c r="D252" s="3" t="str">
        <f t="shared" si="56"/>
        <v/>
      </c>
      <c r="E252" s="47"/>
      <c r="F252" s="3" t="str">
        <f t="shared" si="57"/>
        <v/>
      </c>
      <c r="G252" s="47"/>
      <c r="H252" s="3" t="str">
        <f t="shared" si="58"/>
        <v/>
      </c>
      <c r="I252" s="47"/>
      <c r="J252" s="3" t="str">
        <f t="shared" si="59"/>
        <v/>
      </c>
      <c r="K252" s="47"/>
      <c r="L252" s="3" t="str">
        <f t="shared" si="60"/>
        <v/>
      </c>
      <c r="M252" s="47"/>
      <c r="N252" s="3" t="str">
        <f t="shared" si="61"/>
        <v/>
      </c>
      <c r="O252" s="47"/>
      <c r="P252" s="3" t="str">
        <f t="shared" si="62"/>
        <v/>
      </c>
      <c r="Q252" s="47"/>
      <c r="R252" s="3" t="str">
        <f t="shared" si="63"/>
        <v/>
      </c>
      <c r="S252" s="47"/>
      <c r="T252" s="1" t="str">
        <f t="shared" si="64"/>
        <v/>
      </c>
      <c r="U252" s="47"/>
      <c r="V252" s="1" t="str">
        <f t="shared" si="65"/>
        <v/>
      </c>
      <c r="W252" s="47"/>
      <c r="X252" s="1" t="str">
        <f t="shared" si="66"/>
        <v/>
      </c>
      <c r="Y252" s="47"/>
      <c r="Z252" s="1" t="str">
        <f t="shared" si="67"/>
        <v/>
      </c>
      <c r="AA252" s="47"/>
      <c r="AB252" s="1" t="str">
        <f t="shared" si="68"/>
        <v/>
      </c>
      <c r="AC252" s="47"/>
      <c r="AD252" s="1" t="str">
        <f t="shared" si="69"/>
        <v/>
      </c>
      <c r="AE252" s="47"/>
      <c r="AF252" s="1" t="str">
        <f t="shared" si="70"/>
        <v/>
      </c>
      <c r="AG252" s="47"/>
    </row>
    <row r="253" spans="1:33">
      <c r="A253">
        <f t="shared" si="54"/>
        <v>0</v>
      </c>
      <c r="B253" s="2" t="str">
        <f t="shared" si="71"/>
        <v/>
      </c>
      <c r="C253" s="4" t="str">
        <f t="shared" si="55"/>
        <v/>
      </c>
      <c r="D253" s="3" t="str">
        <f t="shared" si="56"/>
        <v/>
      </c>
      <c r="E253" s="47"/>
      <c r="F253" s="3" t="str">
        <f t="shared" si="57"/>
        <v/>
      </c>
      <c r="G253" s="47"/>
      <c r="H253" s="3" t="str">
        <f t="shared" si="58"/>
        <v/>
      </c>
      <c r="I253" s="47"/>
      <c r="J253" s="3" t="str">
        <f t="shared" si="59"/>
        <v/>
      </c>
      <c r="K253" s="47"/>
      <c r="L253" s="3" t="str">
        <f t="shared" si="60"/>
        <v/>
      </c>
      <c r="M253" s="47"/>
      <c r="N253" s="3" t="str">
        <f t="shared" si="61"/>
        <v/>
      </c>
      <c r="O253" s="47"/>
      <c r="P253" s="3" t="str">
        <f t="shared" si="62"/>
        <v/>
      </c>
      <c r="Q253" s="47"/>
      <c r="R253" s="3" t="str">
        <f t="shared" si="63"/>
        <v/>
      </c>
      <c r="S253" s="47"/>
      <c r="T253" s="1" t="str">
        <f t="shared" si="64"/>
        <v/>
      </c>
      <c r="U253" s="47"/>
      <c r="V253" s="1" t="str">
        <f t="shared" si="65"/>
        <v/>
      </c>
      <c r="W253" s="47"/>
      <c r="X253" s="1" t="str">
        <f t="shared" si="66"/>
        <v/>
      </c>
      <c r="Y253" s="47"/>
      <c r="Z253" s="1" t="str">
        <f t="shared" si="67"/>
        <v/>
      </c>
      <c r="AA253" s="47"/>
      <c r="AB253" s="1" t="str">
        <f t="shared" si="68"/>
        <v/>
      </c>
      <c r="AC253" s="47"/>
      <c r="AD253" s="1" t="str">
        <f t="shared" si="69"/>
        <v/>
      </c>
      <c r="AE253" s="47"/>
      <c r="AF253" s="1" t="str">
        <f t="shared" si="70"/>
        <v/>
      </c>
      <c r="AG253" s="47"/>
    </row>
    <row r="254" spans="1:33">
      <c r="A254">
        <f t="shared" si="54"/>
        <v>0</v>
      </c>
      <c r="B254" s="2" t="str">
        <f t="shared" si="71"/>
        <v/>
      </c>
      <c r="C254" s="4" t="str">
        <f t="shared" si="55"/>
        <v/>
      </c>
      <c r="D254" s="3" t="str">
        <f t="shared" si="56"/>
        <v/>
      </c>
      <c r="E254" s="47"/>
      <c r="F254" s="3" t="str">
        <f t="shared" si="57"/>
        <v/>
      </c>
      <c r="G254" s="47"/>
      <c r="H254" s="3" t="str">
        <f t="shared" si="58"/>
        <v/>
      </c>
      <c r="I254" s="47"/>
      <c r="J254" s="3" t="str">
        <f t="shared" si="59"/>
        <v/>
      </c>
      <c r="K254" s="47"/>
      <c r="L254" s="3" t="str">
        <f t="shared" si="60"/>
        <v/>
      </c>
      <c r="M254" s="47"/>
      <c r="N254" s="3" t="str">
        <f t="shared" si="61"/>
        <v/>
      </c>
      <c r="O254" s="47"/>
      <c r="P254" s="3" t="str">
        <f t="shared" si="62"/>
        <v/>
      </c>
      <c r="Q254" s="47"/>
      <c r="R254" s="3" t="str">
        <f t="shared" si="63"/>
        <v/>
      </c>
      <c r="S254" s="47"/>
      <c r="T254" s="1" t="str">
        <f t="shared" si="64"/>
        <v/>
      </c>
      <c r="U254" s="47"/>
      <c r="V254" s="1" t="str">
        <f t="shared" si="65"/>
        <v/>
      </c>
      <c r="W254" s="47"/>
      <c r="X254" s="1" t="str">
        <f t="shared" si="66"/>
        <v/>
      </c>
      <c r="Y254" s="47"/>
      <c r="Z254" s="1" t="str">
        <f t="shared" si="67"/>
        <v/>
      </c>
      <c r="AA254" s="47"/>
      <c r="AB254" s="1" t="str">
        <f t="shared" si="68"/>
        <v/>
      </c>
      <c r="AC254" s="47"/>
      <c r="AD254" s="1" t="str">
        <f t="shared" si="69"/>
        <v/>
      </c>
      <c r="AE254" s="47"/>
      <c r="AF254" s="1" t="str">
        <f t="shared" si="70"/>
        <v/>
      </c>
      <c r="AG254" s="47"/>
    </row>
    <row r="255" spans="1:33">
      <c r="A255">
        <f t="shared" si="54"/>
        <v>0</v>
      </c>
      <c r="B255" s="2" t="str">
        <f t="shared" si="71"/>
        <v/>
      </c>
      <c r="C255" s="4" t="str">
        <f t="shared" si="55"/>
        <v/>
      </c>
      <c r="D255" s="3" t="str">
        <f t="shared" si="56"/>
        <v/>
      </c>
      <c r="E255" s="47"/>
      <c r="F255" s="3" t="str">
        <f t="shared" si="57"/>
        <v/>
      </c>
      <c r="G255" s="47"/>
      <c r="H255" s="3" t="str">
        <f t="shared" si="58"/>
        <v/>
      </c>
      <c r="I255" s="47"/>
      <c r="J255" s="3" t="str">
        <f t="shared" si="59"/>
        <v/>
      </c>
      <c r="K255" s="47"/>
      <c r="L255" s="3" t="str">
        <f t="shared" si="60"/>
        <v/>
      </c>
      <c r="M255" s="47"/>
      <c r="N255" s="3" t="str">
        <f t="shared" si="61"/>
        <v/>
      </c>
      <c r="O255" s="47"/>
      <c r="P255" s="3" t="str">
        <f t="shared" si="62"/>
        <v/>
      </c>
      <c r="Q255" s="47"/>
      <c r="R255" s="3" t="str">
        <f t="shared" si="63"/>
        <v/>
      </c>
      <c r="S255" s="47"/>
      <c r="T255" s="1" t="str">
        <f t="shared" si="64"/>
        <v/>
      </c>
      <c r="U255" s="47"/>
      <c r="V255" s="1" t="str">
        <f t="shared" si="65"/>
        <v/>
      </c>
      <c r="W255" s="47"/>
      <c r="X255" s="1" t="str">
        <f t="shared" si="66"/>
        <v/>
      </c>
      <c r="Y255" s="47"/>
      <c r="Z255" s="1" t="str">
        <f t="shared" si="67"/>
        <v/>
      </c>
      <c r="AA255" s="47"/>
      <c r="AB255" s="1" t="str">
        <f t="shared" si="68"/>
        <v/>
      </c>
      <c r="AC255" s="47"/>
      <c r="AD255" s="1" t="str">
        <f t="shared" si="69"/>
        <v/>
      </c>
      <c r="AE255" s="47"/>
      <c r="AF255" s="1" t="str">
        <f t="shared" si="70"/>
        <v/>
      </c>
      <c r="AG255" s="47"/>
    </row>
    <row r="256" spans="1:33">
      <c r="A256">
        <f t="shared" si="54"/>
        <v>0</v>
      </c>
      <c r="B256" s="2" t="str">
        <f t="shared" si="71"/>
        <v/>
      </c>
      <c r="C256" s="4" t="str">
        <f t="shared" si="55"/>
        <v/>
      </c>
      <c r="D256" s="3" t="str">
        <f t="shared" si="56"/>
        <v/>
      </c>
      <c r="E256" s="47"/>
      <c r="F256" s="3" t="str">
        <f t="shared" si="57"/>
        <v/>
      </c>
      <c r="G256" s="47"/>
      <c r="H256" s="3" t="str">
        <f t="shared" si="58"/>
        <v/>
      </c>
      <c r="I256" s="47"/>
      <c r="J256" s="3" t="str">
        <f t="shared" si="59"/>
        <v/>
      </c>
      <c r="K256" s="47"/>
      <c r="L256" s="3" t="str">
        <f t="shared" si="60"/>
        <v/>
      </c>
      <c r="M256" s="47"/>
      <c r="N256" s="3" t="str">
        <f t="shared" si="61"/>
        <v/>
      </c>
      <c r="O256" s="47"/>
      <c r="P256" s="3" t="str">
        <f t="shared" si="62"/>
        <v/>
      </c>
      <c r="Q256" s="47"/>
      <c r="R256" s="3" t="str">
        <f t="shared" si="63"/>
        <v/>
      </c>
      <c r="S256" s="47"/>
      <c r="T256" s="1" t="str">
        <f t="shared" si="64"/>
        <v/>
      </c>
      <c r="U256" s="47"/>
      <c r="V256" s="1" t="str">
        <f t="shared" si="65"/>
        <v/>
      </c>
      <c r="W256" s="47"/>
      <c r="X256" s="1" t="str">
        <f t="shared" si="66"/>
        <v/>
      </c>
      <c r="Y256" s="47"/>
      <c r="Z256" s="1" t="str">
        <f t="shared" si="67"/>
        <v/>
      </c>
      <c r="AA256" s="47"/>
      <c r="AB256" s="1" t="str">
        <f t="shared" si="68"/>
        <v/>
      </c>
      <c r="AC256" s="47"/>
      <c r="AD256" s="1" t="str">
        <f t="shared" si="69"/>
        <v/>
      </c>
      <c r="AE256" s="47"/>
      <c r="AF256" s="1" t="str">
        <f t="shared" si="70"/>
        <v/>
      </c>
      <c r="AG256" s="47"/>
    </row>
    <row r="257" spans="1:33">
      <c r="A257">
        <f t="shared" si="54"/>
        <v>0</v>
      </c>
      <c r="B257" s="2" t="str">
        <f t="shared" si="71"/>
        <v/>
      </c>
      <c r="C257" s="4" t="str">
        <f t="shared" si="55"/>
        <v/>
      </c>
      <c r="D257" s="3" t="str">
        <f t="shared" si="56"/>
        <v/>
      </c>
      <c r="E257" s="47"/>
      <c r="F257" s="3" t="str">
        <f t="shared" si="57"/>
        <v/>
      </c>
      <c r="G257" s="47"/>
      <c r="H257" s="3" t="str">
        <f t="shared" si="58"/>
        <v/>
      </c>
      <c r="I257" s="47"/>
      <c r="J257" s="3" t="str">
        <f t="shared" si="59"/>
        <v/>
      </c>
      <c r="K257" s="47"/>
      <c r="L257" s="3" t="str">
        <f t="shared" si="60"/>
        <v/>
      </c>
      <c r="M257" s="47"/>
      <c r="N257" s="3" t="str">
        <f t="shared" si="61"/>
        <v/>
      </c>
      <c r="O257" s="47"/>
      <c r="P257" s="3" t="str">
        <f t="shared" si="62"/>
        <v/>
      </c>
      <c r="Q257" s="47"/>
      <c r="R257" s="3" t="str">
        <f t="shared" si="63"/>
        <v/>
      </c>
      <c r="S257" s="47"/>
      <c r="T257" s="1" t="str">
        <f t="shared" si="64"/>
        <v/>
      </c>
      <c r="U257" s="47"/>
      <c r="V257" s="1" t="str">
        <f t="shared" si="65"/>
        <v/>
      </c>
      <c r="W257" s="47"/>
      <c r="X257" s="1" t="str">
        <f t="shared" si="66"/>
        <v/>
      </c>
      <c r="Y257" s="47"/>
      <c r="Z257" s="1" t="str">
        <f t="shared" si="67"/>
        <v/>
      </c>
      <c r="AA257" s="47"/>
      <c r="AB257" s="1" t="str">
        <f t="shared" si="68"/>
        <v/>
      </c>
      <c r="AC257" s="47"/>
      <c r="AD257" s="1" t="str">
        <f t="shared" si="69"/>
        <v/>
      </c>
      <c r="AE257" s="47"/>
      <c r="AF257" s="1" t="str">
        <f t="shared" si="70"/>
        <v/>
      </c>
      <c r="AG257" s="47"/>
    </row>
    <row r="258" spans="1:33">
      <c r="A258">
        <f t="shared" si="54"/>
        <v>0</v>
      </c>
      <c r="B258" s="2" t="str">
        <f t="shared" si="71"/>
        <v/>
      </c>
      <c r="C258" s="4" t="str">
        <f t="shared" si="55"/>
        <v/>
      </c>
      <c r="D258" s="3" t="str">
        <f t="shared" si="56"/>
        <v/>
      </c>
      <c r="E258" s="47"/>
      <c r="F258" s="3" t="str">
        <f t="shared" si="57"/>
        <v/>
      </c>
      <c r="G258" s="47"/>
      <c r="H258" s="3" t="str">
        <f t="shared" si="58"/>
        <v/>
      </c>
      <c r="I258" s="47"/>
      <c r="J258" s="3" t="str">
        <f t="shared" si="59"/>
        <v/>
      </c>
      <c r="K258" s="47"/>
      <c r="L258" s="3" t="str">
        <f t="shared" si="60"/>
        <v/>
      </c>
      <c r="M258" s="47"/>
      <c r="N258" s="3" t="str">
        <f t="shared" si="61"/>
        <v/>
      </c>
      <c r="O258" s="47"/>
      <c r="P258" s="3" t="str">
        <f t="shared" si="62"/>
        <v/>
      </c>
      <c r="Q258" s="47"/>
      <c r="R258" s="3" t="str">
        <f t="shared" si="63"/>
        <v/>
      </c>
      <c r="S258" s="47"/>
      <c r="T258" s="1" t="str">
        <f t="shared" si="64"/>
        <v/>
      </c>
      <c r="U258" s="47"/>
      <c r="V258" s="1" t="str">
        <f t="shared" si="65"/>
        <v/>
      </c>
      <c r="W258" s="47"/>
      <c r="X258" s="1" t="str">
        <f t="shared" si="66"/>
        <v/>
      </c>
      <c r="Y258" s="47"/>
      <c r="Z258" s="1" t="str">
        <f t="shared" si="67"/>
        <v/>
      </c>
      <c r="AA258" s="47"/>
      <c r="AB258" s="1" t="str">
        <f t="shared" si="68"/>
        <v/>
      </c>
      <c r="AC258" s="47"/>
      <c r="AD258" s="1" t="str">
        <f t="shared" si="69"/>
        <v/>
      </c>
      <c r="AE258" s="47"/>
      <c r="AF258" s="1" t="str">
        <f t="shared" si="70"/>
        <v/>
      </c>
      <c r="AG258" s="47"/>
    </row>
    <row r="259" spans="1:33">
      <c r="A259">
        <f t="shared" si="54"/>
        <v>0</v>
      </c>
      <c r="B259" s="2" t="str">
        <f t="shared" si="71"/>
        <v/>
      </c>
      <c r="C259" s="4" t="str">
        <f t="shared" si="55"/>
        <v/>
      </c>
      <c r="D259" s="3" t="str">
        <f t="shared" si="56"/>
        <v/>
      </c>
      <c r="E259" s="47"/>
      <c r="F259" s="3" t="str">
        <f t="shared" si="57"/>
        <v/>
      </c>
      <c r="G259" s="47"/>
      <c r="H259" s="3" t="str">
        <f t="shared" si="58"/>
        <v/>
      </c>
      <c r="I259" s="47"/>
      <c r="J259" s="3" t="str">
        <f t="shared" si="59"/>
        <v/>
      </c>
      <c r="K259" s="47"/>
      <c r="L259" s="3" t="str">
        <f t="shared" si="60"/>
        <v/>
      </c>
      <c r="M259" s="47"/>
      <c r="N259" s="3" t="str">
        <f t="shared" si="61"/>
        <v/>
      </c>
      <c r="O259" s="47"/>
      <c r="P259" s="3" t="str">
        <f t="shared" si="62"/>
        <v/>
      </c>
      <c r="Q259" s="47"/>
      <c r="R259" s="3" t="str">
        <f t="shared" si="63"/>
        <v/>
      </c>
      <c r="S259" s="47"/>
      <c r="T259" s="1" t="str">
        <f t="shared" si="64"/>
        <v/>
      </c>
      <c r="U259" s="47"/>
      <c r="V259" s="1" t="str">
        <f t="shared" si="65"/>
        <v/>
      </c>
      <c r="W259" s="47"/>
      <c r="X259" s="1" t="str">
        <f t="shared" si="66"/>
        <v/>
      </c>
      <c r="Y259" s="47"/>
      <c r="Z259" s="1" t="str">
        <f t="shared" si="67"/>
        <v/>
      </c>
      <c r="AA259" s="47"/>
      <c r="AB259" s="1" t="str">
        <f t="shared" si="68"/>
        <v/>
      </c>
      <c r="AC259" s="47"/>
      <c r="AD259" s="1" t="str">
        <f t="shared" si="69"/>
        <v/>
      </c>
      <c r="AE259" s="47"/>
      <c r="AF259" s="1" t="str">
        <f t="shared" si="70"/>
        <v/>
      </c>
      <c r="AG259" s="47"/>
    </row>
    <row r="260" spans="1:33">
      <c r="A260">
        <f t="shared" si="54"/>
        <v>0</v>
      </c>
      <c r="B260" s="2" t="str">
        <f t="shared" si="71"/>
        <v/>
      </c>
      <c r="C260" s="4" t="str">
        <f t="shared" si="55"/>
        <v/>
      </c>
      <c r="D260" s="3" t="str">
        <f t="shared" si="56"/>
        <v/>
      </c>
      <c r="E260" s="47"/>
      <c r="F260" s="3" t="str">
        <f t="shared" si="57"/>
        <v/>
      </c>
      <c r="G260" s="47"/>
      <c r="H260" s="3" t="str">
        <f t="shared" si="58"/>
        <v/>
      </c>
      <c r="I260" s="47"/>
      <c r="J260" s="3" t="str">
        <f t="shared" si="59"/>
        <v/>
      </c>
      <c r="K260" s="47"/>
      <c r="L260" s="3" t="str">
        <f t="shared" si="60"/>
        <v/>
      </c>
      <c r="M260" s="47"/>
      <c r="N260" s="3" t="str">
        <f t="shared" si="61"/>
        <v/>
      </c>
      <c r="O260" s="47"/>
      <c r="P260" s="3" t="str">
        <f t="shared" si="62"/>
        <v/>
      </c>
      <c r="Q260" s="47"/>
      <c r="R260" s="3" t="str">
        <f t="shared" si="63"/>
        <v/>
      </c>
      <c r="S260" s="47"/>
      <c r="T260" s="1" t="str">
        <f t="shared" si="64"/>
        <v/>
      </c>
      <c r="U260" s="47"/>
      <c r="V260" s="1" t="str">
        <f t="shared" si="65"/>
        <v/>
      </c>
      <c r="W260" s="47"/>
      <c r="X260" s="1" t="str">
        <f t="shared" si="66"/>
        <v/>
      </c>
      <c r="Y260" s="47"/>
      <c r="Z260" s="1" t="str">
        <f t="shared" si="67"/>
        <v/>
      </c>
      <c r="AA260" s="47"/>
      <c r="AB260" s="1" t="str">
        <f t="shared" si="68"/>
        <v/>
      </c>
      <c r="AC260" s="47"/>
      <c r="AD260" s="1" t="str">
        <f t="shared" si="69"/>
        <v/>
      </c>
      <c r="AE260" s="47"/>
      <c r="AF260" s="1" t="str">
        <f t="shared" si="70"/>
        <v/>
      </c>
      <c r="AG260" s="47"/>
    </row>
    <row r="261" spans="1:33">
      <c r="A261">
        <f t="shared" si="54"/>
        <v>0</v>
      </c>
      <c r="B261" s="2" t="str">
        <f t="shared" si="71"/>
        <v/>
      </c>
      <c r="C261" s="4" t="str">
        <f t="shared" si="55"/>
        <v/>
      </c>
      <c r="D261" s="3" t="str">
        <f t="shared" si="56"/>
        <v/>
      </c>
      <c r="E261" s="47"/>
      <c r="F261" s="3" t="str">
        <f t="shared" si="57"/>
        <v/>
      </c>
      <c r="G261" s="47"/>
      <c r="H261" s="3" t="str">
        <f t="shared" si="58"/>
        <v/>
      </c>
      <c r="I261" s="47"/>
      <c r="J261" s="3" t="str">
        <f t="shared" si="59"/>
        <v/>
      </c>
      <c r="K261" s="47"/>
      <c r="L261" s="3" t="str">
        <f t="shared" si="60"/>
        <v/>
      </c>
      <c r="M261" s="47"/>
      <c r="N261" s="3" t="str">
        <f t="shared" si="61"/>
        <v/>
      </c>
      <c r="O261" s="47"/>
      <c r="P261" s="3" t="str">
        <f t="shared" si="62"/>
        <v/>
      </c>
      <c r="Q261" s="47"/>
      <c r="R261" s="3" t="str">
        <f t="shared" si="63"/>
        <v/>
      </c>
      <c r="S261" s="47"/>
      <c r="T261" s="1" t="str">
        <f t="shared" si="64"/>
        <v/>
      </c>
      <c r="U261" s="47"/>
      <c r="V261" s="1" t="str">
        <f t="shared" si="65"/>
        <v/>
      </c>
      <c r="W261" s="47"/>
      <c r="X261" s="1" t="str">
        <f t="shared" si="66"/>
        <v/>
      </c>
      <c r="Y261" s="47"/>
      <c r="Z261" s="1" t="str">
        <f t="shared" si="67"/>
        <v/>
      </c>
      <c r="AA261" s="47"/>
      <c r="AB261" s="1" t="str">
        <f t="shared" si="68"/>
        <v/>
      </c>
      <c r="AC261" s="47"/>
      <c r="AD261" s="1" t="str">
        <f t="shared" si="69"/>
        <v/>
      </c>
      <c r="AE261" s="47"/>
      <c r="AF261" s="1" t="str">
        <f t="shared" si="70"/>
        <v/>
      </c>
      <c r="AG261" s="47"/>
    </row>
    <row r="262" spans="1:33">
      <c r="A262">
        <f t="shared" si="54"/>
        <v>0</v>
      </c>
      <c r="B262" s="2" t="str">
        <f t="shared" si="71"/>
        <v/>
      </c>
      <c r="C262" s="4" t="str">
        <f t="shared" si="55"/>
        <v/>
      </c>
      <c r="D262" s="3" t="str">
        <f t="shared" si="56"/>
        <v/>
      </c>
      <c r="E262" s="47"/>
      <c r="F262" s="3" t="str">
        <f t="shared" si="57"/>
        <v/>
      </c>
      <c r="G262" s="47"/>
      <c r="H262" s="3" t="str">
        <f t="shared" si="58"/>
        <v/>
      </c>
      <c r="I262" s="47"/>
      <c r="J262" s="3" t="str">
        <f t="shared" si="59"/>
        <v/>
      </c>
      <c r="K262" s="47"/>
      <c r="L262" s="3" t="str">
        <f t="shared" si="60"/>
        <v/>
      </c>
      <c r="M262" s="47"/>
      <c r="N262" s="3" t="str">
        <f t="shared" si="61"/>
        <v/>
      </c>
      <c r="O262" s="47"/>
      <c r="P262" s="3" t="str">
        <f t="shared" si="62"/>
        <v/>
      </c>
      <c r="Q262" s="47"/>
      <c r="R262" s="3" t="str">
        <f t="shared" si="63"/>
        <v/>
      </c>
      <c r="S262" s="47"/>
      <c r="T262" s="1" t="str">
        <f t="shared" si="64"/>
        <v/>
      </c>
      <c r="U262" s="47"/>
      <c r="V262" s="1" t="str">
        <f t="shared" si="65"/>
        <v/>
      </c>
      <c r="W262" s="47"/>
      <c r="X262" s="1" t="str">
        <f t="shared" si="66"/>
        <v/>
      </c>
      <c r="Y262" s="47"/>
      <c r="Z262" s="1" t="str">
        <f t="shared" si="67"/>
        <v/>
      </c>
      <c r="AA262" s="47"/>
      <c r="AB262" s="1" t="str">
        <f t="shared" si="68"/>
        <v/>
      </c>
      <c r="AC262" s="47"/>
      <c r="AD262" s="1" t="str">
        <f t="shared" si="69"/>
        <v/>
      </c>
      <c r="AE262" s="47"/>
      <c r="AF262" s="1" t="str">
        <f t="shared" si="70"/>
        <v/>
      </c>
      <c r="AG262" s="47"/>
    </row>
    <row r="263" spans="1:33">
      <c r="A263">
        <f t="shared" ref="A263:A326" si="72">$C$1</f>
        <v>0</v>
      </c>
      <c r="B263" s="2" t="str">
        <f t="shared" si="71"/>
        <v/>
      </c>
      <c r="C263" s="4" t="str">
        <f t="shared" si="55"/>
        <v/>
      </c>
      <c r="D263" s="3" t="str">
        <f t="shared" si="56"/>
        <v/>
      </c>
      <c r="E263" s="47"/>
      <c r="F263" s="3" t="str">
        <f t="shared" si="57"/>
        <v/>
      </c>
      <c r="G263" s="47"/>
      <c r="H263" s="3" t="str">
        <f t="shared" si="58"/>
        <v/>
      </c>
      <c r="I263" s="47"/>
      <c r="J263" s="3" t="str">
        <f t="shared" si="59"/>
        <v/>
      </c>
      <c r="K263" s="47"/>
      <c r="L263" s="3" t="str">
        <f t="shared" si="60"/>
        <v/>
      </c>
      <c r="M263" s="47"/>
      <c r="N263" s="3" t="str">
        <f t="shared" si="61"/>
        <v/>
      </c>
      <c r="O263" s="47"/>
      <c r="P263" s="3" t="str">
        <f t="shared" si="62"/>
        <v/>
      </c>
      <c r="Q263" s="47"/>
      <c r="R263" s="3" t="str">
        <f t="shared" si="63"/>
        <v/>
      </c>
      <c r="S263" s="47"/>
      <c r="T263" s="1" t="str">
        <f t="shared" si="64"/>
        <v/>
      </c>
      <c r="U263" s="47"/>
      <c r="V263" s="1" t="str">
        <f t="shared" si="65"/>
        <v/>
      </c>
      <c r="W263" s="47"/>
      <c r="X263" s="1" t="str">
        <f t="shared" si="66"/>
        <v/>
      </c>
      <c r="Y263" s="47"/>
      <c r="Z263" s="1" t="str">
        <f t="shared" si="67"/>
        <v/>
      </c>
      <c r="AA263" s="47"/>
      <c r="AB263" s="1" t="str">
        <f t="shared" si="68"/>
        <v/>
      </c>
      <c r="AC263" s="47"/>
      <c r="AD263" s="1" t="str">
        <f t="shared" si="69"/>
        <v/>
      </c>
      <c r="AE263" s="47"/>
      <c r="AF263" s="1" t="str">
        <f t="shared" si="70"/>
        <v/>
      </c>
      <c r="AG263" s="47"/>
    </row>
    <row r="264" spans="1:33">
      <c r="A264">
        <f t="shared" si="72"/>
        <v>0</v>
      </c>
      <c r="B264" s="2" t="str">
        <f t="shared" si="71"/>
        <v/>
      </c>
      <c r="C264" s="4" t="str">
        <f t="shared" ref="C264:C327" si="73">TEXT(B264,"AAA")</f>
        <v/>
      </c>
      <c r="D264" s="3" t="str">
        <f t="shared" ref="D264:D327" si="74">IF(NOT(AND($F$3&lt;=B264,B264&lt;=$F$4)),"",$F$2&amp;"")</f>
        <v/>
      </c>
      <c r="E264" s="47"/>
      <c r="F264" s="3" t="str">
        <f t="shared" ref="F264:F327" si="75">IF(NOT(AND($G$3&lt;=B264,B264&lt;=$G$4)),"",$G$2&amp;"")</f>
        <v/>
      </c>
      <c r="G264" s="47"/>
      <c r="H264" s="3" t="str">
        <f t="shared" ref="H264:H327" si="76">IF(NOT(AND($H$3&lt;=B264,B264&lt;=$H$4)),"",$H$2&amp;"")</f>
        <v/>
      </c>
      <c r="I264" s="47"/>
      <c r="J264" s="3" t="str">
        <f t="shared" ref="J264:J327" si="77">IF(NOT(AND($I$3&lt;=B264,B264&lt;=$I$4)),"",$I$2&amp;"")</f>
        <v/>
      </c>
      <c r="K264" s="47"/>
      <c r="L264" s="3" t="str">
        <f t="shared" ref="L264:L327" si="78">IF(NOT(AND($J$3&lt;=B264,B264&lt;=$J$4)),"",$J$2&amp;"")</f>
        <v/>
      </c>
      <c r="M264" s="47"/>
      <c r="N264" s="3" t="str">
        <f t="shared" ref="N264:N327" si="79">IF(NOT(AND($K$3&lt;=B264,B264&lt;=$K$4)),"",$K$2&amp;"")</f>
        <v/>
      </c>
      <c r="O264" s="47"/>
      <c r="P264" s="3" t="str">
        <f t="shared" ref="P264:P327" si="80">IF(NOT(AND($L$3&lt;=B264,B264&lt;=$L$4)),"",$L$2&amp;"")</f>
        <v/>
      </c>
      <c r="Q264" s="47"/>
      <c r="R264" s="3" t="str">
        <f t="shared" ref="R264:R327" si="81">IF(NOT(AND($M$3&lt;=B264,B264&lt;=$M$4)),"",$M$2&amp;"")</f>
        <v/>
      </c>
      <c r="S264" s="47"/>
      <c r="T264" s="1" t="str">
        <f t="shared" ref="T264:T327" si="82">IF(NOT(AND($N$3&lt;=B264,B264&lt;=$N$4)),"",$N$2&amp;"")</f>
        <v/>
      </c>
      <c r="U264" s="47"/>
      <c r="V264" s="1" t="str">
        <f t="shared" ref="V264:V327" si="83">IF(NOT(AND($O$3&lt;=B264,B264&lt;=$O$4)),"",$O$2&amp;"")</f>
        <v/>
      </c>
      <c r="W264" s="47"/>
      <c r="X264" s="1" t="str">
        <f t="shared" ref="X264:X327" si="84">IF(NOT(AND($P$3&lt;=B264,B264&lt;=$P$4)),"",$P$2&amp;"")</f>
        <v/>
      </c>
      <c r="Y264" s="47"/>
      <c r="Z264" s="1" t="str">
        <f t="shared" ref="Z264:Z327" si="85">IF(NOT(AND($Q$3&lt;=B264,B264&lt;=$Q$4)),"",$Q$2&amp;"")</f>
        <v/>
      </c>
      <c r="AA264" s="47"/>
      <c r="AB264" s="1" t="str">
        <f t="shared" ref="AB264:AB327" si="86">IF(NOT(AND($R$3&lt;=B264,B264&lt;=$R$4)),"",$R$2&amp;"")</f>
        <v/>
      </c>
      <c r="AC264" s="47"/>
      <c r="AD264" s="1" t="str">
        <f t="shared" ref="AD264:AD327" si="87">IF(NOT(AND($S$3&lt;=B264,B264&lt;=$S$4)),"",$S$2&amp;"")</f>
        <v/>
      </c>
      <c r="AE264" s="47"/>
      <c r="AF264" s="1" t="str">
        <f t="shared" ref="AF264:AF327" si="88">IF(NOT(AND($T$3&lt;=B264,B264&lt;=$T$4)),"",$T$2&amp;"")</f>
        <v/>
      </c>
      <c r="AG264" s="47"/>
    </row>
    <row r="265" spans="1:33">
      <c r="A265">
        <f t="shared" si="72"/>
        <v>0</v>
      </c>
      <c r="B265" s="2" t="str">
        <f t="shared" ref="B265:B328" si="89">IFERROR(IF(B264+1&gt;$C$3,"",B264+1),"")</f>
        <v/>
      </c>
      <c r="C265" s="4" t="str">
        <f t="shared" si="73"/>
        <v/>
      </c>
      <c r="D265" s="3" t="str">
        <f t="shared" si="74"/>
        <v/>
      </c>
      <c r="E265" s="47"/>
      <c r="F265" s="3" t="str">
        <f t="shared" si="75"/>
        <v/>
      </c>
      <c r="G265" s="47"/>
      <c r="H265" s="3" t="str">
        <f t="shared" si="76"/>
        <v/>
      </c>
      <c r="I265" s="47"/>
      <c r="J265" s="3" t="str">
        <f t="shared" si="77"/>
        <v/>
      </c>
      <c r="K265" s="47"/>
      <c r="L265" s="3" t="str">
        <f t="shared" si="78"/>
        <v/>
      </c>
      <c r="M265" s="47"/>
      <c r="N265" s="3" t="str">
        <f t="shared" si="79"/>
        <v/>
      </c>
      <c r="O265" s="47"/>
      <c r="P265" s="3" t="str">
        <f t="shared" si="80"/>
        <v/>
      </c>
      <c r="Q265" s="47"/>
      <c r="R265" s="3" t="str">
        <f t="shared" si="81"/>
        <v/>
      </c>
      <c r="S265" s="47"/>
      <c r="T265" s="1" t="str">
        <f t="shared" si="82"/>
        <v/>
      </c>
      <c r="U265" s="47"/>
      <c r="V265" s="1" t="str">
        <f t="shared" si="83"/>
        <v/>
      </c>
      <c r="W265" s="47"/>
      <c r="X265" s="1" t="str">
        <f t="shared" si="84"/>
        <v/>
      </c>
      <c r="Y265" s="47"/>
      <c r="Z265" s="1" t="str">
        <f t="shared" si="85"/>
        <v/>
      </c>
      <c r="AA265" s="47"/>
      <c r="AB265" s="1" t="str">
        <f t="shared" si="86"/>
        <v/>
      </c>
      <c r="AC265" s="47"/>
      <c r="AD265" s="1" t="str">
        <f t="shared" si="87"/>
        <v/>
      </c>
      <c r="AE265" s="47"/>
      <c r="AF265" s="1" t="str">
        <f t="shared" si="88"/>
        <v/>
      </c>
      <c r="AG265" s="47"/>
    </row>
    <row r="266" spans="1:33">
      <c r="A266">
        <f t="shared" si="72"/>
        <v>0</v>
      </c>
      <c r="B266" s="2" t="str">
        <f t="shared" si="89"/>
        <v/>
      </c>
      <c r="C266" s="4" t="str">
        <f t="shared" si="73"/>
        <v/>
      </c>
      <c r="D266" s="3" t="str">
        <f t="shared" si="74"/>
        <v/>
      </c>
      <c r="E266" s="47"/>
      <c r="F266" s="3" t="str">
        <f t="shared" si="75"/>
        <v/>
      </c>
      <c r="G266" s="47"/>
      <c r="H266" s="3" t="str">
        <f t="shared" si="76"/>
        <v/>
      </c>
      <c r="I266" s="47"/>
      <c r="J266" s="3" t="str">
        <f t="shared" si="77"/>
        <v/>
      </c>
      <c r="K266" s="47"/>
      <c r="L266" s="3" t="str">
        <f t="shared" si="78"/>
        <v/>
      </c>
      <c r="M266" s="47"/>
      <c r="N266" s="3" t="str">
        <f t="shared" si="79"/>
        <v/>
      </c>
      <c r="O266" s="47"/>
      <c r="P266" s="3" t="str">
        <f t="shared" si="80"/>
        <v/>
      </c>
      <c r="Q266" s="47"/>
      <c r="R266" s="3" t="str">
        <f t="shared" si="81"/>
        <v/>
      </c>
      <c r="S266" s="47"/>
      <c r="T266" s="1" t="str">
        <f t="shared" si="82"/>
        <v/>
      </c>
      <c r="U266" s="47"/>
      <c r="V266" s="1" t="str">
        <f t="shared" si="83"/>
        <v/>
      </c>
      <c r="W266" s="47"/>
      <c r="X266" s="1" t="str">
        <f t="shared" si="84"/>
        <v/>
      </c>
      <c r="Y266" s="47"/>
      <c r="Z266" s="1" t="str">
        <f t="shared" si="85"/>
        <v/>
      </c>
      <c r="AA266" s="47"/>
      <c r="AB266" s="1" t="str">
        <f t="shared" si="86"/>
        <v/>
      </c>
      <c r="AC266" s="47"/>
      <c r="AD266" s="1" t="str">
        <f t="shared" si="87"/>
        <v/>
      </c>
      <c r="AE266" s="47"/>
      <c r="AF266" s="1" t="str">
        <f t="shared" si="88"/>
        <v/>
      </c>
      <c r="AG266" s="47"/>
    </row>
    <row r="267" spans="1:33">
      <c r="A267">
        <f t="shared" si="72"/>
        <v>0</v>
      </c>
      <c r="B267" s="2" t="str">
        <f t="shared" si="89"/>
        <v/>
      </c>
      <c r="C267" s="4" t="str">
        <f t="shared" si="73"/>
        <v/>
      </c>
      <c r="D267" s="3" t="str">
        <f t="shared" si="74"/>
        <v/>
      </c>
      <c r="E267" s="47"/>
      <c r="F267" s="3" t="str">
        <f t="shared" si="75"/>
        <v/>
      </c>
      <c r="G267" s="47"/>
      <c r="H267" s="3" t="str">
        <f t="shared" si="76"/>
        <v/>
      </c>
      <c r="I267" s="47"/>
      <c r="J267" s="3" t="str">
        <f t="shared" si="77"/>
        <v/>
      </c>
      <c r="K267" s="47"/>
      <c r="L267" s="3" t="str">
        <f t="shared" si="78"/>
        <v/>
      </c>
      <c r="M267" s="47"/>
      <c r="N267" s="3" t="str">
        <f t="shared" si="79"/>
        <v/>
      </c>
      <c r="O267" s="47"/>
      <c r="P267" s="3" t="str">
        <f t="shared" si="80"/>
        <v/>
      </c>
      <c r="Q267" s="47"/>
      <c r="R267" s="3" t="str">
        <f t="shared" si="81"/>
        <v/>
      </c>
      <c r="S267" s="47"/>
      <c r="T267" s="1" t="str">
        <f t="shared" si="82"/>
        <v/>
      </c>
      <c r="U267" s="47"/>
      <c r="V267" s="1" t="str">
        <f t="shared" si="83"/>
        <v/>
      </c>
      <c r="W267" s="47"/>
      <c r="X267" s="1" t="str">
        <f t="shared" si="84"/>
        <v/>
      </c>
      <c r="Y267" s="47"/>
      <c r="Z267" s="1" t="str">
        <f t="shared" si="85"/>
        <v/>
      </c>
      <c r="AA267" s="47"/>
      <c r="AB267" s="1" t="str">
        <f t="shared" si="86"/>
        <v/>
      </c>
      <c r="AC267" s="47"/>
      <c r="AD267" s="1" t="str">
        <f t="shared" si="87"/>
        <v/>
      </c>
      <c r="AE267" s="47"/>
      <c r="AF267" s="1" t="str">
        <f t="shared" si="88"/>
        <v/>
      </c>
      <c r="AG267" s="47"/>
    </row>
    <row r="268" spans="1:33">
      <c r="A268">
        <f t="shared" si="72"/>
        <v>0</v>
      </c>
      <c r="B268" s="2" t="str">
        <f t="shared" si="89"/>
        <v/>
      </c>
      <c r="C268" s="4" t="str">
        <f t="shared" si="73"/>
        <v/>
      </c>
      <c r="D268" s="3" t="str">
        <f t="shared" si="74"/>
        <v/>
      </c>
      <c r="E268" s="47"/>
      <c r="F268" s="3" t="str">
        <f t="shared" si="75"/>
        <v/>
      </c>
      <c r="G268" s="47"/>
      <c r="H268" s="3" t="str">
        <f t="shared" si="76"/>
        <v/>
      </c>
      <c r="I268" s="47"/>
      <c r="J268" s="3" t="str">
        <f t="shared" si="77"/>
        <v/>
      </c>
      <c r="K268" s="47"/>
      <c r="L268" s="3" t="str">
        <f t="shared" si="78"/>
        <v/>
      </c>
      <c r="M268" s="47"/>
      <c r="N268" s="3" t="str">
        <f t="shared" si="79"/>
        <v/>
      </c>
      <c r="O268" s="47"/>
      <c r="P268" s="3" t="str">
        <f t="shared" si="80"/>
        <v/>
      </c>
      <c r="Q268" s="47"/>
      <c r="R268" s="3" t="str">
        <f t="shared" si="81"/>
        <v/>
      </c>
      <c r="S268" s="47"/>
      <c r="T268" s="1" t="str">
        <f t="shared" si="82"/>
        <v/>
      </c>
      <c r="U268" s="47"/>
      <c r="V268" s="1" t="str">
        <f t="shared" si="83"/>
        <v/>
      </c>
      <c r="W268" s="47"/>
      <c r="X268" s="1" t="str">
        <f t="shared" si="84"/>
        <v/>
      </c>
      <c r="Y268" s="47"/>
      <c r="Z268" s="1" t="str">
        <f t="shared" si="85"/>
        <v/>
      </c>
      <c r="AA268" s="47"/>
      <c r="AB268" s="1" t="str">
        <f t="shared" si="86"/>
        <v/>
      </c>
      <c r="AC268" s="47"/>
      <c r="AD268" s="1" t="str">
        <f t="shared" si="87"/>
        <v/>
      </c>
      <c r="AE268" s="47"/>
      <c r="AF268" s="1" t="str">
        <f t="shared" si="88"/>
        <v/>
      </c>
      <c r="AG268" s="47"/>
    </row>
    <row r="269" spans="1:33">
      <c r="A269">
        <f t="shared" si="72"/>
        <v>0</v>
      </c>
      <c r="B269" s="2" t="str">
        <f t="shared" si="89"/>
        <v/>
      </c>
      <c r="C269" s="4" t="str">
        <f t="shared" si="73"/>
        <v/>
      </c>
      <c r="D269" s="3" t="str">
        <f t="shared" si="74"/>
        <v/>
      </c>
      <c r="E269" s="47"/>
      <c r="F269" s="3" t="str">
        <f t="shared" si="75"/>
        <v/>
      </c>
      <c r="G269" s="47"/>
      <c r="H269" s="3" t="str">
        <f t="shared" si="76"/>
        <v/>
      </c>
      <c r="I269" s="47"/>
      <c r="J269" s="3" t="str">
        <f t="shared" si="77"/>
        <v/>
      </c>
      <c r="K269" s="47"/>
      <c r="L269" s="3" t="str">
        <f t="shared" si="78"/>
        <v/>
      </c>
      <c r="M269" s="47"/>
      <c r="N269" s="3" t="str">
        <f t="shared" si="79"/>
        <v/>
      </c>
      <c r="O269" s="47"/>
      <c r="P269" s="3" t="str">
        <f t="shared" si="80"/>
        <v/>
      </c>
      <c r="Q269" s="47"/>
      <c r="R269" s="3" t="str">
        <f t="shared" si="81"/>
        <v/>
      </c>
      <c r="S269" s="47"/>
      <c r="T269" s="1" t="str">
        <f t="shared" si="82"/>
        <v/>
      </c>
      <c r="U269" s="47"/>
      <c r="V269" s="1" t="str">
        <f t="shared" si="83"/>
        <v/>
      </c>
      <c r="W269" s="47"/>
      <c r="X269" s="1" t="str">
        <f t="shared" si="84"/>
        <v/>
      </c>
      <c r="Y269" s="47"/>
      <c r="Z269" s="1" t="str">
        <f t="shared" si="85"/>
        <v/>
      </c>
      <c r="AA269" s="47"/>
      <c r="AB269" s="1" t="str">
        <f t="shared" si="86"/>
        <v/>
      </c>
      <c r="AC269" s="47"/>
      <c r="AD269" s="1" t="str">
        <f t="shared" si="87"/>
        <v/>
      </c>
      <c r="AE269" s="47"/>
      <c r="AF269" s="1" t="str">
        <f t="shared" si="88"/>
        <v/>
      </c>
      <c r="AG269" s="47"/>
    </row>
    <row r="270" spans="1:33">
      <c r="A270">
        <f t="shared" si="72"/>
        <v>0</v>
      </c>
      <c r="B270" s="2" t="str">
        <f t="shared" si="89"/>
        <v/>
      </c>
      <c r="C270" s="4" t="str">
        <f t="shared" si="73"/>
        <v/>
      </c>
      <c r="D270" s="3" t="str">
        <f t="shared" si="74"/>
        <v/>
      </c>
      <c r="E270" s="47"/>
      <c r="F270" s="3" t="str">
        <f t="shared" si="75"/>
        <v/>
      </c>
      <c r="G270" s="47"/>
      <c r="H270" s="3" t="str">
        <f t="shared" si="76"/>
        <v/>
      </c>
      <c r="I270" s="47"/>
      <c r="J270" s="3" t="str">
        <f t="shared" si="77"/>
        <v/>
      </c>
      <c r="K270" s="47"/>
      <c r="L270" s="3" t="str">
        <f t="shared" si="78"/>
        <v/>
      </c>
      <c r="M270" s="47"/>
      <c r="N270" s="3" t="str">
        <f t="shared" si="79"/>
        <v/>
      </c>
      <c r="O270" s="47"/>
      <c r="P270" s="3" t="str">
        <f t="shared" si="80"/>
        <v/>
      </c>
      <c r="Q270" s="47"/>
      <c r="R270" s="3" t="str">
        <f t="shared" si="81"/>
        <v/>
      </c>
      <c r="S270" s="47"/>
      <c r="T270" s="1" t="str">
        <f t="shared" si="82"/>
        <v/>
      </c>
      <c r="U270" s="47"/>
      <c r="V270" s="1" t="str">
        <f t="shared" si="83"/>
        <v/>
      </c>
      <c r="W270" s="47"/>
      <c r="X270" s="1" t="str">
        <f t="shared" si="84"/>
        <v/>
      </c>
      <c r="Y270" s="47"/>
      <c r="Z270" s="1" t="str">
        <f t="shared" si="85"/>
        <v/>
      </c>
      <c r="AA270" s="47"/>
      <c r="AB270" s="1" t="str">
        <f t="shared" si="86"/>
        <v/>
      </c>
      <c r="AC270" s="47"/>
      <c r="AD270" s="1" t="str">
        <f t="shared" si="87"/>
        <v/>
      </c>
      <c r="AE270" s="47"/>
      <c r="AF270" s="1" t="str">
        <f t="shared" si="88"/>
        <v/>
      </c>
      <c r="AG270" s="47"/>
    </row>
    <row r="271" spans="1:33">
      <c r="A271">
        <f t="shared" si="72"/>
        <v>0</v>
      </c>
      <c r="B271" s="2" t="str">
        <f t="shared" si="89"/>
        <v/>
      </c>
      <c r="C271" s="4" t="str">
        <f t="shared" si="73"/>
        <v/>
      </c>
      <c r="D271" s="3" t="str">
        <f t="shared" si="74"/>
        <v/>
      </c>
      <c r="E271" s="47"/>
      <c r="F271" s="3" t="str">
        <f t="shared" si="75"/>
        <v/>
      </c>
      <c r="G271" s="47"/>
      <c r="H271" s="3" t="str">
        <f t="shared" si="76"/>
        <v/>
      </c>
      <c r="I271" s="47"/>
      <c r="J271" s="3" t="str">
        <f t="shared" si="77"/>
        <v/>
      </c>
      <c r="K271" s="47"/>
      <c r="L271" s="3" t="str">
        <f t="shared" si="78"/>
        <v/>
      </c>
      <c r="M271" s="47"/>
      <c r="N271" s="3" t="str">
        <f t="shared" si="79"/>
        <v/>
      </c>
      <c r="O271" s="47"/>
      <c r="P271" s="3" t="str">
        <f t="shared" si="80"/>
        <v/>
      </c>
      <c r="Q271" s="47"/>
      <c r="R271" s="3" t="str">
        <f t="shared" si="81"/>
        <v/>
      </c>
      <c r="S271" s="47"/>
      <c r="T271" s="1" t="str">
        <f t="shared" si="82"/>
        <v/>
      </c>
      <c r="U271" s="47"/>
      <c r="V271" s="1" t="str">
        <f t="shared" si="83"/>
        <v/>
      </c>
      <c r="W271" s="47"/>
      <c r="X271" s="1" t="str">
        <f t="shared" si="84"/>
        <v/>
      </c>
      <c r="Y271" s="47"/>
      <c r="Z271" s="1" t="str">
        <f t="shared" si="85"/>
        <v/>
      </c>
      <c r="AA271" s="47"/>
      <c r="AB271" s="1" t="str">
        <f t="shared" si="86"/>
        <v/>
      </c>
      <c r="AC271" s="47"/>
      <c r="AD271" s="1" t="str">
        <f t="shared" si="87"/>
        <v/>
      </c>
      <c r="AE271" s="47"/>
      <c r="AF271" s="1" t="str">
        <f t="shared" si="88"/>
        <v/>
      </c>
      <c r="AG271" s="47"/>
    </row>
    <row r="272" spans="1:33">
      <c r="A272">
        <f t="shared" si="72"/>
        <v>0</v>
      </c>
      <c r="B272" s="2" t="str">
        <f t="shared" si="89"/>
        <v/>
      </c>
      <c r="C272" s="4" t="str">
        <f t="shared" si="73"/>
        <v/>
      </c>
      <c r="D272" s="3" t="str">
        <f t="shared" si="74"/>
        <v/>
      </c>
      <c r="E272" s="47"/>
      <c r="F272" s="3" t="str">
        <f t="shared" si="75"/>
        <v/>
      </c>
      <c r="G272" s="47"/>
      <c r="H272" s="3" t="str">
        <f t="shared" si="76"/>
        <v/>
      </c>
      <c r="I272" s="47"/>
      <c r="J272" s="3" t="str">
        <f t="shared" si="77"/>
        <v/>
      </c>
      <c r="K272" s="47"/>
      <c r="L272" s="3" t="str">
        <f t="shared" si="78"/>
        <v/>
      </c>
      <c r="M272" s="47"/>
      <c r="N272" s="3" t="str">
        <f t="shared" si="79"/>
        <v/>
      </c>
      <c r="O272" s="47"/>
      <c r="P272" s="3" t="str">
        <f t="shared" si="80"/>
        <v/>
      </c>
      <c r="Q272" s="47"/>
      <c r="R272" s="3" t="str">
        <f t="shared" si="81"/>
        <v/>
      </c>
      <c r="S272" s="47"/>
      <c r="T272" s="1" t="str">
        <f t="shared" si="82"/>
        <v/>
      </c>
      <c r="U272" s="47"/>
      <c r="V272" s="1" t="str">
        <f t="shared" si="83"/>
        <v/>
      </c>
      <c r="W272" s="47"/>
      <c r="X272" s="1" t="str">
        <f t="shared" si="84"/>
        <v/>
      </c>
      <c r="Y272" s="47"/>
      <c r="Z272" s="1" t="str">
        <f t="shared" si="85"/>
        <v/>
      </c>
      <c r="AA272" s="47"/>
      <c r="AB272" s="1" t="str">
        <f t="shared" si="86"/>
        <v/>
      </c>
      <c r="AC272" s="47"/>
      <c r="AD272" s="1" t="str">
        <f t="shared" si="87"/>
        <v/>
      </c>
      <c r="AE272" s="47"/>
      <c r="AF272" s="1" t="str">
        <f t="shared" si="88"/>
        <v/>
      </c>
      <c r="AG272" s="47"/>
    </row>
    <row r="273" spans="1:33">
      <c r="A273">
        <f t="shared" si="72"/>
        <v>0</v>
      </c>
      <c r="B273" s="2" t="str">
        <f t="shared" si="89"/>
        <v/>
      </c>
      <c r="C273" s="4" t="str">
        <f t="shared" si="73"/>
        <v/>
      </c>
      <c r="D273" s="3" t="str">
        <f t="shared" si="74"/>
        <v/>
      </c>
      <c r="E273" s="47"/>
      <c r="F273" s="3" t="str">
        <f t="shared" si="75"/>
        <v/>
      </c>
      <c r="G273" s="47"/>
      <c r="H273" s="3" t="str">
        <f t="shared" si="76"/>
        <v/>
      </c>
      <c r="I273" s="47"/>
      <c r="J273" s="3" t="str">
        <f t="shared" si="77"/>
        <v/>
      </c>
      <c r="K273" s="47"/>
      <c r="L273" s="3" t="str">
        <f t="shared" si="78"/>
        <v/>
      </c>
      <c r="M273" s="47"/>
      <c r="N273" s="3" t="str">
        <f t="shared" si="79"/>
        <v/>
      </c>
      <c r="O273" s="47"/>
      <c r="P273" s="3" t="str">
        <f t="shared" si="80"/>
        <v/>
      </c>
      <c r="Q273" s="47"/>
      <c r="R273" s="3" t="str">
        <f t="shared" si="81"/>
        <v/>
      </c>
      <c r="S273" s="47"/>
      <c r="T273" s="1" t="str">
        <f t="shared" si="82"/>
        <v/>
      </c>
      <c r="U273" s="47"/>
      <c r="V273" s="1" t="str">
        <f t="shared" si="83"/>
        <v/>
      </c>
      <c r="W273" s="47"/>
      <c r="X273" s="1" t="str">
        <f t="shared" si="84"/>
        <v/>
      </c>
      <c r="Y273" s="47"/>
      <c r="Z273" s="1" t="str">
        <f t="shared" si="85"/>
        <v/>
      </c>
      <c r="AA273" s="47"/>
      <c r="AB273" s="1" t="str">
        <f t="shared" si="86"/>
        <v/>
      </c>
      <c r="AC273" s="47"/>
      <c r="AD273" s="1" t="str">
        <f t="shared" si="87"/>
        <v/>
      </c>
      <c r="AE273" s="47"/>
      <c r="AF273" s="1" t="str">
        <f t="shared" si="88"/>
        <v/>
      </c>
      <c r="AG273" s="47"/>
    </row>
    <row r="274" spans="1:33">
      <c r="A274">
        <f t="shared" si="72"/>
        <v>0</v>
      </c>
      <c r="B274" s="2" t="str">
        <f t="shared" si="89"/>
        <v/>
      </c>
      <c r="C274" s="4" t="str">
        <f t="shared" si="73"/>
        <v/>
      </c>
      <c r="D274" s="3" t="str">
        <f t="shared" si="74"/>
        <v/>
      </c>
      <c r="E274" s="47"/>
      <c r="F274" s="3" t="str">
        <f t="shared" si="75"/>
        <v/>
      </c>
      <c r="G274" s="47"/>
      <c r="H274" s="3" t="str">
        <f t="shared" si="76"/>
        <v/>
      </c>
      <c r="I274" s="47"/>
      <c r="J274" s="3" t="str">
        <f t="shared" si="77"/>
        <v/>
      </c>
      <c r="K274" s="47"/>
      <c r="L274" s="3" t="str">
        <f t="shared" si="78"/>
        <v/>
      </c>
      <c r="M274" s="47"/>
      <c r="N274" s="3" t="str">
        <f t="shared" si="79"/>
        <v/>
      </c>
      <c r="O274" s="47"/>
      <c r="P274" s="3" t="str">
        <f t="shared" si="80"/>
        <v/>
      </c>
      <c r="Q274" s="47"/>
      <c r="R274" s="3" t="str">
        <f t="shared" si="81"/>
        <v/>
      </c>
      <c r="S274" s="47"/>
      <c r="T274" s="1" t="str">
        <f t="shared" si="82"/>
        <v/>
      </c>
      <c r="U274" s="47"/>
      <c r="V274" s="1" t="str">
        <f t="shared" si="83"/>
        <v/>
      </c>
      <c r="W274" s="47"/>
      <c r="X274" s="1" t="str">
        <f t="shared" si="84"/>
        <v/>
      </c>
      <c r="Y274" s="47"/>
      <c r="Z274" s="1" t="str">
        <f t="shared" si="85"/>
        <v/>
      </c>
      <c r="AA274" s="47"/>
      <c r="AB274" s="1" t="str">
        <f t="shared" si="86"/>
        <v/>
      </c>
      <c r="AC274" s="47"/>
      <c r="AD274" s="1" t="str">
        <f t="shared" si="87"/>
        <v/>
      </c>
      <c r="AE274" s="47"/>
      <c r="AF274" s="1" t="str">
        <f t="shared" si="88"/>
        <v/>
      </c>
      <c r="AG274" s="47"/>
    </row>
    <row r="275" spans="1:33">
      <c r="A275">
        <f t="shared" si="72"/>
        <v>0</v>
      </c>
      <c r="B275" s="2" t="str">
        <f t="shared" si="89"/>
        <v/>
      </c>
      <c r="C275" s="4" t="str">
        <f t="shared" si="73"/>
        <v/>
      </c>
      <c r="D275" s="3" t="str">
        <f t="shared" si="74"/>
        <v/>
      </c>
      <c r="E275" s="47"/>
      <c r="F275" s="3" t="str">
        <f t="shared" si="75"/>
        <v/>
      </c>
      <c r="G275" s="47"/>
      <c r="H275" s="3" t="str">
        <f t="shared" si="76"/>
        <v/>
      </c>
      <c r="I275" s="47"/>
      <c r="J275" s="3" t="str">
        <f t="shared" si="77"/>
        <v/>
      </c>
      <c r="K275" s="47"/>
      <c r="L275" s="3" t="str">
        <f t="shared" si="78"/>
        <v/>
      </c>
      <c r="M275" s="47"/>
      <c r="N275" s="3" t="str">
        <f t="shared" si="79"/>
        <v/>
      </c>
      <c r="O275" s="47"/>
      <c r="P275" s="3" t="str">
        <f t="shared" si="80"/>
        <v/>
      </c>
      <c r="Q275" s="47"/>
      <c r="R275" s="3" t="str">
        <f t="shared" si="81"/>
        <v/>
      </c>
      <c r="S275" s="47"/>
      <c r="T275" s="1" t="str">
        <f t="shared" si="82"/>
        <v/>
      </c>
      <c r="U275" s="47"/>
      <c r="V275" s="1" t="str">
        <f t="shared" si="83"/>
        <v/>
      </c>
      <c r="W275" s="47"/>
      <c r="X275" s="1" t="str">
        <f t="shared" si="84"/>
        <v/>
      </c>
      <c r="Y275" s="47"/>
      <c r="Z275" s="1" t="str">
        <f t="shared" si="85"/>
        <v/>
      </c>
      <c r="AA275" s="47"/>
      <c r="AB275" s="1" t="str">
        <f t="shared" si="86"/>
        <v/>
      </c>
      <c r="AC275" s="47"/>
      <c r="AD275" s="1" t="str">
        <f t="shared" si="87"/>
        <v/>
      </c>
      <c r="AE275" s="47"/>
      <c r="AF275" s="1" t="str">
        <f t="shared" si="88"/>
        <v/>
      </c>
      <c r="AG275" s="47"/>
    </row>
    <row r="276" spans="1:33">
      <c r="A276">
        <f t="shared" si="72"/>
        <v>0</v>
      </c>
      <c r="B276" s="2" t="str">
        <f t="shared" si="89"/>
        <v/>
      </c>
      <c r="C276" s="4" t="str">
        <f t="shared" si="73"/>
        <v/>
      </c>
      <c r="D276" s="3" t="str">
        <f t="shared" si="74"/>
        <v/>
      </c>
      <c r="E276" s="47"/>
      <c r="F276" s="3" t="str">
        <f t="shared" si="75"/>
        <v/>
      </c>
      <c r="G276" s="47"/>
      <c r="H276" s="3" t="str">
        <f t="shared" si="76"/>
        <v/>
      </c>
      <c r="I276" s="47"/>
      <c r="J276" s="3" t="str">
        <f t="shared" si="77"/>
        <v/>
      </c>
      <c r="K276" s="47"/>
      <c r="L276" s="3" t="str">
        <f t="shared" si="78"/>
        <v/>
      </c>
      <c r="M276" s="47"/>
      <c r="N276" s="3" t="str">
        <f t="shared" si="79"/>
        <v/>
      </c>
      <c r="O276" s="47"/>
      <c r="P276" s="3" t="str">
        <f t="shared" si="80"/>
        <v/>
      </c>
      <c r="Q276" s="47"/>
      <c r="R276" s="3" t="str">
        <f t="shared" si="81"/>
        <v/>
      </c>
      <c r="S276" s="47"/>
      <c r="T276" s="1" t="str">
        <f t="shared" si="82"/>
        <v/>
      </c>
      <c r="U276" s="47"/>
      <c r="V276" s="1" t="str">
        <f t="shared" si="83"/>
        <v/>
      </c>
      <c r="W276" s="47"/>
      <c r="X276" s="1" t="str">
        <f t="shared" si="84"/>
        <v/>
      </c>
      <c r="Y276" s="47"/>
      <c r="Z276" s="1" t="str">
        <f t="shared" si="85"/>
        <v/>
      </c>
      <c r="AA276" s="47"/>
      <c r="AB276" s="1" t="str">
        <f t="shared" si="86"/>
        <v/>
      </c>
      <c r="AC276" s="47"/>
      <c r="AD276" s="1" t="str">
        <f t="shared" si="87"/>
        <v/>
      </c>
      <c r="AE276" s="47"/>
      <c r="AF276" s="1" t="str">
        <f t="shared" si="88"/>
        <v/>
      </c>
      <c r="AG276" s="47"/>
    </row>
    <row r="277" spans="1:33">
      <c r="A277">
        <f t="shared" si="72"/>
        <v>0</v>
      </c>
      <c r="B277" s="2" t="str">
        <f t="shared" si="89"/>
        <v/>
      </c>
      <c r="C277" s="4" t="str">
        <f t="shared" si="73"/>
        <v/>
      </c>
      <c r="D277" s="3" t="str">
        <f t="shared" si="74"/>
        <v/>
      </c>
      <c r="E277" s="47"/>
      <c r="F277" s="3" t="str">
        <f t="shared" si="75"/>
        <v/>
      </c>
      <c r="G277" s="47"/>
      <c r="H277" s="3" t="str">
        <f t="shared" si="76"/>
        <v/>
      </c>
      <c r="I277" s="47"/>
      <c r="J277" s="3" t="str">
        <f t="shared" si="77"/>
        <v/>
      </c>
      <c r="K277" s="47"/>
      <c r="L277" s="3" t="str">
        <f t="shared" si="78"/>
        <v/>
      </c>
      <c r="M277" s="47"/>
      <c r="N277" s="3" t="str">
        <f t="shared" si="79"/>
        <v/>
      </c>
      <c r="O277" s="47"/>
      <c r="P277" s="3" t="str">
        <f t="shared" si="80"/>
        <v/>
      </c>
      <c r="Q277" s="47"/>
      <c r="R277" s="3" t="str">
        <f t="shared" si="81"/>
        <v/>
      </c>
      <c r="S277" s="47"/>
      <c r="T277" s="1" t="str">
        <f t="shared" si="82"/>
        <v/>
      </c>
      <c r="U277" s="47"/>
      <c r="V277" s="1" t="str">
        <f t="shared" si="83"/>
        <v/>
      </c>
      <c r="W277" s="47"/>
      <c r="X277" s="1" t="str">
        <f t="shared" si="84"/>
        <v/>
      </c>
      <c r="Y277" s="47"/>
      <c r="Z277" s="1" t="str">
        <f t="shared" si="85"/>
        <v/>
      </c>
      <c r="AA277" s="47"/>
      <c r="AB277" s="1" t="str">
        <f t="shared" si="86"/>
        <v/>
      </c>
      <c r="AC277" s="47"/>
      <c r="AD277" s="1" t="str">
        <f t="shared" si="87"/>
        <v/>
      </c>
      <c r="AE277" s="47"/>
      <c r="AF277" s="1" t="str">
        <f t="shared" si="88"/>
        <v/>
      </c>
      <c r="AG277" s="47"/>
    </row>
    <row r="278" spans="1:33">
      <c r="A278">
        <f t="shared" si="72"/>
        <v>0</v>
      </c>
      <c r="B278" s="2" t="str">
        <f t="shared" si="89"/>
        <v/>
      </c>
      <c r="C278" s="4" t="str">
        <f t="shared" si="73"/>
        <v/>
      </c>
      <c r="D278" s="3" t="str">
        <f t="shared" si="74"/>
        <v/>
      </c>
      <c r="E278" s="47"/>
      <c r="F278" s="3" t="str">
        <f t="shared" si="75"/>
        <v/>
      </c>
      <c r="G278" s="47"/>
      <c r="H278" s="3" t="str">
        <f t="shared" si="76"/>
        <v/>
      </c>
      <c r="I278" s="47"/>
      <c r="J278" s="3" t="str">
        <f t="shared" si="77"/>
        <v/>
      </c>
      <c r="K278" s="47"/>
      <c r="L278" s="3" t="str">
        <f t="shared" si="78"/>
        <v/>
      </c>
      <c r="M278" s="47"/>
      <c r="N278" s="3" t="str">
        <f t="shared" si="79"/>
        <v/>
      </c>
      <c r="O278" s="47"/>
      <c r="P278" s="3" t="str">
        <f t="shared" si="80"/>
        <v/>
      </c>
      <c r="Q278" s="47"/>
      <c r="R278" s="3" t="str">
        <f t="shared" si="81"/>
        <v/>
      </c>
      <c r="S278" s="47"/>
      <c r="T278" s="1" t="str">
        <f t="shared" si="82"/>
        <v/>
      </c>
      <c r="U278" s="47"/>
      <c r="V278" s="1" t="str">
        <f t="shared" si="83"/>
        <v/>
      </c>
      <c r="W278" s="47"/>
      <c r="X278" s="1" t="str">
        <f t="shared" si="84"/>
        <v/>
      </c>
      <c r="Y278" s="47"/>
      <c r="Z278" s="1" t="str">
        <f t="shared" si="85"/>
        <v/>
      </c>
      <c r="AA278" s="47"/>
      <c r="AB278" s="1" t="str">
        <f t="shared" si="86"/>
        <v/>
      </c>
      <c r="AC278" s="47"/>
      <c r="AD278" s="1" t="str">
        <f t="shared" si="87"/>
        <v/>
      </c>
      <c r="AE278" s="47"/>
      <c r="AF278" s="1" t="str">
        <f t="shared" si="88"/>
        <v/>
      </c>
      <c r="AG278" s="47"/>
    </row>
    <row r="279" spans="1:33">
      <c r="A279">
        <f t="shared" si="72"/>
        <v>0</v>
      </c>
      <c r="B279" s="2" t="str">
        <f t="shared" si="89"/>
        <v/>
      </c>
      <c r="C279" s="4" t="str">
        <f t="shared" si="73"/>
        <v/>
      </c>
      <c r="D279" s="3" t="str">
        <f t="shared" si="74"/>
        <v/>
      </c>
      <c r="E279" s="47"/>
      <c r="F279" s="3" t="str">
        <f t="shared" si="75"/>
        <v/>
      </c>
      <c r="G279" s="47"/>
      <c r="H279" s="3" t="str">
        <f t="shared" si="76"/>
        <v/>
      </c>
      <c r="I279" s="47"/>
      <c r="J279" s="3" t="str">
        <f t="shared" si="77"/>
        <v/>
      </c>
      <c r="K279" s="47"/>
      <c r="L279" s="3" t="str">
        <f t="shared" si="78"/>
        <v/>
      </c>
      <c r="M279" s="47"/>
      <c r="N279" s="3" t="str">
        <f t="shared" si="79"/>
        <v/>
      </c>
      <c r="O279" s="47"/>
      <c r="P279" s="3" t="str">
        <f t="shared" si="80"/>
        <v/>
      </c>
      <c r="Q279" s="47"/>
      <c r="R279" s="3" t="str">
        <f t="shared" si="81"/>
        <v/>
      </c>
      <c r="S279" s="47"/>
      <c r="T279" s="1" t="str">
        <f t="shared" si="82"/>
        <v/>
      </c>
      <c r="U279" s="47"/>
      <c r="V279" s="1" t="str">
        <f t="shared" si="83"/>
        <v/>
      </c>
      <c r="W279" s="47"/>
      <c r="X279" s="1" t="str">
        <f t="shared" si="84"/>
        <v/>
      </c>
      <c r="Y279" s="47"/>
      <c r="Z279" s="1" t="str">
        <f t="shared" si="85"/>
        <v/>
      </c>
      <c r="AA279" s="47"/>
      <c r="AB279" s="1" t="str">
        <f t="shared" si="86"/>
        <v/>
      </c>
      <c r="AC279" s="47"/>
      <c r="AD279" s="1" t="str">
        <f t="shared" si="87"/>
        <v/>
      </c>
      <c r="AE279" s="47"/>
      <c r="AF279" s="1" t="str">
        <f t="shared" si="88"/>
        <v/>
      </c>
      <c r="AG279" s="47"/>
    </row>
    <row r="280" spans="1:33">
      <c r="A280">
        <f t="shared" si="72"/>
        <v>0</v>
      </c>
      <c r="B280" s="2" t="str">
        <f t="shared" si="89"/>
        <v/>
      </c>
      <c r="C280" s="4" t="str">
        <f t="shared" si="73"/>
        <v/>
      </c>
      <c r="D280" s="3" t="str">
        <f t="shared" si="74"/>
        <v/>
      </c>
      <c r="E280" s="47"/>
      <c r="F280" s="3" t="str">
        <f t="shared" si="75"/>
        <v/>
      </c>
      <c r="G280" s="47"/>
      <c r="H280" s="3" t="str">
        <f t="shared" si="76"/>
        <v/>
      </c>
      <c r="I280" s="47"/>
      <c r="J280" s="3" t="str">
        <f t="shared" si="77"/>
        <v/>
      </c>
      <c r="K280" s="47"/>
      <c r="L280" s="3" t="str">
        <f t="shared" si="78"/>
        <v/>
      </c>
      <c r="M280" s="47"/>
      <c r="N280" s="3" t="str">
        <f t="shared" si="79"/>
        <v/>
      </c>
      <c r="O280" s="47"/>
      <c r="P280" s="3" t="str">
        <f t="shared" si="80"/>
        <v/>
      </c>
      <c r="Q280" s="47"/>
      <c r="R280" s="3" t="str">
        <f t="shared" si="81"/>
        <v/>
      </c>
      <c r="S280" s="47"/>
      <c r="T280" s="1" t="str">
        <f t="shared" si="82"/>
        <v/>
      </c>
      <c r="U280" s="47"/>
      <c r="V280" s="1" t="str">
        <f t="shared" si="83"/>
        <v/>
      </c>
      <c r="W280" s="47"/>
      <c r="X280" s="1" t="str">
        <f t="shared" si="84"/>
        <v/>
      </c>
      <c r="Y280" s="47"/>
      <c r="Z280" s="1" t="str">
        <f t="shared" si="85"/>
        <v/>
      </c>
      <c r="AA280" s="47"/>
      <c r="AB280" s="1" t="str">
        <f t="shared" si="86"/>
        <v/>
      </c>
      <c r="AC280" s="47"/>
      <c r="AD280" s="1" t="str">
        <f t="shared" si="87"/>
        <v/>
      </c>
      <c r="AE280" s="47"/>
      <c r="AF280" s="1" t="str">
        <f t="shared" si="88"/>
        <v/>
      </c>
      <c r="AG280" s="47"/>
    </row>
    <row r="281" spans="1:33">
      <c r="A281">
        <f t="shared" si="72"/>
        <v>0</v>
      </c>
      <c r="B281" s="2" t="str">
        <f t="shared" si="89"/>
        <v/>
      </c>
      <c r="C281" s="4" t="str">
        <f t="shared" si="73"/>
        <v/>
      </c>
      <c r="D281" s="3" t="str">
        <f t="shared" si="74"/>
        <v/>
      </c>
      <c r="E281" s="47"/>
      <c r="F281" s="3" t="str">
        <f t="shared" si="75"/>
        <v/>
      </c>
      <c r="G281" s="47"/>
      <c r="H281" s="3" t="str">
        <f t="shared" si="76"/>
        <v/>
      </c>
      <c r="I281" s="47"/>
      <c r="J281" s="3" t="str">
        <f t="shared" si="77"/>
        <v/>
      </c>
      <c r="K281" s="47"/>
      <c r="L281" s="3" t="str">
        <f t="shared" si="78"/>
        <v/>
      </c>
      <c r="M281" s="47"/>
      <c r="N281" s="3" t="str">
        <f t="shared" si="79"/>
        <v/>
      </c>
      <c r="O281" s="47"/>
      <c r="P281" s="3" t="str">
        <f t="shared" si="80"/>
        <v/>
      </c>
      <c r="Q281" s="47"/>
      <c r="R281" s="3" t="str">
        <f t="shared" si="81"/>
        <v/>
      </c>
      <c r="S281" s="47"/>
      <c r="T281" s="1" t="str">
        <f t="shared" si="82"/>
        <v/>
      </c>
      <c r="U281" s="47"/>
      <c r="V281" s="1" t="str">
        <f t="shared" si="83"/>
        <v/>
      </c>
      <c r="W281" s="47"/>
      <c r="X281" s="1" t="str">
        <f t="shared" si="84"/>
        <v/>
      </c>
      <c r="Y281" s="47"/>
      <c r="Z281" s="1" t="str">
        <f t="shared" si="85"/>
        <v/>
      </c>
      <c r="AA281" s="47"/>
      <c r="AB281" s="1" t="str">
        <f t="shared" si="86"/>
        <v/>
      </c>
      <c r="AC281" s="47"/>
      <c r="AD281" s="1" t="str">
        <f t="shared" si="87"/>
        <v/>
      </c>
      <c r="AE281" s="47"/>
      <c r="AF281" s="1" t="str">
        <f t="shared" si="88"/>
        <v/>
      </c>
      <c r="AG281" s="47"/>
    </row>
    <row r="282" spans="1:33">
      <c r="A282">
        <f t="shared" si="72"/>
        <v>0</v>
      </c>
      <c r="B282" s="2" t="str">
        <f t="shared" si="89"/>
        <v/>
      </c>
      <c r="C282" s="4" t="str">
        <f t="shared" si="73"/>
        <v/>
      </c>
      <c r="D282" s="3" t="str">
        <f t="shared" si="74"/>
        <v/>
      </c>
      <c r="E282" s="47"/>
      <c r="F282" s="3" t="str">
        <f t="shared" si="75"/>
        <v/>
      </c>
      <c r="G282" s="47"/>
      <c r="H282" s="3" t="str">
        <f t="shared" si="76"/>
        <v/>
      </c>
      <c r="I282" s="47"/>
      <c r="J282" s="3" t="str">
        <f t="shared" si="77"/>
        <v/>
      </c>
      <c r="K282" s="47"/>
      <c r="L282" s="3" t="str">
        <f t="shared" si="78"/>
        <v/>
      </c>
      <c r="M282" s="47"/>
      <c r="N282" s="3" t="str">
        <f t="shared" si="79"/>
        <v/>
      </c>
      <c r="O282" s="47"/>
      <c r="P282" s="3" t="str">
        <f t="shared" si="80"/>
        <v/>
      </c>
      <c r="Q282" s="47"/>
      <c r="R282" s="3" t="str">
        <f t="shared" si="81"/>
        <v/>
      </c>
      <c r="S282" s="47"/>
      <c r="T282" s="1" t="str">
        <f t="shared" si="82"/>
        <v/>
      </c>
      <c r="U282" s="47"/>
      <c r="V282" s="1" t="str">
        <f t="shared" si="83"/>
        <v/>
      </c>
      <c r="W282" s="47"/>
      <c r="X282" s="1" t="str">
        <f t="shared" si="84"/>
        <v/>
      </c>
      <c r="Y282" s="47"/>
      <c r="Z282" s="1" t="str">
        <f t="shared" si="85"/>
        <v/>
      </c>
      <c r="AA282" s="47"/>
      <c r="AB282" s="1" t="str">
        <f t="shared" si="86"/>
        <v/>
      </c>
      <c r="AC282" s="47"/>
      <c r="AD282" s="1" t="str">
        <f t="shared" si="87"/>
        <v/>
      </c>
      <c r="AE282" s="47"/>
      <c r="AF282" s="1" t="str">
        <f t="shared" si="88"/>
        <v/>
      </c>
      <c r="AG282" s="47"/>
    </row>
    <row r="283" spans="1:33">
      <c r="A283">
        <f t="shared" si="72"/>
        <v>0</v>
      </c>
      <c r="B283" s="2" t="str">
        <f t="shared" si="89"/>
        <v/>
      </c>
      <c r="C283" s="4" t="str">
        <f t="shared" si="73"/>
        <v/>
      </c>
      <c r="D283" s="3" t="str">
        <f t="shared" si="74"/>
        <v/>
      </c>
      <c r="E283" s="47"/>
      <c r="F283" s="3" t="str">
        <f t="shared" si="75"/>
        <v/>
      </c>
      <c r="G283" s="47"/>
      <c r="H283" s="3" t="str">
        <f t="shared" si="76"/>
        <v/>
      </c>
      <c r="I283" s="47"/>
      <c r="J283" s="3" t="str">
        <f t="shared" si="77"/>
        <v/>
      </c>
      <c r="K283" s="47"/>
      <c r="L283" s="3" t="str">
        <f t="shared" si="78"/>
        <v/>
      </c>
      <c r="M283" s="47"/>
      <c r="N283" s="3" t="str">
        <f t="shared" si="79"/>
        <v/>
      </c>
      <c r="O283" s="47"/>
      <c r="P283" s="3" t="str">
        <f t="shared" si="80"/>
        <v/>
      </c>
      <c r="Q283" s="47"/>
      <c r="R283" s="3" t="str">
        <f t="shared" si="81"/>
        <v/>
      </c>
      <c r="S283" s="47"/>
      <c r="T283" s="1" t="str">
        <f t="shared" si="82"/>
        <v/>
      </c>
      <c r="U283" s="47"/>
      <c r="V283" s="1" t="str">
        <f t="shared" si="83"/>
        <v/>
      </c>
      <c r="W283" s="47"/>
      <c r="X283" s="1" t="str">
        <f t="shared" si="84"/>
        <v/>
      </c>
      <c r="Y283" s="47"/>
      <c r="Z283" s="1" t="str">
        <f t="shared" si="85"/>
        <v/>
      </c>
      <c r="AA283" s="47"/>
      <c r="AB283" s="1" t="str">
        <f t="shared" si="86"/>
        <v/>
      </c>
      <c r="AC283" s="47"/>
      <c r="AD283" s="1" t="str">
        <f t="shared" si="87"/>
        <v/>
      </c>
      <c r="AE283" s="47"/>
      <c r="AF283" s="1" t="str">
        <f t="shared" si="88"/>
        <v/>
      </c>
      <c r="AG283" s="47"/>
    </row>
    <row r="284" spans="1:33">
      <c r="A284">
        <f t="shared" si="72"/>
        <v>0</v>
      </c>
      <c r="B284" s="2" t="str">
        <f t="shared" si="89"/>
        <v/>
      </c>
      <c r="C284" s="4" t="str">
        <f t="shared" si="73"/>
        <v/>
      </c>
      <c r="D284" s="3" t="str">
        <f t="shared" si="74"/>
        <v/>
      </c>
      <c r="E284" s="47"/>
      <c r="F284" s="3" t="str">
        <f t="shared" si="75"/>
        <v/>
      </c>
      <c r="G284" s="47"/>
      <c r="H284" s="3" t="str">
        <f t="shared" si="76"/>
        <v/>
      </c>
      <c r="I284" s="47"/>
      <c r="J284" s="3" t="str">
        <f t="shared" si="77"/>
        <v/>
      </c>
      <c r="K284" s="47"/>
      <c r="L284" s="3" t="str">
        <f t="shared" si="78"/>
        <v/>
      </c>
      <c r="M284" s="47"/>
      <c r="N284" s="3" t="str">
        <f t="shared" si="79"/>
        <v/>
      </c>
      <c r="O284" s="47"/>
      <c r="P284" s="3" t="str">
        <f t="shared" si="80"/>
        <v/>
      </c>
      <c r="Q284" s="47"/>
      <c r="R284" s="3" t="str">
        <f t="shared" si="81"/>
        <v/>
      </c>
      <c r="S284" s="47"/>
      <c r="T284" s="1" t="str">
        <f t="shared" si="82"/>
        <v/>
      </c>
      <c r="U284" s="47"/>
      <c r="V284" s="1" t="str">
        <f t="shared" si="83"/>
        <v/>
      </c>
      <c r="W284" s="47"/>
      <c r="X284" s="1" t="str">
        <f t="shared" si="84"/>
        <v/>
      </c>
      <c r="Y284" s="47"/>
      <c r="Z284" s="1" t="str">
        <f t="shared" si="85"/>
        <v/>
      </c>
      <c r="AA284" s="47"/>
      <c r="AB284" s="1" t="str">
        <f t="shared" si="86"/>
        <v/>
      </c>
      <c r="AC284" s="47"/>
      <c r="AD284" s="1" t="str">
        <f t="shared" si="87"/>
        <v/>
      </c>
      <c r="AE284" s="47"/>
      <c r="AF284" s="1" t="str">
        <f t="shared" si="88"/>
        <v/>
      </c>
      <c r="AG284" s="47"/>
    </row>
    <row r="285" spans="1:33">
      <c r="A285">
        <f t="shared" si="72"/>
        <v>0</v>
      </c>
      <c r="B285" s="2" t="str">
        <f t="shared" si="89"/>
        <v/>
      </c>
      <c r="C285" s="4" t="str">
        <f t="shared" si="73"/>
        <v/>
      </c>
      <c r="D285" s="3" t="str">
        <f t="shared" si="74"/>
        <v/>
      </c>
      <c r="E285" s="47"/>
      <c r="F285" s="3" t="str">
        <f t="shared" si="75"/>
        <v/>
      </c>
      <c r="G285" s="47"/>
      <c r="H285" s="3" t="str">
        <f t="shared" si="76"/>
        <v/>
      </c>
      <c r="I285" s="47"/>
      <c r="J285" s="3" t="str">
        <f t="shared" si="77"/>
        <v/>
      </c>
      <c r="K285" s="47"/>
      <c r="L285" s="3" t="str">
        <f t="shared" si="78"/>
        <v/>
      </c>
      <c r="M285" s="47"/>
      <c r="N285" s="3" t="str">
        <f t="shared" si="79"/>
        <v/>
      </c>
      <c r="O285" s="47"/>
      <c r="P285" s="3" t="str">
        <f t="shared" si="80"/>
        <v/>
      </c>
      <c r="Q285" s="47"/>
      <c r="R285" s="3" t="str">
        <f t="shared" si="81"/>
        <v/>
      </c>
      <c r="S285" s="47"/>
      <c r="T285" s="1" t="str">
        <f t="shared" si="82"/>
        <v/>
      </c>
      <c r="U285" s="47"/>
      <c r="V285" s="1" t="str">
        <f t="shared" si="83"/>
        <v/>
      </c>
      <c r="W285" s="47"/>
      <c r="X285" s="1" t="str">
        <f t="shared" si="84"/>
        <v/>
      </c>
      <c r="Y285" s="47"/>
      <c r="Z285" s="1" t="str">
        <f t="shared" si="85"/>
        <v/>
      </c>
      <c r="AA285" s="47"/>
      <c r="AB285" s="1" t="str">
        <f t="shared" si="86"/>
        <v/>
      </c>
      <c r="AC285" s="47"/>
      <c r="AD285" s="1" t="str">
        <f t="shared" si="87"/>
        <v/>
      </c>
      <c r="AE285" s="47"/>
      <c r="AF285" s="1" t="str">
        <f t="shared" si="88"/>
        <v/>
      </c>
      <c r="AG285" s="47"/>
    </row>
    <row r="286" spans="1:33">
      <c r="A286">
        <f t="shared" si="72"/>
        <v>0</v>
      </c>
      <c r="B286" s="2" t="str">
        <f t="shared" si="89"/>
        <v/>
      </c>
      <c r="C286" s="4" t="str">
        <f t="shared" si="73"/>
        <v/>
      </c>
      <c r="D286" s="3" t="str">
        <f t="shared" si="74"/>
        <v/>
      </c>
      <c r="E286" s="47"/>
      <c r="F286" s="3" t="str">
        <f t="shared" si="75"/>
        <v/>
      </c>
      <c r="G286" s="47"/>
      <c r="H286" s="3" t="str">
        <f t="shared" si="76"/>
        <v/>
      </c>
      <c r="I286" s="47"/>
      <c r="J286" s="3" t="str">
        <f t="shared" si="77"/>
        <v/>
      </c>
      <c r="K286" s="47"/>
      <c r="L286" s="3" t="str">
        <f t="shared" si="78"/>
        <v/>
      </c>
      <c r="M286" s="47"/>
      <c r="N286" s="3" t="str">
        <f t="shared" si="79"/>
        <v/>
      </c>
      <c r="O286" s="47"/>
      <c r="P286" s="3" t="str">
        <f t="shared" si="80"/>
        <v/>
      </c>
      <c r="Q286" s="47"/>
      <c r="R286" s="3" t="str">
        <f t="shared" si="81"/>
        <v/>
      </c>
      <c r="S286" s="47"/>
      <c r="T286" s="1" t="str">
        <f t="shared" si="82"/>
        <v/>
      </c>
      <c r="U286" s="47"/>
      <c r="V286" s="1" t="str">
        <f t="shared" si="83"/>
        <v/>
      </c>
      <c r="W286" s="47"/>
      <c r="X286" s="1" t="str">
        <f t="shared" si="84"/>
        <v/>
      </c>
      <c r="Y286" s="47"/>
      <c r="Z286" s="1" t="str">
        <f t="shared" si="85"/>
        <v/>
      </c>
      <c r="AA286" s="47"/>
      <c r="AB286" s="1" t="str">
        <f t="shared" si="86"/>
        <v/>
      </c>
      <c r="AC286" s="47"/>
      <c r="AD286" s="1" t="str">
        <f t="shared" si="87"/>
        <v/>
      </c>
      <c r="AE286" s="47"/>
      <c r="AF286" s="1" t="str">
        <f t="shared" si="88"/>
        <v/>
      </c>
      <c r="AG286" s="47"/>
    </row>
    <row r="287" spans="1:33">
      <c r="A287">
        <f t="shared" si="72"/>
        <v>0</v>
      </c>
      <c r="B287" s="2" t="str">
        <f t="shared" si="89"/>
        <v/>
      </c>
      <c r="C287" s="4" t="str">
        <f t="shared" si="73"/>
        <v/>
      </c>
      <c r="D287" s="3" t="str">
        <f t="shared" si="74"/>
        <v/>
      </c>
      <c r="E287" s="47"/>
      <c r="F287" s="3" t="str">
        <f t="shared" si="75"/>
        <v/>
      </c>
      <c r="G287" s="47"/>
      <c r="H287" s="3" t="str">
        <f t="shared" si="76"/>
        <v/>
      </c>
      <c r="I287" s="47"/>
      <c r="J287" s="3" t="str">
        <f t="shared" si="77"/>
        <v/>
      </c>
      <c r="K287" s="47"/>
      <c r="L287" s="3" t="str">
        <f t="shared" si="78"/>
        <v/>
      </c>
      <c r="M287" s="47"/>
      <c r="N287" s="3" t="str">
        <f t="shared" si="79"/>
        <v/>
      </c>
      <c r="O287" s="47"/>
      <c r="P287" s="3" t="str">
        <f t="shared" si="80"/>
        <v/>
      </c>
      <c r="Q287" s="47"/>
      <c r="R287" s="3" t="str">
        <f t="shared" si="81"/>
        <v/>
      </c>
      <c r="S287" s="47"/>
      <c r="T287" s="1" t="str">
        <f t="shared" si="82"/>
        <v/>
      </c>
      <c r="U287" s="47"/>
      <c r="V287" s="1" t="str">
        <f t="shared" si="83"/>
        <v/>
      </c>
      <c r="W287" s="47"/>
      <c r="X287" s="1" t="str">
        <f t="shared" si="84"/>
        <v/>
      </c>
      <c r="Y287" s="47"/>
      <c r="Z287" s="1" t="str">
        <f t="shared" si="85"/>
        <v/>
      </c>
      <c r="AA287" s="47"/>
      <c r="AB287" s="1" t="str">
        <f t="shared" si="86"/>
        <v/>
      </c>
      <c r="AC287" s="47"/>
      <c r="AD287" s="1" t="str">
        <f t="shared" si="87"/>
        <v/>
      </c>
      <c r="AE287" s="47"/>
      <c r="AF287" s="1" t="str">
        <f t="shared" si="88"/>
        <v/>
      </c>
      <c r="AG287" s="47"/>
    </row>
    <row r="288" spans="1:33">
      <c r="A288">
        <f t="shared" si="72"/>
        <v>0</v>
      </c>
      <c r="B288" s="2" t="str">
        <f t="shared" si="89"/>
        <v/>
      </c>
      <c r="C288" s="4" t="str">
        <f t="shared" si="73"/>
        <v/>
      </c>
      <c r="D288" s="3" t="str">
        <f t="shared" si="74"/>
        <v/>
      </c>
      <c r="E288" s="47"/>
      <c r="F288" s="3" t="str">
        <f t="shared" si="75"/>
        <v/>
      </c>
      <c r="G288" s="47"/>
      <c r="H288" s="3" t="str">
        <f t="shared" si="76"/>
        <v/>
      </c>
      <c r="I288" s="47"/>
      <c r="J288" s="3" t="str">
        <f t="shared" si="77"/>
        <v/>
      </c>
      <c r="K288" s="47"/>
      <c r="L288" s="3" t="str">
        <f t="shared" si="78"/>
        <v/>
      </c>
      <c r="M288" s="47"/>
      <c r="N288" s="3" t="str">
        <f t="shared" si="79"/>
        <v/>
      </c>
      <c r="O288" s="47"/>
      <c r="P288" s="3" t="str">
        <f t="shared" si="80"/>
        <v/>
      </c>
      <c r="Q288" s="47"/>
      <c r="R288" s="3" t="str">
        <f t="shared" si="81"/>
        <v/>
      </c>
      <c r="S288" s="47"/>
      <c r="T288" s="1" t="str">
        <f t="shared" si="82"/>
        <v/>
      </c>
      <c r="U288" s="47"/>
      <c r="V288" s="1" t="str">
        <f t="shared" si="83"/>
        <v/>
      </c>
      <c r="W288" s="47"/>
      <c r="X288" s="1" t="str">
        <f t="shared" si="84"/>
        <v/>
      </c>
      <c r="Y288" s="47"/>
      <c r="Z288" s="1" t="str">
        <f t="shared" si="85"/>
        <v/>
      </c>
      <c r="AA288" s="47"/>
      <c r="AB288" s="1" t="str">
        <f t="shared" si="86"/>
        <v/>
      </c>
      <c r="AC288" s="47"/>
      <c r="AD288" s="1" t="str">
        <f t="shared" si="87"/>
        <v/>
      </c>
      <c r="AE288" s="47"/>
      <c r="AF288" s="1" t="str">
        <f t="shared" si="88"/>
        <v/>
      </c>
      <c r="AG288" s="47"/>
    </row>
    <row r="289" spans="1:33">
      <c r="A289">
        <f t="shared" si="72"/>
        <v>0</v>
      </c>
      <c r="B289" s="2" t="str">
        <f t="shared" si="89"/>
        <v/>
      </c>
      <c r="C289" s="4" t="str">
        <f t="shared" si="73"/>
        <v/>
      </c>
      <c r="D289" s="3" t="str">
        <f t="shared" si="74"/>
        <v/>
      </c>
      <c r="E289" s="47"/>
      <c r="F289" s="3" t="str">
        <f t="shared" si="75"/>
        <v/>
      </c>
      <c r="G289" s="47"/>
      <c r="H289" s="3" t="str">
        <f t="shared" si="76"/>
        <v/>
      </c>
      <c r="I289" s="47"/>
      <c r="J289" s="3" t="str">
        <f t="shared" si="77"/>
        <v/>
      </c>
      <c r="K289" s="47"/>
      <c r="L289" s="3" t="str">
        <f t="shared" si="78"/>
        <v/>
      </c>
      <c r="M289" s="47"/>
      <c r="N289" s="3" t="str">
        <f t="shared" si="79"/>
        <v/>
      </c>
      <c r="O289" s="47"/>
      <c r="P289" s="3" t="str">
        <f t="shared" si="80"/>
        <v/>
      </c>
      <c r="Q289" s="47"/>
      <c r="R289" s="3" t="str">
        <f t="shared" si="81"/>
        <v/>
      </c>
      <c r="S289" s="47"/>
      <c r="T289" s="1" t="str">
        <f t="shared" si="82"/>
        <v/>
      </c>
      <c r="U289" s="47"/>
      <c r="V289" s="1" t="str">
        <f t="shared" si="83"/>
        <v/>
      </c>
      <c r="W289" s="47"/>
      <c r="X289" s="1" t="str">
        <f t="shared" si="84"/>
        <v/>
      </c>
      <c r="Y289" s="47"/>
      <c r="Z289" s="1" t="str">
        <f t="shared" si="85"/>
        <v/>
      </c>
      <c r="AA289" s="47"/>
      <c r="AB289" s="1" t="str">
        <f t="shared" si="86"/>
        <v/>
      </c>
      <c r="AC289" s="47"/>
      <c r="AD289" s="1" t="str">
        <f t="shared" si="87"/>
        <v/>
      </c>
      <c r="AE289" s="47"/>
      <c r="AF289" s="1" t="str">
        <f t="shared" si="88"/>
        <v/>
      </c>
      <c r="AG289" s="47"/>
    </row>
    <row r="290" spans="1:33">
      <c r="A290">
        <f t="shared" si="72"/>
        <v>0</v>
      </c>
      <c r="B290" s="2" t="str">
        <f t="shared" si="89"/>
        <v/>
      </c>
      <c r="C290" s="4" t="str">
        <f t="shared" si="73"/>
        <v/>
      </c>
      <c r="D290" s="3" t="str">
        <f t="shared" si="74"/>
        <v/>
      </c>
      <c r="E290" s="47"/>
      <c r="F290" s="3" t="str">
        <f t="shared" si="75"/>
        <v/>
      </c>
      <c r="G290" s="47"/>
      <c r="H290" s="3" t="str">
        <f t="shared" si="76"/>
        <v/>
      </c>
      <c r="I290" s="47"/>
      <c r="J290" s="3" t="str">
        <f t="shared" si="77"/>
        <v/>
      </c>
      <c r="K290" s="47"/>
      <c r="L290" s="3" t="str">
        <f t="shared" si="78"/>
        <v/>
      </c>
      <c r="M290" s="47"/>
      <c r="N290" s="3" t="str">
        <f t="shared" si="79"/>
        <v/>
      </c>
      <c r="O290" s="47"/>
      <c r="P290" s="3" t="str">
        <f t="shared" si="80"/>
        <v/>
      </c>
      <c r="Q290" s="47"/>
      <c r="R290" s="3" t="str">
        <f t="shared" si="81"/>
        <v/>
      </c>
      <c r="S290" s="47"/>
      <c r="T290" s="1" t="str">
        <f t="shared" si="82"/>
        <v/>
      </c>
      <c r="U290" s="47"/>
      <c r="V290" s="1" t="str">
        <f t="shared" si="83"/>
        <v/>
      </c>
      <c r="W290" s="47"/>
      <c r="X290" s="1" t="str">
        <f t="shared" si="84"/>
        <v/>
      </c>
      <c r="Y290" s="47"/>
      <c r="Z290" s="1" t="str">
        <f t="shared" si="85"/>
        <v/>
      </c>
      <c r="AA290" s="47"/>
      <c r="AB290" s="1" t="str">
        <f t="shared" si="86"/>
        <v/>
      </c>
      <c r="AC290" s="47"/>
      <c r="AD290" s="1" t="str">
        <f t="shared" si="87"/>
        <v/>
      </c>
      <c r="AE290" s="47"/>
      <c r="AF290" s="1" t="str">
        <f t="shared" si="88"/>
        <v/>
      </c>
      <c r="AG290" s="47"/>
    </row>
    <row r="291" spans="1:33">
      <c r="A291">
        <f t="shared" si="72"/>
        <v>0</v>
      </c>
      <c r="B291" s="2" t="str">
        <f t="shared" si="89"/>
        <v/>
      </c>
      <c r="C291" s="4" t="str">
        <f t="shared" si="73"/>
        <v/>
      </c>
      <c r="D291" s="3" t="str">
        <f t="shared" si="74"/>
        <v/>
      </c>
      <c r="E291" s="47"/>
      <c r="F291" s="3" t="str">
        <f t="shared" si="75"/>
        <v/>
      </c>
      <c r="G291" s="47"/>
      <c r="H291" s="3" t="str">
        <f t="shared" si="76"/>
        <v/>
      </c>
      <c r="I291" s="47"/>
      <c r="J291" s="3" t="str">
        <f t="shared" si="77"/>
        <v/>
      </c>
      <c r="K291" s="47"/>
      <c r="L291" s="3" t="str">
        <f t="shared" si="78"/>
        <v/>
      </c>
      <c r="M291" s="47"/>
      <c r="N291" s="3" t="str">
        <f t="shared" si="79"/>
        <v/>
      </c>
      <c r="O291" s="47"/>
      <c r="P291" s="3" t="str">
        <f t="shared" si="80"/>
        <v/>
      </c>
      <c r="Q291" s="47"/>
      <c r="R291" s="3" t="str">
        <f t="shared" si="81"/>
        <v/>
      </c>
      <c r="S291" s="47"/>
      <c r="T291" s="1" t="str">
        <f t="shared" si="82"/>
        <v/>
      </c>
      <c r="U291" s="47"/>
      <c r="V291" s="1" t="str">
        <f t="shared" si="83"/>
        <v/>
      </c>
      <c r="W291" s="47"/>
      <c r="X291" s="1" t="str">
        <f t="shared" si="84"/>
        <v/>
      </c>
      <c r="Y291" s="47"/>
      <c r="Z291" s="1" t="str">
        <f t="shared" si="85"/>
        <v/>
      </c>
      <c r="AA291" s="47"/>
      <c r="AB291" s="1" t="str">
        <f t="shared" si="86"/>
        <v/>
      </c>
      <c r="AC291" s="47"/>
      <c r="AD291" s="1" t="str">
        <f t="shared" si="87"/>
        <v/>
      </c>
      <c r="AE291" s="47"/>
      <c r="AF291" s="1" t="str">
        <f t="shared" si="88"/>
        <v/>
      </c>
      <c r="AG291" s="47"/>
    </row>
    <row r="292" spans="1:33">
      <c r="A292">
        <f t="shared" si="72"/>
        <v>0</v>
      </c>
      <c r="B292" s="2" t="str">
        <f t="shared" si="89"/>
        <v/>
      </c>
      <c r="C292" s="4" t="str">
        <f t="shared" si="73"/>
        <v/>
      </c>
      <c r="D292" s="3" t="str">
        <f t="shared" si="74"/>
        <v/>
      </c>
      <c r="E292" s="47"/>
      <c r="F292" s="3" t="str">
        <f t="shared" si="75"/>
        <v/>
      </c>
      <c r="G292" s="47"/>
      <c r="H292" s="3" t="str">
        <f t="shared" si="76"/>
        <v/>
      </c>
      <c r="I292" s="47"/>
      <c r="J292" s="3" t="str">
        <f t="shared" si="77"/>
        <v/>
      </c>
      <c r="K292" s="47"/>
      <c r="L292" s="3" t="str">
        <f t="shared" si="78"/>
        <v/>
      </c>
      <c r="M292" s="47"/>
      <c r="N292" s="3" t="str">
        <f t="shared" si="79"/>
        <v/>
      </c>
      <c r="O292" s="47"/>
      <c r="P292" s="3" t="str">
        <f t="shared" si="80"/>
        <v/>
      </c>
      <c r="Q292" s="47"/>
      <c r="R292" s="3" t="str">
        <f t="shared" si="81"/>
        <v/>
      </c>
      <c r="S292" s="47"/>
      <c r="T292" s="1" t="str">
        <f t="shared" si="82"/>
        <v/>
      </c>
      <c r="U292" s="47"/>
      <c r="V292" s="1" t="str">
        <f t="shared" si="83"/>
        <v/>
      </c>
      <c r="W292" s="47"/>
      <c r="X292" s="1" t="str">
        <f t="shared" si="84"/>
        <v/>
      </c>
      <c r="Y292" s="47"/>
      <c r="Z292" s="1" t="str">
        <f t="shared" si="85"/>
        <v/>
      </c>
      <c r="AA292" s="47"/>
      <c r="AB292" s="1" t="str">
        <f t="shared" si="86"/>
        <v/>
      </c>
      <c r="AC292" s="47"/>
      <c r="AD292" s="1" t="str">
        <f t="shared" si="87"/>
        <v/>
      </c>
      <c r="AE292" s="47"/>
      <c r="AF292" s="1" t="str">
        <f t="shared" si="88"/>
        <v/>
      </c>
      <c r="AG292" s="47"/>
    </row>
    <row r="293" spans="1:33">
      <c r="A293">
        <f t="shared" si="72"/>
        <v>0</v>
      </c>
      <c r="B293" s="2" t="str">
        <f t="shared" si="89"/>
        <v/>
      </c>
      <c r="C293" s="4" t="str">
        <f t="shared" si="73"/>
        <v/>
      </c>
      <c r="D293" s="3" t="str">
        <f t="shared" si="74"/>
        <v/>
      </c>
      <c r="E293" s="47"/>
      <c r="F293" s="3" t="str">
        <f t="shared" si="75"/>
        <v/>
      </c>
      <c r="G293" s="47"/>
      <c r="H293" s="3" t="str">
        <f t="shared" si="76"/>
        <v/>
      </c>
      <c r="I293" s="47"/>
      <c r="J293" s="3" t="str">
        <f t="shared" si="77"/>
        <v/>
      </c>
      <c r="K293" s="47"/>
      <c r="L293" s="3" t="str">
        <f t="shared" si="78"/>
        <v/>
      </c>
      <c r="M293" s="47"/>
      <c r="N293" s="3" t="str">
        <f t="shared" si="79"/>
        <v/>
      </c>
      <c r="O293" s="47"/>
      <c r="P293" s="3" t="str">
        <f t="shared" si="80"/>
        <v/>
      </c>
      <c r="Q293" s="47"/>
      <c r="R293" s="3" t="str">
        <f t="shared" si="81"/>
        <v/>
      </c>
      <c r="S293" s="47"/>
      <c r="T293" s="1" t="str">
        <f t="shared" si="82"/>
        <v/>
      </c>
      <c r="U293" s="47"/>
      <c r="V293" s="1" t="str">
        <f t="shared" si="83"/>
        <v/>
      </c>
      <c r="W293" s="47"/>
      <c r="X293" s="1" t="str">
        <f t="shared" si="84"/>
        <v/>
      </c>
      <c r="Y293" s="47"/>
      <c r="Z293" s="1" t="str">
        <f t="shared" si="85"/>
        <v/>
      </c>
      <c r="AA293" s="47"/>
      <c r="AB293" s="1" t="str">
        <f t="shared" si="86"/>
        <v/>
      </c>
      <c r="AC293" s="47"/>
      <c r="AD293" s="1" t="str">
        <f t="shared" si="87"/>
        <v/>
      </c>
      <c r="AE293" s="47"/>
      <c r="AF293" s="1" t="str">
        <f t="shared" si="88"/>
        <v/>
      </c>
      <c r="AG293" s="47"/>
    </row>
    <row r="294" spans="1:33">
      <c r="A294">
        <f t="shared" si="72"/>
        <v>0</v>
      </c>
      <c r="B294" s="2" t="str">
        <f t="shared" si="89"/>
        <v/>
      </c>
      <c r="C294" s="4" t="str">
        <f t="shared" si="73"/>
        <v/>
      </c>
      <c r="D294" s="3" t="str">
        <f t="shared" si="74"/>
        <v/>
      </c>
      <c r="E294" s="47"/>
      <c r="F294" s="3" t="str">
        <f t="shared" si="75"/>
        <v/>
      </c>
      <c r="G294" s="47"/>
      <c r="H294" s="3" t="str">
        <f t="shared" si="76"/>
        <v/>
      </c>
      <c r="I294" s="47"/>
      <c r="J294" s="3" t="str">
        <f t="shared" si="77"/>
        <v/>
      </c>
      <c r="K294" s="47"/>
      <c r="L294" s="3" t="str">
        <f t="shared" si="78"/>
        <v/>
      </c>
      <c r="M294" s="47"/>
      <c r="N294" s="3" t="str">
        <f t="shared" si="79"/>
        <v/>
      </c>
      <c r="O294" s="47"/>
      <c r="P294" s="3" t="str">
        <f t="shared" si="80"/>
        <v/>
      </c>
      <c r="Q294" s="47"/>
      <c r="R294" s="3" t="str">
        <f t="shared" si="81"/>
        <v/>
      </c>
      <c r="S294" s="47"/>
      <c r="T294" s="1" t="str">
        <f t="shared" si="82"/>
        <v/>
      </c>
      <c r="U294" s="47"/>
      <c r="V294" s="1" t="str">
        <f t="shared" si="83"/>
        <v/>
      </c>
      <c r="W294" s="47"/>
      <c r="X294" s="1" t="str">
        <f t="shared" si="84"/>
        <v/>
      </c>
      <c r="Y294" s="47"/>
      <c r="Z294" s="1" t="str">
        <f t="shared" si="85"/>
        <v/>
      </c>
      <c r="AA294" s="47"/>
      <c r="AB294" s="1" t="str">
        <f t="shared" si="86"/>
        <v/>
      </c>
      <c r="AC294" s="47"/>
      <c r="AD294" s="1" t="str">
        <f t="shared" si="87"/>
        <v/>
      </c>
      <c r="AE294" s="47"/>
      <c r="AF294" s="1" t="str">
        <f t="shared" si="88"/>
        <v/>
      </c>
      <c r="AG294" s="47"/>
    </row>
    <row r="295" spans="1:33">
      <c r="A295">
        <f t="shared" si="72"/>
        <v>0</v>
      </c>
      <c r="B295" s="2" t="str">
        <f t="shared" si="89"/>
        <v/>
      </c>
      <c r="C295" s="4" t="str">
        <f t="shared" si="73"/>
        <v/>
      </c>
      <c r="D295" s="3" t="str">
        <f t="shared" si="74"/>
        <v/>
      </c>
      <c r="E295" s="47"/>
      <c r="F295" s="3" t="str">
        <f t="shared" si="75"/>
        <v/>
      </c>
      <c r="G295" s="47"/>
      <c r="H295" s="3" t="str">
        <f t="shared" si="76"/>
        <v/>
      </c>
      <c r="I295" s="47"/>
      <c r="J295" s="3" t="str">
        <f t="shared" si="77"/>
        <v/>
      </c>
      <c r="K295" s="47"/>
      <c r="L295" s="3" t="str">
        <f t="shared" si="78"/>
        <v/>
      </c>
      <c r="M295" s="47"/>
      <c r="N295" s="3" t="str">
        <f t="shared" si="79"/>
        <v/>
      </c>
      <c r="O295" s="47"/>
      <c r="P295" s="3" t="str">
        <f t="shared" si="80"/>
        <v/>
      </c>
      <c r="Q295" s="47"/>
      <c r="R295" s="3" t="str">
        <f t="shared" si="81"/>
        <v/>
      </c>
      <c r="S295" s="47"/>
      <c r="T295" s="1" t="str">
        <f t="shared" si="82"/>
        <v/>
      </c>
      <c r="U295" s="47"/>
      <c r="V295" s="1" t="str">
        <f t="shared" si="83"/>
        <v/>
      </c>
      <c r="W295" s="47"/>
      <c r="X295" s="1" t="str">
        <f t="shared" si="84"/>
        <v/>
      </c>
      <c r="Y295" s="47"/>
      <c r="Z295" s="1" t="str">
        <f t="shared" si="85"/>
        <v/>
      </c>
      <c r="AA295" s="47"/>
      <c r="AB295" s="1" t="str">
        <f t="shared" si="86"/>
        <v/>
      </c>
      <c r="AC295" s="47"/>
      <c r="AD295" s="1" t="str">
        <f t="shared" si="87"/>
        <v/>
      </c>
      <c r="AE295" s="47"/>
      <c r="AF295" s="1" t="str">
        <f t="shared" si="88"/>
        <v/>
      </c>
      <c r="AG295" s="47"/>
    </row>
    <row r="296" spans="1:33">
      <c r="A296">
        <f t="shared" si="72"/>
        <v>0</v>
      </c>
      <c r="B296" s="2" t="str">
        <f t="shared" si="89"/>
        <v/>
      </c>
      <c r="C296" s="4" t="str">
        <f t="shared" si="73"/>
        <v/>
      </c>
      <c r="D296" s="3" t="str">
        <f t="shared" si="74"/>
        <v/>
      </c>
      <c r="E296" s="47"/>
      <c r="F296" s="3" t="str">
        <f t="shared" si="75"/>
        <v/>
      </c>
      <c r="G296" s="47"/>
      <c r="H296" s="3" t="str">
        <f t="shared" si="76"/>
        <v/>
      </c>
      <c r="I296" s="47"/>
      <c r="J296" s="3" t="str">
        <f t="shared" si="77"/>
        <v/>
      </c>
      <c r="K296" s="47"/>
      <c r="L296" s="3" t="str">
        <f t="shared" si="78"/>
        <v/>
      </c>
      <c r="M296" s="47"/>
      <c r="N296" s="3" t="str">
        <f t="shared" si="79"/>
        <v/>
      </c>
      <c r="O296" s="47"/>
      <c r="P296" s="3" t="str">
        <f t="shared" si="80"/>
        <v/>
      </c>
      <c r="Q296" s="47"/>
      <c r="R296" s="3" t="str">
        <f t="shared" si="81"/>
        <v/>
      </c>
      <c r="S296" s="47"/>
      <c r="T296" s="1" t="str">
        <f t="shared" si="82"/>
        <v/>
      </c>
      <c r="U296" s="47"/>
      <c r="V296" s="1" t="str">
        <f t="shared" si="83"/>
        <v/>
      </c>
      <c r="W296" s="47"/>
      <c r="X296" s="1" t="str">
        <f t="shared" si="84"/>
        <v/>
      </c>
      <c r="Y296" s="47"/>
      <c r="Z296" s="1" t="str">
        <f t="shared" si="85"/>
        <v/>
      </c>
      <c r="AA296" s="47"/>
      <c r="AB296" s="1" t="str">
        <f t="shared" si="86"/>
        <v/>
      </c>
      <c r="AC296" s="47"/>
      <c r="AD296" s="1" t="str">
        <f t="shared" si="87"/>
        <v/>
      </c>
      <c r="AE296" s="47"/>
      <c r="AF296" s="1" t="str">
        <f t="shared" si="88"/>
        <v/>
      </c>
      <c r="AG296" s="47"/>
    </row>
    <row r="297" spans="1:33">
      <c r="A297">
        <f t="shared" si="72"/>
        <v>0</v>
      </c>
      <c r="B297" s="2" t="str">
        <f t="shared" si="89"/>
        <v/>
      </c>
      <c r="C297" s="4" t="str">
        <f t="shared" si="73"/>
        <v/>
      </c>
      <c r="D297" s="3" t="str">
        <f t="shared" si="74"/>
        <v/>
      </c>
      <c r="E297" s="47"/>
      <c r="F297" s="3" t="str">
        <f t="shared" si="75"/>
        <v/>
      </c>
      <c r="G297" s="47"/>
      <c r="H297" s="3" t="str">
        <f t="shared" si="76"/>
        <v/>
      </c>
      <c r="I297" s="47"/>
      <c r="J297" s="3" t="str">
        <f t="shared" si="77"/>
        <v/>
      </c>
      <c r="K297" s="47"/>
      <c r="L297" s="3" t="str">
        <f t="shared" si="78"/>
        <v/>
      </c>
      <c r="M297" s="47"/>
      <c r="N297" s="3" t="str">
        <f t="shared" si="79"/>
        <v/>
      </c>
      <c r="O297" s="47"/>
      <c r="P297" s="3" t="str">
        <f t="shared" si="80"/>
        <v/>
      </c>
      <c r="Q297" s="47"/>
      <c r="R297" s="3" t="str">
        <f t="shared" si="81"/>
        <v/>
      </c>
      <c r="S297" s="47"/>
      <c r="T297" s="1" t="str">
        <f t="shared" si="82"/>
        <v/>
      </c>
      <c r="U297" s="47"/>
      <c r="V297" s="1" t="str">
        <f t="shared" si="83"/>
        <v/>
      </c>
      <c r="W297" s="47"/>
      <c r="X297" s="1" t="str">
        <f t="shared" si="84"/>
        <v/>
      </c>
      <c r="Y297" s="47"/>
      <c r="Z297" s="1" t="str">
        <f t="shared" si="85"/>
        <v/>
      </c>
      <c r="AA297" s="47"/>
      <c r="AB297" s="1" t="str">
        <f t="shared" si="86"/>
        <v/>
      </c>
      <c r="AC297" s="47"/>
      <c r="AD297" s="1" t="str">
        <f t="shared" si="87"/>
        <v/>
      </c>
      <c r="AE297" s="47"/>
      <c r="AF297" s="1" t="str">
        <f t="shared" si="88"/>
        <v/>
      </c>
      <c r="AG297" s="47"/>
    </row>
    <row r="298" spans="1:33">
      <c r="A298">
        <f t="shared" si="72"/>
        <v>0</v>
      </c>
      <c r="B298" s="2" t="str">
        <f t="shared" si="89"/>
        <v/>
      </c>
      <c r="C298" s="4" t="str">
        <f t="shared" si="73"/>
        <v/>
      </c>
      <c r="D298" s="3" t="str">
        <f t="shared" si="74"/>
        <v/>
      </c>
      <c r="E298" s="47"/>
      <c r="F298" s="3" t="str">
        <f t="shared" si="75"/>
        <v/>
      </c>
      <c r="G298" s="47"/>
      <c r="H298" s="3" t="str">
        <f t="shared" si="76"/>
        <v/>
      </c>
      <c r="I298" s="47"/>
      <c r="J298" s="3" t="str">
        <f t="shared" si="77"/>
        <v/>
      </c>
      <c r="K298" s="47"/>
      <c r="L298" s="3" t="str">
        <f t="shared" si="78"/>
        <v/>
      </c>
      <c r="M298" s="47"/>
      <c r="N298" s="3" t="str">
        <f t="shared" si="79"/>
        <v/>
      </c>
      <c r="O298" s="47"/>
      <c r="P298" s="3" t="str">
        <f t="shared" si="80"/>
        <v/>
      </c>
      <c r="Q298" s="47"/>
      <c r="R298" s="3" t="str">
        <f t="shared" si="81"/>
        <v/>
      </c>
      <c r="S298" s="47"/>
      <c r="T298" s="1" t="str">
        <f t="shared" si="82"/>
        <v/>
      </c>
      <c r="U298" s="47"/>
      <c r="V298" s="1" t="str">
        <f t="shared" si="83"/>
        <v/>
      </c>
      <c r="W298" s="47"/>
      <c r="X298" s="1" t="str">
        <f t="shared" si="84"/>
        <v/>
      </c>
      <c r="Y298" s="47"/>
      <c r="Z298" s="1" t="str">
        <f t="shared" si="85"/>
        <v/>
      </c>
      <c r="AA298" s="47"/>
      <c r="AB298" s="1" t="str">
        <f t="shared" si="86"/>
        <v/>
      </c>
      <c r="AC298" s="47"/>
      <c r="AD298" s="1" t="str">
        <f t="shared" si="87"/>
        <v/>
      </c>
      <c r="AE298" s="47"/>
      <c r="AF298" s="1" t="str">
        <f t="shared" si="88"/>
        <v/>
      </c>
      <c r="AG298" s="47"/>
    </row>
    <row r="299" spans="1:33">
      <c r="A299">
        <f t="shared" si="72"/>
        <v>0</v>
      </c>
      <c r="B299" s="2" t="str">
        <f t="shared" si="89"/>
        <v/>
      </c>
      <c r="C299" s="4" t="str">
        <f t="shared" si="73"/>
        <v/>
      </c>
      <c r="D299" s="3" t="str">
        <f t="shared" si="74"/>
        <v/>
      </c>
      <c r="E299" s="47"/>
      <c r="F299" s="3" t="str">
        <f t="shared" si="75"/>
        <v/>
      </c>
      <c r="G299" s="47"/>
      <c r="H299" s="3" t="str">
        <f t="shared" si="76"/>
        <v/>
      </c>
      <c r="I299" s="47"/>
      <c r="J299" s="3" t="str">
        <f t="shared" si="77"/>
        <v/>
      </c>
      <c r="K299" s="47"/>
      <c r="L299" s="3" t="str">
        <f t="shared" si="78"/>
        <v/>
      </c>
      <c r="M299" s="47"/>
      <c r="N299" s="3" t="str">
        <f t="shared" si="79"/>
        <v/>
      </c>
      <c r="O299" s="47"/>
      <c r="P299" s="3" t="str">
        <f t="shared" si="80"/>
        <v/>
      </c>
      <c r="Q299" s="47"/>
      <c r="R299" s="3" t="str">
        <f t="shared" si="81"/>
        <v/>
      </c>
      <c r="S299" s="47"/>
      <c r="T299" s="1" t="str">
        <f t="shared" si="82"/>
        <v/>
      </c>
      <c r="U299" s="47"/>
      <c r="V299" s="1" t="str">
        <f t="shared" si="83"/>
        <v/>
      </c>
      <c r="W299" s="47"/>
      <c r="X299" s="1" t="str">
        <f t="shared" si="84"/>
        <v/>
      </c>
      <c r="Y299" s="47"/>
      <c r="Z299" s="1" t="str">
        <f t="shared" si="85"/>
        <v/>
      </c>
      <c r="AA299" s="47"/>
      <c r="AB299" s="1" t="str">
        <f t="shared" si="86"/>
        <v/>
      </c>
      <c r="AC299" s="47"/>
      <c r="AD299" s="1" t="str">
        <f t="shared" si="87"/>
        <v/>
      </c>
      <c r="AE299" s="47"/>
      <c r="AF299" s="1" t="str">
        <f t="shared" si="88"/>
        <v/>
      </c>
      <c r="AG299" s="47"/>
    </row>
    <row r="300" spans="1:33">
      <c r="A300">
        <f t="shared" si="72"/>
        <v>0</v>
      </c>
      <c r="B300" s="2" t="str">
        <f t="shared" si="89"/>
        <v/>
      </c>
      <c r="C300" s="4" t="str">
        <f t="shared" si="73"/>
        <v/>
      </c>
      <c r="D300" s="3" t="str">
        <f t="shared" si="74"/>
        <v/>
      </c>
      <c r="E300" s="47"/>
      <c r="F300" s="3" t="str">
        <f t="shared" si="75"/>
        <v/>
      </c>
      <c r="G300" s="47"/>
      <c r="H300" s="3" t="str">
        <f t="shared" si="76"/>
        <v/>
      </c>
      <c r="I300" s="47"/>
      <c r="J300" s="3" t="str">
        <f t="shared" si="77"/>
        <v/>
      </c>
      <c r="K300" s="47"/>
      <c r="L300" s="3" t="str">
        <f t="shared" si="78"/>
        <v/>
      </c>
      <c r="M300" s="47"/>
      <c r="N300" s="3" t="str">
        <f t="shared" si="79"/>
        <v/>
      </c>
      <c r="O300" s="47"/>
      <c r="P300" s="3" t="str">
        <f t="shared" si="80"/>
        <v/>
      </c>
      <c r="Q300" s="47"/>
      <c r="R300" s="3" t="str">
        <f t="shared" si="81"/>
        <v/>
      </c>
      <c r="S300" s="47"/>
      <c r="T300" s="1" t="str">
        <f t="shared" si="82"/>
        <v/>
      </c>
      <c r="U300" s="47"/>
      <c r="V300" s="1" t="str">
        <f t="shared" si="83"/>
        <v/>
      </c>
      <c r="W300" s="47"/>
      <c r="X300" s="1" t="str">
        <f t="shared" si="84"/>
        <v/>
      </c>
      <c r="Y300" s="47"/>
      <c r="Z300" s="1" t="str">
        <f t="shared" si="85"/>
        <v/>
      </c>
      <c r="AA300" s="47"/>
      <c r="AB300" s="1" t="str">
        <f t="shared" si="86"/>
        <v/>
      </c>
      <c r="AC300" s="47"/>
      <c r="AD300" s="1" t="str">
        <f t="shared" si="87"/>
        <v/>
      </c>
      <c r="AE300" s="47"/>
      <c r="AF300" s="1" t="str">
        <f t="shared" si="88"/>
        <v/>
      </c>
      <c r="AG300" s="47"/>
    </row>
    <row r="301" spans="1:33">
      <c r="A301">
        <f t="shared" si="72"/>
        <v>0</v>
      </c>
      <c r="B301" s="2" t="str">
        <f t="shared" si="89"/>
        <v/>
      </c>
      <c r="C301" s="4" t="str">
        <f t="shared" si="73"/>
        <v/>
      </c>
      <c r="D301" s="3" t="str">
        <f t="shared" si="74"/>
        <v/>
      </c>
      <c r="E301" s="47"/>
      <c r="F301" s="3" t="str">
        <f t="shared" si="75"/>
        <v/>
      </c>
      <c r="G301" s="47"/>
      <c r="H301" s="3" t="str">
        <f t="shared" si="76"/>
        <v/>
      </c>
      <c r="I301" s="47"/>
      <c r="J301" s="3" t="str">
        <f t="shared" si="77"/>
        <v/>
      </c>
      <c r="K301" s="47"/>
      <c r="L301" s="3" t="str">
        <f t="shared" si="78"/>
        <v/>
      </c>
      <c r="M301" s="47"/>
      <c r="N301" s="3" t="str">
        <f t="shared" si="79"/>
        <v/>
      </c>
      <c r="O301" s="47"/>
      <c r="P301" s="3" t="str">
        <f t="shared" si="80"/>
        <v/>
      </c>
      <c r="Q301" s="47"/>
      <c r="R301" s="3" t="str">
        <f t="shared" si="81"/>
        <v/>
      </c>
      <c r="S301" s="47"/>
      <c r="T301" s="1" t="str">
        <f t="shared" si="82"/>
        <v/>
      </c>
      <c r="U301" s="47"/>
      <c r="V301" s="1" t="str">
        <f t="shared" si="83"/>
        <v/>
      </c>
      <c r="W301" s="47"/>
      <c r="X301" s="1" t="str">
        <f t="shared" si="84"/>
        <v/>
      </c>
      <c r="Y301" s="47"/>
      <c r="Z301" s="1" t="str">
        <f t="shared" si="85"/>
        <v/>
      </c>
      <c r="AA301" s="47"/>
      <c r="AB301" s="1" t="str">
        <f t="shared" si="86"/>
        <v/>
      </c>
      <c r="AC301" s="47"/>
      <c r="AD301" s="1" t="str">
        <f t="shared" si="87"/>
        <v/>
      </c>
      <c r="AE301" s="47"/>
      <c r="AF301" s="1" t="str">
        <f t="shared" si="88"/>
        <v/>
      </c>
      <c r="AG301" s="47"/>
    </row>
    <row r="302" spans="1:33">
      <c r="A302">
        <f t="shared" si="72"/>
        <v>0</v>
      </c>
      <c r="B302" s="2" t="str">
        <f t="shared" si="89"/>
        <v/>
      </c>
      <c r="C302" s="4" t="str">
        <f t="shared" si="73"/>
        <v/>
      </c>
      <c r="D302" s="3" t="str">
        <f t="shared" si="74"/>
        <v/>
      </c>
      <c r="E302" s="47"/>
      <c r="F302" s="3" t="str">
        <f t="shared" si="75"/>
        <v/>
      </c>
      <c r="G302" s="47"/>
      <c r="H302" s="3" t="str">
        <f t="shared" si="76"/>
        <v/>
      </c>
      <c r="I302" s="47"/>
      <c r="J302" s="3" t="str">
        <f t="shared" si="77"/>
        <v/>
      </c>
      <c r="K302" s="47"/>
      <c r="L302" s="3" t="str">
        <f t="shared" si="78"/>
        <v/>
      </c>
      <c r="M302" s="47"/>
      <c r="N302" s="3" t="str">
        <f t="shared" si="79"/>
        <v/>
      </c>
      <c r="O302" s="47"/>
      <c r="P302" s="3" t="str">
        <f t="shared" si="80"/>
        <v/>
      </c>
      <c r="Q302" s="47"/>
      <c r="R302" s="3" t="str">
        <f t="shared" si="81"/>
        <v/>
      </c>
      <c r="S302" s="47"/>
      <c r="T302" s="1" t="str">
        <f t="shared" si="82"/>
        <v/>
      </c>
      <c r="U302" s="47"/>
      <c r="V302" s="1" t="str">
        <f t="shared" si="83"/>
        <v/>
      </c>
      <c r="W302" s="47"/>
      <c r="X302" s="1" t="str">
        <f t="shared" si="84"/>
        <v/>
      </c>
      <c r="Y302" s="47"/>
      <c r="Z302" s="1" t="str">
        <f t="shared" si="85"/>
        <v/>
      </c>
      <c r="AA302" s="47"/>
      <c r="AB302" s="1" t="str">
        <f t="shared" si="86"/>
        <v/>
      </c>
      <c r="AC302" s="47"/>
      <c r="AD302" s="1" t="str">
        <f t="shared" si="87"/>
        <v/>
      </c>
      <c r="AE302" s="47"/>
      <c r="AF302" s="1" t="str">
        <f t="shared" si="88"/>
        <v/>
      </c>
      <c r="AG302" s="47"/>
    </row>
    <row r="303" spans="1:33">
      <c r="A303">
        <f t="shared" si="72"/>
        <v>0</v>
      </c>
      <c r="B303" s="2" t="str">
        <f t="shared" si="89"/>
        <v/>
      </c>
      <c r="C303" s="4" t="str">
        <f t="shared" si="73"/>
        <v/>
      </c>
      <c r="D303" s="3" t="str">
        <f t="shared" si="74"/>
        <v/>
      </c>
      <c r="E303" s="47"/>
      <c r="F303" s="3" t="str">
        <f t="shared" si="75"/>
        <v/>
      </c>
      <c r="G303" s="47"/>
      <c r="H303" s="3" t="str">
        <f t="shared" si="76"/>
        <v/>
      </c>
      <c r="I303" s="47"/>
      <c r="J303" s="3" t="str">
        <f t="shared" si="77"/>
        <v/>
      </c>
      <c r="K303" s="47"/>
      <c r="L303" s="3" t="str">
        <f t="shared" si="78"/>
        <v/>
      </c>
      <c r="M303" s="47"/>
      <c r="N303" s="3" t="str">
        <f t="shared" si="79"/>
        <v/>
      </c>
      <c r="O303" s="47"/>
      <c r="P303" s="3" t="str">
        <f t="shared" si="80"/>
        <v/>
      </c>
      <c r="Q303" s="47"/>
      <c r="R303" s="3" t="str">
        <f t="shared" si="81"/>
        <v/>
      </c>
      <c r="S303" s="47"/>
      <c r="T303" s="1" t="str">
        <f t="shared" si="82"/>
        <v/>
      </c>
      <c r="U303" s="47"/>
      <c r="V303" s="1" t="str">
        <f t="shared" si="83"/>
        <v/>
      </c>
      <c r="W303" s="47"/>
      <c r="X303" s="1" t="str">
        <f t="shared" si="84"/>
        <v/>
      </c>
      <c r="Y303" s="47"/>
      <c r="Z303" s="1" t="str">
        <f t="shared" si="85"/>
        <v/>
      </c>
      <c r="AA303" s="47"/>
      <c r="AB303" s="1" t="str">
        <f t="shared" si="86"/>
        <v/>
      </c>
      <c r="AC303" s="47"/>
      <c r="AD303" s="1" t="str">
        <f t="shared" si="87"/>
        <v/>
      </c>
      <c r="AE303" s="47"/>
      <c r="AF303" s="1" t="str">
        <f t="shared" si="88"/>
        <v/>
      </c>
      <c r="AG303" s="47"/>
    </row>
    <row r="304" spans="1:33">
      <c r="A304">
        <f t="shared" si="72"/>
        <v>0</v>
      </c>
      <c r="B304" s="2" t="str">
        <f t="shared" si="89"/>
        <v/>
      </c>
      <c r="C304" s="4" t="str">
        <f t="shared" si="73"/>
        <v/>
      </c>
      <c r="D304" s="3" t="str">
        <f t="shared" si="74"/>
        <v/>
      </c>
      <c r="E304" s="47"/>
      <c r="F304" s="3" t="str">
        <f t="shared" si="75"/>
        <v/>
      </c>
      <c r="G304" s="47"/>
      <c r="H304" s="3" t="str">
        <f t="shared" si="76"/>
        <v/>
      </c>
      <c r="I304" s="47"/>
      <c r="J304" s="3" t="str">
        <f t="shared" si="77"/>
        <v/>
      </c>
      <c r="K304" s="47"/>
      <c r="L304" s="3" t="str">
        <f t="shared" si="78"/>
        <v/>
      </c>
      <c r="M304" s="47"/>
      <c r="N304" s="3" t="str">
        <f t="shared" si="79"/>
        <v/>
      </c>
      <c r="O304" s="47"/>
      <c r="P304" s="3" t="str">
        <f t="shared" si="80"/>
        <v/>
      </c>
      <c r="Q304" s="47"/>
      <c r="R304" s="3" t="str">
        <f t="shared" si="81"/>
        <v/>
      </c>
      <c r="S304" s="47"/>
      <c r="T304" s="1" t="str">
        <f t="shared" si="82"/>
        <v/>
      </c>
      <c r="U304" s="47"/>
      <c r="V304" s="1" t="str">
        <f t="shared" si="83"/>
        <v/>
      </c>
      <c r="W304" s="47"/>
      <c r="X304" s="1" t="str">
        <f t="shared" si="84"/>
        <v/>
      </c>
      <c r="Y304" s="47"/>
      <c r="Z304" s="1" t="str">
        <f t="shared" si="85"/>
        <v/>
      </c>
      <c r="AA304" s="47"/>
      <c r="AB304" s="1" t="str">
        <f t="shared" si="86"/>
        <v/>
      </c>
      <c r="AC304" s="47"/>
      <c r="AD304" s="1" t="str">
        <f t="shared" si="87"/>
        <v/>
      </c>
      <c r="AE304" s="47"/>
      <c r="AF304" s="1" t="str">
        <f t="shared" si="88"/>
        <v/>
      </c>
      <c r="AG304" s="47"/>
    </row>
    <row r="305" spans="1:33">
      <c r="A305">
        <f t="shared" si="72"/>
        <v>0</v>
      </c>
      <c r="B305" s="2" t="str">
        <f t="shared" si="89"/>
        <v/>
      </c>
      <c r="C305" s="4" t="str">
        <f t="shared" si="73"/>
        <v/>
      </c>
      <c r="D305" s="3" t="str">
        <f t="shared" si="74"/>
        <v/>
      </c>
      <c r="E305" s="47"/>
      <c r="F305" s="3" t="str">
        <f t="shared" si="75"/>
        <v/>
      </c>
      <c r="G305" s="47"/>
      <c r="H305" s="3" t="str">
        <f t="shared" si="76"/>
        <v/>
      </c>
      <c r="I305" s="47"/>
      <c r="J305" s="3" t="str">
        <f t="shared" si="77"/>
        <v/>
      </c>
      <c r="K305" s="47"/>
      <c r="L305" s="3" t="str">
        <f t="shared" si="78"/>
        <v/>
      </c>
      <c r="M305" s="47"/>
      <c r="N305" s="3" t="str">
        <f t="shared" si="79"/>
        <v/>
      </c>
      <c r="O305" s="47"/>
      <c r="P305" s="3" t="str">
        <f t="shared" si="80"/>
        <v/>
      </c>
      <c r="Q305" s="47"/>
      <c r="R305" s="3" t="str">
        <f t="shared" si="81"/>
        <v/>
      </c>
      <c r="S305" s="47"/>
      <c r="T305" s="1" t="str">
        <f t="shared" si="82"/>
        <v/>
      </c>
      <c r="U305" s="47"/>
      <c r="V305" s="1" t="str">
        <f t="shared" si="83"/>
        <v/>
      </c>
      <c r="W305" s="47"/>
      <c r="X305" s="1" t="str">
        <f t="shared" si="84"/>
        <v/>
      </c>
      <c r="Y305" s="47"/>
      <c r="Z305" s="1" t="str">
        <f t="shared" si="85"/>
        <v/>
      </c>
      <c r="AA305" s="47"/>
      <c r="AB305" s="1" t="str">
        <f t="shared" si="86"/>
        <v/>
      </c>
      <c r="AC305" s="47"/>
      <c r="AD305" s="1" t="str">
        <f t="shared" si="87"/>
        <v/>
      </c>
      <c r="AE305" s="47"/>
      <c r="AF305" s="1" t="str">
        <f t="shared" si="88"/>
        <v/>
      </c>
      <c r="AG305" s="47"/>
    </row>
    <row r="306" spans="1:33">
      <c r="A306">
        <f t="shared" si="72"/>
        <v>0</v>
      </c>
      <c r="B306" s="2" t="str">
        <f t="shared" si="89"/>
        <v/>
      </c>
      <c r="C306" s="4" t="str">
        <f t="shared" si="73"/>
        <v/>
      </c>
      <c r="D306" s="3" t="str">
        <f t="shared" si="74"/>
        <v/>
      </c>
      <c r="E306" s="47"/>
      <c r="F306" s="3" t="str">
        <f t="shared" si="75"/>
        <v/>
      </c>
      <c r="G306" s="47"/>
      <c r="H306" s="3" t="str">
        <f t="shared" si="76"/>
        <v/>
      </c>
      <c r="I306" s="47"/>
      <c r="J306" s="3" t="str">
        <f t="shared" si="77"/>
        <v/>
      </c>
      <c r="K306" s="47"/>
      <c r="L306" s="3" t="str">
        <f t="shared" si="78"/>
        <v/>
      </c>
      <c r="M306" s="47"/>
      <c r="N306" s="3" t="str">
        <f t="shared" si="79"/>
        <v/>
      </c>
      <c r="O306" s="47"/>
      <c r="P306" s="3" t="str">
        <f t="shared" si="80"/>
        <v/>
      </c>
      <c r="Q306" s="47"/>
      <c r="R306" s="3" t="str">
        <f t="shared" si="81"/>
        <v/>
      </c>
      <c r="S306" s="47"/>
      <c r="T306" s="1" t="str">
        <f t="shared" si="82"/>
        <v/>
      </c>
      <c r="U306" s="47"/>
      <c r="V306" s="1" t="str">
        <f t="shared" si="83"/>
        <v/>
      </c>
      <c r="W306" s="47"/>
      <c r="X306" s="1" t="str">
        <f t="shared" si="84"/>
        <v/>
      </c>
      <c r="Y306" s="47"/>
      <c r="Z306" s="1" t="str">
        <f t="shared" si="85"/>
        <v/>
      </c>
      <c r="AA306" s="47"/>
      <c r="AB306" s="1" t="str">
        <f t="shared" si="86"/>
        <v/>
      </c>
      <c r="AC306" s="47"/>
      <c r="AD306" s="1" t="str">
        <f t="shared" si="87"/>
        <v/>
      </c>
      <c r="AE306" s="47"/>
      <c r="AF306" s="1" t="str">
        <f t="shared" si="88"/>
        <v/>
      </c>
      <c r="AG306" s="47"/>
    </row>
    <row r="307" spans="1:33">
      <c r="A307">
        <f t="shared" si="72"/>
        <v>0</v>
      </c>
      <c r="B307" s="2" t="str">
        <f t="shared" si="89"/>
        <v/>
      </c>
      <c r="C307" s="4" t="str">
        <f t="shared" si="73"/>
        <v/>
      </c>
      <c r="D307" s="3" t="str">
        <f t="shared" si="74"/>
        <v/>
      </c>
      <c r="E307" s="47"/>
      <c r="F307" s="3" t="str">
        <f t="shared" si="75"/>
        <v/>
      </c>
      <c r="G307" s="47"/>
      <c r="H307" s="3" t="str">
        <f t="shared" si="76"/>
        <v/>
      </c>
      <c r="I307" s="47"/>
      <c r="J307" s="3" t="str">
        <f t="shared" si="77"/>
        <v/>
      </c>
      <c r="K307" s="47"/>
      <c r="L307" s="3" t="str">
        <f t="shared" si="78"/>
        <v/>
      </c>
      <c r="M307" s="47"/>
      <c r="N307" s="3" t="str">
        <f t="shared" si="79"/>
        <v/>
      </c>
      <c r="O307" s="47"/>
      <c r="P307" s="3" t="str">
        <f t="shared" si="80"/>
        <v/>
      </c>
      <c r="Q307" s="47"/>
      <c r="R307" s="3" t="str">
        <f t="shared" si="81"/>
        <v/>
      </c>
      <c r="S307" s="47"/>
      <c r="T307" s="1" t="str">
        <f t="shared" si="82"/>
        <v/>
      </c>
      <c r="U307" s="47"/>
      <c r="V307" s="1" t="str">
        <f t="shared" si="83"/>
        <v/>
      </c>
      <c r="W307" s="47"/>
      <c r="X307" s="1" t="str">
        <f t="shared" si="84"/>
        <v/>
      </c>
      <c r="Y307" s="47"/>
      <c r="Z307" s="1" t="str">
        <f t="shared" si="85"/>
        <v/>
      </c>
      <c r="AA307" s="47"/>
      <c r="AB307" s="1" t="str">
        <f t="shared" si="86"/>
        <v/>
      </c>
      <c r="AC307" s="47"/>
      <c r="AD307" s="1" t="str">
        <f t="shared" si="87"/>
        <v/>
      </c>
      <c r="AE307" s="47"/>
      <c r="AF307" s="1" t="str">
        <f t="shared" si="88"/>
        <v/>
      </c>
      <c r="AG307" s="47"/>
    </row>
    <row r="308" spans="1:33">
      <c r="A308">
        <f t="shared" si="72"/>
        <v>0</v>
      </c>
      <c r="B308" s="2" t="str">
        <f t="shared" si="89"/>
        <v/>
      </c>
      <c r="C308" s="4" t="str">
        <f t="shared" si="73"/>
        <v/>
      </c>
      <c r="D308" s="3" t="str">
        <f t="shared" si="74"/>
        <v/>
      </c>
      <c r="E308" s="47"/>
      <c r="F308" s="3" t="str">
        <f t="shared" si="75"/>
        <v/>
      </c>
      <c r="G308" s="47"/>
      <c r="H308" s="3" t="str">
        <f t="shared" si="76"/>
        <v/>
      </c>
      <c r="I308" s="47"/>
      <c r="J308" s="3" t="str">
        <f t="shared" si="77"/>
        <v/>
      </c>
      <c r="K308" s="47"/>
      <c r="L308" s="3" t="str">
        <f t="shared" si="78"/>
        <v/>
      </c>
      <c r="M308" s="47"/>
      <c r="N308" s="3" t="str">
        <f t="shared" si="79"/>
        <v/>
      </c>
      <c r="O308" s="47"/>
      <c r="P308" s="3" t="str">
        <f t="shared" si="80"/>
        <v/>
      </c>
      <c r="Q308" s="47"/>
      <c r="R308" s="3" t="str">
        <f t="shared" si="81"/>
        <v/>
      </c>
      <c r="S308" s="47"/>
      <c r="T308" s="1" t="str">
        <f t="shared" si="82"/>
        <v/>
      </c>
      <c r="U308" s="47"/>
      <c r="V308" s="1" t="str">
        <f t="shared" si="83"/>
        <v/>
      </c>
      <c r="W308" s="47"/>
      <c r="X308" s="1" t="str">
        <f t="shared" si="84"/>
        <v/>
      </c>
      <c r="Y308" s="47"/>
      <c r="Z308" s="1" t="str">
        <f t="shared" si="85"/>
        <v/>
      </c>
      <c r="AA308" s="47"/>
      <c r="AB308" s="1" t="str">
        <f t="shared" si="86"/>
        <v/>
      </c>
      <c r="AC308" s="47"/>
      <c r="AD308" s="1" t="str">
        <f t="shared" si="87"/>
        <v/>
      </c>
      <c r="AE308" s="47"/>
      <c r="AF308" s="1" t="str">
        <f t="shared" si="88"/>
        <v/>
      </c>
      <c r="AG308" s="47"/>
    </row>
    <row r="309" spans="1:33">
      <c r="A309">
        <f t="shared" si="72"/>
        <v>0</v>
      </c>
      <c r="B309" s="2" t="str">
        <f t="shared" si="89"/>
        <v/>
      </c>
      <c r="C309" s="4" t="str">
        <f t="shared" si="73"/>
        <v/>
      </c>
      <c r="D309" s="3" t="str">
        <f t="shared" si="74"/>
        <v/>
      </c>
      <c r="E309" s="47"/>
      <c r="F309" s="3" t="str">
        <f t="shared" si="75"/>
        <v/>
      </c>
      <c r="G309" s="47"/>
      <c r="H309" s="3" t="str">
        <f t="shared" si="76"/>
        <v/>
      </c>
      <c r="I309" s="47"/>
      <c r="J309" s="3" t="str">
        <f t="shared" si="77"/>
        <v/>
      </c>
      <c r="K309" s="47"/>
      <c r="L309" s="3" t="str">
        <f t="shared" si="78"/>
        <v/>
      </c>
      <c r="M309" s="47"/>
      <c r="N309" s="3" t="str">
        <f t="shared" si="79"/>
        <v/>
      </c>
      <c r="O309" s="47"/>
      <c r="P309" s="3" t="str">
        <f t="shared" si="80"/>
        <v/>
      </c>
      <c r="Q309" s="47"/>
      <c r="R309" s="3" t="str">
        <f t="shared" si="81"/>
        <v/>
      </c>
      <c r="S309" s="47"/>
      <c r="T309" s="1" t="str">
        <f t="shared" si="82"/>
        <v/>
      </c>
      <c r="U309" s="47"/>
      <c r="V309" s="1" t="str">
        <f t="shared" si="83"/>
        <v/>
      </c>
      <c r="W309" s="47"/>
      <c r="X309" s="1" t="str">
        <f t="shared" si="84"/>
        <v/>
      </c>
      <c r="Y309" s="47"/>
      <c r="Z309" s="1" t="str">
        <f t="shared" si="85"/>
        <v/>
      </c>
      <c r="AA309" s="47"/>
      <c r="AB309" s="1" t="str">
        <f t="shared" si="86"/>
        <v/>
      </c>
      <c r="AC309" s="47"/>
      <c r="AD309" s="1" t="str">
        <f t="shared" si="87"/>
        <v/>
      </c>
      <c r="AE309" s="47"/>
      <c r="AF309" s="1" t="str">
        <f t="shared" si="88"/>
        <v/>
      </c>
      <c r="AG309" s="47"/>
    </row>
    <row r="310" spans="1:33">
      <c r="A310">
        <f t="shared" si="72"/>
        <v>0</v>
      </c>
      <c r="B310" s="2" t="str">
        <f t="shared" si="89"/>
        <v/>
      </c>
      <c r="C310" s="4" t="str">
        <f t="shared" si="73"/>
        <v/>
      </c>
      <c r="D310" s="3" t="str">
        <f t="shared" si="74"/>
        <v/>
      </c>
      <c r="E310" s="47"/>
      <c r="F310" s="3" t="str">
        <f t="shared" si="75"/>
        <v/>
      </c>
      <c r="G310" s="47"/>
      <c r="H310" s="3" t="str">
        <f t="shared" si="76"/>
        <v/>
      </c>
      <c r="I310" s="47"/>
      <c r="J310" s="3" t="str">
        <f t="shared" si="77"/>
        <v/>
      </c>
      <c r="K310" s="47"/>
      <c r="L310" s="3" t="str">
        <f t="shared" si="78"/>
        <v/>
      </c>
      <c r="M310" s="47"/>
      <c r="N310" s="3" t="str">
        <f t="shared" si="79"/>
        <v/>
      </c>
      <c r="O310" s="47"/>
      <c r="P310" s="3" t="str">
        <f t="shared" si="80"/>
        <v/>
      </c>
      <c r="Q310" s="47"/>
      <c r="R310" s="3" t="str">
        <f t="shared" si="81"/>
        <v/>
      </c>
      <c r="S310" s="47"/>
      <c r="T310" s="1" t="str">
        <f t="shared" si="82"/>
        <v/>
      </c>
      <c r="U310" s="47"/>
      <c r="V310" s="1" t="str">
        <f t="shared" si="83"/>
        <v/>
      </c>
      <c r="W310" s="47"/>
      <c r="X310" s="1" t="str">
        <f t="shared" si="84"/>
        <v/>
      </c>
      <c r="Y310" s="47"/>
      <c r="Z310" s="1" t="str">
        <f t="shared" si="85"/>
        <v/>
      </c>
      <c r="AA310" s="47"/>
      <c r="AB310" s="1" t="str">
        <f t="shared" si="86"/>
        <v/>
      </c>
      <c r="AC310" s="47"/>
      <c r="AD310" s="1" t="str">
        <f t="shared" si="87"/>
        <v/>
      </c>
      <c r="AE310" s="47"/>
      <c r="AF310" s="1" t="str">
        <f t="shared" si="88"/>
        <v/>
      </c>
      <c r="AG310" s="47"/>
    </row>
    <row r="311" spans="1:33">
      <c r="A311">
        <f t="shared" si="72"/>
        <v>0</v>
      </c>
      <c r="B311" s="2" t="str">
        <f t="shared" si="89"/>
        <v/>
      </c>
      <c r="C311" s="4" t="str">
        <f t="shared" si="73"/>
        <v/>
      </c>
      <c r="D311" s="3" t="str">
        <f t="shared" si="74"/>
        <v/>
      </c>
      <c r="E311" s="47"/>
      <c r="F311" s="3" t="str">
        <f t="shared" si="75"/>
        <v/>
      </c>
      <c r="G311" s="47"/>
      <c r="H311" s="3" t="str">
        <f t="shared" si="76"/>
        <v/>
      </c>
      <c r="I311" s="47"/>
      <c r="J311" s="3" t="str">
        <f t="shared" si="77"/>
        <v/>
      </c>
      <c r="K311" s="47"/>
      <c r="L311" s="3" t="str">
        <f t="shared" si="78"/>
        <v/>
      </c>
      <c r="M311" s="47"/>
      <c r="N311" s="3" t="str">
        <f t="shared" si="79"/>
        <v/>
      </c>
      <c r="O311" s="47"/>
      <c r="P311" s="3" t="str">
        <f t="shared" si="80"/>
        <v/>
      </c>
      <c r="Q311" s="47"/>
      <c r="R311" s="3" t="str">
        <f t="shared" si="81"/>
        <v/>
      </c>
      <c r="S311" s="47"/>
      <c r="T311" s="1" t="str">
        <f t="shared" si="82"/>
        <v/>
      </c>
      <c r="U311" s="47"/>
      <c r="V311" s="1" t="str">
        <f t="shared" si="83"/>
        <v/>
      </c>
      <c r="W311" s="47"/>
      <c r="X311" s="1" t="str">
        <f t="shared" si="84"/>
        <v/>
      </c>
      <c r="Y311" s="47"/>
      <c r="Z311" s="1" t="str">
        <f t="shared" si="85"/>
        <v/>
      </c>
      <c r="AA311" s="47"/>
      <c r="AB311" s="1" t="str">
        <f t="shared" si="86"/>
        <v/>
      </c>
      <c r="AC311" s="47"/>
      <c r="AD311" s="1" t="str">
        <f t="shared" si="87"/>
        <v/>
      </c>
      <c r="AE311" s="47"/>
      <c r="AF311" s="1" t="str">
        <f t="shared" si="88"/>
        <v/>
      </c>
      <c r="AG311" s="47"/>
    </row>
    <row r="312" spans="1:33">
      <c r="A312">
        <f t="shared" si="72"/>
        <v>0</v>
      </c>
      <c r="B312" s="2" t="str">
        <f t="shared" si="89"/>
        <v/>
      </c>
      <c r="C312" s="4" t="str">
        <f t="shared" si="73"/>
        <v/>
      </c>
      <c r="D312" s="3" t="str">
        <f t="shared" si="74"/>
        <v/>
      </c>
      <c r="E312" s="47"/>
      <c r="F312" s="3" t="str">
        <f t="shared" si="75"/>
        <v/>
      </c>
      <c r="G312" s="47"/>
      <c r="H312" s="3" t="str">
        <f t="shared" si="76"/>
        <v/>
      </c>
      <c r="I312" s="47"/>
      <c r="J312" s="3" t="str">
        <f t="shared" si="77"/>
        <v/>
      </c>
      <c r="K312" s="47"/>
      <c r="L312" s="3" t="str">
        <f t="shared" si="78"/>
        <v/>
      </c>
      <c r="M312" s="47"/>
      <c r="N312" s="3" t="str">
        <f t="shared" si="79"/>
        <v/>
      </c>
      <c r="O312" s="47"/>
      <c r="P312" s="3" t="str">
        <f t="shared" si="80"/>
        <v/>
      </c>
      <c r="Q312" s="47"/>
      <c r="R312" s="3" t="str">
        <f t="shared" si="81"/>
        <v/>
      </c>
      <c r="S312" s="47"/>
      <c r="T312" s="1" t="str">
        <f t="shared" si="82"/>
        <v/>
      </c>
      <c r="U312" s="47"/>
      <c r="V312" s="1" t="str">
        <f t="shared" si="83"/>
        <v/>
      </c>
      <c r="W312" s="47"/>
      <c r="X312" s="1" t="str">
        <f t="shared" si="84"/>
        <v/>
      </c>
      <c r="Y312" s="47"/>
      <c r="Z312" s="1" t="str">
        <f t="shared" si="85"/>
        <v/>
      </c>
      <c r="AA312" s="47"/>
      <c r="AB312" s="1" t="str">
        <f t="shared" si="86"/>
        <v/>
      </c>
      <c r="AC312" s="47"/>
      <c r="AD312" s="1" t="str">
        <f t="shared" si="87"/>
        <v/>
      </c>
      <c r="AE312" s="47"/>
      <c r="AF312" s="1" t="str">
        <f t="shared" si="88"/>
        <v/>
      </c>
      <c r="AG312" s="47"/>
    </row>
    <row r="313" spans="1:33">
      <c r="A313">
        <f t="shared" si="72"/>
        <v>0</v>
      </c>
      <c r="B313" s="2" t="str">
        <f t="shared" si="89"/>
        <v/>
      </c>
      <c r="C313" s="4" t="str">
        <f t="shared" si="73"/>
        <v/>
      </c>
      <c r="D313" s="3" t="str">
        <f t="shared" si="74"/>
        <v/>
      </c>
      <c r="E313" s="47"/>
      <c r="F313" s="3" t="str">
        <f t="shared" si="75"/>
        <v/>
      </c>
      <c r="G313" s="47"/>
      <c r="H313" s="3" t="str">
        <f t="shared" si="76"/>
        <v/>
      </c>
      <c r="I313" s="47"/>
      <c r="J313" s="3" t="str">
        <f t="shared" si="77"/>
        <v/>
      </c>
      <c r="K313" s="47"/>
      <c r="L313" s="3" t="str">
        <f t="shared" si="78"/>
        <v/>
      </c>
      <c r="M313" s="47"/>
      <c r="N313" s="3" t="str">
        <f t="shared" si="79"/>
        <v/>
      </c>
      <c r="O313" s="47"/>
      <c r="P313" s="3" t="str">
        <f t="shared" si="80"/>
        <v/>
      </c>
      <c r="Q313" s="47"/>
      <c r="R313" s="3" t="str">
        <f t="shared" si="81"/>
        <v/>
      </c>
      <c r="S313" s="47"/>
      <c r="T313" s="1" t="str">
        <f t="shared" si="82"/>
        <v/>
      </c>
      <c r="U313" s="47"/>
      <c r="V313" s="1" t="str">
        <f t="shared" si="83"/>
        <v/>
      </c>
      <c r="W313" s="47"/>
      <c r="X313" s="1" t="str">
        <f t="shared" si="84"/>
        <v/>
      </c>
      <c r="Y313" s="47"/>
      <c r="Z313" s="1" t="str">
        <f t="shared" si="85"/>
        <v/>
      </c>
      <c r="AA313" s="47"/>
      <c r="AB313" s="1" t="str">
        <f t="shared" si="86"/>
        <v/>
      </c>
      <c r="AC313" s="47"/>
      <c r="AD313" s="1" t="str">
        <f t="shared" si="87"/>
        <v/>
      </c>
      <c r="AE313" s="47"/>
      <c r="AF313" s="1" t="str">
        <f t="shared" si="88"/>
        <v/>
      </c>
      <c r="AG313" s="47"/>
    </row>
    <row r="314" spans="1:33">
      <c r="A314">
        <f t="shared" si="72"/>
        <v>0</v>
      </c>
      <c r="B314" s="2" t="str">
        <f t="shared" si="89"/>
        <v/>
      </c>
      <c r="C314" s="4" t="str">
        <f t="shared" si="73"/>
        <v/>
      </c>
      <c r="D314" s="3" t="str">
        <f t="shared" si="74"/>
        <v/>
      </c>
      <c r="E314" s="47"/>
      <c r="F314" s="3" t="str">
        <f t="shared" si="75"/>
        <v/>
      </c>
      <c r="G314" s="47"/>
      <c r="H314" s="3" t="str">
        <f t="shared" si="76"/>
        <v/>
      </c>
      <c r="I314" s="47"/>
      <c r="J314" s="3" t="str">
        <f t="shared" si="77"/>
        <v/>
      </c>
      <c r="K314" s="47"/>
      <c r="L314" s="3" t="str">
        <f t="shared" si="78"/>
        <v/>
      </c>
      <c r="M314" s="47"/>
      <c r="N314" s="3" t="str">
        <f t="shared" si="79"/>
        <v/>
      </c>
      <c r="O314" s="47"/>
      <c r="P314" s="3" t="str">
        <f t="shared" si="80"/>
        <v/>
      </c>
      <c r="Q314" s="47"/>
      <c r="R314" s="3" t="str">
        <f t="shared" si="81"/>
        <v/>
      </c>
      <c r="S314" s="47"/>
      <c r="T314" s="1" t="str">
        <f t="shared" si="82"/>
        <v/>
      </c>
      <c r="U314" s="47"/>
      <c r="V314" s="1" t="str">
        <f t="shared" si="83"/>
        <v/>
      </c>
      <c r="W314" s="47"/>
      <c r="X314" s="1" t="str">
        <f t="shared" si="84"/>
        <v/>
      </c>
      <c r="Y314" s="47"/>
      <c r="Z314" s="1" t="str">
        <f t="shared" si="85"/>
        <v/>
      </c>
      <c r="AA314" s="47"/>
      <c r="AB314" s="1" t="str">
        <f t="shared" si="86"/>
        <v/>
      </c>
      <c r="AC314" s="47"/>
      <c r="AD314" s="1" t="str">
        <f t="shared" si="87"/>
        <v/>
      </c>
      <c r="AE314" s="47"/>
      <c r="AF314" s="1" t="str">
        <f t="shared" si="88"/>
        <v/>
      </c>
      <c r="AG314" s="47"/>
    </row>
    <row r="315" spans="1:33">
      <c r="A315">
        <f t="shared" si="72"/>
        <v>0</v>
      </c>
      <c r="B315" s="2" t="str">
        <f t="shared" si="89"/>
        <v/>
      </c>
      <c r="C315" s="4" t="str">
        <f t="shared" si="73"/>
        <v/>
      </c>
      <c r="D315" s="3" t="str">
        <f t="shared" si="74"/>
        <v/>
      </c>
      <c r="E315" s="47"/>
      <c r="F315" s="3" t="str">
        <f t="shared" si="75"/>
        <v/>
      </c>
      <c r="G315" s="47"/>
      <c r="H315" s="3" t="str">
        <f t="shared" si="76"/>
        <v/>
      </c>
      <c r="I315" s="47"/>
      <c r="J315" s="3" t="str">
        <f t="shared" si="77"/>
        <v/>
      </c>
      <c r="K315" s="47"/>
      <c r="L315" s="3" t="str">
        <f t="shared" si="78"/>
        <v/>
      </c>
      <c r="M315" s="47"/>
      <c r="N315" s="3" t="str">
        <f t="shared" si="79"/>
        <v/>
      </c>
      <c r="O315" s="47"/>
      <c r="P315" s="3" t="str">
        <f t="shared" si="80"/>
        <v/>
      </c>
      <c r="Q315" s="47"/>
      <c r="R315" s="3" t="str">
        <f t="shared" si="81"/>
        <v/>
      </c>
      <c r="S315" s="47"/>
      <c r="T315" s="1" t="str">
        <f t="shared" si="82"/>
        <v/>
      </c>
      <c r="U315" s="47"/>
      <c r="V315" s="1" t="str">
        <f t="shared" si="83"/>
        <v/>
      </c>
      <c r="W315" s="47"/>
      <c r="X315" s="1" t="str">
        <f t="shared" si="84"/>
        <v/>
      </c>
      <c r="Y315" s="47"/>
      <c r="Z315" s="1" t="str">
        <f t="shared" si="85"/>
        <v/>
      </c>
      <c r="AA315" s="47"/>
      <c r="AB315" s="1" t="str">
        <f t="shared" si="86"/>
        <v/>
      </c>
      <c r="AC315" s="47"/>
      <c r="AD315" s="1" t="str">
        <f t="shared" si="87"/>
        <v/>
      </c>
      <c r="AE315" s="47"/>
      <c r="AF315" s="1" t="str">
        <f t="shared" si="88"/>
        <v/>
      </c>
      <c r="AG315" s="47"/>
    </row>
    <row r="316" spans="1:33">
      <c r="A316">
        <f t="shared" si="72"/>
        <v>0</v>
      </c>
      <c r="B316" s="2" t="str">
        <f t="shared" si="89"/>
        <v/>
      </c>
      <c r="C316" s="4" t="str">
        <f t="shared" si="73"/>
        <v/>
      </c>
      <c r="D316" s="3" t="str">
        <f t="shared" si="74"/>
        <v/>
      </c>
      <c r="E316" s="47"/>
      <c r="F316" s="3" t="str">
        <f t="shared" si="75"/>
        <v/>
      </c>
      <c r="G316" s="47"/>
      <c r="H316" s="3" t="str">
        <f t="shared" si="76"/>
        <v/>
      </c>
      <c r="I316" s="47"/>
      <c r="J316" s="3" t="str">
        <f t="shared" si="77"/>
        <v/>
      </c>
      <c r="K316" s="47"/>
      <c r="L316" s="3" t="str">
        <f t="shared" si="78"/>
        <v/>
      </c>
      <c r="M316" s="47"/>
      <c r="N316" s="3" t="str">
        <f t="shared" si="79"/>
        <v/>
      </c>
      <c r="O316" s="47"/>
      <c r="P316" s="3" t="str">
        <f t="shared" si="80"/>
        <v/>
      </c>
      <c r="Q316" s="47"/>
      <c r="R316" s="3" t="str">
        <f t="shared" si="81"/>
        <v/>
      </c>
      <c r="S316" s="47"/>
      <c r="T316" s="1" t="str">
        <f t="shared" si="82"/>
        <v/>
      </c>
      <c r="U316" s="47"/>
      <c r="V316" s="1" t="str">
        <f t="shared" si="83"/>
        <v/>
      </c>
      <c r="W316" s="47"/>
      <c r="X316" s="1" t="str">
        <f t="shared" si="84"/>
        <v/>
      </c>
      <c r="Y316" s="47"/>
      <c r="Z316" s="1" t="str">
        <f t="shared" si="85"/>
        <v/>
      </c>
      <c r="AA316" s="47"/>
      <c r="AB316" s="1" t="str">
        <f t="shared" si="86"/>
        <v/>
      </c>
      <c r="AC316" s="47"/>
      <c r="AD316" s="1" t="str">
        <f t="shared" si="87"/>
        <v/>
      </c>
      <c r="AE316" s="47"/>
      <c r="AF316" s="1" t="str">
        <f t="shared" si="88"/>
        <v/>
      </c>
      <c r="AG316" s="47"/>
    </row>
    <row r="317" spans="1:33">
      <c r="A317">
        <f t="shared" si="72"/>
        <v>0</v>
      </c>
      <c r="B317" s="2" t="str">
        <f t="shared" si="89"/>
        <v/>
      </c>
      <c r="C317" s="4" t="str">
        <f t="shared" si="73"/>
        <v/>
      </c>
      <c r="D317" s="3" t="str">
        <f t="shared" si="74"/>
        <v/>
      </c>
      <c r="E317" s="47"/>
      <c r="F317" s="3" t="str">
        <f t="shared" si="75"/>
        <v/>
      </c>
      <c r="G317" s="47"/>
      <c r="H317" s="3" t="str">
        <f t="shared" si="76"/>
        <v/>
      </c>
      <c r="I317" s="47"/>
      <c r="J317" s="3" t="str">
        <f t="shared" si="77"/>
        <v/>
      </c>
      <c r="K317" s="47"/>
      <c r="L317" s="3" t="str">
        <f t="shared" si="78"/>
        <v/>
      </c>
      <c r="M317" s="47"/>
      <c r="N317" s="3" t="str">
        <f t="shared" si="79"/>
        <v/>
      </c>
      <c r="O317" s="47"/>
      <c r="P317" s="3" t="str">
        <f t="shared" si="80"/>
        <v/>
      </c>
      <c r="Q317" s="47"/>
      <c r="R317" s="3" t="str">
        <f t="shared" si="81"/>
        <v/>
      </c>
      <c r="S317" s="47"/>
      <c r="T317" s="1" t="str">
        <f t="shared" si="82"/>
        <v/>
      </c>
      <c r="U317" s="47"/>
      <c r="V317" s="1" t="str">
        <f t="shared" si="83"/>
        <v/>
      </c>
      <c r="W317" s="47"/>
      <c r="X317" s="1" t="str">
        <f t="shared" si="84"/>
        <v/>
      </c>
      <c r="Y317" s="47"/>
      <c r="Z317" s="1" t="str">
        <f t="shared" si="85"/>
        <v/>
      </c>
      <c r="AA317" s="47"/>
      <c r="AB317" s="1" t="str">
        <f t="shared" si="86"/>
        <v/>
      </c>
      <c r="AC317" s="47"/>
      <c r="AD317" s="1" t="str">
        <f t="shared" si="87"/>
        <v/>
      </c>
      <c r="AE317" s="47"/>
      <c r="AF317" s="1" t="str">
        <f t="shared" si="88"/>
        <v/>
      </c>
      <c r="AG317" s="47"/>
    </row>
    <row r="318" spans="1:33">
      <c r="A318">
        <f t="shared" si="72"/>
        <v>0</v>
      </c>
      <c r="B318" s="2" t="str">
        <f t="shared" si="89"/>
        <v/>
      </c>
      <c r="C318" s="4" t="str">
        <f t="shared" si="73"/>
        <v/>
      </c>
      <c r="D318" s="3" t="str">
        <f t="shared" si="74"/>
        <v/>
      </c>
      <c r="E318" s="47"/>
      <c r="F318" s="3" t="str">
        <f t="shared" si="75"/>
        <v/>
      </c>
      <c r="G318" s="47"/>
      <c r="H318" s="3" t="str">
        <f t="shared" si="76"/>
        <v/>
      </c>
      <c r="I318" s="47"/>
      <c r="J318" s="3" t="str">
        <f t="shared" si="77"/>
        <v/>
      </c>
      <c r="K318" s="47"/>
      <c r="L318" s="3" t="str">
        <f t="shared" si="78"/>
        <v/>
      </c>
      <c r="M318" s="47"/>
      <c r="N318" s="3" t="str">
        <f t="shared" si="79"/>
        <v/>
      </c>
      <c r="O318" s="47"/>
      <c r="P318" s="3" t="str">
        <f t="shared" si="80"/>
        <v/>
      </c>
      <c r="Q318" s="47"/>
      <c r="R318" s="3" t="str">
        <f t="shared" si="81"/>
        <v/>
      </c>
      <c r="S318" s="47"/>
      <c r="T318" s="1" t="str">
        <f t="shared" si="82"/>
        <v/>
      </c>
      <c r="U318" s="47"/>
      <c r="V318" s="1" t="str">
        <f t="shared" si="83"/>
        <v/>
      </c>
      <c r="W318" s="47"/>
      <c r="X318" s="1" t="str">
        <f t="shared" si="84"/>
        <v/>
      </c>
      <c r="Y318" s="47"/>
      <c r="Z318" s="1" t="str">
        <f t="shared" si="85"/>
        <v/>
      </c>
      <c r="AA318" s="47"/>
      <c r="AB318" s="1" t="str">
        <f t="shared" si="86"/>
        <v/>
      </c>
      <c r="AC318" s="47"/>
      <c r="AD318" s="1" t="str">
        <f t="shared" si="87"/>
        <v/>
      </c>
      <c r="AE318" s="47"/>
      <c r="AF318" s="1" t="str">
        <f t="shared" si="88"/>
        <v/>
      </c>
      <c r="AG318" s="47"/>
    </row>
    <row r="319" spans="1:33">
      <c r="A319">
        <f t="shared" si="72"/>
        <v>0</v>
      </c>
      <c r="B319" s="2" t="str">
        <f t="shared" si="89"/>
        <v/>
      </c>
      <c r="C319" s="4" t="str">
        <f t="shared" si="73"/>
        <v/>
      </c>
      <c r="D319" s="3" t="str">
        <f t="shared" si="74"/>
        <v/>
      </c>
      <c r="E319" s="47"/>
      <c r="F319" s="3" t="str">
        <f t="shared" si="75"/>
        <v/>
      </c>
      <c r="G319" s="47"/>
      <c r="H319" s="3" t="str">
        <f t="shared" si="76"/>
        <v/>
      </c>
      <c r="I319" s="47"/>
      <c r="J319" s="3" t="str">
        <f t="shared" si="77"/>
        <v/>
      </c>
      <c r="K319" s="47"/>
      <c r="L319" s="3" t="str">
        <f t="shared" si="78"/>
        <v/>
      </c>
      <c r="M319" s="47"/>
      <c r="N319" s="3" t="str">
        <f t="shared" si="79"/>
        <v/>
      </c>
      <c r="O319" s="47"/>
      <c r="P319" s="3" t="str">
        <f t="shared" si="80"/>
        <v/>
      </c>
      <c r="Q319" s="47"/>
      <c r="R319" s="3" t="str">
        <f t="shared" si="81"/>
        <v/>
      </c>
      <c r="S319" s="47"/>
      <c r="T319" s="1" t="str">
        <f t="shared" si="82"/>
        <v/>
      </c>
      <c r="U319" s="47"/>
      <c r="V319" s="1" t="str">
        <f t="shared" si="83"/>
        <v/>
      </c>
      <c r="W319" s="47"/>
      <c r="X319" s="1" t="str">
        <f t="shared" si="84"/>
        <v/>
      </c>
      <c r="Y319" s="47"/>
      <c r="Z319" s="1" t="str">
        <f t="shared" si="85"/>
        <v/>
      </c>
      <c r="AA319" s="47"/>
      <c r="AB319" s="1" t="str">
        <f t="shared" si="86"/>
        <v/>
      </c>
      <c r="AC319" s="47"/>
      <c r="AD319" s="1" t="str">
        <f t="shared" si="87"/>
        <v/>
      </c>
      <c r="AE319" s="47"/>
      <c r="AF319" s="1" t="str">
        <f t="shared" si="88"/>
        <v/>
      </c>
      <c r="AG319" s="47"/>
    </row>
    <row r="320" spans="1:33">
      <c r="A320">
        <f t="shared" si="72"/>
        <v>0</v>
      </c>
      <c r="B320" s="2" t="str">
        <f t="shared" si="89"/>
        <v/>
      </c>
      <c r="C320" s="4" t="str">
        <f t="shared" si="73"/>
        <v/>
      </c>
      <c r="D320" s="3" t="str">
        <f t="shared" si="74"/>
        <v/>
      </c>
      <c r="E320" s="47"/>
      <c r="F320" s="3" t="str">
        <f t="shared" si="75"/>
        <v/>
      </c>
      <c r="G320" s="47"/>
      <c r="H320" s="3" t="str">
        <f t="shared" si="76"/>
        <v/>
      </c>
      <c r="I320" s="47"/>
      <c r="J320" s="3" t="str">
        <f t="shared" si="77"/>
        <v/>
      </c>
      <c r="K320" s="47"/>
      <c r="L320" s="3" t="str">
        <f t="shared" si="78"/>
        <v/>
      </c>
      <c r="M320" s="47"/>
      <c r="N320" s="3" t="str">
        <f t="shared" si="79"/>
        <v/>
      </c>
      <c r="O320" s="47"/>
      <c r="P320" s="3" t="str">
        <f t="shared" si="80"/>
        <v/>
      </c>
      <c r="Q320" s="47"/>
      <c r="R320" s="3" t="str">
        <f t="shared" si="81"/>
        <v/>
      </c>
      <c r="S320" s="47"/>
      <c r="T320" s="1" t="str">
        <f t="shared" si="82"/>
        <v/>
      </c>
      <c r="U320" s="47"/>
      <c r="V320" s="1" t="str">
        <f t="shared" si="83"/>
        <v/>
      </c>
      <c r="W320" s="47"/>
      <c r="X320" s="1" t="str">
        <f t="shared" si="84"/>
        <v/>
      </c>
      <c r="Y320" s="47"/>
      <c r="Z320" s="1" t="str">
        <f t="shared" si="85"/>
        <v/>
      </c>
      <c r="AA320" s="47"/>
      <c r="AB320" s="1" t="str">
        <f t="shared" si="86"/>
        <v/>
      </c>
      <c r="AC320" s="47"/>
      <c r="AD320" s="1" t="str">
        <f t="shared" si="87"/>
        <v/>
      </c>
      <c r="AE320" s="47"/>
      <c r="AF320" s="1" t="str">
        <f t="shared" si="88"/>
        <v/>
      </c>
      <c r="AG320" s="47"/>
    </row>
    <row r="321" spans="1:33">
      <c r="A321">
        <f t="shared" si="72"/>
        <v>0</v>
      </c>
      <c r="B321" s="2" t="str">
        <f t="shared" si="89"/>
        <v/>
      </c>
      <c r="C321" s="4" t="str">
        <f t="shared" si="73"/>
        <v/>
      </c>
      <c r="D321" s="3" t="str">
        <f t="shared" si="74"/>
        <v/>
      </c>
      <c r="E321" s="47"/>
      <c r="F321" s="3" t="str">
        <f t="shared" si="75"/>
        <v/>
      </c>
      <c r="G321" s="47"/>
      <c r="H321" s="3" t="str">
        <f t="shared" si="76"/>
        <v/>
      </c>
      <c r="I321" s="47"/>
      <c r="J321" s="3" t="str">
        <f t="shared" si="77"/>
        <v/>
      </c>
      <c r="K321" s="47"/>
      <c r="L321" s="3" t="str">
        <f t="shared" si="78"/>
        <v/>
      </c>
      <c r="M321" s="47"/>
      <c r="N321" s="3" t="str">
        <f t="shared" si="79"/>
        <v/>
      </c>
      <c r="O321" s="47"/>
      <c r="P321" s="3" t="str">
        <f t="shared" si="80"/>
        <v/>
      </c>
      <c r="Q321" s="47"/>
      <c r="R321" s="3" t="str">
        <f t="shared" si="81"/>
        <v/>
      </c>
      <c r="S321" s="47"/>
      <c r="T321" s="1" t="str">
        <f t="shared" si="82"/>
        <v/>
      </c>
      <c r="U321" s="47"/>
      <c r="V321" s="1" t="str">
        <f t="shared" si="83"/>
        <v/>
      </c>
      <c r="W321" s="47"/>
      <c r="X321" s="1" t="str">
        <f t="shared" si="84"/>
        <v/>
      </c>
      <c r="Y321" s="47"/>
      <c r="Z321" s="1" t="str">
        <f t="shared" si="85"/>
        <v/>
      </c>
      <c r="AA321" s="47"/>
      <c r="AB321" s="1" t="str">
        <f t="shared" si="86"/>
        <v/>
      </c>
      <c r="AC321" s="47"/>
      <c r="AD321" s="1" t="str">
        <f t="shared" si="87"/>
        <v/>
      </c>
      <c r="AE321" s="47"/>
      <c r="AF321" s="1" t="str">
        <f t="shared" si="88"/>
        <v/>
      </c>
      <c r="AG321" s="47"/>
    </row>
    <row r="322" spans="1:33">
      <c r="A322">
        <f t="shared" si="72"/>
        <v>0</v>
      </c>
      <c r="B322" s="2" t="str">
        <f t="shared" si="89"/>
        <v/>
      </c>
      <c r="C322" s="4" t="str">
        <f t="shared" si="73"/>
        <v/>
      </c>
      <c r="D322" s="3" t="str">
        <f t="shared" si="74"/>
        <v/>
      </c>
      <c r="E322" s="47"/>
      <c r="F322" s="3" t="str">
        <f t="shared" si="75"/>
        <v/>
      </c>
      <c r="G322" s="47"/>
      <c r="H322" s="3" t="str">
        <f t="shared" si="76"/>
        <v/>
      </c>
      <c r="I322" s="47"/>
      <c r="J322" s="3" t="str">
        <f t="shared" si="77"/>
        <v/>
      </c>
      <c r="K322" s="47"/>
      <c r="L322" s="3" t="str">
        <f t="shared" si="78"/>
        <v/>
      </c>
      <c r="M322" s="47"/>
      <c r="N322" s="3" t="str">
        <f t="shared" si="79"/>
        <v/>
      </c>
      <c r="O322" s="47"/>
      <c r="P322" s="3" t="str">
        <f t="shared" si="80"/>
        <v/>
      </c>
      <c r="Q322" s="47"/>
      <c r="R322" s="3" t="str">
        <f t="shared" si="81"/>
        <v/>
      </c>
      <c r="S322" s="47"/>
      <c r="T322" s="1" t="str">
        <f t="shared" si="82"/>
        <v/>
      </c>
      <c r="U322" s="47"/>
      <c r="V322" s="1" t="str">
        <f t="shared" si="83"/>
        <v/>
      </c>
      <c r="W322" s="47"/>
      <c r="X322" s="1" t="str">
        <f t="shared" si="84"/>
        <v/>
      </c>
      <c r="Y322" s="47"/>
      <c r="Z322" s="1" t="str">
        <f t="shared" si="85"/>
        <v/>
      </c>
      <c r="AA322" s="47"/>
      <c r="AB322" s="1" t="str">
        <f t="shared" si="86"/>
        <v/>
      </c>
      <c r="AC322" s="47"/>
      <c r="AD322" s="1" t="str">
        <f t="shared" si="87"/>
        <v/>
      </c>
      <c r="AE322" s="47"/>
      <c r="AF322" s="1" t="str">
        <f t="shared" si="88"/>
        <v/>
      </c>
      <c r="AG322" s="47"/>
    </row>
    <row r="323" spans="1:33">
      <c r="A323">
        <f t="shared" si="72"/>
        <v>0</v>
      </c>
      <c r="B323" s="2" t="str">
        <f t="shared" si="89"/>
        <v/>
      </c>
      <c r="C323" s="4" t="str">
        <f t="shared" si="73"/>
        <v/>
      </c>
      <c r="D323" s="3" t="str">
        <f t="shared" si="74"/>
        <v/>
      </c>
      <c r="E323" s="47"/>
      <c r="F323" s="3" t="str">
        <f t="shared" si="75"/>
        <v/>
      </c>
      <c r="G323" s="47"/>
      <c r="H323" s="3" t="str">
        <f t="shared" si="76"/>
        <v/>
      </c>
      <c r="I323" s="47"/>
      <c r="J323" s="3" t="str">
        <f t="shared" si="77"/>
        <v/>
      </c>
      <c r="K323" s="47"/>
      <c r="L323" s="3" t="str">
        <f t="shared" si="78"/>
        <v/>
      </c>
      <c r="M323" s="47"/>
      <c r="N323" s="3" t="str">
        <f t="shared" si="79"/>
        <v/>
      </c>
      <c r="O323" s="47"/>
      <c r="P323" s="3" t="str">
        <f t="shared" si="80"/>
        <v/>
      </c>
      <c r="Q323" s="47"/>
      <c r="R323" s="3" t="str">
        <f t="shared" si="81"/>
        <v/>
      </c>
      <c r="S323" s="47"/>
      <c r="T323" s="1" t="str">
        <f t="shared" si="82"/>
        <v/>
      </c>
      <c r="U323" s="47"/>
      <c r="V323" s="1" t="str">
        <f t="shared" si="83"/>
        <v/>
      </c>
      <c r="W323" s="47"/>
      <c r="X323" s="1" t="str">
        <f t="shared" si="84"/>
        <v/>
      </c>
      <c r="Y323" s="47"/>
      <c r="Z323" s="1" t="str">
        <f t="shared" si="85"/>
        <v/>
      </c>
      <c r="AA323" s="47"/>
      <c r="AB323" s="1" t="str">
        <f t="shared" si="86"/>
        <v/>
      </c>
      <c r="AC323" s="47"/>
      <c r="AD323" s="1" t="str">
        <f t="shared" si="87"/>
        <v/>
      </c>
      <c r="AE323" s="47"/>
      <c r="AF323" s="1" t="str">
        <f t="shared" si="88"/>
        <v/>
      </c>
      <c r="AG323" s="47"/>
    </row>
    <row r="324" spans="1:33">
      <c r="A324">
        <f t="shared" si="72"/>
        <v>0</v>
      </c>
      <c r="B324" s="2" t="str">
        <f t="shared" si="89"/>
        <v/>
      </c>
      <c r="C324" s="4" t="str">
        <f t="shared" si="73"/>
        <v/>
      </c>
      <c r="D324" s="3" t="str">
        <f t="shared" si="74"/>
        <v/>
      </c>
      <c r="E324" s="47"/>
      <c r="F324" s="3" t="str">
        <f t="shared" si="75"/>
        <v/>
      </c>
      <c r="G324" s="47"/>
      <c r="H324" s="3" t="str">
        <f t="shared" si="76"/>
        <v/>
      </c>
      <c r="I324" s="47"/>
      <c r="J324" s="3" t="str">
        <f t="shared" si="77"/>
        <v/>
      </c>
      <c r="K324" s="47"/>
      <c r="L324" s="3" t="str">
        <f t="shared" si="78"/>
        <v/>
      </c>
      <c r="M324" s="47"/>
      <c r="N324" s="3" t="str">
        <f t="shared" si="79"/>
        <v/>
      </c>
      <c r="O324" s="47"/>
      <c r="P324" s="3" t="str">
        <f t="shared" si="80"/>
        <v/>
      </c>
      <c r="Q324" s="47"/>
      <c r="R324" s="3" t="str">
        <f t="shared" si="81"/>
        <v/>
      </c>
      <c r="S324" s="47"/>
      <c r="T324" s="1" t="str">
        <f t="shared" si="82"/>
        <v/>
      </c>
      <c r="U324" s="47"/>
      <c r="V324" s="1" t="str">
        <f t="shared" si="83"/>
        <v/>
      </c>
      <c r="W324" s="47"/>
      <c r="X324" s="1" t="str">
        <f t="shared" si="84"/>
        <v/>
      </c>
      <c r="Y324" s="47"/>
      <c r="Z324" s="1" t="str">
        <f t="shared" si="85"/>
        <v/>
      </c>
      <c r="AA324" s="47"/>
      <c r="AB324" s="1" t="str">
        <f t="shared" si="86"/>
        <v/>
      </c>
      <c r="AC324" s="47"/>
      <c r="AD324" s="1" t="str">
        <f t="shared" si="87"/>
        <v/>
      </c>
      <c r="AE324" s="47"/>
      <c r="AF324" s="1" t="str">
        <f t="shared" si="88"/>
        <v/>
      </c>
      <c r="AG324" s="47"/>
    </row>
    <row r="325" spans="1:33">
      <c r="A325">
        <f t="shared" si="72"/>
        <v>0</v>
      </c>
      <c r="B325" s="2" t="str">
        <f t="shared" si="89"/>
        <v/>
      </c>
      <c r="C325" s="4" t="str">
        <f t="shared" si="73"/>
        <v/>
      </c>
      <c r="D325" s="3" t="str">
        <f t="shared" si="74"/>
        <v/>
      </c>
      <c r="E325" s="47"/>
      <c r="F325" s="3" t="str">
        <f t="shared" si="75"/>
        <v/>
      </c>
      <c r="G325" s="47"/>
      <c r="H325" s="3" t="str">
        <f t="shared" si="76"/>
        <v/>
      </c>
      <c r="I325" s="47"/>
      <c r="J325" s="3" t="str">
        <f t="shared" si="77"/>
        <v/>
      </c>
      <c r="K325" s="47"/>
      <c r="L325" s="3" t="str">
        <f t="shared" si="78"/>
        <v/>
      </c>
      <c r="M325" s="47"/>
      <c r="N325" s="3" t="str">
        <f t="shared" si="79"/>
        <v/>
      </c>
      <c r="O325" s="47"/>
      <c r="P325" s="3" t="str">
        <f t="shared" si="80"/>
        <v/>
      </c>
      <c r="Q325" s="47"/>
      <c r="R325" s="3" t="str">
        <f t="shared" si="81"/>
        <v/>
      </c>
      <c r="S325" s="47"/>
      <c r="T325" s="1" t="str">
        <f t="shared" si="82"/>
        <v/>
      </c>
      <c r="U325" s="47"/>
      <c r="V325" s="1" t="str">
        <f t="shared" si="83"/>
        <v/>
      </c>
      <c r="W325" s="47"/>
      <c r="X325" s="1" t="str">
        <f t="shared" si="84"/>
        <v/>
      </c>
      <c r="Y325" s="47"/>
      <c r="Z325" s="1" t="str">
        <f t="shared" si="85"/>
        <v/>
      </c>
      <c r="AA325" s="47"/>
      <c r="AB325" s="1" t="str">
        <f t="shared" si="86"/>
        <v/>
      </c>
      <c r="AC325" s="47"/>
      <c r="AD325" s="1" t="str">
        <f t="shared" si="87"/>
        <v/>
      </c>
      <c r="AE325" s="47"/>
      <c r="AF325" s="1" t="str">
        <f t="shared" si="88"/>
        <v/>
      </c>
      <c r="AG325" s="47"/>
    </row>
    <row r="326" spans="1:33">
      <c r="A326">
        <f t="shared" si="72"/>
        <v>0</v>
      </c>
      <c r="B326" s="2" t="str">
        <f t="shared" si="89"/>
        <v/>
      </c>
      <c r="C326" s="4" t="str">
        <f t="shared" si="73"/>
        <v/>
      </c>
      <c r="D326" s="3" t="str">
        <f t="shared" si="74"/>
        <v/>
      </c>
      <c r="E326" s="47"/>
      <c r="F326" s="3" t="str">
        <f t="shared" si="75"/>
        <v/>
      </c>
      <c r="G326" s="47"/>
      <c r="H326" s="3" t="str">
        <f t="shared" si="76"/>
        <v/>
      </c>
      <c r="I326" s="47"/>
      <c r="J326" s="3" t="str">
        <f t="shared" si="77"/>
        <v/>
      </c>
      <c r="K326" s="47"/>
      <c r="L326" s="3" t="str">
        <f t="shared" si="78"/>
        <v/>
      </c>
      <c r="M326" s="47"/>
      <c r="N326" s="3" t="str">
        <f t="shared" si="79"/>
        <v/>
      </c>
      <c r="O326" s="47"/>
      <c r="P326" s="3" t="str">
        <f t="shared" si="80"/>
        <v/>
      </c>
      <c r="Q326" s="47"/>
      <c r="R326" s="3" t="str">
        <f t="shared" si="81"/>
        <v/>
      </c>
      <c r="S326" s="47"/>
      <c r="T326" s="1" t="str">
        <f t="shared" si="82"/>
        <v/>
      </c>
      <c r="U326" s="47"/>
      <c r="V326" s="1" t="str">
        <f t="shared" si="83"/>
        <v/>
      </c>
      <c r="W326" s="47"/>
      <c r="X326" s="1" t="str">
        <f t="shared" si="84"/>
        <v/>
      </c>
      <c r="Y326" s="47"/>
      <c r="Z326" s="1" t="str">
        <f t="shared" si="85"/>
        <v/>
      </c>
      <c r="AA326" s="47"/>
      <c r="AB326" s="1" t="str">
        <f t="shared" si="86"/>
        <v/>
      </c>
      <c r="AC326" s="47"/>
      <c r="AD326" s="1" t="str">
        <f t="shared" si="87"/>
        <v/>
      </c>
      <c r="AE326" s="47"/>
      <c r="AF326" s="1" t="str">
        <f t="shared" si="88"/>
        <v/>
      </c>
      <c r="AG326" s="47"/>
    </row>
    <row r="327" spans="1:33">
      <c r="A327">
        <f t="shared" ref="A327:A390" si="90">$C$1</f>
        <v>0</v>
      </c>
      <c r="B327" s="2" t="str">
        <f t="shared" si="89"/>
        <v/>
      </c>
      <c r="C327" s="4" t="str">
        <f t="shared" si="73"/>
        <v/>
      </c>
      <c r="D327" s="3" t="str">
        <f t="shared" si="74"/>
        <v/>
      </c>
      <c r="E327" s="47"/>
      <c r="F327" s="3" t="str">
        <f t="shared" si="75"/>
        <v/>
      </c>
      <c r="G327" s="47"/>
      <c r="H327" s="3" t="str">
        <f t="shared" si="76"/>
        <v/>
      </c>
      <c r="I327" s="47"/>
      <c r="J327" s="3" t="str">
        <f t="shared" si="77"/>
        <v/>
      </c>
      <c r="K327" s="47"/>
      <c r="L327" s="3" t="str">
        <f t="shared" si="78"/>
        <v/>
      </c>
      <c r="M327" s="47"/>
      <c r="N327" s="3" t="str">
        <f t="shared" si="79"/>
        <v/>
      </c>
      <c r="O327" s="47"/>
      <c r="P327" s="3" t="str">
        <f t="shared" si="80"/>
        <v/>
      </c>
      <c r="Q327" s="47"/>
      <c r="R327" s="3" t="str">
        <f t="shared" si="81"/>
        <v/>
      </c>
      <c r="S327" s="47"/>
      <c r="T327" s="1" t="str">
        <f t="shared" si="82"/>
        <v/>
      </c>
      <c r="U327" s="47"/>
      <c r="V327" s="1" t="str">
        <f t="shared" si="83"/>
        <v/>
      </c>
      <c r="W327" s="47"/>
      <c r="X327" s="1" t="str">
        <f t="shared" si="84"/>
        <v/>
      </c>
      <c r="Y327" s="47"/>
      <c r="Z327" s="1" t="str">
        <f t="shared" si="85"/>
        <v/>
      </c>
      <c r="AA327" s="47"/>
      <c r="AB327" s="1" t="str">
        <f t="shared" si="86"/>
        <v/>
      </c>
      <c r="AC327" s="47"/>
      <c r="AD327" s="1" t="str">
        <f t="shared" si="87"/>
        <v/>
      </c>
      <c r="AE327" s="47"/>
      <c r="AF327" s="1" t="str">
        <f t="shared" si="88"/>
        <v/>
      </c>
      <c r="AG327" s="47"/>
    </row>
    <row r="328" spans="1:33">
      <c r="A328">
        <f t="shared" si="90"/>
        <v>0</v>
      </c>
      <c r="B328" s="2" t="str">
        <f t="shared" si="89"/>
        <v/>
      </c>
      <c r="C328" s="4" t="str">
        <f t="shared" ref="C328:C391" si="91">TEXT(B328,"AAA")</f>
        <v/>
      </c>
      <c r="D328" s="3" t="str">
        <f t="shared" ref="D328:D391" si="92">IF(NOT(AND($F$3&lt;=B328,B328&lt;=$F$4)),"",$F$2&amp;"")</f>
        <v/>
      </c>
      <c r="E328" s="47"/>
      <c r="F328" s="3" t="str">
        <f t="shared" ref="F328:F391" si="93">IF(NOT(AND($G$3&lt;=B328,B328&lt;=$G$4)),"",$G$2&amp;"")</f>
        <v/>
      </c>
      <c r="G328" s="47"/>
      <c r="H328" s="3" t="str">
        <f t="shared" ref="H328:H391" si="94">IF(NOT(AND($H$3&lt;=B328,B328&lt;=$H$4)),"",$H$2&amp;"")</f>
        <v/>
      </c>
      <c r="I328" s="47"/>
      <c r="J328" s="3" t="str">
        <f t="shared" ref="J328:J391" si="95">IF(NOT(AND($I$3&lt;=B328,B328&lt;=$I$4)),"",$I$2&amp;"")</f>
        <v/>
      </c>
      <c r="K328" s="47"/>
      <c r="L328" s="3" t="str">
        <f t="shared" ref="L328:L391" si="96">IF(NOT(AND($J$3&lt;=B328,B328&lt;=$J$4)),"",$J$2&amp;"")</f>
        <v/>
      </c>
      <c r="M328" s="47"/>
      <c r="N328" s="3" t="str">
        <f t="shared" ref="N328:N391" si="97">IF(NOT(AND($K$3&lt;=B328,B328&lt;=$K$4)),"",$K$2&amp;"")</f>
        <v/>
      </c>
      <c r="O328" s="47"/>
      <c r="P328" s="3" t="str">
        <f t="shared" ref="P328:P391" si="98">IF(NOT(AND($L$3&lt;=B328,B328&lt;=$L$4)),"",$L$2&amp;"")</f>
        <v/>
      </c>
      <c r="Q328" s="47"/>
      <c r="R328" s="3" t="str">
        <f t="shared" ref="R328:R391" si="99">IF(NOT(AND($M$3&lt;=B328,B328&lt;=$M$4)),"",$M$2&amp;"")</f>
        <v/>
      </c>
      <c r="S328" s="47"/>
      <c r="T328" s="1" t="str">
        <f t="shared" ref="T328:T391" si="100">IF(NOT(AND($N$3&lt;=B328,B328&lt;=$N$4)),"",$N$2&amp;"")</f>
        <v/>
      </c>
      <c r="U328" s="47"/>
      <c r="V328" s="1" t="str">
        <f t="shared" ref="V328:V391" si="101">IF(NOT(AND($O$3&lt;=B328,B328&lt;=$O$4)),"",$O$2&amp;"")</f>
        <v/>
      </c>
      <c r="W328" s="47"/>
      <c r="X328" s="1" t="str">
        <f t="shared" ref="X328:X391" si="102">IF(NOT(AND($P$3&lt;=B328,B328&lt;=$P$4)),"",$P$2&amp;"")</f>
        <v/>
      </c>
      <c r="Y328" s="47"/>
      <c r="Z328" s="1" t="str">
        <f t="shared" ref="Z328:Z391" si="103">IF(NOT(AND($Q$3&lt;=B328,B328&lt;=$Q$4)),"",$Q$2&amp;"")</f>
        <v/>
      </c>
      <c r="AA328" s="47"/>
      <c r="AB328" s="1" t="str">
        <f t="shared" ref="AB328:AB391" si="104">IF(NOT(AND($R$3&lt;=B328,B328&lt;=$R$4)),"",$R$2&amp;"")</f>
        <v/>
      </c>
      <c r="AC328" s="47"/>
      <c r="AD328" s="1" t="str">
        <f t="shared" ref="AD328:AD391" si="105">IF(NOT(AND($S$3&lt;=B328,B328&lt;=$S$4)),"",$S$2&amp;"")</f>
        <v/>
      </c>
      <c r="AE328" s="47"/>
      <c r="AF328" s="1" t="str">
        <f t="shared" ref="AF328:AF391" si="106">IF(NOT(AND($T$3&lt;=B328,B328&lt;=$T$4)),"",$T$2&amp;"")</f>
        <v/>
      </c>
      <c r="AG328" s="47"/>
    </row>
    <row r="329" spans="1:33">
      <c r="A329">
        <f t="shared" si="90"/>
        <v>0</v>
      </c>
      <c r="B329" s="2" t="str">
        <f t="shared" ref="B329:B392" si="107">IFERROR(IF(B328+1&gt;$C$3,"",B328+1),"")</f>
        <v/>
      </c>
      <c r="C329" s="4" t="str">
        <f t="shared" si="91"/>
        <v/>
      </c>
      <c r="D329" s="3" t="str">
        <f t="shared" si="92"/>
        <v/>
      </c>
      <c r="E329" s="47"/>
      <c r="F329" s="3" t="str">
        <f t="shared" si="93"/>
        <v/>
      </c>
      <c r="G329" s="47"/>
      <c r="H329" s="3" t="str">
        <f t="shared" si="94"/>
        <v/>
      </c>
      <c r="I329" s="47"/>
      <c r="J329" s="3" t="str">
        <f t="shared" si="95"/>
        <v/>
      </c>
      <c r="K329" s="47"/>
      <c r="L329" s="3" t="str">
        <f t="shared" si="96"/>
        <v/>
      </c>
      <c r="M329" s="47"/>
      <c r="N329" s="3" t="str">
        <f t="shared" si="97"/>
        <v/>
      </c>
      <c r="O329" s="47"/>
      <c r="P329" s="3" t="str">
        <f t="shared" si="98"/>
        <v/>
      </c>
      <c r="Q329" s="47"/>
      <c r="R329" s="3" t="str">
        <f t="shared" si="99"/>
        <v/>
      </c>
      <c r="S329" s="47"/>
      <c r="T329" s="1" t="str">
        <f t="shared" si="100"/>
        <v/>
      </c>
      <c r="U329" s="47"/>
      <c r="V329" s="1" t="str">
        <f t="shared" si="101"/>
        <v/>
      </c>
      <c r="W329" s="47"/>
      <c r="X329" s="1" t="str">
        <f t="shared" si="102"/>
        <v/>
      </c>
      <c r="Y329" s="47"/>
      <c r="Z329" s="1" t="str">
        <f t="shared" si="103"/>
        <v/>
      </c>
      <c r="AA329" s="47"/>
      <c r="AB329" s="1" t="str">
        <f t="shared" si="104"/>
        <v/>
      </c>
      <c r="AC329" s="47"/>
      <c r="AD329" s="1" t="str">
        <f t="shared" si="105"/>
        <v/>
      </c>
      <c r="AE329" s="47"/>
      <c r="AF329" s="1" t="str">
        <f t="shared" si="106"/>
        <v/>
      </c>
      <c r="AG329" s="47"/>
    </row>
    <row r="330" spans="1:33">
      <c r="A330">
        <f t="shared" si="90"/>
        <v>0</v>
      </c>
      <c r="B330" s="2" t="str">
        <f t="shared" si="107"/>
        <v/>
      </c>
      <c r="C330" s="4" t="str">
        <f t="shared" si="91"/>
        <v/>
      </c>
      <c r="D330" s="3" t="str">
        <f t="shared" si="92"/>
        <v/>
      </c>
      <c r="E330" s="47"/>
      <c r="F330" s="3" t="str">
        <f t="shared" si="93"/>
        <v/>
      </c>
      <c r="G330" s="47"/>
      <c r="H330" s="3" t="str">
        <f t="shared" si="94"/>
        <v/>
      </c>
      <c r="I330" s="47"/>
      <c r="J330" s="3" t="str">
        <f t="shared" si="95"/>
        <v/>
      </c>
      <c r="K330" s="47"/>
      <c r="L330" s="3" t="str">
        <f t="shared" si="96"/>
        <v/>
      </c>
      <c r="M330" s="47"/>
      <c r="N330" s="3" t="str">
        <f t="shared" si="97"/>
        <v/>
      </c>
      <c r="O330" s="47"/>
      <c r="P330" s="3" t="str">
        <f t="shared" si="98"/>
        <v/>
      </c>
      <c r="Q330" s="47"/>
      <c r="R330" s="3" t="str">
        <f t="shared" si="99"/>
        <v/>
      </c>
      <c r="S330" s="47"/>
      <c r="T330" s="1" t="str">
        <f t="shared" si="100"/>
        <v/>
      </c>
      <c r="U330" s="47"/>
      <c r="V330" s="1" t="str">
        <f t="shared" si="101"/>
        <v/>
      </c>
      <c r="W330" s="47"/>
      <c r="X330" s="1" t="str">
        <f t="shared" si="102"/>
        <v/>
      </c>
      <c r="Y330" s="47"/>
      <c r="Z330" s="1" t="str">
        <f t="shared" si="103"/>
        <v/>
      </c>
      <c r="AA330" s="47"/>
      <c r="AB330" s="1" t="str">
        <f t="shared" si="104"/>
        <v/>
      </c>
      <c r="AC330" s="47"/>
      <c r="AD330" s="1" t="str">
        <f t="shared" si="105"/>
        <v/>
      </c>
      <c r="AE330" s="47"/>
      <c r="AF330" s="1" t="str">
        <f t="shared" si="106"/>
        <v/>
      </c>
      <c r="AG330" s="47"/>
    </row>
    <row r="331" spans="1:33">
      <c r="A331">
        <f t="shared" si="90"/>
        <v>0</v>
      </c>
      <c r="B331" s="2" t="str">
        <f t="shared" si="107"/>
        <v/>
      </c>
      <c r="C331" s="4" t="str">
        <f t="shared" si="91"/>
        <v/>
      </c>
      <c r="D331" s="3" t="str">
        <f t="shared" si="92"/>
        <v/>
      </c>
      <c r="E331" s="47"/>
      <c r="F331" s="3" t="str">
        <f t="shared" si="93"/>
        <v/>
      </c>
      <c r="G331" s="47"/>
      <c r="H331" s="3" t="str">
        <f t="shared" si="94"/>
        <v/>
      </c>
      <c r="I331" s="47"/>
      <c r="J331" s="3" t="str">
        <f t="shared" si="95"/>
        <v/>
      </c>
      <c r="K331" s="47"/>
      <c r="L331" s="3" t="str">
        <f t="shared" si="96"/>
        <v/>
      </c>
      <c r="M331" s="47"/>
      <c r="N331" s="3" t="str">
        <f t="shared" si="97"/>
        <v/>
      </c>
      <c r="O331" s="47"/>
      <c r="P331" s="3" t="str">
        <f t="shared" si="98"/>
        <v/>
      </c>
      <c r="Q331" s="47"/>
      <c r="R331" s="3" t="str">
        <f t="shared" si="99"/>
        <v/>
      </c>
      <c r="S331" s="47"/>
      <c r="T331" s="1" t="str">
        <f t="shared" si="100"/>
        <v/>
      </c>
      <c r="U331" s="47"/>
      <c r="V331" s="1" t="str">
        <f t="shared" si="101"/>
        <v/>
      </c>
      <c r="W331" s="47"/>
      <c r="X331" s="1" t="str">
        <f t="shared" si="102"/>
        <v/>
      </c>
      <c r="Y331" s="47"/>
      <c r="Z331" s="1" t="str">
        <f t="shared" si="103"/>
        <v/>
      </c>
      <c r="AA331" s="47"/>
      <c r="AB331" s="1" t="str">
        <f t="shared" si="104"/>
        <v/>
      </c>
      <c r="AC331" s="47"/>
      <c r="AD331" s="1" t="str">
        <f t="shared" si="105"/>
        <v/>
      </c>
      <c r="AE331" s="47"/>
      <c r="AF331" s="1" t="str">
        <f t="shared" si="106"/>
        <v/>
      </c>
      <c r="AG331" s="47"/>
    </row>
    <row r="332" spans="1:33">
      <c r="A332">
        <f t="shared" si="90"/>
        <v>0</v>
      </c>
      <c r="B332" s="2" t="str">
        <f t="shared" si="107"/>
        <v/>
      </c>
      <c r="C332" s="4" t="str">
        <f t="shared" si="91"/>
        <v/>
      </c>
      <c r="D332" s="3" t="str">
        <f t="shared" si="92"/>
        <v/>
      </c>
      <c r="E332" s="47"/>
      <c r="F332" s="3" t="str">
        <f t="shared" si="93"/>
        <v/>
      </c>
      <c r="G332" s="47"/>
      <c r="H332" s="3" t="str">
        <f t="shared" si="94"/>
        <v/>
      </c>
      <c r="I332" s="47"/>
      <c r="J332" s="3" t="str">
        <f t="shared" si="95"/>
        <v/>
      </c>
      <c r="K332" s="47"/>
      <c r="L332" s="3" t="str">
        <f t="shared" si="96"/>
        <v/>
      </c>
      <c r="M332" s="47"/>
      <c r="N332" s="3" t="str">
        <f t="shared" si="97"/>
        <v/>
      </c>
      <c r="O332" s="47"/>
      <c r="P332" s="3" t="str">
        <f t="shared" si="98"/>
        <v/>
      </c>
      <c r="Q332" s="47"/>
      <c r="R332" s="3" t="str">
        <f t="shared" si="99"/>
        <v/>
      </c>
      <c r="S332" s="47"/>
      <c r="T332" s="1" t="str">
        <f t="shared" si="100"/>
        <v/>
      </c>
      <c r="U332" s="47"/>
      <c r="V332" s="1" t="str">
        <f t="shared" si="101"/>
        <v/>
      </c>
      <c r="W332" s="47"/>
      <c r="X332" s="1" t="str">
        <f t="shared" si="102"/>
        <v/>
      </c>
      <c r="Y332" s="47"/>
      <c r="Z332" s="1" t="str">
        <f t="shared" si="103"/>
        <v/>
      </c>
      <c r="AA332" s="47"/>
      <c r="AB332" s="1" t="str">
        <f t="shared" si="104"/>
        <v/>
      </c>
      <c r="AC332" s="47"/>
      <c r="AD332" s="1" t="str">
        <f t="shared" si="105"/>
        <v/>
      </c>
      <c r="AE332" s="47"/>
      <c r="AF332" s="1" t="str">
        <f t="shared" si="106"/>
        <v/>
      </c>
      <c r="AG332" s="47"/>
    </row>
    <row r="333" spans="1:33">
      <c r="A333">
        <f t="shared" si="90"/>
        <v>0</v>
      </c>
      <c r="B333" s="2" t="str">
        <f t="shared" si="107"/>
        <v/>
      </c>
      <c r="C333" s="4" t="str">
        <f t="shared" si="91"/>
        <v/>
      </c>
      <c r="D333" s="3" t="str">
        <f t="shared" si="92"/>
        <v/>
      </c>
      <c r="E333" s="47"/>
      <c r="F333" s="3" t="str">
        <f t="shared" si="93"/>
        <v/>
      </c>
      <c r="G333" s="47"/>
      <c r="H333" s="3" t="str">
        <f t="shared" si="94"/>
        <v/>
      </c>
      <c r="I333" s="47"/>
      <c r="J333" s="3" t="str">
        <f t="shared" si="95"/>
        <v/>
      </c>
      <c r="K333" s="47"/>
      <c r="L333" s="3" t="str">
        <f t="shared" si="96"/>
        <v/>
      </c>
      <c r="M333" s="47"/>
      <c r="N333" s="3" t="str">
        <f t="shared" si="97"/>
        <v/>
      </c>
      <c r="O333" s="47"/>
      <c r="P333" s="3" t="str">
        <f t="shared" si="98"/>
        <v/>
      </c>
      <c r="Q333" s="47"/>
      <c r="R333" s="3" t="str">
        <f t="shared" si="99"/>
        <v/>
      </c>
      <c r="S333" s="47"/>
      <c r="T333" s="1" t="str">
        <f t="shared" si="100"/>
        <v/>
      </c>
      <c r="U333" s="47"/>
      <c r="V333" s="1" t="str">
        <f t="shared" si="101"/>
        <v/>
      </c>
      <c r="W333" s="47"/>
      <c r="X333" s="1" t="str">
        <f t="shared" si="102"/>
        <v/>
      </c>
      <c r="Y333" s="47"/>
      <c r="Z333" s="1" t="str">
        <f t="shared" si="103"/>
        <v/>
      </c>
      <c r="AA333" s="47"/>
      <c r="AB333" s="1" t="str">
        <f t="shared" si="104"/>
        <v/>
      </c>
      <c r="AC333" s="47"/>
      <c r="AD333" s="1" t="str">
        <f t="shared" si="105"/>
        <v/>
      </c>
      <c r="AE333" s="47"/>
      <c r="AF333" s="1" t="str">
        <f t="shared" si="106"/>
        <v/>
      </c>
      <c r="AG333" s="47"/>
    </row>
    <row r="334" spans="1:33">
      <c r="A334">
        <f t="shared" si="90"/>
        <v>0</v>
      </c>
      <c r="B334" s="2" t="str">
        <f t="shared" si="107"/>
        <v/>
      </c>
      <c r="C334" s="4" t="str">
        <f t="shared" si="91"/>
        <v/>
      </c>
      <c r="D334" s="3" t="str">
        <f t="shared" si="92"/>
        <v/>
      </c>
      <c r="E334" s="47"/>
      <c r="F334" s="3" t="str">
        <f t="shared" si="93"/>
        <v/>
      </c>
      <c r="G334" s="47"/>
      <c r="H334" s="3" t="str">
        <f t="shared" si="94"/>
        <v/>
      </c>
      <c r="I334" s="47"/>
      <c r="J334" s="3" t="str">
        <f t="shared" si="95"/>
        <v/>
      </c>
      <c r="K334" s="47"/>
      <c r="L334" s="3" t="str">
        <f t="shared" si="96"/>
        <v/>
      </c>
      <c r="M334" s="47"/>
      <c r="N334" s="3" t="str">
        <f t="shared" si="97"/>
        <v/>
      </c>
      <c r="O334" s="47"/>
      <c r="P334" s="3" t="str">
        <f t="shared" si="98"/>
        <v/>
      </c>
      <c r="Q334" s="47"/>
      <c r="R334" s="3" t="str">
        <f t="shared" si="99"/>
        <v/>
      </c>
      <c r="S334" s="47"/>
      <c r="T334" s="1" t="str">
        <f t="shared" si="100"/>
        <v/>
      </c>
      <c r="U334" s="47"/>
      <c r="V334" s="1" t="str">
        <f t="shared" si="101"/>
        <v/>
      </c>
      <c r="W334" s="47"/>
      <c r="X334" s="1" t="str">
        <f t="shared" si="102"/>
        <v/>
      </c>
      <c r="Y334" s="47"/>
      <c r="Z334" s="1" t="str">
        <f t="shared" si="103"/>
        <v/>
      </c>
      <c r="AA334" s="47"/>
      <c r="AB334" s="1" t="str">
        <f t="shared" si="104"/>
        <v/>
      </c>
      <c r="AC334" s="47"/>
      <c r="AD334" s="1" t="str">
        <f t="shared" si="105"/>
        <v/>
      </c>
      <c r="AE334" s="47"/>
      <c r="AF334" s="1" t="str">
        <f t="shared" si="106"/>
        <v/>
      </c>
      <c r="AG334" s="47"/>
    </row>
    <row r="335" spans="1:33">
      <c r="A335">
        <f t="shared" si="90"/>
        <v>0</v>
      </c>
      <c r="B335" s="2" t="str">
        <f t="shared" si="107"/>
        <v/>
      </c>
      <c r="C335" s="4" t="str">
        <f t="shared" si="91"/>
        <v/>
      </c>
      <c r="D335" s="3" t="str">
        <f t="shared" si="92"/>
        <v/>
      </c>
      <c r="E335" s="47"/>
      <c r="F335" s="3" t="str">
        <f t="shared" si="93"/>
        <v/>
      </c>
      <c r="G335" s="47"/>
      <c r="H335" s="3" t="str">
        <f t="shared" si="94"/>
        <v/>
      </c>
      <c r="I335" s="47"/>
      <c r="J335" s="3" t="str">
        <f t="shared" si="95"/>
        <v/>
      </c>
      <c r="K335" s="47"/>
      <c r="L335" s="3" t="str">
        <f t="shared" si="96"/>
        <v/>
      </c>
      <c r="M335" s="47"/>
      <c r="N335" s="3" t="str">
        <f t="shared" si="97"/>
        <v/>
      </c>
      <c r="O335" s="47"/>
      <c r="P335" s="3" t="str">
        <f t="shared" si="98"/>
        <v/>
      </c>
      <c r="Q335" s="47"/>
      <c r="R335" s="3" t="str">
        <f t="shared" si="99"/>
        <v/>
      </c>
      <c r="S335" s="47"/>
      <c r="T335" s="1" t="str">
        <f t="shared" si="100"/>
        <v/>
      </c>
      <c r="U335" s="47"/>
      <c r="V335" s="1" t="str">
        <f t="shared" si="101"/>
        <v/>
      </c>
      <c r="W335" s="47"/>
      <c r="X335" s="1" t="str">
        <f t="shared" si="102"/>
        <v/>
      </c>
      <c r="Y335" s="47"/>
      <c r="Z335" s="1" t="str">
        <f t="shared" si="103"/>
        <v/>
      </c>
      <c r="AA335" s="47"/>
      <c r="AB335" s="1" t="str">
        <f t="shared" si="104"/>
        <v/>
      </c>
      <c r="AC335" s="47"/>
      <c r="AD335" s="1" t="str">
        <f t="shared" si="105"/>
        <v/>
      </c>
      <c r="AE335" s="47"/>
      <c r="AF335" s="1" t="str">
        <f t="shared" si="106"/>
        <v/>
      </c>
      <c r="AG335" s="47"/>
    </row>
    <row r="336" spans="1:33">
      <c r="A336">
        <f t="shared" si="90"/>
        <v>0</v>
      </c>
      <c r="B336" s="2" t="str">
        <f t="shared" si="107"/>
        <v/>
      </c>
      <c r="C336" s="4" t="str">
        <f t="shared" si="91"/>
        <v/>
      </c>
      <c r="D336" s="3" t="str">
        <f t="shared" si="92"/>
        <v/>
      </c>
      <c r="E336" s="47"/>
      <c r="F336" s="3" t="str">
        <f t="shared" si="93"/>
        <v/>
      </c>
      <c r="G336" s="47"/>
      <c r="H336" s="3" t="str">
        <f t="shared" si="94"/>
        <v/>
      </c>
      <c r="I336" s="47"/>
      <c r="J336" s="3" t="str">
        <f t="shared" si="95"/>
        <v/>
      </c>
      <c r="K336" s="47"/>
      <c r="L336" s="3" t="str">
        <f t="shared" si="96"/>
        <v/>
      </c>
      <c r="M336" s="47"/>
      <c r="N336" s="3" t="str">
        <f t="shared" si="97"/>
        <v/>
      </c>
      <c r="O336" s="47"/>
      <c r="P336" s="3" t="str">
        <f t="shared" si="98"/>
        <v/>
      </c>
      <c r="Q336" s="47"/>
      <c r="R336" s="3" t="str">
        <f t="shared" si="99"/>
        <v/>
      </c>
      <c r="S336" s="47"/>
      <c r="T336" s="1" t="str">
        <f t="shared" si="100"/>
        <v/>
      </c>
      <c r="U336" s="47"/>
      <c r="V336" s="1" t="str">
        <f t="shared" si="101"/>
        <v/>
      </c>
      <c r="W336" s="47"/>
      <c r="X336" s="1" t="str">
        <f t="shared" si="102"/>
        <v/>
      </c>
      <c r="Y336" s="47"/>
      <c r="Z336" s="1" t="str">
        <f t="shared" si="103"/>
        <v/>
      </c>
      <c r="AA336" s="47"/>
      <c r="AB336" s="1" t="str">
        <f t="shared" si="104"/>
        <v/>
      </c>
      <c r="AC336" s="47"/>
      <c r="AD336" s="1" t="str">
        <f t="shared" si="105"/>
        <v/>
      </c>
      <c r="AE336" s="47"/>
      <c r="AF336" s="1" t="str">
        <f t="shared" si="106"/>
        <v/>
      </c>
      <c r="AG336" s="47"/>
    </row>
    <row r="337" spans="1:33">
      <c r="A337">
        <f t="shared" si="90"/>
        <v>0</v>
      </c>
      <c r="B337" s="2" t="str">
        <f t="shared" si="107"/>
        <v/>
      </c>
      <c r="C337" s="4" t="str">
        <f t="shared" si="91"/>
        <v/>
      </c>
      <c r="D337" s="3" t="str">
        <f t="shared" si="92"/>
        <v/>
      </c>
      <c r="E337" s="47"/>
      <c r="F337" s="3" t="str">
        <f t="shared" si="93"/>
        <v/>
      </c>
      <c r="G337" s="47"/>
      <c r="H337" s="3" t="str">
        <f t="shared" si="94"/>
        <v/>
      </c>
      <c r="I337" s="47"/>
      <c r="J337" s="3" t="str">
        <f t="shared" si="95"/>
        <v/>
      </c>
      <c r="K337" s="47"/>
      <c r="L337" s="3" t="str">
        <f t="shared" si="96"/>
        <v/>
      </c>
      <c r="M337" s="47"/>
      <c r="N337" s="3" t="str">
        <f t="shared" si="97"/>
        <v/>
      </c>
      <c r="O337" s="47"/>
      <c r="P337" s="3" t="str">
        <f t="shared" si="98"/>
        <v/>
      </c>
      <c r="Q337" s="47"/>
      <c r="R337" s="3" t="str">
        <f t="shared" si="99"/>
        <v/>
      </c>
      <c r="S337" s="47"/>
      <c r="T337" s="1" t="str">
        <f t="shared" si="100"/>
        <v/>
      </c>
      <c r="U337" s="47"/>
      <c r="V337" s="1" t="str">
        <f t="shared" si="101"/>
        <v/>
      </c>
      <c r="W337" s="47"/>
      <c r="X337" s="1" t="str">
        <f t="shared" si="102"/>
        <v/>
      </c>
      <c r="Y337" s="47"/>
      <c r="Z337" s="1" t="str">
        <f t="shared" si="103"/>
        <v/>
      </c>
      <c r="AA337" s="47"/>
      <c r="AB337" s="1" t="str">
        <f t="shared" si="104"/>
        <v/>
      </c>
      <c r="AC337" s="47"/>
      <c r="AD337" s="1" t="str">
        <f t="shared" si="105"/>
        <v/>
      </c>
      <c r="AE337" s="47"/>
      <c r="AF337" s="1" t="str">
        <f t="shared" si="106"/>
        <v/>
      </c>
      <c r="AG337" s="47"/>
    </row>
    <row r="338" spans="1:33">
      <c r="A338">
        <f t="shared" si="90"/>
        <v>0</v>
      </c>
      <c r="B338" s="2" t="str">
        <f t="shared" si="107"/>
        <v/>
      </c>
      <c r="C338" s="4" t="str">
        <f t="shared" si="91"/>
        <v/>
      </c>
      <c r="D338" s="3" t="str">
        <f t="shared" si="92"/>
        <v/>
      </c>
      <c r="E338" s="47"/>
      <c r="F338" s="3" t="str">
        <f t="shared" si="93"/>
        <v/>
      </c>
      <c r="G338" s="47"/>
      <c r="H338" s="3" t="str">
        <f t="shared" si="94"/>
        <v/>
      </c>
      <c r="I338" s="47"/>
      <c r="J338" s="3" t="str">
        <f t="shared" si="95"/>
        <v/>
      </c>
      <c r="K338" s="47"/>
      <c r="L338" s="3" t="str">
        <f t="shared" si="96"/>
        <v/>
      </c>
      <c r="M338" s="47"/>
      <c r="N338" s="3" t="str">
        <f t="shared" si="97"/>
        <v/>
      </c>
      <c r="O338" s="47"/>
      <c r="P338" s="3" t="str">
        <f t="shared" si="98"/>
        <v/>
      </c>
      <c r="Q338" s="47"/>
      <c r="R338" s="3" t="str">
        <f t="shared" si="99"/>
        <v/>
      </c>
      <c r="S338" s="47"/>
      <c r="T338" s="1" t="str">
        <f t="shared" si="100"/>
        <v/>
      </c>
      <c r="U338" s="47"/>
      <c r="V338" s="1" t="str">
        <f t="shared" si="101"/>
        <v/>
      </c>
      <c r="W338" s="47"/>
      <c r="X338" s="1" t="str">
        <f t="shared" si="102"/>
        <v/>
      </c>
      <c r="Y338" s="47"/>
      <c r="Z338" s="1" t="str">
        <f t="shared" si="103"/>
        <v/>
      </c>
      <c r="AA338" s="47"/>
      <c r="AB338" s="1" t="str">
        <f t="shared" si="104"/>
        <v/>
      </c>
      <c r="AC338" s="47"/>
      <c r="AD338" s="1" t="str">
        <f t="shared" si="105"/>
        <v/>
      </c>
      <c r="AE338" s="47"/>
      <c r="AF338" s="1" t="str">
        <f t="shared" si="106"/>
        <v/>
      </c>
      <c r="AG338" s="47"/>
    </row>
    <row r="339" spans="1:33">
      <c r="A339">
        <f t="shared" si="90"/>
        <v>0</v>
      </c>
      <c r="B339" s="2" t="str">
        <f t="shared" si="107"/>
        <v/>
      </c>
      <c r="C339" s="4" t="str">
        <f t="shared" si="91"/>
        <v/>
      </c>
      <c r="D339" s="3" t="str">
        <f t="shared" si="92"/>
        <v/>
      </c>
      <c r="E339" s="47"/>
      <c r="F339" s="3" t="str">
        <f t="shared" si="93"/>
        <v/>
      </c>
      <c r="G339" s="47"/>
      <c r="H339" s="3" t="str">
        <f t="shared" si="94"/>
        <v/>
      </c>
      <c r="I339" s="47"/>
      <c r="J339" s="3" t="str">
        <f t="shared" si="95"/>
        <v/>
      </c>
      <c r="K339" s="47"/>
      <c r="L339" s="3" t="str">
        <f t="shared" si="96"/>
        <v/>
      </c>
      <c r="M339" s="47"/>
      <c r="N339" s="3" t="str">
        <f t="shared" si="97"/>
        <v/>
      </c>
      <c r="O339" s="47"/>
      <c r="P339" s="3" t="str">
        <f t="shared" si="98"/>
        <v/>
      </c>
      <c r="Q339" s="47"/>
      <c r="R339" s="3" t="str">
        <f t="shared" si="99"/>
        <v/>
      </c>
      <c r="S339" s="47"/>
      <c r="T339" s="1" t="str">
        <f t="shared" si="100"/>
        <v/>
      </c>
      <c r="U339" s="47"/>
      <c r="V339" s="1" t="str">
        <f t="shared" si="101"/>
        <v/>
      </c>
      <c r="W339" s="47"/>
      <c r="X339" s="1" t="str">
        <f t="shared" si="102"/>
        <v/>
      </c>
      <c r="Y339" s="47"/>
      <c r="Z339" s="1" t="str">
        <f t="shared" si="103"/>
        <v/>
      </c>
      <c r="AA339" s="47"/>
      <c r="AB339" s="1" t="str">
        <f t="shared" si="104"/>
        <v/>
      </c>
      <c r="AC339" s="47"/>
      <c r="AD339" s="1" t="str">
        <f t="shared" si="105"/>
        <v/>
      </c>
      <c r="AE339" s="47"/>
      <c r="AF339" s="1" t="str">
        <f t="shared" si="106"/>
        <v/>
      </c>
      <c r="AG339" s="47"/>
    </row>
    <row r="340" spans="1:33">
      <c r="A340">
        <f t="shared" si="90"/>
        <v>0</v>
      </c>
      <c r="B340" s="2" t="str">
        <f t="shared" si="107"/>
        <v/>
      </c>
      <c r="C340" s="4" t="str">
        <f t="shared" si="91"/>
        <v/>
      </c>
      <c r="D340" s="3" t="str">
        <f t="shared" si="92"/>
        <v/>
      </c>
      <c r="E340" s="47"/>
      <c r="F340" s="3" t="str">
        <f t="shared" si="93"/>
        <v/>
      </c>
      <c r="G340" s="47"/>
      <c r="H340" s="3" t="str">
        <f t="shared" si="94"/>
        <v/>
      </c>
      <c r="I340" s="47"/>
      <c r="J340" s="3" t="str">
        <f t="shared" si="95"/>
        <v/>
      </c>
      <c r="K340" s="47"/>
      <c r="L340" s="3" t="str">
        <f t="shared" si="96"/>
        <v/>
      </c>
      <c r="M340" s="47"/>
      <c r="N340" s="3" t="str">
        <f t="shared" si="97"/>
        <v/>
      </c>
      <c r="O340" s="47"/>
      <c r="P340" s="3" t="str">
        <f t="shared" si="98"/>
        <v/>
      </c>
      <c r="Q340" s="47"/>
      <c r="R340" s="3" t="str">
        <f t="shared" si="99"/>
        <v/>
      </c>
      <c r="S340" s="47"/>
      <c r="T340" s="1" t="str">
        <f t="shared" si="100"/>
        <v/>
      </c>
      <c r="U340" s="47"/>
      <c r="V340" s="1" t="str">
        <f t="shared" si="101"/>
        <v/>
      </c>
      <c r="W340" s="47"/>
      <c r="X340" s="1" t="str">
        <f t="shared" si="102"/>
        <v/>
      </c>
      <c r="Y340" s="47"/>
      <c r="Z340" s="1" t="str">
        <f t="shared" si="103"/>
        <v/>
      </c>
      <c r="AA340" s="47"/>
      <c r="AB340" s="1" t="str">
        <f t="shared" si="104"/>
        <v/>
      </c>
      <c r="AC340" s="47"/>
      <c r="AD340" s="1" t="str">
        <f t="shared" si="105"/>
        <v/>
      </c>
      <c r="AE340" s="47"/>
      <c r="AF340" s="1" t="str">
        <f t="shared" si="106"/>
        <v/>
      </c>
      <c r="AG340" s="47"/>
    </row>
    <row r="341" spans="1:33">
      <c r="A341">
        <f t="shared" si="90"/>
        <v>0</v>
      </c>
      <c r="B341" s="2" t="str">
        <f t="shared" si="107"/>
        <v/>
      </c>
      <c r="C341" s="4" t="str">
        <f t="shared" si="91"/>
        <v/>
      </c>
      <c r="D341" s="3" t="str">
        <f t="shared" si="92"/>
        <v/>
      </c>
      <c r="E341" s="47"/>
      <c r="F341" s="3" t="str">
        <f t="shared" si="93"/>
        <v/>
      </c>
      <c r="G341" s="47"/>
      <c r="H341" s="3" t="str">
        <f t="shared" si="94"/>
        <v/>
      </c>
      <c r="I341" s="47"/>
      <c r="J341" s="3" t="str">
        <f t="shared" si="95"/>
        <v/>
      </c>
      <c r="K341" s="47"/>
      <c r="L341" s="3" t="str">
        <f t="shared" si="96"/>
        <v/>
      </c>
      <c r="M341" s="47"/>
      <c r="N341" s="3" t="str">
        <f t="shared" si="97"/>
        <v/>
      </c>
      <c r="O341" s="47"/>
      <c r="P341" s="3" t="str">
        <f t="shared" si="98"/>
        <v/>
      </c>
      <c r="Q341" s="47"/>
      <c r="R341" s="3" t="str">
        <f t="shared" si="99"/>
        <v/>
      </c>
      <c r="S341" s="47"/>
      <c r="T341" s="1" t="str">
        <f t="shared" si="100"/>
        <v/>
      </c>
      <c r="U341" s="47"/>
      <c r="V341" s="1" t="str">
        <f t="shared" si="101"/>
        <v/>
      </c>
      <c r="W341" s="47"/>
      <c r="X341" s="1" t="str">
        <f t="shared" si="102"/>
        <v/>
      </c>
      <c r="Y341" s="47"/>
      <c r="Z341" s="1" t="str">
        <f t="shared" si="103"/>
        <v/>
      </c>
      <c r="AA341" s="47"/>
      <c r="AB341" s="1" t="str">
        <f t="shared" si="104"/>
        <v/>
      </c>
      <c r="AC341" s="47"/>
      <c r="AD341" s="1" t="str">
        <f t="shared" si="105"/>
        <v/>
      </c>
      <c r="AE341" s="47"/>
      <c r="AF341" s="1" t="str">
        <f t="shared" si="106"/>
        <v/>
      </c>
      <c r="AG341" s="47"/>
    </row>
    <row r="342" spans="1:33">
      <c r="A342">
        <f t="shared" si="90"/>
        <v>0</v>
      </c>
      <c r="B342" s="2" t="str">
        <f t="shared" si="107"/>
        <v/>
      </c>
      <c r="C342" s="4" t="str">
        <f t="shared" si="91"/>
        <v/>
      </c>
      <c r="D342" s="3" t="str">
        <f t="shared" si="92"/>
        <v/>
      </c>
      <c r="E342" s="47"/>
      <c r="F342" s="3" t="str">
        <f t="shared" si="93"/>
        <v/>
      </c>
      <c r="G342" s="47"/>
      <c r="H342" s="3" t="str">
        <f t="shared" si="94"/>
        <v/>
      </c>
      <c r="I342" s="47"/>
      <c r="J342" s="3" t="str">
        <f t="shared" si="95"/>
        <v/>
      </c>
      <c r="K342" s="47"/>
      <c r="L342" s="3" t="str">
        <f t="shared" si="96"/>
        <v/>
      </c>
      <c r="M342" s="47"/>
      <c r="N342" s="3" t="str">
        <f t="shared" si="97"/>
        <v/>
      </c>
      <c r="O342" s="47"/>
      <c r="P342" s="3" t="str">
        <f t="shared" si="98"/>
        <v/>
      </c>
      <c r="Q342" s="47"/>
      <c r="R342" s="3" t="str">
        <f t="shared" si="99"/>
        <v/>
      </c>
      <c r="S342" s="47"/>
      <c r="T342" s="1" t="str">
        <f t="shared" si="100"/>
        <v/>
      </c>
      <c r="U342" s="47"/>
      <c r="V342" s="1" t="str">
        <f t="shared" si="101"/>
        <v/>
      </c>
      <c r="W342" s="47"/>
      <c r="X342" s="1" t="str">
        <f t="shared" si="102"/>
        <v/>
      </c>
      <c r="Y342" s="47"/>
      <c r="Z342" s="1" t="str">
        <f t="shared" si="103"/>
        <v/>
      </c>
      <c r="AA342" s="47"/>
      <c r="AB342" s="1" t="str">
        <f t="shared" si="104"/>
        <v/>
      </c>
      <c r="AC342" s="47"/>
      <c r="AD342" s="1" t="str">
        <f t="shared" si="105"/>
        <v/>
      </c>
      <c r="AE342" s="47"/>
      <c r="AF342" s="1" t="str">
        <f t="shared" si="106"/>
        <v/>
      </c>
      <c r="AG342" s="47"/>
    </row>
    <row r="343" spans="1:33">
      <c r="A343">
        <f t="shared" si="90"/>
        <v>0</v>
      </c>
      <c r="B343" s="2" t="str">
        <f t="shared" si="107"/>
        <v/>
      </c>
      <c r="C343" s="4" t="str">
        <f t="shared" si="91"/>
        <v/>
      </c>
      <c r="D343" s="3" t="str">
        <f t="shared" si="92"/>
        <v/>
      </c>
      <c r="E343" s="47"/>
      <c r="F343" s="3" t="str">
        <f t="shared" si="93"/>
        <v/>
      </c>
      <c r="G343" s="47"/>
      <c r="H343" s="3" t="str">
        <f t="shared" si="94"/>
        <v/>
      </c>
      <c r="I343" s="47"/>
      <c r="J343" s="3" t="str">
        <f t="shared" si="95"/>
        <v/>
      </c>
      <c r="K343" s="47"/>
      <c r="L343" s="3" t="str">
        <f t="shared" si="96"/>
        <v/>
      </c>
      <c r="M343" s="47"/>
      <c r="N343" s="3" t="str">
        <f t="shared" si="97"/>
        <v/>
      </c>
      <c r="O343" s="47"/>
      <c r="P343" s="3" t="str">
        <f t="shared" si="98"/>
        <v/>
      </c>
      <c r="Q343" s="47"/>
      <c r="R343" s="3" t="str">
        <f t="shared" si="99"/>
        <v/>
      </c>
      <c r="S343" s="47"/>
      <c r="T343" s="1" t="str">
        <f t="shared" si="100"/>
        <v/>
      </c>
      <c r="U343" s="47"/>
      <c r="V343" s="1" t="str">
        <f t="shared" si="101"/>
        <v/>
      </c>
      <c r="W343" s="47"/>
      <c r="X343" s="1" t="str">
        <f t="shared" si="102"/>
        <v/>
      </c>
      <c r="Y343" s="47"/>
      <c r="Z343" s="1" t="str">
        <f t="shared" si="103"/>
        <v/>
      </c>
      <c r="AA343" s="47"/>
      <c r="AB343" s="1" t="str">
        <f t="shared" si="104"/>
        <v/>
      </c>
      <c r="AC343" s="47"/>
      <c r="AD343" s="1" t="str">
        <f t="shared" si="105"/>
        <v/>
      </c>
      <c r="AE343" s="47"/>
      <c r="AF343" s="1" t="str">
        <f t="shared" si="106"/>
        <v/>
      </c>
      <c r="AG343" s="47"/>
    </row>
    <row r="344" spans="1:33">
      <c r="A344">
        <f t="shared" si="90"/>
        <v>0</v>
      </c>
      <c r="B344" s="2" t="str">
        <f t="shared" si="107"/>
        <v/>
      </c>
      <c r="C344" s="4" t="str">
        <f t="shared" si="91"/>
        <v/>
      </c>
      <c r="D344" s="3" t="str">
        <f t="shared" si="92"/>
        <v/>
      </c>
      <c r="E344" s="47"/>
      <c r="F344" s="3" t="str">
        <f t="shared" si="93"/>
        <v/>
      </c>
      <c r="G344" s="47"/>
      <c r="H344" s="3" t="str">
        <f t="shared" si="94"/>
        <v/>
      </c>
      <c r="I344" s="47"/>
      <c r="J344" s="3" t="str">
        <f t="shared" si="95"/>
        <v/>
      </c>
      <c r="K344" s="47"/>
      <c r="L344" s="3" t="str">
        <f t="shared" si="96"/>
        <v/>
      </c>
      <c r="M344" s="47"/>
      <c r="N344" s="3" t="str">
        <f t="shared" si="97"/>
        <v/>
      </c>
      <c r="O344" s="47"/>
      <c r="P344" s="3" t="str">
        <f t="shared" si="98"/>
        <v/>
      </c>
      <c r="Q344" s="47"/>
      <c r="R344" s="3" t="str">
        <f t="shared" si="99"/>
        <v/>
      </c>
      <c r="S344" s="47"/>
      <c r="T344" s="1" t="str">
        <f t="shared" si="100"/>
        <v/>
      </c>
      <c r="U344" s="47"/>
      <c r="V344" s="1" t="str">
        <f t="shared" si="101"/>
        <v/>
      </c>
      <c r="W344" s="47"/>
      <c r="X344" s="1" t="str">
        <f t="shared" si="102"/>
        <v/>
      </c>
      <c r="Y344" s="47"/>
      <c r="Z344" s="1" t="str">
        <f t="shared" si="103"/>
        <v/>
      </c>
      <c r="AA344" s="47"/>
      <c r="AB344" s="1" t="str">
        <f t="shared" si="104"/>
        <v/>
      </c>
      <c r="AC344" s="47"/>
      <c r="AD344" s="1" t="str">
        <f t="shared" si="105"/>
        <v/>
      </c>
      <c r="AE344" s="47"/>
      <c r="AF344" s="1" t="str">
        <f t="shared" si="106"/>
        <v/>
      </c>
      <c r="AG344" s="47"/>
    </row>
    <row r="345" spans="1:33">
      <c r="A345">
        <f t="shared" si="90"/>
        <v>0</v>
      </c>
      <c r="B345" s="2" t="str">
        <f t="shared" si="107"/>
        <v/>
      </c>
      <c r="C345" s="4" t="str">
        <f t="shared" si="91"/>
        <v/>
      </c>
      <c r="D345" s="3" t="str">
        <f t="shared" si="92"/>
        <v/>
      </c>
      <c r="E345" s="47"/>
      <c r="F345" s="3" t="str">
        <f t="shared" si="93"/>
        <v/>
      </c>
      <c r="G345" s="47"/>
      <c r="H345" s="3" t="str">
        <f t="shared" si="94"/>
        <v/>
      </c>
      <c r="I345" s="47"/>
      <c r="J345" s="3" t="str">
        <f t="shared" si="95"/>
        <v/>
      </c>
      <c r="K345" s="47"/>
      <c r="L345" s="3" t="str">
        <f t="shared" si="96"/>
        <v/>
      </c>
      <c r="M345" s="47"/>
      <c r="N345" s="3" t="str">
        <f t="shared" si="97"/>
        <v/>
      </c>
      <c r="O345" s="47"/>
      <c r="P345" s="3" t="str">
        <f t="shared" si="98"/>
        <v/>
      </c>
      <c r="Q345" s="47"/>
      <c r="R345" s="3" t="str">
        <f t="shared" si="99"/>
        <v/>
      </c>
      <c r="S345" s="47"/>
      <c r="T345" s="1" t="str">
        <f t="shared" si="100"/>
        <v/>
      </c>
      <c r="U345" s="47"/>
      <c r="V345" s="1" t="str">
        <f t="shared" si="101"/>
        <v/>
      </c>
      <c r="W345" s="47"/>
      <c r="X345" s="1" t="str">
        <f t="shared" si="102"/>
        <v/>
      </c>
      <c r="Y345" s="47"/>
      <c r="Z345" s="1" t="str">
        <f t="shared" si="103"/>
        <v/>
      </c>
      <c r="AA345" s="47"/>
      <c r="AB345" s="1" t="str">
        <f t="shared" si="104"/>
        <v/>
      </c>
      <c r="AC345" s="47"/>
      <c r="AD345" s="1" t="str">
        <f t="shared" si="105"/>
        <v/>
      </c>
      <c r="AE345" s="47"/>
      <c r="AF345" s="1" t="str">
        <f t="shared" si="106"/>
        <v/>
      </c>
      <c r="AG345" s="47"/>
    </row>
    <row r="346" spans="1:33">
      <c r="A346">
        <f t="shared" si="90"/>
        <v>0</v>
      </c>
      <c r="B346" s="2" t="str">
        <f t="shared" si="107"/>
        <v/>
      </c>
      <c r="C346" s="4" t="str">
        <f t="shared" si="91"/>
        <v/>
      </c>
      <c r="D346" s="3" t="str">
        <f t="shared" si="92"/>
        <v/>
      </c>
      <c r="E346" s="47"/>
      <c r="F346" s="3" t="str">
        <f t="shared" si="93"/>
        <v/>
      </c>
      <c r="G346" s="47"/>
      <c r="H346" s="3" t="str">
        <f t="shared" si="94"/>
        <v/>
      </c>
      <c r="I346" s="47"/>
      <c r="J346" s="3" t="str">
        <f t="shared" si="95"/>
        <v/>
      </c>
      <c r="K346" s="47"/>
      <c r="L346" s="3" t="str">
        <f t="shared" si="96"/>
        <v/>
      </c>
      <c r="M346" s="47"/>
      <c r="N346" s="3" t="str">
        <f t="shared" si="97"/>
        <v/>
      </c>
      <c r="O346" s="47"/>
      <c r="P346" s="3" t="str">
        <f t="shared" si="98"/>
        <v/>
      </c>
      <c r="Q346" s="47"/>
      <c r="R346" s="3" t="str">
        <f t="shared" si="99"/>
        <v/>
      </c>
      <c r="S346" s="47"/>
      <c r="T346" s="1" t="str">
        <f t="shared" si="100"/>
        <v/>
      </c>
      <c r="U346" s="47"/>
      <c r="V346" s="1" t="str">
        <f t="shared" si="101"/>
        <v/>
      </c>
      <c r="W346" s="47"/>
      <c r="X346" s="1" t="str">
        <f t="shared" si="102"/>
        <v/>
      </c>
      <c r="Y346" s="47"/>
      <c r="Z346" s="1" t="str">
        <f t="shared" si="103"/>
        <v/>
      </c>
      <c r="AA346" s="47"/>
      <c r="AB346" s="1" t="str">
        <f t="shared" si="104"/>
        <v/>
      </c>
      <c r="AC346" s="47"/>
      <c r="AD346" s="1" t="str">
        <f t="shared" si="105"/>
        <v/>
      </c>
      <c r="AE346" s="47"/>
      <c r="AF346" s="1" t="str">
        <f t="shared" si="106"/>
        <v/>
      </c>
      <c r="AG346" s="47"/>
    </row>
    <row r="347" spans="1:33">
      <c r="A347">
        <f t="shared" si="90"/>
        <v>0</v>
      </c>
      <c r="B347" s="2" t="str">
        <f t="shared" si="107"/>
        <v/>
      </c>
      <c r="C347" s="4" t="str">
        <f t="shared" si="91"/>
        <v/>
      </c>
      <c r="D347" s="3" t="str">
        <f t="shared" si="92"/>
        <v/>
      </c>
      <c r="E347" s="47"/>
      <c r="F347" s="3" t="str">
        <f t="shared" si="93"/>
        <v/>
      </c>
      <c r="G347" s="47"/>
      <c r="H347" s="3" t="str">
        <f t="shared" si="94"/>
        <v/>
      </c>
      <c r="I347" s="47"/>
      <c r="J347" s="3" t="str">
        <f t="shared" si="95"/>
        <v/>
      </c>
      <c r="K347" s="47"/>
      <c r="L347" s="3" t="str">
        <f t="shared" si="96"/>
        <v/>
      </c>
      <c r="M347" s="47"/>
      <c r="N347" s="3" t="str">
        <f t="shared" si="97"/>
        <v/>
      </c>
      <c r="O347" s="47"/>
      <c r="P347" s="3" t="str">
        <f t="shared" si="98"/>
        <v/>
      </c>
      <c r="Q347" s="47"/>
      <c r="R347" s="3" t="str">
        <f t="shared" si="99"/>
        <v/>
      </c>
      <c r="S347" s="47"/>
      <c r="T347" s="1" t="str">
        <f t="shared" si="100"/>
        <v/>
      </c>
      <c r="U347" s="47"/>
      <c r="V347" s="1" t="str">
        <f t="shared" si="101"/>
        <v/>
      </c>
      <c r="W347" s="47"/>
      <c r="X347" s="1" t="str">
        <f t="shared" si="102"/>
        <v/>
      </c>
      <c r="Y347" s="47"/>
      <c r="Z347" s="1" t="str">
        <f t="shared" si="103"/>
        <v/>
      </c>
      <c r="AA347" s="47"/>
      <c r="AB347" s="1" t="str">
        <f t="shared" si="104"/>
        <v/>
      </c>
      <c r="AC347" s="47"/>
      <c r="AD347" s="1" t="str">
        <f t="shared" si="105"/>
        <v/>
      </c>
      <c r="AE347" s="47"/>
      <c r="AF347" s="1" t="str">
        <f t="shared" si="106"/>
        <v/>
      </c>
      <c r="AG347" s="47"/>
    </row>
    <row r="348" spans="1:33">
      <c r="A348">
        <f t="shared" si="90"/>
        <v>0</v>
      </c>
      <c r="B348" s="2" t="str">
        <f t="shared" si="107"/>
        <v/>
      </c>
      <c r="C348" s="4" t="str">
        <f t="shared" si="91"/>
        <v/>
      </c>
      <c r="D348" s="3" t="str">
        <f t="shared" si="92"/>
        <v/>
      </c>
      <c r="E348" s="47"/>
      <c r="F348" s="3" t="str">
        <f t="shared" si="93"/>
        <v/>
      </c>
      <c r="G348" s="47"/>
      <c r="H348" s="3" t="str">
        <f t="shared" si="94"/>
        <v/>
      </c>
      <c r="I348" s="47"/>
      <c r="J348" s="3" t="str">
        <f t="shared" si="95"/>
        <v/>
      </c>
      <c r="K348" s="47"/>
      <c r="L348" s="3" t="str">
        <f t="shared" si="96"/>
        <v/>
      </c>
      <c r="M348" s="47"/>
      <c r="N348" s="3" t="str">
        <f t="shared" si="97"/>
        <v/>
      </c>
      <c r="O348" s="47"/>
      <c r="P348" s="3" t="str">
        <f t="shared" si="98"/>
        <v/>
      </c>
      <c r="Q348" s="47"/>
      <c r="R348" s="3" t="str">
        <f t="shared" si="99"/>
        <v/>
      </c>
      <c r="S348" s="47"/>
      <c r="T348" s="1" t="str">
        <f t="shared" si="100"/>
        <v/>
      </c>
      <c r="U348" s="47"/>
      <c r="V348" s="1" t="str">
        <f t="shared" si="101"/>
        <v/>
      </c>
      <c r="W348" s="47"/>
      <c r="X348" s="1" t="str">
        <f t="shared" si="102"/>
        <v/>
      </c>
      <c r="Y348" s="47"/>
      <c r="Z348" s="1" t="str">
        <f t="shared" si="103"/>
        <v/>
      </c>
      <c r="AA348" s="47"/>
      <c r="AB348" s="1" t="str">
        <f t="shared" si="104"/>
        <v/>
      </c>
      <c r="AC348" s="47"/>
      <c r="AD348" s="1" t="str">
        <f t="shared" si="105"/>
        <v/>
      </c>
      <c r="AE348" s="47"/>
      <c r="AF348" s="1" t="str">
        <f t="shared" si="106"/>
        <v/>
      </c>
      <c r="AG348" s="47"/>
    </row>
    <row r="349" spans="1:33">
      <c r="A349">
        <f t="shared" si="90"/>
        <v>0</v>
      </c>
      <c r="B349" s="2" t="str">
        <f t="shared" si="107"/>
        <v/>
      </c>
      <c r="C349" s="4" t="str">
        <f t="shared" si="91"/>
        <v/>
      </c>
      <c r="D349" s="3" t="str">
        <f t="shared" si="92"/>
        <v/>
      </c>
      <c r="E349" s="47"/>
      <c r="F349" s="3" t="str">
        <f t="shared" si="93"/>
        <v/>
      </c>
      <c r="G349" s="47"/>
      <c r="H349" s="3" t="str">
        <f t="shared" si="94"/>
        <v/>
      </c>
      <c r="I349" s="47"/>
      <c r="J349" s="3" t="str">
        <f t="shared" si="95"/>
        <v/>
      </c>
      <c r="K349" s="47"/>
      <c r="L349" s="3" t="str">
        <f t="shared" si="96"/>
        <v/>
      </c>
      <c r="M349" s="47"/>
      <c r="N349" s="3" t="str">
        <f t="shared" si="97"/>
        <v/>
      </c>
      <c r="O349" s="47"/>
      <c r="P349" s="3" t="str">
        <f t="shared" si="98"/>
        <v/>
      </c>
      <c r="Q349" s="47"/>
      <c r="R349" s="3" t="str">
        <f t="shared" si="99"/>
        <v/>
      </c>
      <c r="S349" s="47"/>
      <c r="T349" s="1" t="str">
        <f t="shared" si="100"/>
        <v/>
      </c>
      <c r="U349" s="47"/>
      <c r="V349" s="1" t="str">
        <f t="shared" si="101"/>
        <v/>
      </c>
      <c r="W349" s="47"/>
      <c r="X349" s="1" t="str">
        <f t="shared" si="102"/>
        <v/>
      </c>
      <c r="Y349" s="47"/>
      <c r="Z349" s="1" t="str">
        <f t="shared" si="103"/>
        <v/>
      </c>
      <c r="AA349" s="47"/>
      <c r="AB349" s="1" t="str">
        <f t="shared" si="104"/>
        <v/>
      </c>
      <c r="AC349" s="47"/>
      <c r="AD349" s="1" t="str">
        <f t="shared" si="105"/>
        <v/>
      </c>
      <c r="AE349" s="47"/>
      <c r="AF349" s="1" t="str">
        <f t="shared" si="106"/>
        <v/>
      </c>
      <c r="AG349" s="47"/>
    </row>
    <row r="350" spans="1:33">
      <c r="A350">
        <f t="shared" si="90"/>
        <v>0</v>
      </c>
      <c r="B350" s="2" t="str">
        <f t="shared" si="107"/>
        <v/>
      </c>
      <c r="C350" s="4" t="str">
        <f t="shared" si="91"/>
        <v/>
      </c>
      <c r="D350" s="3" t="str">
        <f t="shared" si="92"/>
        <v/>
      </c>
      <c r="E350" s="47"/>
      <c r="F350" s="3" t="str">
        <f t="shared" si="93"/>
        <v/>
      </c>
      <c r="G350" s="47"/>
      <c r="H350" s="3" t="str">
        <f t="shared" si="94"/>
        <v/>
      </c>
      <c r="I350" s="47"/>
      <c r="J350" s="3" t="str">
        <f t="shared" si="95"/>
        <v/>
      </c>
      <c r="K350" s="47"/>
      <c r="L350" s="3" t="str">
        <f t="shared" si="96"/>
        <v/>
      </c>
      <c r="M350" s="47"/>
      <c r="N350" s="3" t="str">
        <f t="shared" si="97"/>
        <v/>
      </c>
      <c r="O350" s="47"/>
      <c r="P350" s="3" t="str">
        <f t="shared" si="98"/>
        <v/>
      </c>
      <c r="Q350" s="47"/>
      <c r="R350" s="3" t="str">
        <f t="shared" si="99"/>
        <v/>
      </c>
      <c r="S350" s="47"/>
      <c r="T350" s="1" t="str">
        <f t="shared" si="100"/>
        <v/>
      </c>
      <c r="U350" s="47"/>
      <c r="V350" s="1" t="str">
        <f t="shared" si="101"/>
        <v/>
      </c>
      <c r="W350" s="47"/>
      <c r="X350" s="1" t="str">
        <f t="shared" si="102"/>
        <v/>
      </c>
      <c r="Y350" s="47"/>
      <c r="Z350" s="1" t="str">
        <f t="shared" si="103"/>
        <v/>
      </c>
      <c r="AA350" s="47"/>
      <c r="AB350" s="1" t="str">
        <f t="shared" si="104"/>
        <v/>
      </c>
      <c r="AC350" s="47"/>
      <c r="AD350" s="1" t="str">
        <f t="shared" si="105"/>
        <v/>
      </c>
      <c r="AE350" s="47"/>
      <c r="AF350" s="1" t="str">
        <f t="shared" si="106"/>
        <v/>
      </c>
      <c r="AG350" s="47"/>
    </row>
    <row r="351" spans="1:33">
      <c r="A351">
        <f t="shared" si="90"/>
        <v>0</v>
      </c>
      <c r="B351" s="2" t="str">
        <f t="shared" si="107"/>
        <v/>
      </c>
      <c r="C351" s="4" t="str">
        <f t="shared" si="91"/>
        <v/>
      </c>
      <c r="D351" s="3" t="str">
        <f t="shared" si="92"/>
        <v/>
      </c>
      <c r="E351" s="47"/>
      <c r="F351" s="3" t="str">
        <f t="shared" si="93"/>
        <v/>
      </c>
      <c r="G351" s="47"/>
      <c r="H351" s="3" t="str">
        <f t="shared" si="94"/>
        <v/>
      </c>
      <c r="I351" s="47"/>
      <c r="J351" s="3" t="str">
        <f t="shared" si="95"/>
        <v/>
      </c>
      <c r="K351" s="47"/>
      <c r="L351" s="3" t="str">
        <f t="shared" si="96"/>
        <v/>
      </c>
      <c r="M351" s="47"/>
      <c r="N351" s="3" t="str">
        <f t="shared" si="97"/>
        <v/>
      </c>
      <c r="O351" s="47"/>
      <c r="P351" s="3" t="str">
        <f t="shared" si="98"/>
        <v/>
      </c>
      <c r="Q351" s="47"/>
      <c r="R351" s="3" t="str">
        <f t="shared" si="99"/>
        <v/>
      </c>
      <c r="S351" s="47"/>
      <c r="T351" s="1" t="str">
        <f t="shared" si="100"/>
        <v/>
      </c>
      <c r="U351" s="47"/>
      <c r="V351" s="1" t="str">
        <f t="shared" si="101"/>
        <v/>
      </c>
      <c r="W351" s="47"/>
      <c r="X351" s="1" t="str">
        <f t="shared" si="102"/>
        <v/>
      </c>
      <c r="Y351" s="47"/>
      <c r="Z351" s="1" t="str">
        <f t="shared" si="103"/>
        <v/>
      </c>
      <c r="AA351" s="47"/>
      <c r="AB351" s="1" t="str">
        <f t="shared" si="104"/>
        <v/>
      </c>
      <c r="AC351" s="47"/>
      <c r="AD351" s="1" t="str">
        <f t="shared" si="105"/>
        <v/>
      </c>
      <c r="AE351" s="47"/>
      <c r="AF351" s="1" t="str">
        <f t="shared" si="106"/>
        <v/>
      </c>
      <c r="AG351" s="47"/>
    </row>
    <row r="352" spans="1:33">
      <c r="A352">
        <f t="shared" si="90"/>
        <v>0</v>
      </c>
      <c r="B352" s="2" t="str">
        <f t="shared" si="107"/>
        <v/>
      </c>
      <c r="C352" s="4" t="str">
        <f t="shared" si="91"/>
        <v/>
      </c>
      <c r="D352" s="3" t="str">
        <f t="shared" si="92"/>
        <v/>
      </c>
      <c r="E352" s="47"/>
      <c r="F352" s="3" t="str">
        <f t="shared" si="93"/>
        <v/>
      </c>
      <c r="G352" s="47"/>
      <c r="H352" s="3" t="str">
        <f t="shared" si="94"/>
        <v/>
      </c>
      <c r="I352" s="47"/>
      <c r="J352" s="3" t="str">
        <f t="shared" si="95"/>
        <v/>
      </c>
      <c r="K352" s="47"/>
      <c r="L352" s="3" t="str">
        <f t="shared" si="96"/>
        <v/>
      </c>
      <c r="M352" s="47"/>
      <c r="N352" s="3" t="str">
        <f t="shared" si="97"/>
        <v/>
      </c>
      <c r="O352" s="47"/>
      <c r="P352" s="3" t="str">
        <f t="shared" si="98"/>
        <v/>
      </c>
      <c r="Q352" s="47"/>
      <c r="R352" s="3" t="str">
        <f t="shared" si="99"/>
        <v/>
      </c>
      <c r="S352" s="47"/>
      <c r="T352" s="1" t="str">
        <f t="shared" si="100"/>
        <v/>
      </c>
      <c r="U352" s="47"/>
      <c r="V352" s="1" t="str">
        <f t="shared" si="101"/>
        <v/>
      </c>
      <c r="W352" s="47"/>
      <c r="X352" s="1" t="str">
        <f t="shared" si="102"/>
        <v/>
      </c>
      <c r="Y352" s="47"/>
      <c r="Z352" s="1" t="str">
        <f t="shared" si="103"/>
        <v/>
      </c>
      <c r="AA352" s="47"/>
      <c r="AB352" s="1" t="str">
        <f t="shared" si="104"/>
        <v/>
      </c>
      <c r="AC352" s="47"/>
      <c r="AD352" s="1" t="str">
        <f t="shared" si="105"/>
        <v/>
      </c>
      <c r="AE352" s="47"/>
      <c r="AF352" s="1" t="str">
        <f t="shared" si="106"/>
        <v/>
      </c>
      <c r="AG352" s="47"/>
    </row>
    <row r="353" spans="1:33">
      <c r="A353">
        <f t="shared" si="90"/>
        <v>0</v>
      </c>
      <c r="B353" s="2" t="str">
        <f t="shared" si="107"/>
        <v/>
      </c>
      <c r="C353" s="4" t="str">
        <f t="shared" si="91"/>
        <v/>
      </c>
      <c r="D353" s="3" t="str">
        <f t="shared" si="92"/>
        <v/>
      </c>
      <c r="E353" s="47"/>
      <c r="F353" s="3" t="str">
        <f t="shared" si="93"/>
        <v/>
      </c>
      <c r="G353" s="47"/>
      <c r="H353" s="3" t="str">
        <f t="shared" si="94"/>
        <v/>
      </c>
      <c r="I353" s="47"/>
      <c r="J353" s="3" t="str">
        <f t="shared" si="95"/>
        <v/>
      </c>
      <c r="K353" s="47"/>
      <c r="L353" s="3" t="str">
        <f t="shared" si="96"/>
        <v/>
      </c>
      <c r="M353" s="47"/>
      <c r="N353" s="3" t="str">
        <f t="shared" si="97"/>
        <v/>
      </c>
      <c r="O353" s="47"/>
      <c r="P353" s="3" t="str">
        <f t="shared" si="98"/>
        <v/>
      </c>
      <c r="Q353" s="47"/>
      <c r="R353" s="3" t="str">
        <f t="shared" si="99"/>
        <v/>
      </c>
      <c r="S353" s="47"/>
      <c r="T353" s="1" t="str">
        <f t="shared" si="100"/>
        <v/>
      </c>
      <c r="U353" s="47"/>
      <c r="V353" s="1" t="str">
        <f t="shared" si="101"/>
        <v/>
      </c>
      <c r="W353" s="47"/>
      <c r="X353" s="1" t="str">
        <f t="shared" si="102"/>
        <v/>
      </c>
      <c r="Y353" s="47"/>
      <c r="Z353" s="1" t="str">
        <f t="shared" si="103"/>
        <v/>
      </c>
      <c r="AA353" s="47"/>
      <c r="AB353" s="1" t="str">
        <f t="shared" si="104"/>
        <v/>
      </c>
      <c r="AC353" s="47"/>
      <c r="AD353" s="1" t="str">
        <f t="shared" si="105"/>
        <v/>
      </c>
      <c r="AE353" s="47"/>
      <c r="AF353" s="1" t="str">
        <f t="shared" si="106"/>
        <v/>
      </c>
      <c r="AG353" s="47"/>
    </row>
    <row r="354" spans="1:33">
      <c r="A354">
        <f t="shared" si="90"/>
        <v>0</v>
      </c>
      <c r="B354" s="2" t="str">
        <f t="shared" si="107"/>
        <v/>
      </c>
      <c r="C354" s="4" t="str">
        <f t="shared" si="91"/>
        <v/>
      </c>
      <c r="D354" s="3" t="str">
        <f t="shared" si="92"/>
        <v/>
      </c>
      <c r="E354" s="47"/>
      <c r="F354" s="3" t="str">
        <f t="shared" si="93"/>
        <v/>
      </c>
      <c r="G354" s="47"/>
      <c r="H354" s="3" t="str">
        <f t="shared" si="94"/>
        <v/>
      </c>
      <c r="I354" s="47"/>
      <c r="J354" s="3" t="str">
        <f t="shared" si="95"/>
        <v/>
      </c>
      <c r="K354" s="47"/>
      <c r="L354" s="3" t="str">
        <f t="shared" si="96"/>
        <v/>
      </c>
      <c r="M354" s="47"/>
      <c r="N354" s="3" t="str">
        <f t="shared" si="97"/>
        <v/>
      </c>
      <c r="O354" s="47"/>
      <c r="P354" s="3" t="str">
        <f t="shared" si="98"/>
        <v/>
      </c>
      <c r="Q354" s="47"/>
      <c r="R354" s="3" t="str">
        <f t="shared" si="99"/>
        <v/>
      </c>
      <c r="S354" s="47"/>
      <c r="T354" s="1" t="str">
        <f t="shared" si="100"/>
        <v/>
      </c>
      <c r="U354" s="47"/>
      <c r="V354" s="1" t="str">
        <f t="shared" si="101"/>
        <v/>
      </c>
      <c r="W354" s="47"/>
      <c r="X354" s="1" t="str">
        <f t="shared" si="102"/>
        <v/>
      </c>
      <c r="Y354" s="47"/>
      <c r="Z354" s="1" t="str">
        <f t="shared" si="103"/>
        <v/>
      </c>
      <c r="AA354" s="47"/>
      <c r="AB354" s="1" t="str">
        <f t="shared" si="104"/>
        <v/>
      </c>
      <c r="AC354" s="47"/>
      <c r="AD354" s="1" t="str">
        <f t="shared" si="105"/>
        <v/>
      </c>
      <c r="AE354" s="47"/>
      <c r="AF354" s="1" t="str">
        <f t="shared" si="106"/>
        <v/>
      </c>
      <c r="AG354" s="47"/>
    </row>
    <row r="355" spans="1:33">
      <c r="A355">
        <f t="shared" si="90"/>
        <v>0</v>
      </c>
      <c r="B355" s="2" t="str">
        <f t="shared" si="107"/>
        <v/>
      </c>
      <c r="C355" s="4" t="str">
        <f t="shared" si="91"/>
        <v/>
      </c>
      <c r="D355" s="3" t="str">
        <f t="shared" si="92"/>
        <v/>
      </c>
      <c r="E355" s="47"/>
      <c r="F355" s="3" t="str">
        <f t="shared" si="93"/>
        <v/>
      </c>
      <c r="G355" s="47"/>
      <c r="H355" s="3" t="str">
        <f t="shared" si="94"/>
        <v/>
      </c>
      <c r="I355" s="47"/>
      <c r="J355" s="3" t="str">
        <f t="shared" si="95"/>
        <v/>
      </c>
      <c r="K355" s="47"/>
      <c r="L355" s="3" t="str">
        <f t="shared" si="96"/>
        <v/>
      </c>
      <c r="M355" s="47"/>
      <c r="N355" s="3" t="str">
        <f t="shared" si="97"/>
        <v/>
      </c>
      <c r="O355" s="47"/>
      <c r="P355" s="3" t="str">
        <f t="shared" si="98"/>
        <v/>
      </c>
      <c r="Q355" s="47"/>
      <c r="R355" s="3" t="str">
        <f t="shared" si="99"/>
        <v/>
      </c>
      <c r="S355" s="47"/>
      <c r="T355" s="1" t="str">
        <f t="shared" si="100"/>
        <v/>
      </c>
      <c r="U355" s="47"/>
      <c r="V355" s="1" t="str">
        <f t="shared" si="101"/>
        <v/>
      </c>
      <c r="W355" s="47"/>
      <c r="X355" s="1" t="str">
        <f t="shared" si="102"/>
        <v/>
      </c>
      <c r="Y355" s="47"/>
      <c r="Z355" s="1" t="str">
        <f t="shared" si="103"/>
        <v/>
      </c>
      <c r="AA355" s="47"/>
      <c r="AB355" s="1" t="str">
        <f t="shared" si="104"/>
        <v/>
      </c>
      <c r="AC355" s="47"/>
      <c r="AD355" s="1" t="str">
        <f t="shared" si="105"/>
        <v/>
      </c>
      <c r="AE355" s="47"/>
      <c r="AF355" s="1" t="str">
        <f t="shared" si="106"/>
        <v/>
      </c>
      <c r="AG355" s="47"/>
    </row>
    <row r="356" spans="1:33">
      <c r="A356">
        <f t="shared" si="90"/>
        <v>0</v>
      </c>
      <c r="B356" s="2" t="str">
        <f t="shared" si="107"/>
        <v/>
      </c>
      <c r="C356" s="4" t="str">
        <f t="shared" si="91"/>
        <v/>
      </c>
      <c r="D356" s="3" t="str">
        <f t="shared" si="92"/>
        <v/>
      </c>
      <c r="E356" s="47"/>
      <c r="F356" s="3" t="str">
        <f t="shared" si="93"/>
        <v/>
      </c>
      <c r="G356" s="47"/>
      <c r="H356" s="3" t="str">
        <f t="shared" si="94"/>
        <v/>
      </c>
      <c r="I356" s="47"/>
      <c r="J356" s="3" t="str">
        <f t="shared" si="95"/>
        <v/>
      </c>
      <c r="K356" s="47"/>
      <c r="L356" s="3" t="str">
        <f t="shared" si="96"/>
        <v/>
      </c>
      <c r="M356" s="47"/>
      <c r="N356" s="3" t="str">
        <f t="shared" si="97"/>
        <v/>
      </c>
      <c r="O356" s="47"/>
      <c r="P356" s="3" t="str">
        <f t="shared" si="98"/>
        <v/>
      </c>
      <c r="Q356" s="47"/>
      <c r="R356" s="3" t="str">
        <f t="shared" si="99"/>
        <v/>
      </c>
      <c r="S356" s="47"/>
      <c r="T356" s="1" t="str">
        <f t="shared" si="100"/>
        <v/>
      </c>
      <c r="U356" s="47"/>
      <c r="V356" s="1" t="str">
        <f t="shared" si="101"/>
        <v/>
      </c>
      <c r="W356" s="47"/>
      <c r="X356" s="1" t="str">
        <f t="shared" si="102"/>
        <v/>
      </c>
      <c r="Y356" s="47"/>
      <c r="Z356" s="1" t="str">
        <f t="shared" si="103"/>
        <v/>
      </c>
      <c r="AA356" s="47"/>
      <c r="AB356" s="1" t="str">
        <f t="shared" si="104"/>
        <v/>
      </c>
      <c r="AC356" s="47"/>
      <c r="AD356" s="1" t="str">
        <f t="shared" si="105"/>
        <v/>
      </c>
      <c r="AE356" s="47"/>
      <c r="AF356" s="1" t="str">
        <f t="shared" si="106"/>
        <v/>
      </c>
      <c r="AG356" s="47"/>
    </row>
    <row r="357" spans="1:33">
      <c r="A357">
        <f t="shared" si="90"/>
        <v>0</v>
      </c>
      <c r="B357" s="2" t="str">
        <f t="shared" si="107"/>
        <v/>
      </c>
      <c r="C357" s="4" t="str">
        <f t="shared" si="91"/>
        <v/>
      </c>
      <c r="D357" s="3" t="str">
        <f t="shared" si="92"/>
        <v/>
      </c>
      <c r="E357" s="47"/>
      <c r="F357" s="3" t="str">
        <f t="shared" si="93"/>
        <v/>
      </c>
      <c r="G357" s="47"/>
      <c r="H357" s="3" t="str">
        <f t="shared" si="94"/>
        <v/>
      </c>
      <c r="I357" s="47"/>
      <c r="J357" s="3" t="str">
        <f t="shared" si="95"/>
        <v/>
      </c>
      <c r="K357" s="47"/>
      <c r="L357" s="3" t="str">
        <f t="shared" si="96"/>
        <v/>
      </c>
      <c r="M357" s="47"/>
      <c r="N357" s="3" t="str">
        <f t="shared" si="97"/>
        <v/>
      </c>
      <c r="O357" s="47"/>
      <c r="P357" s="3" t="str">
        <f t="shared" si="98"/>
        <v/>
      </c>
      <c r="Q357" s="47"/>
      <c r="R357" s="3" t="str">
        <f t="shared" si="99"/>
        <v/>
      </c>
      <c r="S357" s="47"/>
      <c r="T357" s="1" t="str">
        <f t="shared" si="100"/>
        <v/>
      </c>
      <c r="U357" s="47"/>
      <c r="V357" s="1" t="str">
        <f t="shared" si="101"/>
        <v/>
      </c>
      <c r="W357" s="47"/>
      <c r="X357" s="1" t="str">
        <f t="shared" si="102"/>
        <v/>
      </c>
      <c r="Y357" s="47"/>
      <c r="Z357" s="1" t="str">
        <f t="shared" si="103"/>
        <v/>
      </c>
      <c r="AA357" s="47"/>
      <c r="AB357" s="1" t="str">
        <f t="shared" si="104"/>
        <v/>
      </c>
      <c r="AC357" s="47"/>
      <c r="AD357" s="1" t="str">
        <f t="shared" si="105"/>
        <v/>
      </c>
      <c r="AE357" s="47"/>
      <c r="AF357" s="1" t="str">
        <f t="shared" si="106"/>
        <v/>
      </c>
      <c r="AG357" s="47"/>
    </row>
    <row r="358" spans="1:33">
      <c r="A358">
        <f t="shared" si="90"/>
        <v>0</v>
      </c>
      <c r="B358" s="2" t="str">
        <f t="shared" si="107"/>
        <v/>
      </c>
      <c r="C358" s="4" t="str">
        <f t="shared" si="91"/>
        <v/>
      </c>
      <c r="D358" s="3" t="str">
        <f t="shared" si="92"/>
        <v/>
      </c>
      <c r="E358" s="47"/>
      <c r="F358" s="3" t="str">
        <f t="shared" si="93"/>
        <v/>
      </c>
      <c r="G358" s="47"/>
      <c r="H358" s="3" t="str">
        <f t="shared" si="94"/>
        <v/>
      </c>
      <c r="I358" s="47"/>
      <c r="J358" s="3" t="str">
        <f t="shared" si="95"/>
        <v/>
      </c>
      <c r="K358" s="47"/>
      <c r="L358" s="3" t="str">
        <f t="shared" si="96"/>
        <v/>
      </c>
      <c r="M358" s="47"/>
      <c r="N358" s="3" t="str">
        <f t="shared" si="97"/>
        <v/>
      </c>
      <c r="O358" s="47"/>
      <c r="P358" s="3" t="str">
        <f t="shared" si="98"/>
        <v/>
      </c>
      <c r="Q358" s="47"/>
      <c r="R358" s="3" t="str">
        <f t="shared" si="99"/>
        <v/>
      </c>
      <c r="S358" s="47"/>
      <c r="T358" s="1" t="str">
        <f t="shared" si="100"/>
        <v/>
      </c>
      <c r="U358" s="47"/>
      <c r="V358" s="1" t="str">
        <f t="shared" si="101"/>
        <v/>
      </c>
      <c r="W358" s="47"/>
      <c r="X358" s="1" t="str">
        <f t="shared" si="102"/>
        <v/>
      </c>
      <c r="Y358" s="47"/>
      <c r="Z358" s="1" t="str">
        <f t="shared" si="103"/>
        <v/>
      </c>
      <c r="AA358" s="47"/>
      <c r="AB358" s="1" t="str">
        <f t="shared" si="104"/>
        <v/>
      </c>
      <c r="AC358" s="47"/>
      <c r="AD358" s="1" t="str">
        <f t="shared" si="105"/>
        <v/>
      </c>
      <c r="AE358" s="47"/>
      <c r="AF358" s="1" t="str">
        <f t="shared" si="106"/>
        <v/>
      </c>
      <c r="AG358" s="47"/>
    </row>
    <row r="359" spans="1:33">
      <c r="A359">
        <f t="shared" si="90"/>
        <v>0</v>
      </c>
      <c r="B359" s="2" t="str">
        <f t="shared" si="107"/>
        <v/>
      </c>
      <c r="C359" s="4" t="str">
        <f t="shared" si="91"/>
        <v/>
      </c>
      <c r="D359" s="3" t="str">
        <f t="shared" si="92"/>
        <v/>
      </c>
      <c r="E359" s="47"/>
      <c r="F359" s="3" t="str">
        <f t="shared" si="93"/>
        <v/>
      </c>
      <c r="G359" s="47"/>
      <c r="H359" s="3" t="str">
        <f t="shared" si="94"/>
        <v/>
      </c>
      <c r="I359" s="47"/>
      <c r="J359" s="3" t="str">
        <f t="shared" si="95"/>
        <v/>
      </c>
      <c r="K359" s="47"/>
      <c r="L359" s="3" t="str">
        <f t="shared" si="96"/>
        <v/>
      </c>
      <c r="M359" s="47"/>
      <c r="N359" s="3" t="str">
        <f t="shared" si="97"/>
        <v/>
      </c>
      <c r="O359" s="47"/>
      <c r="P359" s="3" t="str">
        <f t="shared" si="98"/>
        <v/>
      </c>
      <c r="Q359" s="47"/>
      <c r="R359" s="3" t="str">
        <f t="shared" si="99"/>
        <v/>
      </c>
      <c r="S359" s="47"/>
      <c r="T359" s="1" t="str">
        <f t="shared" si="100"/>
        <v/>
      </c>
      <c r="U359" s="47"/>
      <c r="V359" s="1" t="str">
        <f t="shared" si="101"/>
        <v/>
      </c>
      <c r="W359" s="47"/>
      <c r="X359" s="1" t="str">
        <f t="shared" si="102"/>
        <v/>
      </c>
      <c r="Y359" s="47"/>
      <c r="Z359" s="1" t="str">
        <f t="shared" si="103"/>
        <v/>
      </c>
      <c r="AA359" s="47"/>
      <c r="AB359" s="1" t="str">
        <f t="shared" si="104"/>
        <v/>
      </c>
      <c r="AC359" s="47"/>
      <c r="AD359" s="1" t="str">
        <f t="shared" si="105"/>
        <v/>
      </c>
      <c r="AE359" s="47"/>
      <c r="AF359" s="1" t="str">
        <f t="shared" si="106"/>
        <v/>
      </c>
      <c r="AG359" s="47"/>
    </row>
    <row r="360" spans="1:33">
      <c r="A360">
        <f t="shared" si="90"/>
        <v>0</v>
      </c>
      <c r="B360" s="2" t="str">
        <f t="shared" si="107"/>
        <v/>
      </c>
      <c r="C360" s="4" t="str">
        <f t="shared" si="91"/>
        <v/>
      </c>
      <c r="D360" s="3" t="str">
        <f t="shared" si="92"/>
        <v/>
      </c>
      <c r="E360" s="47"/>
      <c r="F360" s="3" t="str">
        <f t="shared" si="93"/>
        <v/>
      </c>
      <c r="G360" s="47"/>
      <c r="H360" s="3" t="str">
        <f t="shared" si="94"/>
        <v/>
      </c>
      <c r="I360" s="47"/>
      <c r="J360" s="3" t="str">
        <f t="shared" si="95"/>
        <v/>
      </c>
      <c r="K360" s="47"/>
      <c r="L360" s="3" t="str">
        <f t="shared" si="96"/>
        <v/>
      </c>
      <c r="M360" s="47"/>
      <c r="N360" s="3" t="str">
        <f t="shared" si="97"/>
        <v/>
      </c>
      <c r="O360" s="47"/>
      <c r="P360" s="3" t="str">
        <f t="shared" si="98"/>
        <v/>
      </c>
      <c r="Q360" s="47"/>
      <c r="R360" s="3" t="str">
        <f t="shared" si="99"/>
        <v/>
      </c>
      <c r="S360" s="47"/>
      <c r="T360" s="1" t="str">
        <f t="shared" si="100"/>
        <v/>
      </c>
      <c r="U360" s="47"/>
      <c r="V360" s="1" t="str">
        <f t="shared" si="101"/>
        <v/>
      </c>
      <c r="W360" s="47"/>
      <c r="X360" s="1" t="str">
        <f t="shared" si="102"/>
        <v/>
      </c>
      <c r="Y360" s="47"/>
      <c r="Z360" s="1" t="str">
        <f t="shared" si="103"/>
        <v/>
      </c>
      <c r="AA360" s="47"/>
      <c r="AB360" s="1" t="str">
        <f t="shared" si="104"/>
        <v/>
      </c>
      <c r="AC360" s="47"/>
      <c r="AD360" s="1" t="str">
        <f t="shared" si="105"/>
        <v/>
      </c>
      <c r="AE360" s="47"/>
      <c r="AF360" s="1" t="str">
        <f t="shared" si="106"/>
        <v/>
      </c>
      <c r="AG360" s="47"/>
    </row>
    <row r="361" spans="1:33">
      <c r="A361">
        <f t="shared" si="90"/>
        <v>0</v>
      </c>
      <c r="B361" s="2" t="str">
        <f t="shared" si="107"/>
        <v/>
      </c>
      <c r="C361" s="4" t="str">
        <f t="shared" si="91"/>
        <v/>
      </c>
      <c r="D361" s="3" t="str">
        <f t="shared" si="92"/>
        <v/>
      </c>
      <c r="E361" s="47"/>
      <c r="F361" s="3" t="str">
        <f t="shared" si="93"/>
        <v/>
      </c>
      <c r="G361" s="47"/>
      <c r="H361" s="3" t="str">
        <f t="shared" si="94"/>
        <v/>
      </c>
      <c r="I361" s="47"/>
      <c r="J361" s="3" t="str">
        <f t="shared" si="95"/>
        <v/>
      </c>
      <c r="K361" s="47"/>
      <c r="L361" s="3" t="str">
        <f t="shared" si="96"/>
        <v/>
      </c>
      <c r="M361" s="47"/>
      <c r="N361" s="3" t="str">
        <f t="shared" si="97"/>
        <v/>
      </c>
      <c r="O361" s="47"/>
      <c r="P361" s="3" t="str">
        <f t="shared" si="98"/>
        <v/>
      </c>
      <c r="Q361" s="47"/>
      <c r="R361" s="3" t="str">
        <f t="shared" si="99"/>
        <v/>
      </c>
      <c r="S361" s="47"/>
      <c r="T361" s="1" t="str">
        <f t="shared" si="100"/>
        <v/>
      </c>
      <c r="U361" s="47"/>
      <c r="V361" s="1" t="str">
        <f t="shared" si="101"/>
        <v/>
      </c>
      <c r="W361" s="47"/>
      <c r="X361" s="1" t="str">
        <f t="shared" si="102"/>
        <v/>
      </c>
      <c r="Y361" s="47"/>
      <c r="Z361" s="1" t="str">
        <f t="shared" si="103"/>
        <v/>
      </c>
      <c r="AA361" s="47"/>
      <c r="AB361" s="1" t="str">
        <f t="shared" si="104"/>
        <v/>
      </c>
      <c r="AC361" s="47"/>
      <c r="AD361" s="1" t="str">
        <f t="shared" si="105"/>
        <v/>
      </c>
      <c r="AE361" s="47"/>
      <c r="AF361" s="1" t="str">
        <f t="shared" si="106"/>
        <v/>
      </c>
      <c r="AG361" s="47"/>
    </row>
    <row r="362" spans="1:33">
      <c r="A362">
        <f t="shared" si="90"/>
        <v>0</v>
      </c>
      <c r="B362" s="2" t="str">
        <f t="shared" si="107"/>
        <v/>
      </c>
      <c r="C362" s="4" t="str">
        <f t="shared" si="91"/>
        <v/>
      </c>
      <c r="D362" s="3" t="str">
        <f t="shared" si="92"/>
        <v/>
      </c>
      <c r="E362" s="47"/>
      <c r="F362" s="3" t="str">
        <f t="shared" si="93"/>
        <v/>
      </c>
      <c r="G362" s="47"/>
      <c r="H362" s="3" t="str">
        <f t="shared" si="94"/>
        <v/>
      </c>
      <c r="I362" s="47"/>
      <c r="J362" s="3" t="str">
        <f t="shared" si="95"/>
        <v/>
      </c>
      <c r="K362" s="47"/>
      <c r="L362" s="3" t="str">
        <f t="shared" si="96"/>
        <v/>
      </c>
      <c r="M362" s="47"/>
      <c r="N362" s="3" t="str">
        <f t="shared" si="97"/>
        <v/>
      </c>
      <c r="O362" s="47"/>
      <c r="P362" s="3" t="str">
        <f t="shared" si="98"/>
        <v/>
      </c>
      <c r="Q362" s="47"/>
      <c r="R362" s="3" t="str">
        <f t="shared" si="99"/>
        <v/>
      </c>
      <c r="S362" s="47"/>
      <c r="T362" s="1" t="str">
        <f t="shared" si="100"/>
        <v/>
      </c>
      <c r="U362" s="47"/>
      <c r="V362" s="1" t="str">
        <f t="shared" si="101"/>
        <v/>
      </c>
      <c r="W362" s="47"/>
      <c r="X362" s="1" t="str">
        <f t="shared" si="102"/>
        <v/>
      </c>
      <c r="Y362" s="47"/>
      <c r="Z362" s="1" t="str">
        <f t="shared" si="103"/>
        <v/>
      </c>
      <c r="AA362" s="47"/>
      <c r="AB362" s="1" t="str">
        <f t="shared" si="104"/>
        <v/>
      </c>
      <c r="AC362" s="47"/>
      <c r="AD362" s="1" t="str">
        <f t="shared" si="105"/>
        <v/>
      </c>
      <c r="AE362" s="47"/>
      <c r="AF362" s="1" t="str">
        <f t="shared" si="106"/>
        <v/>
      </c>
      <c r="AG362" s="47"/>
    </row>
    <row r="363" spans="1:33">
      <c r="A363">
        <f t="shared" si="90"/>
        <v>0</v>
      </c>
      <c r="B363" s="2" t="str">
        <f t="shared" si="107"/>
        <v/>
      </c>
      <c r="C363" s="4" t="str">
        <f t="shared" si="91"/>
        <v/>
      </c>
      <c r="D363" s="3" t="str">
        <f t="shared" si="92"/>
        <v/>
      </c>
      <c r="E363" s="47"/>
      <c r="F363" s="3" t="str">
        <f t="shared" si="93"/>
        <v/>
      </c>
      <c r="G363" s="47"/>
      <c r="H363" s="3" t="str">
        <f t="shared" si="94"/>
        <v/>
      </c>
      <c r="I363" s="47"/>
      <c r="J363" s="3" t="str">
        <f t="shared" si="95"/>
        <v/>
      </c>
      <c r="K363" s="47"/>
      <c r="L363" s="3" t="str">
        <f t="shared" si="96"/>
        <v/>
      </c>
      <c r="M363" s="47"/>
      <c r="N363" s="3" t="str">
        <f t="shared" si="97"/>
        <v/>
      </c>
      <c r="O363" s="47"/>
      <c r="P363" s="3" t="str">
        <f t="shared" si="98"/>
        <v/>
      </c>
      <c r="Q363" s="47"/>
      <c r="R363" s="3" t="str">
        <f t="shared" si="99"/>
        <v/>
      </c>
      <c r="S363" s="47"/>
      <c r="T363" s="1" t="str">
        <f t="shared" si="100"/>
        <v/>
      </c>
      <c r="U363" s="47"/>
      <c r="V363" s="1" t="str">
        <f t="shared" si="101"/>
        <v/>
      </c>
      <c r="W363" s="47"/>
      <c r="X363" s="1" t="str">
        <f t="shared" si="102"/>
        <v/>
      </c>
      <c r="Y363" s="47"/>
      <c r="Z363" s="1" t="str">
        <f t="shared" si="103"/>
        <v/>
      </c>
      <c r="AA363" s="47"/>
      <c r="AB363" s="1" t="str">
        <f t="shared" si="104"/>
        <v/>
      </c>
      <c r="AC363" s="47"/>
      <c r="AD363" s="1" t="str">
        <f t="shared" si="105"/>
        <v/>
      </c>
      <c r="AE363" s="47"/>
      <c r="AF363" s="1" t="str">
        <f t="shared" si="106"/>
        <v/>
      </c>
      <c r="AG363" s="47"/>
    </row>
    <row r="364" spans="1:33">
      <c r="A364">
        <f t="shared" si="90"/>
        <v>0</v>
      </c>
      <c r="B364" s="2" t="str">
        <f t="shared" si="107"/>
        <v/>
      </c>
      <c r="C364" s="4" t="str">
        <f t="shared" si="91"/>
        <v/>
      </c>
      <c r="D364" s="3" t="str">
        <f t="shared" si="92"/>
        <v/>
      </c>
      <c r="E364" s="47"/>
      <c r="F364" s="3" t="str">
        <f t="shared" si="93"/>
        <v/>
      </c>
      <c r="G364" s="47"/>
      <c r="H364" s="3" t="str">
        <f t="shared" si="94"/>
        <v/>
      </c>
      <c r="I364" s="47"/>
      <c r="J364" s="3" t="str">
        <f t="shared" si="95"/>
        <v/>
      </c>
      <c r="K364" s="47"/>
      <c r="L364" s="3" t="str">
        <f t="shared" si="96"/>
        <v/>
      </c>
      <c r="M364" s="47"/>
      <c r="N364" s="3" t="str">
        <f t="shared" si="97"/>
        <v/>
      </c>
      <c r="O364" s="47"/>
      <c r="P364" s="3" t="str">
        <f t="shared" si="98"/>
        <v/>
      </c>
      <c r="Q364" s="47"/>
      <c r="R364" s="3" t="str">
        <f t="shared" si="99"/>
        <v/>
      </c>
      <c r="S364" s="47"/>
      <c r="T364" s="1" t="str">
        <f t="shared" si="100"/>
        <v/>
      </c>
      <c r="U364" s="47"/>
      <c r="V364" s="1" t="str">
        <f t="shared" si="101"/>
        <v/>
      </c>
      <c r="W364" s="47"/>
      <c r="X364" s="1" t="str">
        <f t="shared" si="102"/>
        <v/>
      </c>
      <c r="Y364" s="47"/>
      <c r="Z364" s="1" t="str">
        <f t="shared" si="103"/>
        <v/>
      </c>
      <c r="AA364" s="47"/>
      <c r="AB364" s="1" t="str">
        <f t="shared" si="104"/>
        <v/>
      </c>
      <c r="AC364" s="47"/>
      <c r="AD364" s="1" t="str">
        <f t="shared" si="105"/>
        <v/>
      </c>
      <c r="AE364" s="47"/>
      <c r="AF364" s="1" t="str">
        <f t="shared" si="106"/>
        <v/>
      </c>
      <c r="AG364" s="47"/>
    </row>
    <row r="365" spans="1:33">
      <c r="A365">
        <f t="shared" si="90"/>
        <v>0</v>
      </c>
      <c r="B365" s="2" t="str">
        <f t="shared" si="107"/>
        <v/>
      </c>
      <c r="C365" s="4" t="str">
        <f t="shared" si="91"/>
        <v/>
      </c>
      <c r="D365" s="3" t="str">
        <f t="shared" si="92"/>
        <v/>
      </c>
      <c r="E365" s="47"/>
      <c r="F365" s="3" t="str">
        <f t="shared" si="93"/>
        <v/>
      </c>
      <c r="G365" s="47"/>
      <c r="H365" s="3" t="str">
        <f t="shared" si="94"/>
        <v/>
      </c>
      <c r="I365" s="47"/>
      <c r="J365" s="3" t="str">
        <f t="shared" si="95"/>
        <v/>
      </c>
      <c r="K365" s="47"/>
      <c r="L365" s="3" t="str">
        <f t="shared" si="96"/>
        <v/>
      </c>
      <c r="M365" s="47"/>
      <c r="N365" s="3" t="str">
        <f t="shared" si="97"/>
        <v/>
      </c>
      <c r="O365" s="47"/>
      <c r="P365" s="3" t="str">
        <f t="shared" si="98"/>
        <v/>
      </c>
      <c r="Q365" s="47"/>
      <c r="R365" s="3" t="str">
        <f t="shared" si="99"/>
        <v/>
      </c>
      <c r="S365" s="47"/>
      <c r="T365" s="1" t="str">
        <f t="shared" si="100"/>
        <v/>
      </c>
      <c r="U365" s="47"/>
      <c r="V365" s="1" t="str">
        <f t="shared" si="101"/>
        <v/>
      </c>
      <c r="W365" s="47"/>
      <c r="X365" s="1" t="str">
        <f t="shared" si="102"/>
        <v/>
      </c>
      <c r="Y365" s="47"/>
      <c r="Z365" s="1" t="str">
        <f t="shared" si="103"/>
        <v/>
      </c>
      <c r="AA365" s="47"/>
      <c r="AB365" s="1" t="str">
        <f t="shared" si="104"/>
        <v/>
      </c>
      <c r="AC365" s="47"/>
      <c r="AD365" s="1" t="str">
        <f t="shared" si="105"/>
        <v/>
      </c>
      <c r="AE365" s="47"/>
      <c r="AF365" s="1" t="str">
        <f t="shared" si="106"/>
        <v/>
      </c>
      <c r="AG365" s="47"/>
    </row>
    <row r="366" spans="1:33">
      <c r="A366">
        <f t="shared" si="90"/>
        <v>0</v>
      </c>
      <c r="B366" s="2" t="str">
        <f t="shared" si="107"/>
        <v/>
      </c>
      <c r="C366" s="4" t="str">
        <f t="shared" si="91"/>
        <v/>
      </c>
      <c r="D366" s="3" t="str">
        <f t="shared" si="92"/>
        <v/>
      </c>
      <c r="E366" s="47"/>
      <c r="F366" s="3" t="str">
        <f t="shared" si="93"/>
        <v/>
      </c>
      <c r="G366" s="47"/>
      <c r="H366" s="3" t="str">
        <f t="shared" si="94"/>
        <v/>
      </c>
      <c r="I366" s="47"/>
      <c r="J366" s="3" t="str">
        <f t="shared" si="95"/>
        <v/>
      </c>
      <c r="K366" s="47"/>
      <c r="L366" s="3" t="str">
        <f t="shared" si="96"/>
        <v/>
      </c>
      <c r="M366" s="47"/>
      <c r="N366" s="3" t="str">
        <f t="shared" si="97"/>
        <v/>
      </c>
      <c r="O366" s="47"/>
      <c r="P366" s="3" t="str">
        <f t="shared" si="98"/>
        <v/>
      </c>
      <c r="Q366" s="47"/>
      <c r="R366" s="3" t="str">
        <f t="shared" si="99"/>
        <v/>
      </c>
      <c r="S366" s="47"/>
      <c r="T366" s="1" t="str">
        <f t="shared" si="100"/>
        <v/>
      </c>
      <c r="U366" s="47"/>
      <c r="V366" s="1" t="str">
        <f t="shared" si="101"/>
        <v/>
      </c>
      <c r="W366" s="47"/>
      <c r="X366" s="1" t="str">
        <f t="shared" si="102"/>
        <v/>
      </c>
      <c r="Y366" s="47"/>
      <c r="Z366" s="1" t="str">
        <f t="shared" si="103"/>
        <v/>
      </c>
      <c r="AA366" s="47"/>
      <c r="AB366" s="1" t="str">
        <f t="shared" si="104"/>
        <v/>
      </c>
      <c r="AC366" s="47"/>
      <c r="AD366" s="1" t="str">
        <f t="shared" si="105"/>
        <v/>
      </c>
      <c r="AE366" s="47"/>
      <c r="AF366" s="1" t="str">
        <f t="shared" si="106"/>
        <v/>
      </c>
      <c r="AG366" s="47"/>
    </row>
    <row r="367" spans="1:33">
      <c r="A367">
        <f t="shared" si="90"/>
        <v>0</v>
      </c>
      <c r="B367" s="2" t="str">
        <f t="shared" si="107"/>
        <v/>
      </c>
      <c r="C367" s="4" t="str">
        <f t="shared" si="91"/>
        <v/>
      </c>
      <c r="D367" s="3" t="str">
        <f t="shared" si="92"/>
        <v/>
      </c>
      <c r="E367" s="47"/>
      <c r="F367" s="3" t="str">
        <f t="shared" si="93"/>
        <v/>
      </c>
      <c r="G367" s="47"/>
      <c r="H367" s="3" t="str">
        <f t="shared" si="94"/>
        <v/>
      </c>
      <c r="I367" s="47"/>
      <c r="J367" s="3" t="str">
        <f t="shared" si="95"/>
        <v/>
      </c>
      <c r="K367" s="47"/>
      <c r="L367" s="3" t="str">
        <f t="shared" si="96"/>
        <v/>
      </c>
      <c r="M367" s="47"/>
      <c r="N367" s="3" t="str">
        <f t="shared" si="97"/>
        <v/>
      </c>
      <c r="O367" s="47"/>
      <c r="P367" s="3" t="str">
        <f t="shared" si="98"/>
        <v/>
      </c>
      <c r="Q367" s="47"/>
      <c r="R367" s="3" t="str">
        <f t="shared" si="99"/>
        <v/>
      </c>
      <c r="S367" s="47"/>
      <c r="T367" s="1" t="str">
        <f t="shared" si="100"/>
        <v/>
      </c>
      <c r="U367" s="47"/>
      <c r="V367" s="1" t="str">
        <f t="shared" si="101"/>
        <v/>
      </c>
      <c r="W367" s="47"/>
      <c r="X367" s="1" t="str">
        <f t="shared" si="102"/>
        <v/>
      </c>
      <c r="Y367" s="47"/>
      <c r="Z367" s="1" t="str">
        <f t="shared" si="103"/>
        <v/>
      </c>
      <c r="AA367" s="47"/>
      <c r="AB367" s="1" t="str">
        <f t="shared" si="104"/>
        <v/>
      </c>
      <c r="AC367" s="47"/>
      <c r="AD367" s="1" t="str">
        <f t="shared" si="105"/>
        <v/>
      </c>
      <c r="AE367" s="47"/>
      <c r="AF367" s="1" t="str">
        <f t="shared" si="106"/>
        <v/>
      </c>
      <c r="AG367" s="47"/>
    </row>
    <row r="368" spans="1:33">
      <c r="A368">
        <f t="shared" si="90"/>
        <v>0</v>
      </c>
      <c r="B368" s="2" t="str">
        <f t="shared" si="107"/>
        <v/>
      </c>
      <c r="C368" s="4" t="str">
        <f t="shared" si="91"/>
        <v/>
      </c>
      <c r="D368" s="3" t="str">
        <f t="shared" si="92"/>
        <v/>
      </c>
      <c r="E368" s="47"/>
      <c r="F368" s="3" t="str">
        <f t="shared" si="93"/>
        <v/>
      </c>
      <c r="G368" s="47"/>
      <c r="H368" s="3" t="str">
        <f t="shared" si="94"/>
        <v/>
      </c>
      <c r="I368" s="47"/>
      <c r="J368" s="3" t="str">
        <f t="shared" si="95"/>
        <v/>
      </c>
      <c r="K368" s="47"/>
      <c r="L368" s="3" t="str">
        <f t="shared" si="96"/>
        <v/>
      </c>
      <c r="M368" s="47"/>
      <c r="N368" s="3" t="str">
        <f t="shared" si="97"/>
        <v/>
      </c>
      <c r="O368" s="47"/>
      <c r="P368" s="3" t="str">
        <f t="shared" si="98"/>
        <v/>
      </c>
      <c r="Q368" s="47"/>
      <c r="R368" s="3" t="str">
        <f t="shared" si="99"/>
        <v/>
      </c>
      <c r="S368" s="47"/>
      <c r="T368" s="1" t="str">
        <f t="shared" si="100"/>
        <v/>
      </c>
      <c r="U368" s="47"/>
      <c r="V368" s="1" t="str">
        <f t="shared" si="101"/>
        <v/>
      </c>
      <c r="W368" s="47"/>
      <c r="X368" s="1" t="str">
        <f t="shared" si="102"/>
        <v/>
      </c>
      <c r="Y368" s="47"/>
      <c r="Z368" s="1" t="str">
        <f t="shared" si="103"/>
        <v/>
      </c>
      <c r="AA368" s="47"/>
      <c r="AB368" s="1" t="str">
        <f t="shared" si="104"/>
        <v/>
      </c>
      <c r="AC368" s="47"/>
      <c r="AD368" s="1" t="str">
        <f t="shared" si="105"/>
        <v/>
      </c>
      <c r="AE368" s="47"/>
      <c r="AF368" s="1" t="str">
        <f t="shared" si="106"/>
        <v/>
      </c>
      <c r="AG368" s="47"/>
    </row>
    <row r="369" spans="1:33">
      <c r="A369">
        <f t="shared" si="90"/>
        <v>0</v>
      </c>
      <c r="B369" s="2" t="str">
        <f t="shared" si="107"/>
        <v/>
      </c>
      <c r="C369" s="4" t="str">
        <f t="shared" si="91"/>
        <v/>
      </c>
      <c r="D369" s="3" t="str">
        <f t="shared" si="92"/>
        <v/>
      </c>
      <c r="E369" s="47"/>
      <c r="F369" s="3" t="str">
        <f t="shared" si="93"/>
        <v/>
      </c>
      <c r="G369" s="47"/>
      <c r="H369" s="3" t="str">
        <f t="shared" si="94"/>
        <v/>
      </c>
      <c r="I369" s="47"/>
      <c r="J369" s="3" t="str">
        <f t="shared" si="95"/>
        <v/>
      </c>
      <c r="K369" s="47"/>
      <c r="L369" s="3" t="str">
        <f t="shared" si="96"/>
        <v/>
      </c>
      <c r="M369" s="47"/>
      <c r="N369" s="3" t="str">
        <f t="shared" si="97"/>
        <v/>
      </c>
      <c r="O369" s="47"/>
      <c r="P369" s="3" t="str">
        <f t="shared" si="98"/>
        <v/>
      </c>
      <c r="Q369" s="47"/>
      <c r="R369" s="3" t="str">
        <f t="shared" si="99"/>
        <v/>
      </c>
      <c r="S369" s="47"/>
      <c r="T369" s="1" t="str">
        <f t="shared" si="100"/>
        <v/>
      </c>
      <c r="U369" s="47"/>
      <c r="V369" s="1" t="str">
        <f t="shared" si="101"/>
        <v/>
      </c>
      <c r="W369" s="47"/>
      <c r="X369" s="1" t="str">
        <f t="shared" si="102"/>
        <v/>
      </c>
      <c r="Y369" s="47"/>
      <c r="Z369" s="1" t="str">
        <f t="shared" si="103"/>
        <v/>
      </c>
      <c r="AA369" s="47"/>
      <c r="AB369" s="1" t="str">
        <f t="shared" si="104"/>
        <v/>
      </c>
      <c r="AC369" s="47"/>
      <c r="AD369" s="1" t="str">
        <f t="shared" si="105"/>
        <v/>
      </c>
      <c r="AE369" s="47"/>
      <c r="AF369" s="1" t="str">
        <f t="shared" si="106"/>
        <v/>
      </c>
      <c r="AG369" s="47"/>
    </row>
    <row r="370" spans="1:33">
      <c r="A370">
        <f t="shared" si="90"/>
        <v>0</v>
      </c>
      <c r="B370" s="2" t="str">
        <f t="shared" si="107"/>
        <v/>
      </c>
      <c r="C370" s="4" t="str">
        <f t="shared" si="91"/>
        <v/>
      </c>
      <c r="D370" s="3" t="str">
        <f t="shared" si="92"/>
        <v/>
      </c>
      <c r="E370" s="47"/>
      <c r="F370" s="3" t="str">
        <f t="shared" si="93"/>
        <v/>
      </c>
      <c r="G370" s="47"/>
      <c r="H370" s="3" t="str">
        <f t="shared" si="94"/>
        <v/>
      </c>
      <c r="I370" s="47"/>
      <c r="J370" s="3" t="str">
        <f t="shared" si="95"/>
        <v/>
      </c>
      <c r="K370" s="47"/>
      <c r="L370" s="3" t="str">
        <f t="shared" si="96"/>
        <v/>
      </c>
      <c r="M370" s="47"/>
      <c r="N370" s="3" t="str">
        <f t="shared" si="97"/>
        <v/>
      </c>
      <c r="O370" s="47"/>
      <c r="P370" s="3" t="str">
        <f t="shared" si="98"/>
        <v/>
      </c>
      <c r="Q370" s="47"/>
      <c r="R370" s="3" t="str">
        <f t="shared" si="99"/>
        <v/>
      </c>
      <c r="S370" s="47"/>
      <c r="T370" s="1" t="str">
        <f t="shared" si="100"/>
        <v/>
      </c>
      <c r="U370" s="47"/>
      <c r="V370" s="1" t="str">
        <f t="shared" si="101"/>
        <v/>
      </c>
      <c r="W370" s="47"/>
      <c r="X370" s="1" t="str">
        <f t="shared" si="102"/>
        <v/>
      </c>
      <c r="Y370" s="47"/>
      <c r="Z370" s="1" t="str">
        <f t="shared" si="103"/>
        <v/>
      </c>
      <c r="AA370" s="47"/>
      <c r="AB370" s="1" t="str">
        <f t="shared" si="104"/>
        <v/>
      </c>
      <c r="AC370" s="47"/>
      <c r="AD370" s="1" t="str">
        <f t="shared" si="105"/>
        <v/>
      </c>
      <c r="AE370" s="47"/>
      <c r="AF370" s="1" t="str">
        <f t="shared" si="106"/>
        <v/>
      </c>
      <c r="AG370" s="47"/>
    </row>
    <row r="371" spans="1:33">
      <c r="A371">
        <f t="shared" si="90"/>
        <v>0</v>
      </c>
      <c r="B371" s="2" t="str">
        <f t="shared" si="107"/>
        <v/>
      </c>
      <c r="C371" s="4" t="str">
        <f t="shared" si="91"/>
        <v/>
      </c>
      <c r="D371" s="3" t="str">
        <f t="shared" si="92"/>
        <v/>
      </c>
      <c r="E371" s="47"/>
      <c r="F371" s="3" t="str">
        <f t="shared" si="93"/>
        <v/>
      </c>
      <c r="G371" s="47"/>
      <c r="H371" s="3" t="str">
        <f t="shared" si="94"/>
        <v/>
      </c>
      <c r="I371" s="47"/>
      <c r="J371" s="3" t="str">
        <f t="shared" si="95"/>
        <v/>
      </c>
      <c r="K371" s="47"/>
      <c r="L371" s="3" t="str">
        <f t="shared" si="96"/>
        <v/>
      </c>
      <c r="M371" s="47"/>
      <c r="N371" s="3" t="str">
        <f t="shared" si="97"/>
        <v/>
      </c>
      <c r="O371" s="47"/>
      <c r="P371" s="3" t="str">
        <f t="shared" si="98"/>
        <v/>
      </c>
      <c r="Q371" s="47"/>
      <c r="R371" s="3" t="str">
        <f t="shared" si="99"/>
        <v/>
      </c>
      <c r="S371" s="47"/>
      <c r="T371" s="1" t="str">
        <f t="shared" si="100"/>
        <v/>
      </c>
      <c r="U371" s="47"/>
      <c r="V371" s="1" t="str">
        <f t="shared" si="101"/>
        <v/>
      </c>
      <c r="W371" s="47"/>
      <c r="X371" s="1" t="str">
        <f t="shared" si="102"/>
        <v/>
      </c>
      <c r="Y371" s="47"/>
      <c r="Z371" s="1" t="str">
        <f t="shared" si="103"/>
        <v/>
      </c>
      <c r="AA371" s="47"/>
      <c r="AB371" s="1" t="str">
        <f t="shared" si="104"/>
        <v/>
      </c>
      <c r="AC371" s="47"/>
      <c r="AD371" s="1" t="str">
        <f t="shared" si="105"/>
        <v/>
      </c>
      <c r="AE371" s="47"/>
      <c r="AF371" s="1" t="str">
        <f t="shared" si="106"/>
        <v/>
      </c>
      <c r="AG371" s="47"/>
    </row>
    <row r="372" spans="1:33">
      <c r="A372">
        <f t="shared" si="90"/>
        <v>0</v>
      </c>
      <c r="B372" s="2" t="str">
        <f t="shared" si="107"/>
        <v/>
      </c>
      <c r="C372" s="4" t="str">
        <f t="shared" si="91"/>
        <v/>
      </c>
      <c r="D372" s="3" t="str">
        <f t="shared" si="92"/>
        <v/>
      </c>
      <c r="E372" s="47"/>
      <c r="F372" s="3" t="str">
        <f t="shared" si="93"/>
        <v/>
      </c>
      <c r="G372" s="47"/>
      <c r="H372" s="3" t="str">
        <f t="shared" si="94"/>
        <v/>
      </c>
      <c r="I372" s="47"/>
      <c r="J372" s="3" t="str">
        <f t="shared" si="95"/>
        <v/>
      </c>
      <c r="K372" s="47"/>
      <c r="L372" s="3" t="str">
        <f t="shared" si="96"/>
        <v/>
      </c>
      <c r="M372" s="47"/>
      <c r="N372" s="3" t="str">
        <f t="shared" si="97"/>
        <v/>
      </c>
      <c r="O372" s="47"/>
      <c r="P372" s="3" t="str">
        <f t="shared" si="98"/>
        <v/>
      </c>
      <c r="Q372" s="47"/>
      <c r="R372" s="3" t="str">
        <f t="shared" si="99"/>
        <v/>
      </c>
      <c r="S372" s="47"/>
      <c r="T372" s="1" t="str">
        <f t="shared" si="100"/>
        <v/>
      </c>
      <c r="U372" s="47"/>
      <c r="V372" s="1" t="str">
        <f t="shared" si="101"/>
        <v/>
      </c>
      <c r="W372" s="47"/>
      <c r="X372" s="1" t="str">
        <f t="shared" si="102"/>
        <v/>
      </c>
      <c r="Y372" s="47"/>
      <c r="Z372" s="1" t="str">
        <f t="shared" si="103"/>
        <v/>
      </c>
      <c r="AA372" s="47"/>
      <c r="AB372" s="1" t="str">
        <f t="shared" si="104"/>
        <v/>
      </c>
      <c r="AC372" s="47"/>
      <c r="AD372" s="1" t="str">
        <f t="shared" si="105"/>
        <v/>
      </c>
      <c r="AE372" s="47"/>
      <c r="AF372" s="1" t="str">
        <f t="shared" si="106"/>
        <v/>
      </c>
      <c r="AG372" s="47"/>
    </row>
    <row r="373" spans="1:33">
      <c r="A373">
        <f t="shared" si="90"/>
        <v>0</v>
      </c>
      <c r="B373" s="2" t="str">
        <f t="shared" si="107"/>
        <v/>
      </c>
      <c r="C373" s="4" t="str">
        <f t="shared" si="91"/>
        <v/>
      </c>
      <c r="D373" s="3" t="str">
        <f t="shared" si="92"/>
        <v/>
      </c>
      <c r="E373" s="47"/>
      <c r="F373" s="3" t="str">
        <f t="shared" si="93"/>
        <v/>
      </c>
      <c r="G373" s="47"/>
      <c r="H373" s="3" t="str">
        <f t="shared" si="94"/>
        <v/>
      </c>
      <c r="I373" s="47"/>
      <c r="J373" s="3" t="str">
        <f t="shared" si="95"/>
        <v/>
      </c>
      <c r="K373" s="47"/>
      <c r="L373" s="3" t="str">
        <f t="shared" si="96"/>
        <v/>
      </c>
      <c r="M373" s="47"/>
      <c r="N373" s="3" t="str">
        <f t="shared" si="97"/>
        <v/>
      </c>
      <c r="O373" s="47"/>
      <c r="P373" s="3" t="str">
        <f t="shared" si="98"/>
        <v/>
      </c>
      <c r="Q373" s="47"/>
      <c r="R373" s="3" t="str">
        <f t="shared" si="99"/>
        <v/>
      </c>
      <c r="S373" s="47"/>
      <c r="T373" s="1" t="str">
        <f t="shared" si="100"/>
        <v/>
      </c>
      <c r="U373" s="47"/>
      <c r="V373" s="1" t="str">
        <f t="shared" si="101"/>
        <v/>
      </c>
      <c r="W373" s="47"/>
      <c r="X373" s="1" t="str">
        <f t="shared" si="102"/>
        <v/>
      </c>
      <c r="Y373" s="47"/>
      <c r="Z373" s="1" t="str">
        <f t="shared" si="103"/>
        <v/>
      </c>
      <c r="AA373" s="47"/>
      <c r="AB373" s="1" t="str">
        <f t="shared" si="104"/>
        <v/>
      </c>
      <c r="AC373" s="47"/>
      <c r="AD373" s="1" t="str">
        <f t="shared" si="105"/>
        <v/>
      </c>
      <c r="AE373" s="47"/>
      <c r="AF373" s="1" t="str">
        <f t="shared" si="106"/>
        <v/>
      </c>
      <c r="AG373" s="47"/>
    </row>
    <row r="374" spans="1:33">
      <c r="A374">
        <f t="shared" si="90"/>
        <v>0</v>
      </c>
      <c r="B374" s="2" t="str">
        <f t="shared" si="107"/>
        <v/>
      </c>
      <c r="C374" s="4" t="str">
        <f t="shared" si="91"/>
        <v/>
      </c>
      <c r="D374" s="3" t="str">
        <f t="shared" si="92"/>
        <v/>
      </c>
      <c r="E374" s="47"/>
      <c r="F374" s="3" t="str">
        <f t="shared" si="93"/>
        <v/>
      </c>
      <c r="G374" s="47"/>
      <c r="H374" s="3" t="str">
        <f t="shared" si="94"/>
        <v/>
      </c>
      <c r="I374" s="47"/>
      <c r="J374" s="3" t="str">
        <f t="shared" si="95"/>
        <v/>
      </c>
      <c r="K374" s="47"/>
      <c r="L374" s="3" t="str">
        <f t="shared" si="96"/>
        <v/>
      </c>
      <c r="M374" s="47"/>
      <c r="N374" s="3" t="str">
        <f t="shared" si="97"/>
        <v/>
      </c>
      <c r="O374" s="47"/>
      <c r="P374" s="3" t="str">
        <f t="shared" si="98"/>
        <v/>
      </c>
      <c r="Q374" s="47"/>
      <c r="R374" s="3" t="str">
        <f t="shared" si="99"/>
        <v/>
      </c>
      <c r="S374" s="47"/>
      <c r="T374" s="1" t="str">
        <f t="shared" si="100"/>
        <v/>
      </c>
      <c r="U374" s="47"/>
      <c r="V374" s="1" t="str">
        <f t="shared" si="101"/>
        <v/>
      </c>
      <c r="W374" s="47"/>
      <c r="X374" s="1" t="str">
        <f t="shared" si="102"/>
        <v/>
      </c>
      <c r="Y374" s="47"/>
      <c r="Z374" s="1" t="str">
        <f t="shared" si="103"/>
        <v/>
      </c>
      <c r="AA374" s="47"/>
      <c r="AB374" s="1" t="str">
        <f t="shared" si="104"/>
        <v/>
      </c>
      <c r="AC374" s="47"/>
      <c r="AD374" s="1" t="str">
        <f t="shared" si="105"/>
        <v/>
      </c>
      <c r="AE374" s="47"/>
      <c r="AF374" s="1" t="str">
        <f t="shared" si="106"/>
        <v/>
      </c>
      <c r="AG374" s="47"/>
    </row>
    <row r="375" spans="1:33">
      <c r="A375">
        <f t="shared" si="90"/>
        <v>0</v>
      </c>
      <c r="B375" s="2" t="str">
        <f t="shared" si="107"/>
        <v/>
      </c>
      <c r="C375" s="4" t="str">
        <f t="shared" si="91"/>
        <v/>
      </c>
      <c r="D375" s="3" t="str">
        <f t="shared" si="92"/>
        <v/>
      </c>
      <c r="E375" s="47"/>
      <c r="F375" s="3" t="str">
        <f t="shared" si="93"/>
        <v/>
      </c>
      <c r="G375" s="47"/>
      <c r="H375" s="3" t="str">
        <f t="shared" si="94"/>
        <v/>
      </c>
      <c r="I375" s="47"/>
      <c r="J375" s="3" t="str">
        <f t="shared" si="95"/>
        <v/>
      </c>
      <c r="K375" s="47"/>
      <c r="L375" s="3" t="str">
        <f t="shared" si="96"/>
        <v/>
      </c>
      <c r="M375" s="47"/>
      <c r="N375" s="3" t="str">
        <f t="shared" si="97"/>
        <v/>
      </c>
      <c r="O375" s="47"/>
      <c r="P375" s="3" t="str">
        <f t="shared" si="98"/>
        <v/>
      </c>
      <c r="Q375" s="47"/>
      <c r="R375" s="3" t="str">
        <f t="shared" si="99"/>
        <v/>
      </c>
      <c r="S375" s="47"/>
      <c r="T375" s="1" t="str">
        <f t="shared" si="100"/>
        <v/>
      </c>
      <c r="U375" s="47"/>
      <c r="V375" s="1" t="str">
        <f t="shared" si="101"/>
        <v/>
      </c>
      <c r="W375" s="47"/>
      <c r="X375" s="1" t="str">
        <f t="shared" si="102"/>
        <v/>
      </c>
      <c r="Y375" s="47"/>
      <c r="Z375" s="1" t="str">
        <f t="shared" si="103"/>
        <v/>
      </c>
      <c r="AA375" s="47"/>
      <c r="AB375" s="1" t="str">
        <f t="shared" si="104"/>
        <v/>
      </c>
      <c r="AC375" s="47"/>
      <c r="AD375" s="1" t="str">
        <f t="shared" si="105"/>
        <v/>
      </c>
      <c r="AE375" s="47"/>
      <c r="AF375" s="1" t="str">
        <f t="shared" si="106"/>
        <v/>
      </c>
      <c r="AG375" s="47"/>
    </row>
    <row r="376" spans="1:33">
      <c r="A376">
        <f t="shared" si="90"/>
        <v>0</v>
      </c>
      <c r="B376" s="2" t="str">
        <f t="shared" si="107"/>
        <v/>
      </c>
      <c r="C376" s="4" t="str">
        <f t="shared" si="91"/>
        <v/>
      </c>
      <c r="D376" s="3" t="str">
        <f t="shared" si="92"/>
        <v/>
      </c>
      <c r="E376" s="47"/>
      <c r="F376" s="3" t="str">
        <f t="shared" si="93"/>
        <v/>
      </c>
      <c r="G376" s="47"/>
      <c r="H376" s="3" t="str">
        <f t="shared" si="94"/>
        <v/>
      </c>
      <c r="I376" s="47"/>
      <c r="J376" s="3" t="str">
        <f t="shared" si="95"/>
        <v/>
      </c>
      <c r="K376" s="47"/>
      <c r="L376" s="3" t="str">
        <f t="shared" si="96"/>
        <v/>
      </c>
      <c r="M376" s="47"/>
      <c r="N376" s="3" t="str">
        <f t="shared" si="97"/>
        <v/>
      </c>
      <c r="O376" s="47"/>
      <c r="P376" s="3" t="str">
        <f t="shared" si="98"/>
        <v/>
      </c>
      <c r="Q376" s="47"/>
      <c r="R376" s="3" t="str">
        <f t="shared" si="99"/>
        <v/>
      </c>
      <c r="S376" s="47"/>
      <c r="T376" s="1" t="str">
        <f t="shared" si="100"/>
        <v/>
      </c>
      <c r="U376" s="47"/>
      <c r="V376" s="1" t="str">
        <f t="shared" si="101"/>
        <v/>
      </c>
      <c r="W376" s="47"/>
      <c r="X376" s="1" t="str">
        <f t="shared" si="102"/>
        <v/>
      </c>
      <c r="Y376" s="47"/>
      <c r="Z376" s="1" t="str">
        <f t="shared" si="103"/>
        <v/>
      </c>
      <c r="AA376" s="47"/>
      <c r="AB376" s="1" t="str">
        <f t="shared" si="104"/>
        <v/>
      </c>
      <c r="AC376" s="47"/>
      <c r="AD376" s="1" t="str">
        <f t="shared" si="105"/>
        <v/>
      </c>
      <c r="AE376" s="47"/>
      <c r="AF376" s="1" t="str">
        <f t="shared" si="106"/>
        <v/>
      </c>
      <c r="AG376" s="47"/>
    </row>
    <row r="377" spans="1:33">
      <c r="A377">
        <f t="shared" si="90"/>
        <v>0</v>
      </c>
      <c r="B377" s="2" t="str">
        <f t="shared" si="107"/>
        <v/>
      </c>
      <c r="C377" s="4" t="str">
        <f t="shared" si="91"/>
        <v/>
      </c>
      <c r="D377" s="3" t="str">
        <f t="shared" si="92"/>
        <v/>
      </c>
      <c r="E377" s="47"/>
      <c r="F377" s="3" t="str">
        <f t="shared" si="93"/>
        <v/>
      </c>
      <c r="G377" s="47"/>
      <c r="H377" s="3" t="str">
        <f t="shared" si="94"/>
        <v/>
      </c>
      <c r="I377" s="47"/>
      <c r="J377" s="3" t="str">
        <f t="shared" si="95"/>
        <v/>
      </c>
      <c r="K377" s="47"/>
      <c r="L377" s="3" t="str">
        <f t="shared" si="96"/>
        <v/>
      </c>
      <c r="M377" s="47"/>
      <c r="N377" s="3" t="str">
        <f t="shared" si="97"/>
        <v/>
      </c>
      <c r="O377" s="47"/>
      <c r="P377" s="3" t="str">
        <f t="shared" si="98"/>
        <v/>
      </c>
      <c r="Q377" s="47"/>
      <c r="R377" s="3" t="str">
        <f t="shared" si="99"/>
        <v/>
      </c>
      <c r="S377" s="47"/>
      <c r="T377" s="1" t="str">
        <f t="shared" si="100"/>
        <v/>
      </c>
      <c r="U377" s="47"/>
      <c r="V377" s="1" t="str">
        <f t="shared" si="101"/>
        <v/>
      </c>
      <c r="W377" s="47"/>
      <c r="X377" s="1" t="str">
        <f t="shared" si="102"/>
        <v/>
      </c>
      <c r="Y377" s="47"/>
      <c r="Z377" s="1" t="str">
        <f t="shared" si="103"/>
        <v/>
      </c>
      <c r="AA377" s="47"/>
      <c r="AB377" s="1" t="str">
        <f t="shared" si="104"/>
        <v/>
      </c>
      <c r="AC377" s="47"/>
      <c r="AD377" s="1" t="str">
        <f t="shared" si="105"/>
        <v/>
      </c>
      <c r="AE377" s="47"/>
      <c r="AF377" s="1" t="str">
        <f t="shared" si="106"/>
        <v/>
      </c>
      <c r="AG377" s="47"/>
    </row>
    <row r="378" spans="1:33">
      <c r="A378">
        <f t="shared" si="90"/>
        <v>0</v>
      </c>
      <c r="B378" s="2" t="str">
        <f t="shared" si="107"/>
        <v/>
      </c>
      <c r="C378" s="4" t="str">
        <f t="shared" si="91"/>
        <v/>
      </c>
      <c r="D378" s="3" t="str">
        <f t="shared" si="92"/>
        <v/>
      </c>
      <c r="E378" s="47"/>
      <c r="F378" s="3" t="str">
        <f t="shared" si="93"/>
        <v/>
      </c>
      <c r="G378" s="47"/>
      <c r="H378" s="3" t="str">
        <f t="shared" si="94"/>
        <v/>
      </c>
      <c r="I378" s="47"/>
      <c r="J378" s="3" t="str">
        <f t="shared" si="95"/>
        <v/>
      </c>
      <c r="K378" s="47"/>
      <c r="L378" s="3" t="str">
        <f t="shared" si="96"/>
        <v/>
      </c>
      <c r="M378" s="47"/>
      <c r="N378" s="3" t="str">
        <f t="shared" si="97"/>
        <v/>
      </c>
      <c r="O378" s="47"/>
      <c r="P378" s="3" t="str">
        <f t="shared" si="98"/>
        <v/>
      </c>
      <c r="Q378" s="47"/>
      <c r="R378" s="3" t="str">
        <f t="shared" si="99"/>
        <v/>
      </c>
      <c r="S378" s="47"/>
      <c r="T378" s="1" t="str">
        <f t="shared" si="100"/>
        <v/>
      </c>
      <c r="U378" s="47"/>
      <c r="V378" s="1" t="str">
        <f t="shared" si="101"/>
        <v/>
      </c>
      <c r="W378" s="47"/>
      <c r="X378" s="1" t="str">
        <f t="shared" si="102"/>
        <v/>
      </c>
      <c r="Y378" s="47"/>
      <c r="Z378" s="1" t="str">
        <f t="shared" si="103"/>
        <v/>
      </c>
      <c r="AA378" s="47"/>
      <c r="AB378" s="1" t="str">
        <f t="shared" si="104"/>
        <v/>
      </c>
      <c r="AC378" s="47"/>
      <c r="AD378" s="1" t="str">
        <f t="shared" si="105"/>
        <v/>
      </c>
      <c r="AE378" s="47"/>
      <c r="AF378" s="1" t="str">
        <f t="shared" si="106"/>
        <v/>
      </c>
      <c r="AG378" s="47"/>
    </row>
    <row r="379" spans="1:33">
      <c r="A379">
        <f t="shared" si="90"/>
        <v>0</v>
      </c>
      <c r="B379" s="2" t="str">
        <f t="shared" si="107"/>
        <v/>
      </c>
      <c r="C379" s="4" t="str">
        <f t="shared" si="91"/>
        <v/>
      </c>
      <c r="D379" s="3" t="str">
        <f t="shared" si="92"/>
        <v/>
      </c>
      <c r="E379" s="47"/>
      <c r="F379" s="3" t="str">
        <f t="shared" si="93"/>
        <v/>
      </c>
      <c r="G379" s="47"/>
      <c r="H379" s="3" t="str">
        <f t="shared" si="94"/>
        <v/>
      </c>
      <c r="I379" s="47"/>
      <c r="J379" s="3" t="str">
        <f t="shared" si="95"/>
        <v/>
      </c>
      <c r="K379" s="47"/>
      <c r="L379" s="3" t="str">
        <f t="shared" si="96"/>
        <v/>
      </c>
      <c r="M379" s="47"/>
      <c r="N379" s="3" t="str">
        <f t="shared" si="97"/>
        <v/>
      </c>
      <c r="O379" s="47"/>
      <c r="P379" s="3" t="str">
        <f t="shared" si="98"/>
        <v/>
      </c>
      <c r="Q379" s="47"/>
      <c r="R379" s="3" t="str">
        <f t="shared" si="99"/>
        <v/>
      </c>
      <c r="S379" s="47"/>
      <c r="T379" s="1" t="str">
        <f t="shared" si="100"/>
        <v/>
      </c>
      <c r="U379" s="47"/>
      <c r="V379" s="1" t="str">
        <f t="shared" si="101"/>
        <v/>
      </c>
      <c r="W379" s="47"/>
      <c r="X379" s="1" t="str">
        <f t="shared" si="102"/>
        <v/>
      </c>
      <c r="Y379" s="47"/>
      <c r="Z379" s="1" t="str">
        <f t="shared" si="103"/>
        <v/>
      </c>
      <c r="AA379" s="47"/>
      <c r="AB379" s="1" t="str">
        <f t="shared" si="104"/>
        <v/>
      </c>
      <c r="AC379" s="47"/>
      <c r="AD379" s="1" t="str">
        <f t="shared" si="105"/>
        <v/>
      </c>
      <c r="AE379" s="47"/>
      <c r="AF379" s="1" t="str">
        <f t="shared" si="106"/>
        <v/>
      </c>
      <c r="AG379" s="47"/>
    </row>
    <row r="380" spans="1:33">
      <c r="A380">
        <f t="shared" si="90"/>
        <v>0</v>
      </c>
      <c r="B380" s="2" t="str">
        <f t="shared" si="107"/>
        <v/>
      </c>
      <c r="C380" s="4" t="str">
        <f t="shared" si="91"/>
        <v/>
      </c>
      <c r="D380" s="3" t="str">
        <f t="shared" si="92"/>
        <v/>
      </c>
      <c r="E380" s="47"/>
      <c r="F380" s="3" t="str">
        <f t="shared" si="93"/>
        <v/>
      </c>
      <c r="G380" s="47"/>
      <c r="H380" s="3" t="str">
        <f t="shared" si="94"/>
        <v/>
      </c>
      <c r="I380" s="47"/>
      <c r="J380" s="3" t="str">
        <f t="shared" si="95"/>
        <v/>
      </c>
      <c r="K380" s="47"/>
      <c r="L380" s="3" t="str">
        <f t="shared" si="96"/>
        <v/>
      </c>
      <c r="M380" s="47"/>
      <c r="N380" s="3" t="str">
        <f t="shared" si="97"/>
        <v/>
      </c>
      <c r="O380" s="47"/>
      <c r="P380" s="3" t="str">
        <f t="shared" si="98"/>
        <v/>
      </c>
      <c r="Q380" s="47"/>
      <c r="R380" s="3" t="str">
        <f t="shared" si="99"/>
        <v/>
      </c>
      <c r="S380" s="47"/>
      <c r="T380" s="1" t="str">
        <f t="shared" si="100"/>
        <v/>
      </c>
      <c r="U380" s="47"/>
      <c r="V380" s="1" t="str">
        <f t="shared" si="101"/>
        <v/>
      </c>
      <c r="W380" s="47"/>
      <c r="X380" s="1" t="str">
        <f t="shared" si="102"/>
        <v/>
      </c>
      <c r="Y380" s="47"/>
      <c r="Z380" s="1" t="str">
        <f t="shared" si="103"/>
        <v/>
      </c>
      <c r="AA380" s="47"/>
      <c r="AB380" s="1" t="str">
        <f t="shared" si="104"/>
        <v/>
      </c>
      <c r="AC380" s="47"/>
      <c r="AD380" s="1" t="str">
        <f t="shared" si="105"/>
        <v/>
      </c>
      <c r="AE380" s="47"/>
      <c r="AF380" s="1" t="str">
        <f t="shared" si="106"/>
        <v/>
      </c>
      <c r="AG380" s="47"/>
    </row>
    <row r="381" spans="1:33">
      <c r="A381">
        <f t="shared" si="90"/>
        <v>0</v>
      </c>
      <c r="B381" s="2" t="str">
        <f t="shared" si="107"/>
        <v/>
      </c>
      <c r="C381" s="4" t="str">
        <f t="shared" si="91"/>
        <v/>
      </c>
      <c r="D381" s="3" t="str">
        <f t="shared" si="92"/>
        <v/>
      </c>
      <c r="E381" s="47"/>
      <c r="F381" s="3" t="str">
        <f t="shared" si="93"/>
        <v/>
      </c>
      <c r="G381" s="47"/>
      <c r="H381" s="3" t="str">
        <f t="shared" si="94"/>
        <v/>
      </c>
      <c r="I381" s="47"/>
      <c r="J381" s="3" t="str">
        <f t="shared" si="95"/>
        <v/>
      </c>
      <c r="K381" s="47"/>
      <c r="L381" s="3" t="str">
        <f t="shared" si="96"/>
        <v/>
      </c>
      <c r="M381" s="47"/>
      <c r="N381" s="3" t="str">
        <f t="shared" si="97"/>
        <v/>
      </c>
      <c r="O381" s="47"/>
      <c r="P381" s="3" t="str">
        <f t="shared" si="98"/>
        <v/>
      </c>
      <c r="Q381" s="47"/>
      <c r="R381" s="3" t="str">
        <f t="shared" si="99"/>
        <v/>
      </c>
      <c r="S381" s="47"/>
      <c r="T381" s="1" t="str">
        <f t="shared" si="100"/>
        <v/>
      </c>
      <c r="U381" s="47"/>
      <c r="V381" s="1" t="str">
        <f t="shared" si="101"/>
        <v/>
      </c>
      <c r="W381" s="47"/>
      <c r="X381" s="1" t="str">
        <f t="shared" si="102"/>
        <v/>
      </c>
      <c r="Y381" s="47"/>
      <c r="Z381" s="1" t="str">
        <f t="shared" si="103"/>
        <v/>
      </c>
      <c r="AA381" s="47"/>
      <c r="AB381" s="1" t="str">
        <f t="shared" si="104"/>
        <v/>
      </c>
      <c r="AC381" s="47"/>
      <c r="AD381" s="1" t="str">
        <f t="shared" si="105"/>
        <v/>
      </c>
      <c r="AE381" s="47"/>
      <c r="AF381" s="1" t="str">
        <f t="shared" si="106"/>
        <v/>
      </c>
      <c r="AG381" s="47"/>
    </row>
    <row r="382" spans="1:33">
      <c r="A382">
        <f t="shared" si="90"/>
        <v>0</v>
      </c>
      <c r="B382" s="2" t="str">
        <f t="shared" si="107"/>
        <v/>
      </c>
      <c r="C382" s="4" t="str">
        <f t="shared" si="91"/>
        <v/>
      </c>
      <c r="D382" s="3" t="str">
        <f t="shared" si="92"/>
        <v/>
      </c>
      <c r="E382" s="47"/>
      <c r="F382" s="3" t="str">
        <f t="shared" si="93"/>
        <v/>
      </c>
      <c r="G382" s="47"/>
      <c r="H382" s="3" t="str">
        <f t="shared" si="94"/>
        <v/>
      </c>
      <c r="I382" s="47"/>
      <c r="J382" s="3" t="str">
        <f t="shared" si="95"/>
        <v/>
      </c>
      <c r="K382" s="47"/>
      <c r="L382" s="3" t="str">
        <f t="shared" si="96"/>
        <v/>
      </c>
      <c r="M382" s="47"/>
      <c r="N382" s="3" t="str">
        <f t="shared" si="97"/>
        <v/>
      </c>
      <c r="O382" s="47"/>
      <c r="P382" s="3" t="str">
        <f t="shared" si="98"/>
        <v/>
      </c>
      <c r="Q382" s="47"/>
      <c r="R382" s="3" t="str">
        <f t="shared" si="99"/>
        <v/>
      </c>
      <c r="S382" s="47"/>
      <c r="T382" s="1" t="str">
        <f t="shared" si="100"/>
        <v/>
      </c>
      <c r="U382" s="47"/>
      <c r="V382" s="1" t="str">
        <f t="shared" si="101"/>
        <v/>
      </c>
      <c r="W382" s="47"/>
      <c r="X382" s="1" t="str">
        <f t="shared" si="102"/>
        <v/>
      </c>
      <c r="Y382" s="47"/>
      <c r="Z382" s="1" t="str">
        <f t="shared" si="103"/>
        <v/>
      </c>
      <c r="AA382" s="47"/>
      <c r="AB382" s="1" t="str">
        <f t="shared" si="104"/>
        <v/>
      </c>
      <c r="AC382" s="47"/>
      <c r="AD382" s="1" t="str">
        <f t="shared" si="105"/>
        <v/>
      </c>
      <c r="AE382" s="47"/>
      <c r="AF382" s="1" t="str">
        <f t="shared" si="106"/>
        <v/>
      </c>
      <c r="AG382" s="47"/>
    </row>
    <row r="383" spans="1:33">
      <c r="A383">
        <f t="shared" si="90"/>
        <v>0</v>
      </c>
      <c r="B383" s="2" t="str">
        <f t="shared" si="107"/>
        <v/>
      </c>
      <c r="C383" s="4" t="str">
        <f t="shared" si="91"/>
        <v/>
      </c>
      <c r="D383" s="3" t="str">
        <f t="shared" si="92"/>
        <v/>
      </c>
      <c r="E383" s="47"/>
      <c r="F383" s="3" t="str">
        <f t="shared" si="93"/>
        <v/>
      </c>
      <c r="G383" s="47"/>
      <c r="H383" s="3" t="str">
        <f t="shared" si="94"/>
        <v/>
      </c>
      <c r="I383" s="47"/>
      <c r="J383" s="3" t="str">
        <f t="shared" si="95"/>
        <v/>
      </c>
      <c r="K383" s="47"/>
      <c r="L383" s="3" t="str">
        <f t="shared" si="96"/>
        <v/>
      </c>
      <c r="M383" s="47"/>
      <c r="N383" s="3" t="str">
        <f t="shared" si="97"/>
        <v/>
      </c>
      <c r="O383" s="47"/>
      <c r="P383" s="3" t="str">
        <f t="shared" si="98"/>
        <v/>
      </c>
      <c r="Q383" s="47"/>
      <c r="R383" s="3" t="str">
        <f t="shared" si="99"/>
        <v/>
      </c>
      <c r="S383" s="47"/>
      <c r="T383" s="1" t="str">
        <f t="shared" si="100"/>
        <v/>
      </c>
      <c r="U383" s="47"/>
      <c r="V383" s="1" t="str">
        <f t="shared" si="101"/>
        <v/>
      </c>
      <c r="W383" s="47"/>
      <c r="X383" s="1" t="str">
        <f t="shared" si="102"/>
        <v/>
      </c>
      <c r="Y383" s="47"/>
      <c r="Z383" s="1" t="str">
        <f t="shared" si="103"/>
        <v/>
      </c>
      <c r="AA383" s="47"/>
      <c r="AB383" s="1" t="str">
        <f t="shared" si="104"/>
        <v/>
      </c>
      <c r="AC383" s="47"/>
      <c r="AD383" s="1" t="str">
        <f t="shared" si="105"/>
        <v/>
      </c>
      <c r="AE383" s="47"/>
      <c r="AF383" s="1" t="str">
        <f t="shared" si="106"/>
        <v/>
      </c>
      <c r="AG383" s="47"/>
    </row>
    <row r="384" spans="1:33">
      <c r="A384">
        <f t="shared" si="90"/>
        <v>0</v>
      </c>
      <c r="B384" s="2" t="str">
        <f t="shared" si="107"/>
        <v/>
      </c>
      <c r="C384" s="4" t="str">
        <f t="shared" si="91"/>
        <v/>
      </c>
      <c r="D384" s="3" t="str">
        <f t="shared" si="92"/>
        <v/>
      </c>
      <c r="E384" s="47"/>
      <c r="F384" s="3" t="str">
        <f t="shared" si="93"/>
        <v/>
      </c>
      <c r="G384" s="47"/>
      <c r="H384" s="3" t="str">
        <f t="shared" si="94"/>
        <v/>
      </c>
      <c r="I384" s="47"/>
      <c r="J384" s="3" t="str">
        <f t="shared" si="95"/>
        <v/>
      </c>
      <c r="K384" s="47"/>
      <c r="L384" s="3" t="str">
        <f t="shared" si="96"/>
        <v/>
      </c>
      <c r="M384" s="47"/>
      <c r="N384" s="3" t="str">
        <f t="shared" si="97"/>
        <v/>
      </c>
      <c r="O384" s="47"/>
      <c r="P384" s="3" t="str">
        <f t="shared" si="98"/>
        <v/>
      </c>
      <c r="Q384" s="47"/>
      <c r="R384" s="3" t="str">
        <f t="shared" si="99"/>
        <v/>
      </c>
      <c r="S384" s="47"/>
      <c r="T384" s="1" t="str">
        <f t="shared" si="100"/>
        <v/>
      </c>
      <c r="U384" s="47"/>
      <c r="V384" s="1" t="str">
        <f t="shared" si="101"/>
        <v/>
      </c>
      <c r="W384" s="47"/>
      <c r="X384" s="1" t="str">
        <f t="shared" si="102"/>
        <v/>
      </c>
      <c r="Y384" s="47"/>
      <c r="Z384" s="1" t="str">
        <f t="shared" si="103"/>
        <v/>
      </c>
      <c r="AA384" s="47"/>
      <c r="AB384" s="1" t="str">
        <f t="shared" si="104"/>
        <v/>
      </c>
      <c r="AC384" s="47"/>
      <c r="AD384" s="1" t="str">
        <f t="shared" si="105"/>
        <v/>
      </c>
      <c r="AE384" s="47"/>
      <c r="AF384" s="1" t="str">
        <f t="shared" si="106"/>
        <v/>
      </c>
      <c r="AG384" s="47"/>
    </row>
    <row r="385" spans="1:33">
      <c r="A385">
        <f t="shared" si="90"/>
        <v>0</v>
      </c>
      <c r="B385" s="2" t="str">
        <f t="shared" si="107"/>
        <v/>
      </c>
      <c r="C385" s="4" t="str">
        <f t="shared" si="91"/>
        <v/>
      </c>
      <c r="D385" s="3" t="str">
        <f t="shared" si="92"/>
        <v/>
      </c>
      <c r="E385" s="47"/>
      <c r="F385" s="3" t="str">
        <f t="shared" si="93"/>
        <v/>
      </c>
      <c r="G385" s="47"/>
      <c r="H385" s="3" t="str">
        <f t="shared" si="94"/>
        <v/>
      </c>
      <c r="I385" s="47"/>
      <c r="J385" s="3" t="str">
        <f t="shared" si="95"/>
        <v/>
      </c>
      <c r="K385" s="47"/>
      <c r="L385" s="3" t="str">
        <f t="shared" si="96"/>
        <v/>
      </c>
      <c r="M385" s="47"/>
      <c r="N385" s="3" t="str">
        <f t="shared" si="97"/>
        <v/>
      </c>
      <c r="O385" s="47"/>
      <c r="P385" s="3" t="str">
        <f t="shared" si="98"/>
        <v/>
      </c>
      <c r="Q385" s="47"/>
      <c r="R385" s="3" t="str">
        <f t="shared" si="99"/>
        <v/>
      </c>
      <c r="S385" s="47"/>
      <c r="T385" s="1" t="str">
        <f t="shared" si="100"/>
        <v/>
      </c>
      <c r="U385" s="47"/>
      <c r="V385" s="1" t="str">
        <f t="shared" si="101"/>
        <v/>
      </c>
      <c r="W385" s="47"/>
      <c r="X385" s="1" t="str">
        <f t="shared" si="102"/>
        <v/>
      </c>
      <c r="Y385" s="47"/>
      <c r="Z385" s="1" t="str">
        <f t="shared" si="103"/>
        <v/>
      </c>
      <c r="AA385" s="47"/>
      <c r="AB385" s="1" t="str">
        <f t="shared" si="104"/>
        <v/>
      </c>
      <c r="AC385" s="47"/>
      <c r="AD385" s="1" t="str">
        <f t="shared" si="105"/>
        <v/>
      </c>
      <c r="AE385" s="47"/>
      <c r="AF385" s="1" t="str">
        <f t="shared" si="106"/>
        <v/>
      </c>
      <c r="AG385" s="47"/>
    </row>
    <row r="386" spans="1:33">
      <c r="A386">
        <f t="shared" si="90"/>
        <v>0</v>
      </c>
      <c r="B386" s="2" t="str">
        <f t="shared" si="107"/>
        <v/>
      </c>
      <c r="C386" s="4" t="str">
        <f t="shared" si="91"/>
        <v/>
      </c>
      <c r="D386" s="3" t="str">
        <f t="shared" si="92"/>
        <v/>
      </c>
      <c r="E386" s="47"/>
      <c r="F386" s="3" t="str">
        <f t="shared" si="93"/>
        <v/>
      </c>
      <c r="G386" s="47"/>
      <c r="H386" s="3" t="str">
        <f t="shared" si="94"/>
        <v/>
      </c>
      <c r="I386" s="47"/>
      <c r="J386" s="3" t="str">
        <f t="shared" si="95"/>
        <v/>
      </c>
      <c r="K386" s="47"/>
      <c r="L386" s="3" t="str">
        <f t="shared" si="96"/>
        <v/>
      </c>
      <c r="M386" s="47"/>
      <c r="N386" s="3" t="str">
        <f t="shared" si="97"/>
        <v/>
      </c>
      <c r="O386" s="47"/>
      <c r="P386" s="3" t="str">
        <f t="shared" si="98"/>
        <v/>
      </c>
      <c r="Q386" s="47"/>
      <c r="R386" s="3" t="str">
        <f t="shared" si="99"/>
        <v/>
      </c>
      <c r="S386" s="47"/>
      <c r="T386" s="1" t="str">
        <f t="shared" si="100"/>
        <v/>
      </c>
      <c r="U386" s="47"/>
      <c r="V386" s="1" t="str">
        <f t="shared" si="101"/>
        <v/>
      </c>
      <c r="W386" s="47"/>
      <c r="X386" s="1" t="str">
        <f t="shared" si="102"/>
        <v/>
      </c>
      <c r="Y386" s="47"/>
      <c r="Z386" s="1" t="str">
        <f t="shared" si="103"/>
        <v/>
      </c>
      <c r="AA386" s="47"/>
      <c r="AB386" s="1" t="str">
        <f t="shared" si="104"/>
        <v/>
      </c>
      <c r="AC386" s="47"/>
      <c r="AD386" s="1" t="str">
        <f t="shared" si="105"/>
        <v/>
      </c>
      <c r="AE386" s="47"/>
      <c r="AF386" s="1" t="str">
        <f t="shared" si="106"/>
        <v/>
      </c>
      <c r="AG386" s="47"/>
    </row>
    <row r="387" spans="1:33">
      <c r="A387">
        <f t="shared" si="90"/>
        <v>0</v>
      </c>
      <c r="B387" s="2" t="str">
        <f t="shared" si="107"/>
        <v/>
      </c>
      <c r="C387" s="4" t="str">
        <f t="shared" si="91"/>
        <v/>
      </c>
      <c r="D387" s="3" t="str">
        <f t="shared" si="92"/>
        <v/>
      </c>
      <c r="E387" s="47"/>
      <c r="F387" s="3" t="str">
        <f t="shared" si="93"/>
        <v/>
      </c>
      <c r="G387" s="47"/>
      <c r="H387" s="3" t="str">
        <f t="shared" si="94"/>
        <v/>
      </c>
      <c r="I387" s="47"/>
      <c r="J387" s="3" t="str">
        <f t="shared" si="95"/>
        <v/>
      </c>
      <c r="K387" s="47"/>
      <c r="L387" s="3" t="str">
        <f t="shared" si="96"/>
        <v/>
      </c>
      <c r="M387" s="47"/>
      <c r="N387" s="3" t="str">
        <f t="shared" si="97"/>
        <v/>
      </c>
      <c r="O387" s="47"/>
      <c r="P387" s="3" t="str">
        <f t="shared" si="98"/>
        <v/>
      </c>
      <c r="Q387" s="47"/>
      <c r="R387" s="3" t="str">
        <f t="shared" si="99"/>
        <v/>
      </c>
      <c r="S387" s="47"/>
      <c r="T387" s="1" t="str">
        <f t="shared" si="100"/>
        <v/>
      </c>
      <c r="U387" s="47"/>
      <c r="V387" s="1" t="str">
        <f t="shared" si="101"/>
        <v/>
      </c>
      <c r="W387" s="47"/>
      <c r="X387" s="1" t="str">
        <f t="shared" si="102"/>
        <v/>
      </c>
      <c r="Y387" s="47"/>
      <c r="Z387" s="1" t="str">
        <f t="shared" si="103"/>
        <v/>
      </c>
      <c r="AA387" s="47"/>
      <c r="AB387" s="1" t="str">
        <f t="shared" si="104"/>
        <v/>
      </c>
      <c r="AC387" s="47"/>
      <c r="AD387" s="1" t="str">
        <f t="shared" si="105"/>
        <v/>
      </c>
      <c r="AE387" s="47"/>
      <c r="AF387" s="1" t="str">
        <f t="shared" si="106"/>
        <v/>
      </c>
      <c r="AG387" s="47"/>
    </row>
    <row r="388" spans="1:33">
      <c r="A388">
        <f t="shared" si="90"/>
        <v>0</v>
      </c>
      <c r="B388" s="2" t="str">
        <f t="shared" si="107"/>
        <v/>
      </c>
      <c r="C388" s="4" t="str">
        <f t="shared" si="91"/>
        <v/>
      </c>
      <c r="D388" s="3" t="str">
        <f t="shared" si="92"/>
        <v/>
      </c>
      <c r="E388" s="47"/>
      <c r="F388" s="3" t="str">
        <f t="shared" si="93"/>
        <v/>
      </c>
      <c r="G388" s="47"/>
      <c r="H388" s="3" t="str">
        <f t="shared" si="94"/>
        <v/>
      </c>
      <c r="I388" s="47"/>
      <c r="J388" s="3" t="str">
        <f t="shared" si="95"/>
        <v/>
      </c>
      <c r="K388" s="47"/>
      <c r="L388" s="3" t="str">
        <f t="shared" si="96"/>
        <v/>
      </c>
      <c r="M388" s="47"/>
      <c r="N388" s="3" t="str">
        <f t="shared" si="97"/>
        <v/>
      </c>
      <c r="O388" s="47"/>
      <c r="P388" s="3" t="str">
        <f t="shared" si="98"/>
        <v/>
      </c>
      <c r="Q388" s="47"/>
      <c r="R388" s="3" t="str">
        <f t="shared" si="99"/>
        <v/>
      </c>
      <c r="S388" s="47"/>
      <c r="T388" s="1" t="str">
        <f t="shared" si="100"/>
        <v/>
      </c>
      <c r="U388" s="47"/>
      <c r="V388" s="1" t="str">
        <f t="shared" si="101"/>
        <v/>
      </c>
      <c r="W388" s="47"/>
      <c r="X388" s="1" t="str">
        <f t="shared" si="102"/>
        <v/>
      </c>
      <c r="Y388" s="47"/>
      <c r="Z388" s="1" t="str">
        <f t="shared" si="103"/>
        <v/>
      </c>
      <c r="AA388" s="47"/>
      <c r="AB388" s="1" t="str">
        <f t="shared" si="104"/>
        <v/>
      </c>
      <c r="AC388" s="47"/>
      <c r="AD388" s="1" t="str">
        <f t="shared" si="105"/>
        <v/>
      </c>
      <c r="AE388" s="47"/>
      <c r="AF388" s="1" t="str">
        <f t="shared" si="106"/>
        <v/>
      </c>
      <c r="AG388" s="47"/>
    </row>
    <row r="389" spans="1:33">
      <c r="A389">
        <f t="shared" si="90"/>
        <v>0</v>
      </c>
      <c r="B389" s="2" t="str">
        <f t="shared" si="107"/>
        <v/>
      </c>
      <c r="C389" s="4" t="str">
        <f t="shared" si="91"/>
        <v/>
      </c>
      <c r="D389" s="3" t="str">
        <f t="shared" si="92"/>
        <v/>
      </c>
      <c r="E389" s="47"/>
      <c r="F389" s="3" t="str">
        <f t="shared" si="93"/>
        <v/>
      </c>
      <c r="G389" s="47"/>
      <c r="H389" s="3" t="str">
        <f t="shared" si="94"/>
        <v/>
      </c>
      <c r="I389" s="47"/>
      <c r="J389" s="3" t="str">
        <f t="shared" si="95"/>
        <v/>
      </c>
      <c r="K389" s="47"/>
      <c r="L389" s="3" t="str">
        <f t="shared" si="96"/>
        <v/>
      </c>
      <c r="M389" s="47"/>
      <c r="N389" s="3" t="str">
        <f t="shared" si="97"/>
        <v/>
      </c>
      <c r="O389" s="47"/>
      <c r="P389" s="3" t="str">
        <f t="shared" si="98"/>
        <v/>
      </c>
      <c r="Q389" s="47"/>
      <c r="R389" s="3" t="str">
        <f t="shared" si="99"/>
        <v/>
      </c>
      <c r="S389" s="47"/>
      <c r="T389" s="1" t="str">
        <f t="shared" si="100"/>
        <v/>
      </c>
      <c r="U389" s="47"/>
      <c r="V389" s="1" t="str">
        <f t="shared" si="101"/>
        <v/>
      </c>
      <c r="W389" s="47"/>
      <c r="X389" s="1" t="str">
        <f t="shared" si="102"/>
        <v/>
      </c>
      <c r="Y389" s="47"/>
      <c r="Z389" s="1" t="str">
        <f t="shared" si="103"/>
        <v/>
      </c>
      <c r="AA389" s="47"/>
      <c r="AB389" s="1" t="str">
        <f t="shared" si="104"/>
        <v/>
      </c>
      <c r="AC389" s="47"/>
      <c r="AD389" s="1" t="str">
        <f t="shared" si="105"/>
        <v/>
      </c>
      <c r="AE389" s="47"/>
      <c r="AF389" s="1" t="str">
        <f t="shared" si="106"/>
        <v/>
      </c>
      <c r="AG389" s="47"/>
    </row>
    <row r="390" spans="1:33">
      <c r="A390">
        <f t="shared" si="90"/>
        <v>0</v>
      </c>
      <c r="B390" s="2" t="str">
        <f t="shared" si="107"/>
        <v/>
      </c>
      <c r="C390" s="4" t="str">
        <f t="shared" si="91"/>
        <v/>
      </c>
      <c r="D390" s="3" t="str">
        <f t="shared" si="92"/>
        <v/>
      </c>
      <c r="E390" s="47"/>
      <c r="F390" s="3" t="str">
        <f t="shared" si="93"/>
        <v/>
      </c>
      <c r="G390" s="47"/>
      <c r="H390" s="3" t="str">
        <f t="shared" si="94"/>
        <v/>
      </c>
      <c r="I390" s="47"/>
      <c r="J390" s="3" t="str">
        <f t="shared" si="95"/>
        <v/>
      </c>
      <c r="K390" s="47"/>
      <c r="L390" s="3" t="str">
        <f t="shared" si="96"/>
        <v/>
      </c>
      <c r="M390" s="47"/>
      <c r="N390" s="3" t="str">
        <f t="shared" si="97"/>
        <v/>
      </c>
      <c r="O390" s="47"/>
      <c r="P390" s="3" t="str">
        <f t="shared" si="98"/>
        <v/>
      </c>
      <c r="Q390" s="47"/>
      <c r="R390" s="3" t="str">
        <f t="shared" si="99"/>
        <v/>
      </c>
      <c r="S390" s="47"/>
      <c r="T390" s="1" t="str">
        <f t="shared" si="100"/>
        <v/>
      </c>
      <c r="U390" s="47"/>
      <c r="V390" s="1" t="str">
        <f t="shared" si="101"/>
        <v/>
      </c>
      <c r="W390" s="47"/>
      <c r="X390" s="1" t="str">
        <f t="shared" si="102"/>
        <v/>
      </c>
      <c r="Y390" s="47"/>
      <c r="Z390" s="1" t="str">
        <f t="shared" si="103"/>
        <v/>
      </c>
      <c r="AA390" s="47"/>
      <c r="AB390" s="1" t="str">
        <f t="shared" si="104"/>
        <v/>
      </c>
      <c r="AC390" s="47"/>
      <c r="AD390" s="1" t="str">
        <f t="shared" si="105"/>
        <v/>
      </c>
      <c r="AE390" s="47"/>
      <c r="AF390" s="1" t="str">
        <f t="shared" si="106"/>
        <v/>
      </c>
      <c r="AG390" s="47"/>
    </row>
    <row r="391" spans="1:33">
      <c r="A391">
        <f t="shared" ref="A391:A454" si="108">$C$1</f>
        <v>0</v>
      </c>
      <c r="B391" s="2" t="str">
        <f t="shared" si="107"/>
        <v/>
      </c>
      <c r="C391" s="4" t="str">
        <f t="shared" si="91"/>
        <v/>
      </c>
      <c r="D391" s="3" t="str">
        <f t="shared" si="92"/>
        <v/>
      </c>
      <c r="E391" s="47"/>
      <c r="F391" s="3" t="str">
        <f t="shared" si="93"/>
        <v/>
      </c>
      <c r="G391" s="47"/>
      <c r="H391" s="3" t="str">
        <f t="shared" si="94"/>
        <v/>
      </c>
      <c r="I391" s="47"/>
      <c r="J391" s="3" t="str">
        <f t="shared" si="95"/>
        <v/>
      </c>
      <c r="K391" s="47"/>
      <c r="L391" s="3" t="str">
        <f t="shared" si="96"/>
        <v/>
      </c>
      <c r="M391" s="47"/>
      <c r="N391" s="3" t="str">
        <f t="shared" si="97"/>
        <v/>
      </c>
      <c r="O391" s="47"/>
      <c r="P391" s="3" t="str">
        <f t="shared" si="98"/>
        <v/>
      </c>
      <c r="Q391" s="47"/>
      <c r="R391" s="3" t="str">
        <f t="shared" si="99"/>
        <v/>
      </c>
      <c r="S391" s="47"/>
      <c r="T391" s="1" t="str">
        <f t="shared" si="100"/>
        <v/>
      </c>
      <c r="U391" s="47"/>
      <c r="V391" s="1" t="str">
        <f t="shared" si="101"/>
        <v/>
      </c>
      <c r="W391" s="47"/>
      <c r="X391" s="1" t="str">
        <f t="shared" si="102"/>
        <v/>
      </c>
      <c r="Y391" s="47"/>
      <c r="Z391" s="1" t="str">
        <f t="shared" si="103"/>
        <v/>
      </c>
      <c r="AA391" s="47"/>
      <c r="AB391" s="1" t="str">
        <f t="shared" si="104"/>
        <v/>
      </c>
      <c r="AC391" s="47"/>
      <c r="AD391" s="1" t="str">
        <f t="shared" si="105"/>
        <v/>
      </c>
      <c r="AE391" s="47"/>
      <c r="AF391" s="1" t="str">
        <f t="shared" si="106"/>
        <v/>
      </c>
      <c r="AG391" s="47"/>
    </row>
    <row r="392" spans="1:33">
      <c r="A392">
        <f t="shared" si="108"/>
        <v>0</v>
      </c>
      <c r="B392" s="2" t="str">
        <f t="shared" si="107"/>
        <v/>
      </c>
      <c r="C392" s="4" t="str">
        <f t="shared" ref="C392:C455" si="109">TEXT(B392,"AAA")</f>
        <v/>
      </c>
      <c r="D392" s="3" t="str">
        <f t="shared" ref="D392:D455" si="110">IF(NOT(AND($F$3&lt;=B392,B392&lt;=$F$4)),"",$F$2&amp;"")</f>
        <v/>
      </c>
      <c r="E392" s="47"/>
      <c r="F392" s="3" t="str">
        <f t="shared" ref="F392:F455" si="111">IF(NOT(AND($G$3&lt;=B392,B392&lt;=$G$4)),"",$G$2&amp;"")</f>
        <v/>
      </c>
      <c r="G392" s="47"/>
      <c r="H392" s="3" t="str">
        <f t="shared" ref="H392:H455" si="112">IF(NOT(AND($H$3&lt;=B392,B392&lt;=$H$4)),"",$H$2&amp;"")</f>
        <v/>
      </c>
      <c r="I392" s="47"/>
      <c r="J392" s="3" t="str">
        <f t="shared" ref="J392:J455" si="113">IF(NOT(AND($I$3&lt;=B392,B392&lt;=$I$4)),"",$I$2&amp;"")</f>
        <v/>
      </c>
      <c r="K392" s="47"/>
      <c r="L392" s="3" t="str">
        <f t="shared" ref="L392:L455" si="114">IF(NOT(AND($J$3&lt;=B392,B392&lt;=$J$4)),"",$J$2&amp;"")</f>
        <v/>
      </c>
      <c r="M392" s="47"/>
      <c r="N392" s="3" t="str">
        <f t="shared" ref="N392:N455" si="115">IF(NOT(AND($K$3&lt;=B392,B392&lt;=$K$4)),"",$K$2&amp;"")</f>
        <v/>
      </c>
      <c r="O392" s="47"/>
      <c r="P392" s="3" t="str">
        <f t="shared" ref="P392:P455" si="116">IF(NOT(AND($L$3&lt;=B392,B392&lt;=$L$4)),"",$L$2&amp;"")</f>
        <v/>
      </c>
      <c r="Q392" s="47"/>
      <c r="R392" s="3" t="str">
        <f t="shared" ref="R392:R455" si="117">IF(NOT(AND($M$3&lt;=B392,B392&lt;=$M$4)),"",$M$2&amp;"")</f>
        <v/>
      </c>
      <c r="S392" s="47"/>
      <c r="T392" s="1" t="str">
        <f t="shared" ref="T392:T455" si="118">IF(NOT(AND($N$3&lt;=B392,B392&lt;=$N$4)),"",$N$2&amp;"")</f>
        <v/>
      </c>
      <c r="U392" s="47"/>
      <c r="V392" s="1" t="str">
        <f t="shared" ref="V392:V455" si="119">IF(NOT(AND($O$3&lt;=B392,B392&lt;=$O$4)),"",$O$2&amp;"")</f>
        <v/>
      </c>
      <c r="W392" s="47"/>
      <c r="X392" s="1" t="str">
        <f t="shared" ref="X392:X455" si="120">IF(NOT(AND($P$3&lt;=B392,B392&lt;=$P$4)),"",$P$2&amp;"")</f>
        <v/>
      </c>
      <c r="Y392" s="47"/>
      <c r="Z392" s="1" t="str">
        <f t="shared" ref="Z392:Z455" si="121">IF(NOT(AND($Q$3&lt;=B392,B392&lt;=$Q$4)),"",$Q$2&amp;"")</f>
        <v/>
      </c>
      <c r="AA392" s="47"/>
      <c r="AB392" s="1" t="str">
        <f t="shared" ref="AB392:AB455" si="122">IF(NOT(AND($R$3&lt;=B392,B392&lt;=$R$4)),"",$R$2&amp;"")</f>
        <v/>
      </c>
      <c r="AC392" s="47"/>
      <c r="AD392" s="1" t="str">
        <f t="shared" ref="AD392:AD455" si="123">IF(NOT(AND($S$3&lt;=B392,B392&lt;=$S$4)),"",$S$2&amp;"")</f>
        <v/>
      </c>
      <c r="AE392" s="47"/>
      <c r="AF392" s="1" t="str">
        <f t="shared" ref="AF392:AF455" si="124">IF(NOT(AND($T$3&lt;=B392,B392&lt;=$T$4)),"",$T$2&amp;"")</f>
        <v/>
      </c>
      <c r="AG392" s="47"/>
    </row>
    <row r="393" spans="1:33">
      <c r="A393">
        <f t="shared" si="108"/>
        <v>0</v>
      </c>
      <c r="B393" s="2" t="str">
        <f t="shared" ref="B393:B456" si="125">IFERROR(IF(B392+1&gt;$C$3,"",B392+1),"")</f>
        <v/>
      </c>
      <c r="C393" s="4" t="str">
        <f t="shared" si="109"/>
        <v/>
      </c>
      <c r="D393" s="3" t="str">
        <f t="shared" si="110"/>
        <v/>
      </c>
      <c r="E393" s="47"/>
      <c r="F393" s="3" t="str">
        <f t="shared" si="111"/>
        <v/>
      </c>
      <c r="G393" s="47"/>
      <c r="H393" s="3" t="str">
        <f t="shared" si="112"/>
        <v/>
      </c>
      <c r="I393" s="47"/>
      <c r="J393" s="3" t="str">
        <f t="shared" si="113"/>
        <v/>
      </c>
      <c r="K393" s="47"/>
      <c r="L393" s="3" t="str">
        <f t="shared" si="114"/>
        <v/>
      </c>
      <c r="M393" s="47"/>
      <c r="N393" s="3" t="str">
        <f t="shared" si="115"/>
        <v/>
      </c>
      <c r="O393" s="47"/>
      <c r="P393" s="3" t="str">
        <f t="shared" si="116"/>
        <v/>
      </c>
      <c r="Q393" s="47"/>
      <c r="R393" s="3" t="str">
        <f t="shared" si="117"/>
        <v/>
      </c>
      <c r="S393" s="47"/>
      <c r="T393" s="1" t="str">
        <f t="shared" si="118"/>
        <v/>
      </c>
      <c r="U393" s="47"/>
      <c r="V393" s="1" t="str">
        <f t="shared" si="119"/>
        <v/>
      </c>
      <c r="W393" s="47"/>
      <c r="X393" s="1" t="str">
        <f t="shared" si="120"/>
        <v/>
      </c>
      <c r="Y393" s="47"/>
      <c r="Z393" s="1" t="str">
        <f t="shared" si="121"/>
        <v/>
      </c>
      <c r="AA393" s="47"/>
      <c r="AB393" s="1" t="str">
        <f t="shared" si="122"/>
        <v/>
      </c>
      <c r="AC393" s="47"/>
      <c r="AD393" s="1" t="str">
        <f t="shared" si="123"/>
        <v/>
      </c>
      <c r="AE393" s="47"/>
      <c r="AF393" s="1" t="str">
        <f t="shared" si="124"/>
        <v/>
      </c>
      <c r="AG393" s="47"/>
    </row>
    <row r="394" spans="1:33">
      <c r="A394">
        <f t="shared" si="108"/>
        <v>0</v>
      </c>
      <c r="B394" s="2" t="str">
        <f t="shared" si="125"/>
        <v/>
      </c>
      <c r="C394" s="4" t="str">
        <f t="shared" si="109"/>
        <v/>
      </c>
      <c r="D394" s="3" t="str">
        <f t="shared" si="110"/>
        <v/>
      </c>
      <c r="E394" s="47"/>
      <c r="F394" s="3" t="str">
        <f t="shared" si="111"/>
        <v/>
      </c>
      <c r="G394" s="47"/>
      <c r="H394" s="3" t="str">
        <f t="shared" si="112"/>
        <v/>
      </c>
      <c r="I394" s="47"/>
      <c r="J394" s="3" t="str">
        <f t="shared" si="113"/>
        <v/>
      </c>
      <c r="K394" s="47"/>
      <c r="L394" s="3" t="str">
        <f t="shared" si="114"/>
        <v/>
      </c>
      <c r="M394" s="47"/>
      <c r="N394" s="3" t="str">
        <f t="shared" si="115"/>
        <v/>
      </c>
      <c r="O394" s="47"/>
      <c r="P394" s="3" t="str">
        <f t="shared" si="116"/>
        <v/>
      </c>
      <c r="Q394" s="47"/>
      <c r="R394" s="3" t="str">
        <f t="shared" si="117"/>
        <v/>
      </c>
      <c r="S394" s="47"/>
      <c r="T394" s="1" t="str">
        <f t="shared" si="118"/>
        <v/>
      </c>
      <c r="U394" s="47"/>
      <c r="V394" s="1" t="str">
        <f t="shared" si="119"/>
        <v/>
      </c>
      <c r="W394" s="47"/>
      <c r="X394" s="1" t="str">
        <f t="shared" si="120"/>
        <v/>
      </c>
      <c r="Y394" s="47"/>
      <c r="Z394" s="1" t="str">
        <f t="shared" si="121"/>
        <v/>
      </c>
      <c r="AA394" s="47"/>
      <c r="AB394" s="1" t="str">
        <f t="shared" si="122"/>
        <v/>
      </c>
      <c r="AC394" s="47"/>
      <c r="AD394" s="1" t="str">
        <f t="shared" si="123"/>
        <v/>
      </c>
      <c r="AE394" s="47"/>
      <c r="AF394" s="1" t="str">
        <f t="shared" si="124"/>
        <v/>
      </c>
      <c r="AG394" s="47"/>
    </row>
    <row r="395" spans="1:33">
      <c r="A395">
        <f t="shared" si="108"/>
        <v>0</v>
      </c>
      <c r="B395" s="2" t="str">
        <f t="shared" si="125"/>
        <v/>
      </c>
      <c r="C395" s="4" t="str">
        <f t="shared" si="109"/>
        <v/>
      </c>
      <c r="D395" s="3" t="str">
        <f t="shared" si="110"/>
        <v/>
      </c>
      <c r="E395" s="47"/>
      <c r="F395" s="3" t="str">
        <f t="shared" si="111"/>
        <v/>
      </c>
      <c r="G395" s="47"/>
      <c r="H395" s="3" t="str">
        <f t="shared" si="112"/>
        <v/>
      </c>
      <c r="I395" s="47"/>
      <c r="J395" s="3" t="str">
        <f t="shared" si="113"/>
        <v/>
      </c>
      <c r="K395" s="47"/>
      <c r="L395" s="3" t="str">
        <f t="shared" si="114"/>
        <v/>
      </c>
      <c r="M395" s="47"/>
      <c r="N395" s="3" t="str">
        <f t="shared" si="115"/>
        <v/>
      </c>
      <c r="O395" s="47"/>
      <c r="P395" s="3" t="str">
        <f t="shared" si="116"/>
        <v/>
      </c>
      <c r="Q395" s="47"/>
      <c r="R395" s="3" t="str">
        <f t="shared" si="117"/>
        <v/>
      </c>
      <c r="S395" s="47"/>
      <c r="T395" s="1" t="str">
        <f t="shared" si="118"/>
        <v/>
      </c>
      <c r="U395" s="47"/>
      <c r="V395" s="1" t="str">
        <f t="shared" si="119"/>
        <v/>
      </c>
      <c r="W395" s="47"/>
      <c r="X395" s="1" t="str">
        <f t="shared" si="120"/>
        <v/>
      </c>
      <c r="Y395" s="47"/>
      <c r="Z395" s="1" t="str">
        <f t="shared" si="121"/>
        <v/>
      </c>
      <c r="AA395" s="47"/>
      <c r="AB395" s="1" t="str">
        <f t="shared" si="122"/>
        <v/>
      </c>
      <c r="AC395" s="47"/>
      <c r="AD395" s="1" t="str">
        <f t="shared" si="123"/>
        <v/>
      </c>
      <c r="AE395" s="47"/>
      <c r="AF395" s="1" t="str">
        <f t="shared" si="124"/>
        <v/>
      </c>
      <c r="AG395" s="47"/>
    </row>
    <row r="396" spans="1:33">
      <c r="A396">
        <f t="shared" si="108"/>
        <v>0</v>
      </c>
      <c r="B396" s="2" t="str">
        <f t="shared" si="125"/>
        <v/>
      </c>
      <c r="C396" s="4" t="str">
        <f t="shared" si="109"/>
        <v/>
      </c>
      <c r="D396" s="3" t="str">
        <f t="shared" si="110"/>
        <v/>
      </c>
      <c r="E396" s="47"/>
      <c r="F396" s="3" t="str">
        <f t="shared" si="111"/>
        <v/>
      </c>
      <c r="G396" s="47"/>
      <c r="H396" s="3" t="str">
        <f t="shared" si="112"/>
        <v/>
      </c>
      <c r="I396" s="47"/>
      <c r="J396" s="3" t="str">
        <f t="shared" si="113"/>
        <v/>
      </c>
      <c r="K396" s="47"/>
      <c r="L396" s="3" t="str">
        <f t="shared" si="114"/>
        <v/>
      </c>
      <c r="M396" s="47"/>
      <c r="N396" s="3" t="str">
        <f t="shared" si="115"/>
        <v/>
      </c>
      <c r="O396" s="47"/>
      <c r="P396" s="3" t="str">
        <f t="shared" si="116"/>
        <v/>
      </c>
      <c r="Q396" s="47"/>
      <c r="R396" s="3" t="str">
        <f t="shared" si="117"/>
        <v/>
      </c>
      <c r="S396" s="47"/>
      <c r="T396" s="1" t="str">
        <f t="shared" si="118"/>
        <v/>
      </c>
      <c r="U396" s="47"/>
      <c r="V396" s="1" t="str">
        <f t="shared" si="119"/>
        <v/>
      </c>
      <c r="W396" s="47"/>
      <c r="X396" s="1" t="str">
        <f t="shared" si="120"/>
        <v/>
      </c>
      <c r="Y396" s="47"/>
      <c r="Z396" s="1" t="str">
        <f t="shared" si="121"/>
        <v/>
      </c>
      <c r="AA396" s="47"/>
      <c r="AB396" s="1" t="str">
        <f t="shared" si="122"/>
        <v/>
      </c>
      <c r="AC396" s="47"/>
      <c r="AD396" s="1" t="str">
        <f t="shared" si="123"/>
        <v/>
      </c>
      <c r="AE396" s="47"/>
      <c r="AF396" s="1" t="str">
        <f t="shared" si="124"/>
        <v/>
      </c>
      <c r="AG396" s="47"/>
    </row>
    <row r="397" spans="1:33">
      <c r="A397">
        <f t="shared" si="108"/>
        <v>0</v>
      </c>
      <c r="B397" s="2" t="str">
        <f t="shared" si="125"/>
        <v/>
      </c>
      <c r="C397" s="4" t="str">
        <f t="shared" si="109"/>
        <v/>
      </c>
      <c r="D397" s="3" t="str">
        <f t="shared" si="110"/>
        <v/>
      </c>
      <c r="E397" s="47"/>
      <c r="F397" s="3" t="str">
        <f t="shared" si="111"/>
        <v/>
      </c>
      <c r="G397" s="47"/>
      <c r="H397" s="3" t="str">
        <f t="shared" si="112"/>
        <v/>
      </c>
      <c r="I397" s="47"/>
      <c r="J397" s="3" t="str">
        <f t="shared" si="113"/>
        <v/>
      </c>
      <c r="K397" s="47"/>
      <c r="L397" s="3" t="str">
        <f t="shared" si="114"/>
        <v/>
      </c>
      <c r="M397" s="47"/>
      <c r="N397" s="3" t="str">
        <f t="shared" si="115"/>
        <v/>
      </c>
      <c r="O397" s="47"/>
      <c r="P397" s="3" t="str">
        <f t="shared" si="116"/>
        <v/>
      </c>
      <c r="Q397" s="47"/>
      <c r="R397" s="3" t="str">
        <f t="shared" si="117"/>
        <v/>
      </c>
      <c r="S397" s="47"/>
      <c r="T397" s="1" t="str">
        <f t="shared" si="118"/>
        <v/>
      </c>
      <c r="U397" s="47"/>
      <c r="V397" s="1" t="str">
        <f t="shared" si="119"/>
        <v/>
      </c>
      <c r="W397" s="47"/>
      <c r="X397" s="1" t="str">
        <f t="shared" si="120"/>
        <v/>
      </c>
      <c r="Y397" s="47"/>
      <c r="Z397" s="1" t="str">
        <f t="shared" si="121"/>
        <v/>
      </c>
      <c r="AA397" s="47"/>
      <c r="AB397" s="1" t="str">
        <f t="shared" si="122"/>
        <v/>
      </c>
      <c r="AC397" s="47"/>
      <c r="AD397" s="1" t="str">
        <f t="shared" si="123"/>
        <v/>
      </c>
      <c r="AE397" s="47"/>
      <c r="AF397" s="1" t="str">
        <f t="shared" si="124"/>
        <v/>
      </c>
      <c r="AG397" s="47"/>
    </row>
    <row r="398" spans="1:33">
      <c r="A398">
        <f t="shared" si="108"/>
        <v>0</v>
      </c>
      <c r="B398" s="2" t="str">
        <f t="shared" si="125"/>
        <v/>
      </c>
      <c r="C398" s="4" t="str">
        <f t="shared" si="109"/>
        <v/>
      </c>
      <c r="D398" s="3" t="str">
        <f t="shared" si="110"/>
        <v/>
      </c>
      <c r="E398" s="47"/>
      <c r="F398" s="3" t="str">
        <f t="shared" si="111"/>
        <v/>
      </c>
      <c r="G398" s="47"/>
      <c r="H398" s="3" t="str">
        <f t="shared" si="112"/>
        <v/>
      </c>
      <c r="I398" s="47"/>
      <c r="J398" s="3" t="str">
        <f t="shared" si="113"/>
        <v/>
      </c>
      <c r="K398" s="47"/>
      <c r="L398" s="3" t="str">
        <f t="shared" si="114"/>
        <v/>
      </c>
      <c r="M398" s="47"/>
      <c r="N398" s="3" t="str">
        <f t="shared" si="115"/>
        <v/>
      </c>
      <c r="O398" s="47"/>
      <c r="P398" s="3" t="str">
        <f t="shared" si="116"/>
        <v/>
      </c>
      <c r="Q398" s="47"/>
      <c r="R398" s="3" t="str">
        <f t="shared" si="117"/>
        <v/>
      </c>
      <c r="S398" s="47"/>
      <c r="T398" s="1" t="str">
        <f t="shared" si="118"/>
        <v/>
      </c>
      <c r="U398" s="47"/>
      <c r="V398" s="1" t="str">
        <f t="shared" si="119"/>
        <v/>
      </c>
      <c r="W398" s="47"/>
      <c r="X398" s="1" t="str">
        <f t="shared" si="120"/>
        <v/>
      </c>
      <c r="Y398" s="47"/>
      <c r="Z398" s="1" t="str">
        <f t="shared" si="121"/>
        <v/>
      </c>
      <c r="AA398" s="47"/>
      <c r="AB398" s="1" t="str">
        <f t="shared" si="122"/>
        <v/>
      </c>
      <c r="AC398" s="47"/>
      <c r="AD398" s="1" t="str">
        <f t="shared" si="123"/>
        <v/>
      </c>
      <c r="AE398" s="47"/>
      <c r="AF398" s="1" t="str">
        <f t="shared" si="124"/>
        <v/>
      </c>
      <c r="AG398" s="47"/>
    </row>
    <row r="399" spans="1:33">
      <c r="A399">
        <f t="shared" si="108"/>
        <v>0</v>
      </c>
      <c r="B399" s="2" t="str">
        <f t="shared" si="125"/>
        <v/>
      </c>
      <c r="C399" s="4" t="str">
        <f t="shared" si="109"/>
        <v/>
      </c>
      <c r="D399" s="3" t="str">
        <f t="shared" si="110"/>
        <v/>
      </c>
      <c r="E399" s="47"/>
      <c r="F399" s="3" t="str">
        <f t="shared" si="111"/>
        <v/>
      </c>
      <c r="G399" s="47"/>
      <c r="H399" s="3" t="str">
        <f t="shared" si="112"/>
        <v/>
      </c>
      <c r="I399" s="47"/>
      <c r="J399" s="3" t="str">
        <f t="shared" si="113"/>
        <v/>
      </c>
      <c r="K399" s="47"/>
      <c r="L399" s="3" t="str">
        <f t="shared" si="114"/>
        <v/>
      </c>
      <c r="M399" s="47"/>
      <c r="N399" s="3" t="str">
        <f t="shared" si="115"/>
        <v/>
      </c>
      <c r="O399" s="47"/>
      <c r="P399" s="3" t="str">
        <f t="shared" si="116"/>
        <v/>
      </c>
      <c r="Q399" s="47"/>
      <c r="R399" s="3" t="str">
        <f t="shared" si="117"/>
        <v/>
      </c>
      <c r="S399" s="47"/>
      <c r="T399" s="1" t="str">
        <f t="shared" si="118"/>
        <v/>
      </c>
      <c r="U399" s="47"/>
      <c r="V399" s="1" t="str">
        <f t="shared" si="119"/>
        <v/>
      </c>
      <c r="W399" s="47"/>
      <c r="X399" s="1" t="str">
        <f t="shared" si="120"/>
        <v/>
      </c>
      <c r="Y399" s="47"/>
      <c r="Z399" s="1" t="str">
        <f t="shared" si="121"/>
        <v/>
      </c>
      <c r="AA399" s="47"/>
      <c r="AB399" s="1" t="str">
        <f t="shared" si="122"/>
        <v/>
      </c>
      <c r="AC399" s="47"/>
      <c r="AD399" s="1" t="str">
        <f t="shared" si="123"/>
        <v/>
      </c>
      <c r="AE399" s="47"/>
      <c r="AF399" s="1" t="str">
        <f t="shared" si="124"/>
        <v/>
      </c>
      <c r="AG399" s="47"/>
    </row>
    <row r="400" spans="1:33">
      <c r="A400">
        <f t="shared" si="108"/>
        <v>0</v>
      </c>
      <c r="B400" s="2" t="str">
        <f t="shared" si="125"/>
        <v/>
      </c>
      <c r="C400" s="4" t="str">
        <f t="shared" si="109"/>
        <v/>
      </c>
      <c r="D400" s="3" t="str">
        <f t="shared" si="110"/>
        <v/>
      </c>
      <c r="E400" s="47"/>
      <c r="F400" s="3" t="str">
        <f t="shared" si="111"/>
        <v/>
      </c>
      <c r="G400" s="47"/>
      <c r="H400" s="3" t="str">
        <f t="shared" si="112"/>
        <v/>
      </c>
      <c r="I400" s="47"/>
      <c r="J400" s="3" t="str">
        <f t="shared" si="113"/>
        <v/>
      </c>
      <c r="K400" s="47"/>
      <c r="L400" s="3" t="str">
        <f t="shared" si="114"/>
        <v/>
      </c>
      <c r="M400" s="47"/>
      <c r="N400" s="3" t="str">
        <f t="shared" si="115"/>
        <v/>
      </c>
      <c r="O400" s="47"/>
      <c r="P400" s="3" t="str">
        <f t="shared" si="116"/>
        <v/>
      </c>
      <c r="Q400" s="47"/>
      <c r="R400" s="3" t="str">
        <f t="shared" si="117"/>
        <v/>
      </c>
      <c r="S400" s="47"/>
      <c r="T400" s="1" t="str">
        <f t="shared" si="118"/>
        <v/>
      </c>
      <c r="U400" s="47"/>
      <c r="V400" s="1" t="str">
        <f t="shared" si="119"/>
        <v/>
      </c>
      <c r="W400" s="47"/>
      <c r="X400" s="1" t="str">
        <f t="shared" si="120"/>
        <v/>
      </c>
      <c r="Y400" s="47"/>
      <c r="Z400" s="1" t="str">
        <f t="shared" si="121"/>
        <v/>
      </c>
      <c r="AA400" s="47"/>
      <c r="AB400" s="1" t="str">
        <f t="shared" si="122"/>
        <v/>
      </c>
      <c r="AC400" s="47"/>
      <c r="AD400" s="1" t="str">
        <f t="shared" si="123"/>
        <v/>
      </c>
      <c r="AE400" s="47"/>
      <c r="AF400" s="1" t="str">
        <f t="shared" si="124"/>
        <v/>
      </c>
      <c r="AG400" s="47"/>
    </row>
    <row r="401" spans="1:33">
      <c r="A401">
        <f t="shared" si="108"/>
        <v>0</v>
      </c>
      <c r="B401" s="2" t="str">
        <f t="shared" si="125"/>
        <v/>
      </c>
      <c r="C401" s="4" t="str">
        <f t="shared" si="109"/>
        <v/>
      </c>
      <c r="D401" s="3" t="str">
        <f t="shared" si="110"/>
        <v/>
      </c>
      <c r="E401" s="47"/>
      <c r="F401" s="3" t="str">
        <f t="shared" si="111"/>
        <v/>
      </c>
      <c r="G401" s="47"/>
      <c r="H401" s="3" t="str">
        <f t="shared" si="112"/>
        <v/>
      </c>
      <c r="I401" s="47"/>
      <c r="J401" s="3" t="str">
        <f t="shared" si="113"/>
        <v/>
      </c>
      <c r="K401" s="47"/>
      <c r="L401" s="3" t="str">
        <f t="shared" si="114"/>
        <v/>
      </c>
      <c r="M401" s="47"/>
      <c r="N401" s="3" t="str">
        <f t="shared" si="115"/>
        <v/>
      </c>
      <c r="O401" s="47"/>
      <c r="P401" s="3" t="str">
        <f t="shared" si="116"/>
        <v/>
      </c>
      <c r="Q401" s="47"/>
      <c r="R401" s="3" t="str">
        <f t="shared" si="117"/>
        <v/>
      </c>
      <c r="S401" s="47"/>
      <c r="T401" s="1" t="str">
        <f t="shared" si="118"/>
        <v/>
      </c>
      <c r="U401" s="47"/>
      <c r="V401" s="1" t="str">
        <f t="shared" si="119"/>
        <v/>
      </c>
      <c r="W401" s="47"/>
      <c r="X401" s="1" t="str">
        <f t="shared" si="120"/>
        <v/>
      </c>
      <c r="Y401" s="47"/>
      <c r="Z401" s="1" t="str">
        <f t="shared" si="121"/>
        <v/>
      </c>
      <c r="AA401" s="47"/>
      <c r="AB401" s="1" t="str">
        <f t="shared" si="122"/>
        <v/>
      </c>
      <c r="AC401" s="47"/>
      <c r="AD401" s="1" t="str">
        <f t="shared" si="123"/>
        <v/>
      </c>
      <c r="AE401" s="47"/>
      <c r="AF401" s="1" t="str">
        <f t="shared" si="124"/>
        <v/>
      </c>
      <c r="AG401" s="47"/>
    </row>
    <row r="402" spans="1:33">
      <c r="A402">
        <f t="shared" si="108"/>
        <v>0</v>
      </c>
      <c r="B402" s="2" t="str">
        <f t="shared" si="125"/>
        <v/>
      </c>
      <c r="C402" s="4" t="str">
        <f t="shared" si="109"/>
        <v/>
      </c>
      <c r="D402" s="3" t="str">
        <f t="shared" si="110"/>
        <v/>
      </c>
      <c r="E402" s="47"/>
      <c r="F402" s="3" t="str">
        <f t="shared" si="111"/>
        <v/>
      </c>
      <c r="G402" s="47"/>
      <c r="H402" s="3" t="str">
        <f t="shared" si="112"/>
        <v/>
      </c>
      <c r="I402" s="47"/>
      <c r="J402" s="3" t="str">
        <f t="shared" si="113"/>
        <v/>
      </c>
      <c r="K402" s="47"/>
      <c r="L402" s="3" t="str">
        <f t="shared" si="114"/>
        <v/>
      </c>
      <c r="M402" s="47"/>
      <c r="N402" s="3" t="str">
        <f t="shared" si="115"/>
        <v/>
      </c>
      <c r="O402" s="47"/>
      <c r="P402" s="3" t="str">
        <f t="shared" si="116"/>
        <v/>
      </c>
      <c r="Q402" s="47"/>
      <c r="R402" s="3" t="str">
        <f t="shared" si="117"/>
        <v/>
      </c>
      <c r="S402" s="47"/>
      <c r="T402" s="1" t="str">
        <f t="shared" si="118"/>
        <v/>
      </c>
      <c r="U402" s="47"/>
      <c r="V402" s="1" t="str">
        <f t="shared" si="119"/>
        <v/>
      </c>
      <c r="W402" s="47"/>
      <c r="X402" s="1" t="str">
        <f t="shared" si="120"/>
        <v/>
      </c>
      <c r="Y402" s="47"/>
      <c r="Z402" s="1" t="str">
        <f t="shared" si="121"/>
        <v/>
      </c>
      <c r="AA402" s="47"/>
      <c r="AB402" s="1" t="str">
        <f t="shared" si="122"/>
        <v/>
      </c>
      <c r="AC402" s="47"/>
      <c r="AD402" s="1" t="str">
        <f t="shared" si="123"/>
        <v/>
      </c>
      <c r="AE402" s="47"/>
      <c r="AF402" s="1" t="str">
        <f t="shared" si="124"/>
        <v/>
      </c>
      <c r="AG402" s="47"/>
    </row>
    <row r="403" spans="1:33">
      <c r="A403">
        <f t="shared" si="108"/>
        <v>0</v>
      </c>
      <c r="B403" s="2" t="str">
        <f t="shared" si="125"/>
        <v/>
      </c>
      <c r="C403" s="4" t="str">
        <f t="shared" si="109"/>
        <v/>
      </c>
      <c r="D403" s="3" t="str">
        <f t="shared" si="110"/>
        <v/>
      </c>
      <c r="E403" s="47"/>
      <c r="F403" s="3" t="str">
        <f t="shared" si="111"/>
        <v/>
      </c>
      <c r="G403" s="47"/>
      <c r="H403" s="3" t="str">
        <f t="shared" si="112"/>
        <v/>
      </c>
      <c r="I403" s="47"/>
      <c r="J403" s="3" t="str">
        <f t="shared" si="113"/>
        <v/>
      </c>
      <c r="K403" s="47"/>
      <c r="L403" s="3" t="str">
        <f t="shared" si="114"/>
        <v/>
      </c>
      <c r="M403" s="47"/>
      <c r="N403" s="3" t="str">
        <f t="shared" si="115"/>
        <v/>
      </c>
      <c r="O403" s="47"/>
      <c r="P403" s="3" t="str">
        <f t="shared" si="116"/>
        <v/>
      </c>
      <c r="Q403" s="47"/>
      <c r="R403" s="3" t="str">
        <f t="shared" si="117"/>
        <v/>
      </c>
      <c r="S403" s="47"/>
      <c r="T403" s="1" t="str">
        <f t="shared" si="118"/>
        <v/>
      </c>
      <c r="U403" s="47"/>
      <c r="V403" s="1" t="str">
        <f t="shared" si="119"/>
        <v/>
      </c>
      <c r="W403" s="47"/>
      <c r="X403" s="1" t="str">
        <f t="shared" si="120"/>
        <v/>
      </c>
      <c r="Y403" s="47"/>
      <c r="Z403" s="1" t="str">
        <f t="shared" si="121"/>
        <v/>
      </c>
      <c r="AA403" s="47"/>
      <c r="AB403" s="1" t="str">
        <f t="shared" si="122"/>
        <v/>
      </c>
      <c r="AC403" s="47"/>
      <c r="AD403" s="1" t="str">
        <f t="shared" si="123"/>
        <v/>
      </c>
      <c r="AE403" s="47"/>
      <c r="AF403" s="1" t="str">
        <f t="shared" si="124"/>
        <v/>
      </c>
      <c r="AG403" s="47"/>
    </row>
    <row r="404" spans="1:33">
      <c r="A404">
        <f t="shared" si="108"/>
        <v>0</v>
      </c>
      <c r="B404" s="2" t="str">
        <f t="shared" si="125"/>
        <v/>
      </c>
      <c r="C404" s="4" t="str">
        <f t="shared" si="109"/>
        <v/>
      </c>
      <c r="D404" s="3" t="str">
        <f t="shared" si="110"/>
        <v/>
      </c>
      <c r="E404" s="47"/>
      <c r="F404" s="3" t="str">
        <f t="shared" si="111"/>
        <v/>
      </c>
      <c r="G404" s="47"/>
      <c r="H404" s="3" t="str">
        <f t="shared" si="112"/>
        <v/>
      </c>
      <c r="I404" s="47"/>
      <c r="J404" s="3" t="str">
        <f t="shared" si="113"/>
        <v/>
      </c>
      <c r="K404" s="47"/>
      <c r="L404" s="3" t="str">
        <f t="shared" si="114"/>
        <v/>
      </c>
      <c r="M404" s="47"/>
      <c r="N404" s="3" t="str">
        <f t="shared" si="115"/>
        <v/>
      </c>
      <c r="O404" s="47"/>
      <c r="P404" s="3" t="str">
        <f t="shared" si="116"/>
        <v/>
      </c>
      <c r="Q404" s="47"/>
      <c r="R404" s="3" t="str">
        <f t="shared" si="117"/>
        <v/>
      </c>
      <c r="S404" s="47"/>
      <c r="T404" s="1" t="str">
        <f t="shared" si="118"/>
        <v/>
      </c>
      <c r="U404" s="47"/>
      <c r="V404" s="1" t="str">
        <f t="shared" si="119"/>
        <v/>
      </c>
      <c r="W404" s="47"/>
      <c r="X404" s="1" t="str">
        <f t="shared" si="120"/>
        <v/>
      </c>
      <c r="Y404" s="47"/>
      <c r="Z404" s="1" t="str">
        <f t="shared" si="121"/>
        <v/>
      </c>
      <c r="AA404" s="47"/>
      <c r="AB404" s="1" t="str">
        <f t="shared" si="122"/>
        <v/>
      </c>
      <c r="AC404" s="47"/>
      <c r="AD404" s="1" t="str">
        <f t="shared" si="123"/>
        <v/>
      </c>
      <c r="AE404" s="47"/>
      <c r="AF404" s="1" t="str">
        <f t="shared" si="124"/>
        <v/>
      </c>
      <c r="AG404" s="47"/>
    </row>
    <row r="405" spans="1:33">
      <c r="A405">
        <f t="shared" si="108"/>
        <v>0</v>
      </c>
      <c r="B405" s="2" t="str">
        <f t="shared" si="125"/>
        <v/>
      </c>
      <c r="C405" s="4" t="str">
        <f t="shared" si="109"/>
        <v/>
      </c>
      <c r="D405" s="3" t="str">
        <f t="shared" si="110"/>
        <v/>
      </c>
      <c r="E405" s="47"/>
      <c r="F405" s="3" t="str">
        <f t="shared" si="111"/>
        <v/>
      </c>
      <c r="G405" s="47"/>
      <c r="H405" s="3" t="str">
        <f t="shared" si="112"/>
        <v/>
      </c>
      <c r="I405" s="47"/>
      <c r="J405" s="3" t="str">
        <f t="shared" si="113"/>
        <v/>
      </c>
      <c r="K405" s="47"/>
      <c r="L405" s="3" t="str">
        <f t="shared" si="114"/>
        <v/>
      </c>
      <c r="M405" s="47"/>
      <c r="N405" s="3" t="str">
        <f t="shared" si="115"/>
        <v/>
      </c>
      <c r="O405" s="47"/>
      <c r="P405" s="3" t="str">
        <f t="shared" si="116"/>
        <v/>
      </c>
      <c r="Q405" s="47"/>
      <c r="R405" s="3" t="str">
        <f t="shared" si="117"/>
        <v/>
      </c>
      <c r="S405" s="47"/>
      <c r="T405" s="1" t="str">
        <f t="shared" si="118"/>
        <v/>
      </c>
      <c r="U405" s="47"/>
      <c r="V405" s="1" t="str">
        <f t="shared" si="119"/>
        <v/>
      </c>
      <c r="W405" s="47"/>
      <c r="X405" s="1" t="str">
        <f t="shared" si="120"/>
        <v/>
      </c>
      <c r="Y405" s="47"/>
      <c r="Z405" s="1" t="str">
        <f t="shared" si="121"/>
        <v/>
      </c>
      <c r="AA405" s="47"/>
      <c r="AB405" s="1" t="str">
        <f t="shared" si="122"/>
        <v/>
      </c>
      <c r="AC405" s="47"/>
      <c r="AD405" s="1" t="str">
        <f t="shared" si="123"/>
        <v/>
      </c>
      <c r="AE405" s="47"/>
      <c r="AF405" s="1" t="str">
        <f t="shared" si="124"/>
        <v/>
      </c>
      <c r="AG405" s="47"/>
    </row>
    <row r="406" spans="1:33">
      <c r="A406">
        <f t="shared" si="108"/>
        <v>0</v>
      </c>
      <c r="B406" s="2" t="str">
        <f t="shared" si="125"/>
        <v/>
      </c>
      <c r="C406" s="4" t="str">
        <f t="shared" si="109"/>
        <v/>
      </c>
      <c r="D406" s="3" t="str">
        <f t="shared" si="110"/>
        <v/>
      </c>
      <c r="E406" s="47"/>
      <c r="F406" s="3" t="str">
        <f t="shared" si="111"/>
        <v/>
      </c>
      <c r="G406" s="47"/>
      <c r="H406" s="3" t="str">
        <f t="shared" si="112"/>
        <v/>
      </c>
      <c r="I406" s="47"/>
      <c r="J406" s="3" t="str">
        <f t="shared" si="113"/>
        <v/>
      </c>
      <c r="K406" s="47"/>
      <c r="L406" s="3" t="str">
        <f t="shared" si="114"/>
        <v/>
      </c>
      <c r="M406" s="47"/>
      <c r="N406" s="3" t="str">
        <f t="shared" si="115"/>
        <v/>
      </c>
      <c r="O406" s="47"/>
      <c r="P406" s="3" t="str">
        <f t="shared" si="116"/>
        <v/>
      </c>
      <c r="Q406" s="47"/>
      <c r="R406" s="3" t="str">
        <f t="shared" si="117"/>
        <v/>
      </c>
      <c r="S406" s="47"/>
      <c r="T406" s="1" t="str">
        <f t="shared" si="118"/>
        <v/>
      </c>
      <c r="U406" s="47"/>
      <c r="V406" s="1" t="str">
        <f t="shared" si="119"/>
        <v/>
      </c>
      <c r="W406" s="47"/>
      <c r="X406" s="1" t="str">
        <f t="shared" si="120"/>
        <v/>
      </c>
      <c r="Y406" s="47"/>
      <c r="Z406" s="1" t="str">
        <f t="shared" si="121"/>
        <v/>
      </c>
      <c r="AA406" s="47"/>
      <c r="AB406" s="1" t="str">
        <f t="shared" si="122"/>
        <v/>
      </c>
      <c r="AC406" s="47"/>
      <c r="AD406" s="1" t="str">
        <f t="shared" si="123"/>
        <v/>
      </c>
      <c r="AE406" s="47"/>
      <c r="AF406" s="1" t="str">
        <f t="shared" si="124"/>
        <v/>
      </c>
      <c r="AG406" s="47"/>
    </row>
    <row r="407" spans="1:33">
      <c r="A407">
        <f t="shared" si="108"/>
        <v>0</v>
      </c>
      <c r="B407" s="2" t="str">
        <f t="shared" si="125"/>
        <v/>
      </c>
      <c r="C407" s="4" t="str">
        <f t="shared" si="109"/>
        <v/>
      </c>
      <c r="D407" s="3" t="str">
        <f t="shared" si="110"/>
        <v/>
      </c>
      <c r="E407" s="47"/>
      <c r="F407" s="3" t="str">
        <f t="shared" si="111"/>
        <v/>
      </c>
      <c r="G407" s="47"/>
      <c r="H407" s="3" t="str">
        <f t="shared" si="112"/>
        <v/>
      </c>
      <c r="I407" s="47"/>
      <c r="J407" s="3" t="str">
        <f t="shared" si="113"/>
        <v/>
      </c>
      <c r="K407" s="47"/>
      <c r="L407" s="3" t="str">
        <f t="shared" si="114"/>
        <v/>
      </c>
      <c r="M407" s="47"/>
      <c r="N407" s="3" t="str">
        <f t="shared" si="115"/>
        <v/>
      </c>
      <c r="O407" s="47"/>
      <c r="P407" s="3" t="str">
        <f t="shared" si="116"/>
        <v/>
      </c>
      <c r="Q407" s="47"/>
      <c r="R407" s="3" t="str">
        <f t="shared" si="117"/>
        <v/>
      </c>
      <c r="S407" s="47"/>
      <c r="T407" s="1" t="str">
        <f t="shared" si="118"/>
        <v/>
      </c>
      <c r="U407" s="47"/>
      <c r="V407" s="1" t="str">
        <f t="shared" si="119"/>
        <v/>
      </c>
      <c r="W407" s="47"/>
      <c r="X407" s="1" t="str">
        <f t="shared" si="120"/>
        <v/>
      </c>
      <c r="Y407" s="47"/>
      <c r="Z407" s="1" t="str">
        <f t="shared" si="121"/>
        <v/>
      </c>
      <c r="AA407" s="47"/>
      <c r="AB407" s="1" t="str">
        <f t="shared" si="122"/>
        <v/>
      </c>
      <c r="AC407" s="47"/>
      <c r="AD407" s="1" t="str">
        <f t="shared" si="123"/>
        <v/>
      </c>
      <c r="AE407" s="47"/>
      <c r="AF407" s="1" t="str">
        <f t="shared" si="124"/>
        <v/>
      </c>
      <c r="AG407" s="47"/>
    </row>
    <row r="408" spans="1:33">
      <c r="A408">
        <f t="shared" si="108"/>
        <v>0</v>
      </c>
      <c r="B408" s="2" t="str">
        <f t="shared" si="125"/>
        <v/>
      </c>
      <c r="C408" s="4" t="str">
        <f t="shared" si="109"/>
        <v/>
      </c>
      <c r="D408" s="3" t="str">
        <f t="shared" si="110"/>
        <v/>
      </c>
      <c r="E408" s="47"/>
      <c r="F408" s="3" t="str">
        <f t="shared" si="111"/>
        <v/>
      </c>
      <c r="G408" s="47"/>
      <c r="H408" s="3" t="str">
        <f t="shared" si="112"/>
        <v/>
      </c>
      <c r="I408" s="47"/>
      <c r="J408" s="3" t="str">
        <f t="shared" si="113"/>
        <v/>
      </c>
      <c r="K408" s="47"/>
      <c r="L408" s="3" t="str">
        <f t="shared" si="114"/>
        <v/>
      </c>
      <c r="M408" s="47"/>
      <c r="N408" s="3" t="str">
        <f t="shared" si="115"/>
        <v/>
      </c>
      <c r="O408" s="47"/>
      <c r="P408" s="3" t="str">
        <f t="shared" si="116"/>
        <v/>
      </c>
      <c r="Q408" s="47"/>
      <c r="R408" s="3" t="str">
        <f t="shared" si="117"/>
        <v/>
      </c>
      <c r="S408" s="47"/>
      <c r="T408" s="1" t="str">
        <f t="shared" si="118"/>
        <v/>
      </c>
      <c r="U408" s="47"/>
      <c r="V408" s="1" t="str">
        <f t="shared" si="119"/>
        <v/>
      </c>
      <c r="W408" s="47"/>
      <c r="X408" s="1" t="str">
        <f t="shared" si="120"/>
        <v/>
      </c>
      <c r="Y408" s="47"/>
      <c r="Z408" s="1" t="str">
        <f t="shared" si="121"/>
        <v/>
      </c>
      <c r="AA408" s="47"/>
      <c r="AB408" s="1" t="str">
        <f t="shared" si="122"/>
        <v/>
      </c>
      <c r="AC408" s="47"/>
      <c r="AD408" s="1" t="str">
        <f t="shared" si="123"/>
        <v/>
      </c>
      <c r="AE408" s="47"/>
      <c r="AF408" s="1" t="str">
        <f t="shared" si="124"/>
        <v/>
      </c>
      <c r="AG408" s="47"/>
    </row>
    <row r="409" spans="1:33">
      <c r="A409">
        <f t="shared" si="108"/>
        <v>0</v>
      </c>
      <c r="B409" s="2" t="str">
        <f t="shared" si="125"/>
        <v/>
      </c>
      <c r="C409" s="4" t="str">
        <f t="shared" si="109"/>
        <v/>
      </c>
      <c r="D409" s="3" t="str">
        <f t="shared" si="110"/>
        <v/>
      </c>
      <c r="E409" s="47"/>
      <c r="F409" s="3" t="str">
        <f t="shared" si="111"/>
        <v/>
      </c>
      <c r="G409" s="47"/>
      <c r="H409" s="3" t="str">
        <f t="shared" si="112"/>
        <v/>
      </c>
      <c r="I409" s="47"/>
      <c r="J409" s="3" t="str">
        <f t="shared" si="113"/>
        <v/>
      </c>
      <c r="K409" s="47"/>
      <c r="L409" s="3" t="str">
        <f t="shared" si="114"/>
        <v/>
      </c>
      <c r="M409" s="47"/>
      <c r="N409" s="3" t="str">
        <f t="shared" si="115"/>
        <v/>
      </c>
      <c r="O409" s="47"/>
      <c r="P409" s="3" t="str">
        <f t="shared" si="116"/>
        <v/>
      </c>
      <c r="Q409" s="47"/>
      <c r="R409" s="3" t="str">
        <f t="shared" si="117"/>
        <v/>
      </c>
      <c r="S409" s="47"/>
      <c r="T409" s="1" t="str">
        <f t="shared" si="118"/>
        <v/>
      </c>
      <c r="U409" s="47"/>
      <c r="V409" s="1" t="str">
        <f t="shared" si="119"/>
        <v/>
      </c>
      <c r="W409" s="47"/>
      <c r="X409" s="1" t="str">
        <f t="shared" si="120"/>
        <v/>
      </c>
      <c r="Y409" s="47"/>
      <c r="Z409" s="1" t="str">
        <f t="shared" si="121"/>
        <v/>
      </c>
      <c r="AA409" s="47"/>
      <c r="AB409" s="1" t="str">
        <f t="shared" si="122"/>
        <v/>
      </c>
      <c r="AC409" s="47"/>
      <c r="AD409" s="1" t="str">
        <f t="shared" si="123"/>
        <v/>
      </c>
      <c r="AE409" s="47"/>
      <c r="AF409" s="1" t="str">
        <f t="shared" si="124"/>
        <v/>
      </c>
      <c r="AG409" s="47"/>
    </row>
    <row r="410" spans="1:33">
      <c r="A410">
        <f t="shared" si="108"/>
        <v>0</v>
      </c>
      <c r="B410" s="2" t="str">
        <f t="shared" si="125"/>
        <v/>
      </c>
      <c r="C410" s="4" t="str">
        <f t="shared" si="109"/>
        <v/>
      </c>
      <c r="D410" s="3" t="str">
        <f t="shared" si="110"/>
        <v/>
      </c>
      <c r="E410" s="47"/>
      <c r="F410" s="3" t="str">
        <f t="shared" si="111"/>
        <v/>
      </c>
      <c r="G410" s="47"/>
      <c r="H410" s="3" t="str">
        <f t="shared" si="112"/>
        <v/>
      </c>
      <c r="I410" s="47"/>
      <c r="J410" s="3" t="str">
        <f t="shared" si="113"/>
        <v/>
      </c>
      <c r="K410" s="47"/>
      <c r="L410" s="3" t="str">
        <f t="shared" si="114"/>
        <v/>
      </c>
      <c r="M410" s="47"/>
      <c r="N410" s="3" t="str">
        <f t="shared" si="115"/>
        <v/>
      </c>
      <c r="O410" s="47"/>
      <c r="P410" s="3" t="str">
        <f t="shared" si="116"/>
        <v/>
      </c>
      <c r="Q410" s="47"/>
      <c r="R410" s="3" t="str">
        <f t="shared" si="117"/>
        <v/>
      </c>
      <c r="S410" s="47"/>
      <c r="T410" s="1" t="str">
        <f t="shared" si="118"/>
        <v/>
      </c>
      <c r="U410" s="47"/>
      <c r="V410" s="1" t="str">
        <f t="shared" si="119"/>
        <v/>
      </c>
      <c r="W410" s="47"/>
      <c r="X410" s="1" t="str">
        <f t="shared" si="120"/>
        <v/>
      </c>
      <c r="Y410" s="47"/>
      <c r="Z410" s="1" t="str">
        <f t="shared" si="121"/>
        <v/>
      </c>
      <c r="AA410" s="47"/>
      <c r="AB410" s="1" t="str">
        <f t="shared" si="122"/>
        <v/>
      </c>
      <c r="AC410" s="47"/>
      <c r="AD410" s="1" t="str">
        <f t="shared" si="123"/>
        <v/>
      </c>
      <c r="AE410" s="47"/>
      <c r="AF410" s="1" t="str">
        <f t="shared" si="124"/>
        <v/>
      </c>
      <c r="AG410" s="47"/>
    </row>
    <row r="411" spans="1:33">
      <c r="A411">
        <f t="shared" si="108"/>
        <v>0</v>
      </c>
      <c r="B411" s="2" t="str">
        <f t="shared" si="125"/>
        <v/>
      </c>
      <c r="C411" s="4" t="str">
        <f t="shared" si="109"/>
        <v/>
      </c>
      <c r="D411" s="3" t="str">
        <f t="shared" si="110"/>
        <v/>
      </c>
      <c r="E411" s="47"/>
      <c r="F411" s="3" t="str">
        <f t="shared" si="111"/>
        <v/>
      </c>
      <c r="G411" s="47"/>
      <c r="H411" s="3" t="str">
        <f t="shared" si="112"/>
        <v/>
      </c>
      <c r="I411" s="47"/>
      <c r="J411" s="3" t="str">
        <f t="shared" si="113"/>
        <v/>
      </c>
      <c r="K411" s="47"/>
      <c r="L411" s="3" t="str">
        <f t="shared" si="114"/>
        <v/>
      </c>
      <c r="M411" s="47"/>
      <c r="N411" s="3" t="str">
        <f t="shared" si="115"/>
        <v/>
      </c>
      <c r="O411" s="47"/>
      <c r="P411" s="3" t="str">
        <f t="shared" si="116"/>
        <v/>
      </c>
      <c r="Q411" s="47"/>
      <c r="R411" s="3" t="str">
        <f t="shared" si="117"/>
        <v/>
      </c>
      <c r="S411" s="47"/>
      <c r="T411" s="1" t="str">
        <f t="shared" si="118"/>
        <v/>
      </c>
      <c r="U411" s="47"/>
      <c r="V411" s="1" t="str">
        <f t="shared" si="119"/>
        <v/>
      </c>
      <c r="W411" s="47"/>
      <c r="X411" s="1" t="str">
        <f t="shared" si="120"/>
        <v/>
      </c>
      <c r="Y411" s="47"/>
      <c r="Z411" s="1" t="str">
        <f t="shared" si="121"/>
        <v/>
      </c>
      <c r="AA411" s="47"/>
      <c r="AB411" s="1" t="str">
        <f t="shared" si="122"/>
        <v/>
      </c>
      <c r="AC411" s="47"/>
      <c r="AD411" s="1" t="str">
        <f t="shared" si="123"/>
        <v/>
      </c>
      <c r="AE411" s="47"/>
      <c r="AF411" s="1" t="str">
        <f t="shared" si="124"/>
        <v/>
      </c>
      <c r="AG411" s="47"/>
    </row>
    <row r="412" spans="1:33">
      <c r="A412">
        <f t="shared" si="108"/>
        <v>0</v>
      </c>
      <c r="B412" s="2" t="str">
        <f t="shared" si="125"/>
        <v/>
      </c>
      <c r="C412" s="4" t="str">
        <f t="shared" si="109"/>
        <v/>
      </c>
      <c r="D412" s="3" t="str">
        <f t="shared" si="110"/>
        <v/>
      </c>
      <c r="E412" s="47"/>
      <c r="F412" s="3" t="str">
        <f t="shared" si="111"/>
        <v/>
      </c>
      <c r="G412" s="47"/>
      <c r="H412" s="3" t="str">
        <f t="shared" si="112"/>
        <v/>
      </c>
      <c r="I412" s="47"/>
      <c r="J412" s="3" t="str">
        <f t="shared" si="113"/>
        <v/>
      </c>
      <c r="K412" s="47"/>
      <c r="L412" s="3" t="str">
        <f t="shared" si="114"/>
        <v/>
      </c>
      <c r="M412" s="47"/>
      <c r="N412" s="3" t="str">
        <f t="shared" si="115"/>
        <v/>
      </c>
      <c r="O412" s="47"/>
      <c r="P412" s="3" t="str">
        <f t="shared" si="116"/>
        <v/>
      </c>
      <c r="Q412" s="47"/>
      <c r="R412" s="3" t="str">
        <f t="shared" si="117"/>
        <v/>
      </c>
      <c r="S412" s="47"/>
      <c r="T412" s="1" t="str">
        <f t="shared" si="118"/>
        <v/>
      </c>
      <c r="U412" s="47"/>
      <c r="V412" s="1" t="str">
        <f t="shared" si="119"/>
        <v/>
      </c>
      <c r="W412" s="47"/>
      <c r="X412" s="1" t="str">
        <f t="shared" si="120"/>
        <v/>
      </c>
      <c r="Y412" s="47"/>
      <c r="Z412" s="1" t="str">
        <f t="shared" si="121"/>
        <v/>
      </c>
      <c r="AA412" s="47"/>
      <c r="AB412" s="1" t="str">
        <f t="shared" si="122"/>
        <v/>
      </c>
      <c r="AC412" s="47"/>
      <c r="AD412" s="1" t="str">
        <f t="shared" si="123"/>
        <v/>
      </c>
      <c r="AE412" s="47"/>
      <c r="AF412" s="1" t="str">
        <f t="shared" si="124"/>
        <v/>
      </c>
      <c r="AG412" s="47"/>
    </row>
    <row r="413" spans="1:33">
      <c r="A413">
        <f t="shared" si="108"/>
        <v>0</v>
      </c>
      <c r="B413" s="2" t="str">
        <f t="shared" si="125"/>
        <v/>
      </c>
      <c r="C413" s="4" t="str">
        <f t="shared" si="109"/>
        <v/>
      </c>
      <c r="D413" s="3" t="str">
        <f t="shared" si="110"/>
        <v/>
      </c>
      <c r="E413" s="47"/>
      <c r="F413" s="3" t="str">
        <f t="shared" si="111"/>
        <v/>
      </c>
      <c r="G413" s="47"/>
      <c r="H413" s="3" t="str">
        <f t="shared" si="112"/>
        <v/>
      </c>
      <c r="I413" s="47"/>
      <c r="J413" s="3" t="str">
        <f t="shared" si="113"/>
        <v/>
      </c>
      <c r="K413" s="47"/>
      <c r="L413" s="3" t="str">
        <f t="shared" si="114"/>
        <v/>
      </c>
      <c r="M413" s="47"/>
      <c r="N413" s="3" t="str">
        <f t="shared" si="115"/>
        <v/>
      </c>
      <c r="O413" s="47"/>
      <c r="P413" s="3" t="str">
        <f t="shared" si="116"/>
        <v/>
      </c>
      <c r="Q413" s="47"/>
      <c r="R413" s="3" t="str">
        <f t="shared" si="117"/>
        <v/>
      </c>
      <c r="S413" s="47"/>
      <c r="T413" s="1" t="str">
        <f t="shared" si="118"/>
        <v/>
      </c>
      <c r="U413" s="47"/>
      <c r="V413" s="1" t="str">
        <f t="shared" si="119"/>
        <v/>
      </c>
      <c r="W413" s="47"/>
      <c r="X413" s="1" t="str">
        <f t="shared" si="120"/>
        <v/>
      </c>
      <c r="Y413" s="47"/>
      <c r="Z413" s="1" t="str">
        <f t="shared" si="121"/>
        <v/>
      </c>
      <c r="AA413" s="47"/>
      <c r="AB413" s="1" t="str">
        <f t="shared" si="122"/>
        <v/>
      </c>
      <c r="AC413" s="47"/>
      <c r="AD413" s="1" t="str">
        <f t="shared" si="123"/>
        <v/>
      </c>
      <c r="AE413" s="47"/>
      <c r="AF413" s="1" t="str">
        <f t="shared" si="124"/>
        <v/>
      </c>
      <c r="AG413" s="47"/>
    </row>
    <row r="414" spans="1:33">
      <c r="A414">
        <f t="shared" si="108"/>
        <v>0</v>
      </c>
      <c r="B414" s="2" t="str">
        <f t="shared" si="125"/>
        <v/>
      </c>
      <c r="C414" s="4" t="str">
        <f t="shared" si="109"/>
        <v/>
      </c>
      <c r="D414" s="3" t="str">
        <f t="shared" si="110"/>
        <v/>
      </c>
      <c r="E414" s="47"/>
      <c r="F414" s="3" t="str">
        <f t="shared" si="111"/>
        <v/>
      </c>
      <c r="G414" s="47"/>
      <c r="H414" s="3" t="str">
        <f t="shared" si="112"/>
        <v/>
      </c>
      <c r="I414" s="47"/>
      <c r="J414" s="3" t="str">
        <f t="shared" si="113"/>
        <v/>
      </c>
      <c r="K414" s="47"/>
      <c r="L414" s="3" t="str">
        <f t="shared" si="114"/>
        <v/>
      </c>
      <c r="M414" s="47"/>
      <c r="N414" s="3" t="str">
        <f t="shared" si="115"/>
        <v/>
      </c>
      <c r="O414" s="47"/>
      <c r="P414" s="3" t="str">
        <f t="shared" si="116"/>
        <v/>
      </c>
      <c r="Q414" s="47"/>
      <c r="R414" s="3" t="str">
        <f t="shared" si="117"/>
        <v/>
      </c>
      <c r="S414" s="47"/>
      <c r="T414" s="1" t="str">
        <f t="shared" si="118"/>
        <v/>
      </c>
      <c r="U414" s="47"/>
      <c r="V414" s="1" t="str">
        <f t="shared" si="119"/>
        <v/>
      </c>
      <c r="W414" s="47"/>
      <c r="X414" s="1" t="str">
        <f t="shared" si="120"/>
        <v/>
      </c>
      <c r="Y414" s="47"/>
      <c r="Z414" s="1" t="str">
        <f t="shared" si="121"/>
        <v/>
      </c>
      <c r="AA414" s="47"/>
      <c r="AB414" s="1" t="str">
        <f t="shared" si="122"/>
        <v/>
      </c>
      <c r="AC414" s="47"/>
      <c r="AD414" s="1" t="str">
        <f t="shared" si="123"/>
        <v/>
      </c>
      <c r="AE414" s="47"/>
      <c r="AF414" s="1" t="str">
        <f t="shared" si="124"/>
        <v/>
      </c>
      <c r="AG414" s="47"/>
    </row>
    <row r="415" spans="1:33">
      <c r="A415">
        <f t="shared" si="108"/>
        <v>0</v>
      </c>
      <c r="B415" s="2" t="str">
        <f t="shared" si="125"/>
        <v/>
      </c>
      <c r="C415" s="4" t="str">
        <f t="shared" si="109"/>
        <v/>
      </c>
      <c r="D415" s="3" t="str">
        <f t="shared" si="110"/>
        <v/>
      </c>
      <c r="E415" s="47"/>
      <c r="F415" s="3" t="str">
        <f t="shared" si="111"/>
        <v/>
      </c>
      <c r="G415" s="47"/>
      <c r="H415" s="3" t="str">
        <f t="shared" si="112"/>
        <v/>
      </c>
      <c r="I415" s="47"/>
      <c r="J415" s="3" t="str">
        <f t="shared" si="113"/>
        <v/>
      </c>
      <c r="K415" s="47"/>
      <c r="L415" s="3" t="str">
        <f t="shared" si="114"/>
        <v/>
      </c>
      <c r="M415" s="47"/>
      <c r="N415" s="3" t="str">
        <f t="shared" si="115"/>
        <v/>
      </c>
      <c r="O415" s="47"/>
      <c r="P415" s="3" t="str">
        <f t="shared" si="116"/>
        <v/>
      </c>
      <c r="Q415" s="47"/>
      <c r="R415" s="3" t="str">
        <f t="shared" si="117"/>
        <v/>
      </c>
      <c r="S415" s="47"/>
      <c r="T415" s="1" t="str">
        <f t="shared" si="118"/>
        <v/>
      </c>
      <c r="U415" s="47"/>
      <c r="V415" s="1" t="str">
        <f t="shared" si="119"/>
        <v/>
      </c>
      <c r="W415" s="47"/>
      <c r="X415" s="1" t="str">
        <f t="shared" si="120"/>
        <v/>
      </c>
      <c r="Y415" s="47"/>
      <c r="Z415" s="1" t="str">
        <f t="shared" si="121"/>
        <v/>
      </c>
      <c r="AA415" s="47"/>
      <c r="AB415" s="1" t="str">
        <f t="shared" si="122"/>
        <v/>
      </c>
      <c r="AC415" s="47"/>
      <c r="AD415" s="1" t="str">
        <f t="shared" si="123"/>
        <v/>
      </c>
      <c r="AE415" s="47"/>
      <c r="AF415" s="1" t="str">
        <f t="shared" si="124"/>
        <v/>
      </c>
      <c r="AG415" s="47"/>
    </row>
    <row r="416" spans="1:33">
      <c r="A416">
        <f t="shared" si="108"/>
        <v>0</v>
      </c>
      <c r="B416" s="2" t="str">
        <f t="shared" si="125"/>
        <v/>
      </c>
      <c r="C416" s="4" t="str">
        <f t="shared" si="109"/>
        <v/>
      </c>
      <c r="D416" s="3" t="str">
        <f t="shared" si="110"/>
        <v/>
      </c>
      <c r="E416" s="47"/>
      <c r="F416" s="3" t="str">
        <f t="shared" si="111"/>
        <v/>
      </c>
      <c r="G416" s="47"/>
      <c r="H416" s="3" t="str">
        <f t="shared" si="112"/>
        <v/>
      </c>
      <c r="I416" s="47"/>
      <c r="J416" s="3" t="str">
        <f t="shared" si="113"/>
        <v/>
      </c>
      <c r="K416" s="47"/>
      <c r="L416" s="3" t="str">
        <f t="shared" si="114"/>
        <v/>
      </c>
      <c r="M416" s="47"/>
      <c r="N416" s="3" t="str">
        <f t="shared" si="115"/>
        <v/>
      </c>
      <c r="O416" s="47"/>
      <c r="P416" s="3" t="str">
        <f t="shared" si="116"/>
        <v/>
      </c>
      <c r="Q416" s="47"/>
      <c r="R416" s="3" t="str">
        <f t="shared" si="117"/>
        <v/>
      </c>
      <c r="S416" s="47"/>
      <c r="T416" s="1" t="str">
        <f t="shared" si="118"/>
        <v/>
      </c>
      <c r="U416" s="47"/>
      <c r="V416" s="1" t="str">
        <f t="shared" si="119"/>
        <v/>
      </c>
      <c r="W416" s="47"/>
      <c r="X416" s="1" t="str">
        <f t="shared" si="120"/>
        <v/>
      </c>
      <c r="Y416" s="47"/>
      <c r="Z416" s="1" t="str">
        <f t="shared" si="121"/>
        <v/>
      </c>
      <c r="AA416" s="47"/>
      <c r="AB416" s="1" t="str">
        <f t="shared" si="122"/>
        <v/>
      </c>
      <c r="AC416" s="47"/>
      <c r="AD416" s="1" t="str">
        <f t="shared" si="123"/>
        <v/>
      </c>
      <c r="AE416" s="47"/>
      <c r="AF416" s="1" t="str">
        <f t="shared" si="124"/>
        <v/>
      </c>
      <c r="AG416" s="47"/>
    </row>
    <row r="417" spans="1:33">
      <c r="A417">
        <f t="shared" si="108"/>
        <v>0</v>
      </c>
      <c r="B417" s="2" t="str">
        <f t="shared" si="125"/>
        <v/>
      </c>
      <c r="C417" s="4" t="str">
        <f t="shared" si="109"/>
        <v/>
      </c>
      <c r="D417" s="3" t="str">
        <f t="shared" si="110"/>
        <v/>
      </c>
      <c r="E417" s="47"/>
      <c r="F417" s="3" t="str">
        <f t="shared" si="111"/>
        <v/>
      </c>
      <c r="G417" s="47"/>
      <c r="H417" s="3" t="str">
        <f t="shared" si="112"/>
        <v/>
      </c>
      <c r="I417" s="47"/>
      <c r="J417" s="3" t="str">
        <f t="shared" si="113"/>
        <v/>
      </c>
      <c r="K417" s="47"/>
      <c r="L417" s="3" t="str">
        <f t="shared" si="114"/>
        <v/>
      </c>
      <c r="M417" s="47"/>
      <c r="N417" s="3" t="str">
        <f t="shared" si="115"/>
        <v/>
      </c>
      <c r="O417" s="47"/>
      <c r="P417" s="3" t="str">
        <f t="shared" si="116"/>
        <v/>
      </c>
      <c r="Q417" s="47"/>
      <c r="R417" s="3" t="str">
        <f t="shared" si="117"/>
        <v/>
      </c>
      <c r="S417" s="47"/>
      <c r="T417" s="1" t="str">
        <f t="shared" si="118"/>
        <v/>
      </c>
      <c r="U417" s="47"/>
      <c r="V417" s="1" t="str">
        <f t="shared" si="119"/>
        <v/>
      </c>
      <c r="W417" s="47"/>
      <c r="X417" s="1" t="str">
        <f t="shared" si="120"/>
        <v/>
      </c>
      <c r="Y417" s="47"/>
      <c r="Z417" s="1" t="str">
        <f t="shared" si="121"/>
        <v/>
      </c>
      <c r="AA417" s="47"/>
      <c r="AB417" s="1" t="str">
        <f t="shared" si="122"/>
        <v/>
      </c>
      <c r="AC417" s="47"/>
      <c r="AD417" s="1" t="str">
        <f t="shared" si="123"/>
        <v/>
      </c>
      <c r="AE417" s="47"/>
      <c r="AF417" s="1" t="str">
        <f t="shared" si="124"/>
        <v/>
      </c>
      <c r="AG417" s="47"/>
    </row>
    <row r="418" spans="1:33">
      <c r="A418">
        <f t="shared" si="108"/>
        <v>0</v>
      </c>
      <c r="B418" s="2" t="str">
        <f t="shared" si="125"/>
        <v/>
      </c>
      <c r="C418" s="4" t="str">
        <f t="shared" si="109"/>
        <v/>
      </c>
      <c r="D418" s="3" t="str">
        <f t="shared" si="110"/>
        <v/>
      </c>
      <c r="E418" s="47"/>
      <c r="F418" s="3" t="str">
        <f t="shared" si="111"/>
        <v/>
      </c>
      <c r="G418" s="47"/>
      <c r="H418" s="3" t="str">
        <f t="shared" si="112"/>
        <v/>
      </c>
      <c r="I418" s="47"/>
      <c r="J418" s="3" t="str">
        <f t="shared" si="113"/>
        <v/>
      </c>
      <c r="K418" s="47"/>
      <c r="L418" s="3" t="str">
        <f t="shared" si="114"/>
        <v/>
      </c>
      <c r="M418" s="47"/>
      <c r="N418" s="3" t="str">
        <f t="shared" si="115"/>
        <v/>
      </c>
      <c r="O418" s="47"/>
      <c r="P418" s="3" t="str">
        <f t="shared" si="116"/>
        <v/>
      </c>
      <c r="Q418" s="47"/>
      <c r="R418" s="3" t="str">
        <f t="shared" si="117"/>
        <v/>
      </c>
      <c r="S418" s="47"/>
      <c r="T418" s="1" t="str">
        <f t="shared" si="118"/>
        <v/>
      </c>
      <c r="U418" s="47"/>
      <c r="V418" s="1" t="str">
        <f t="shared" si="119"/>
        <v/>
      </c>
      <c r="W418" s="47"/>
      <c r="X418" s="1" t="str">
        <f t="shared" si="120"/>
        <v/>
      </c>
      <c r="Y418" s="47"/>
      <c r="Z418" s="1" t="str">
        <f t="shared" si="121"/>
        <v/>
      </c>
      <c r="AA418" s="47"/>
      <c r="AB418" s="1" t="str">
        <f t="shared" si="122"/>
        <v/>
      </c>
      <c r="AC418" s="47"/>
      <c r="AD418" s="1" t="str">
        <f t="shared" si="123"/>
        <v/>
      </c>
      <c r="AE418" s="47"/>
      <c r="AF418" s="1" t="str">
        <f t="shared" si="124"/>
        <v/>
      </c>
      <c r="AG418" s="47"/>
    </row>
    <row r="419" spans="1:33">
      <c r="A419">
        <f t="shared" si="108"/>
        <v>0</v>
      </c>
      <c r="B419" s="2" t="str">
        <f t="shared" si="125"/>
        <v/>
      </c>
      <c r="C419" s="4" t="str">
        <f t="shared" si="109"/>
        <v/>
      </c>
      <c r="D419" s="3" t="str">
        <f t="shared" si="110"/>
        <v/>
      </c>
      <c r="E419" s="47"/>
      <c r="F419" s="3" t="str">
        <f t="shared" si="111"/>
        <v/>
      </c>
      <c r="G419" s="47"/>
      <c r="H419" s="3" t="str">
        <f t="shared" si="112"/>
        <v/>
      </c>
      <c r="I419" s="47"/>
      <c r="J419" s="3" t="str">
        <f t="shared" si="113"/>
        <v/>
      </c>
      <c r="K419" s="47"/>
      <c r="L419" s="3" t="str">
        <f t="shared" si="114"/>
        <v/>
      </c>
      <c r="M419" s="47"/>
      <c r="N419" s="3" t="str">
        <f t="shared" si="115"/>
        <v/>
      </c>
      <c r="O419" s="47"/>
      <c r="P419" s="3" t="str">
        <f t="shared" si="116"/>
        <v/>
      </c>
      <c r="Q419" s="47"/>
      <c r="R419" s="3" t="str">
        <f t="shared" si="117"/>
        <v/>
      </c>
      <c r="S419" s="47"/>
      <c r="T419" s="1" t="str">
        <f t="shared" si="118"/>
        <v/>
      </c>
      <c r="U419" s="47"/>
      <c r="V419" s="1" t="str">
        <f t="shared" si="119"/>
        <v/>
      </c>
      <c r="W419" s="47"/>
      <c r="X419" s="1" t="str">
        <f t="shared" si="120"/>
        <v/>
      </c>
      <c r="Y419" s="47"/>
      <c r="Z419" s="1" t="str">
        <f t="shared" si="121"/>
        <v/>
      </c>
      <c r="AA419" s="47"/>
      <c r="AB419" s="1" t="str">
        <f t="shared" si="122"/>
        <v/>
      </c>
      <c r="AC419" s="47"/>
      <c r="AD419" s="1" t="str">
        <f t="shared" si="123"/>
        <v/>
      </c>
      <c r="AE419" s="47"/>
      <c r="AF419" s="1" t="str">
        <f t="shared" si="124"/>
        <v/>
      </c>
      <c r="AG419" s="47"/>
    </row>
    <row r="420" spans="1:33">
      <c r="A420">
        <f t="shared" si="108"/>
        <v>0</v>
      </c>
      <c r="B420" s="2" t="str">
        <f t="shared" si="125"/>
        <v/>
      </c>
      <c r="C420" s="4" t="str">
        <f t="shared" si="109"/>
        <v/>
      </c>
      <c r="D420" s="3" t="str">
        <f t="shared" si="110"/>
        <v/>
      </c>
      <c r="E420" s="47"/>
      <c r="F420" s="3" t="str">
        <f t="shared" si="111"/>
        <v/>
      </c>
      <c r="G420" s="47"/>
      <c r="H420" s="3" t="str">
        <f t="shared" si="112"/>
        <v/>
      </c>
      <c r="I420" s="47"/>
      <c r="J420" s="3" t="str">
        <f t="shared" si="113"/>
        <v/>
      </c>
      <c r="K420" s="47"/>
      <c r="L420" s="3" t="str">
        <f t="shared" si="114"/>
        <v/>
      </c>
      <c r="M420" s="47"/>
      <c r="N420" s="3" t="str">
        <f t="shared" si="115"/>
        <v/>
      </c>
      <c r="O420" s="47"/>
      <c r="P420" s="3" t="str">
        <f t="shared" si="116"/>
        <v/>
      </c>
      <c r="Q420" s="47"/>
      <c r="R420" s="3" t="str">
        <f t="shared" si="117"/>
        <v/>
      </c>
      <c r="S420" s="47"/>
      <c r="T420" s="1" t="str">
        <f t="shared" si="118"/>
        <v/>
      </c>
      <c r="U420" s="47"/>
      <c r="V420" s="1" t="str">
        <f t="shared" si="119"/>
        <v/>
      </c>
      <c r="W420" s="47"/>
      <c r="X420" s="1" t="str">
        <f t="shared" si="120"/>
        <v/>
      </c>
      <c r="Y420" s="47"/>
      <c r="Z420" s="1" t="str">
        <f t="shared" si="121"/>
        <v/>
      </c>
      <c r="AA420" s="47"/>
      <c r="AB420" s="1" t="str">
        <f t="shared" si="122"/>
        <v/>
      </c>
      <c r="AC420" s="47"/>
      <c r="AD420" s="1" t="str">
        <f t="shared" si="123"/>
        <v/>
      </c>
      <c r="AE420" s="47"/>
      <c r="AF420" s="1" t="str">
        <f t="shared" si="124"/>
        <v/>
      </c>
      <c r="AG420" s="47"/>
    </row>
    <row r="421" spans="1:33">
      <c r="A421">
        <f t="shared" si="108"/>
        <v>0</v>
      </c>
      <c r="B421" s="2" t="str">
        <f t="shared" si="125"/>
        <v/>
      </c>
      <c r="C421" s="4" t="str">
        <f t="shared" si="109"/>
        <v/>
      </c>
      <c r="D421" s="3" t="str">
        <f t="shared" si="110"/>
        <v/>
      </c>
      <c r="E421" s="47"/>
      <c r="F421" s="3" t="str">
        <f t="shared" si="111"/>
        <v/>
      </c>
      <c r="G421" s="47"/>
      <c r="H421" s="3" t="str">
        <f t="shared" si="112"/>
        <v/>
      </c>
      <c r="I421" s="47"/>
      <c r="J421" s="3" t="str">
        <f t="shared" si="113"/>
        <v/>
      </c>
      <c r="K421" s="47"/>
      <c r="L421" s="3" t="str">
        <f t="shared" si="114"/>
        <v/>
      </c>
      <c r="M421" s="47"/>
      <c r="N421" s="3" t="str">
        <f t="shared" si="115"/>
        <v/>
      </c>
      <c r="O421" s="47"/>
      <c r="P421" s="3" t="str">
        <f t="shared" si="116"/>
        <v/>
      </c>
      <c r="Q421" s="47"/>
      <c r="R421" s="3" t="str">
        <f t="shared" si="117"/>
        <v/>
      </c>
      <c r="S421" s="47"/>
      <c r="T421" s="1" t="str">
        <f t="shared" si="118"/>
        <v/>
      </c>
      <c r="U421" s="47"/>
      <c r="V421" s="1" t="str">
        <f t="shared" si="119"/>
        <v/>
      </c>
      <c r="W421" s="47"/>
      <c r="X421" s="1" t="str">
        <f t="shared" si="120"/>
        <v/>
      </c>
      <c r="Y421" s="47"/>
      <c r="Z421" s="1" t="str">
        <f t="shared" si="121"/>
        <v/>
      </c>
      <c r="AA421" s="47"/>
      <c r="AB421" s="1" t="str">
        <f t="shared" si="122"/>
        <v/>
      </c>
      <c r="AC421" s="47"/>
      <c r="AD421" s="1" t="str">
        <f t="shared" si="123"/>
        <v/>
      </c>
      <c r="AE421" s="47"/>
      <c r="AF421" s="1" t="str">
        <f t="shared" si="124"/>
        <v/>
      </c>
      <c r="AG421" s="47"/>
    </row>
    <row r="422" spans="1:33">
      <c r="A422">
        <f t="shared" si="108"/>
        <v>0</v>
      </c>
      <c r="B422" s="2" t="str">
        <f t="shared" si="125"/>
        <v/>
      </c>
      <c r="C422" s="4" t="str">
        <f t="shared" si="109"/>
        <v/>
      </c>
      <c r="D422" s="3" t="str">
        <f t="shared" si="110"/>
        <v/>
      </c>
      <c r="E422" s="47"/>
      <c r="F422" s="3" t="str">
        <f t="shared" si="111"/>
        <v/>
      </c>
      <c r="G422" s="47"/>
      <c r="H422" s="3" t="str">
        <f t="shared" si="112"/>
        <v/>
      </c>
      <c r="I422" s="47"/>
      <c r="J422" s="3" t="str">
        <f t="shared" si="113"/>
        <v/>
      </c>
      <c r="K422" s="47"/>
      <c r="L422" s="3" t="str">
        <f t="shared" si="114"/>
        <v/>
      </c>
      <c r="M422" s="47"/>
      <c r="N422" s="3" t="str">
        <f t="shared" si="115"/>
        <v/>
      </c>
      <c r="O422" s="47"/>
      <c r="P422" s="3" t="str">
        <f t="shared" si="116"/>
        <v/>
      </c>
      <c r="Q422" s="47"/>
      <c r="R422" s="3" t="str">
        <f t="shared" si="117"/>
        <v/>
      </c>
      <c r="S422" s="47"/>
      <c r="T422" s="1" t="str">
        <f t="shared" si="118"/>
        <v/>
      </c>
      <c r="U422" s="47"/>
      <c r="V422" s="1" t="str">
        <f t="shared" si="119"/>
        <v/>
      </c>
      <c r="W422" s="47"/>
      <c r="X422" s="1" t="str">
        <f t="shared" si="120"/>
        <v/>
      </c>
      <c r="Y422" s="47"/>
      <c r="Z422" s="1" t="str">
        <f t="shared" si="121"/>
        <v/>
      </c>
      <c r="AA422" s="47"/>
      <c r="AB422" s="1" t="str">
        <f t="shared" si="122"/>
        <v/>
      </c>
      <c r="AC422" s="47"/>
      <c r="AD422" s="1" t="str">
        <f t="shared" si="123"/>
        <v/>
      </c>
      <c r="AE422" s="47"/>
      <c r="AF422" s="1" t="str">
        <f t="shared" si="124"/>
        <v/>
      </c>
      <c r="AG422" s="47"/>
    </row>
    <row r="423" spans="1:33">
      <c r="A423">
        <f t="shared" si="108"/>
        <v>0</v>
      </c>
      <c r="B423" s="2" t="str">
        <f t="shared" si="125"/>
        <v/>
      </c>
      <c r="C423" s="4" t="str">
        <f t="shared" si="109"/>
        <v/>
      </c>
      <c r="D423" s="3" t="str">
        <f t="shared" si="110"/>
        <v/>
      </c>
      <c r="E423" s="47"/>
      <c r="F423" s="3" t="str">
        <f t="shared" si="111"/>
        <v/>
      </c>
      <c r="G423" s="47"/>
      <c r="H423" s="3" t="str">
        <f t="shared" si="112"/>
        <v/>
      </c>
      <c r="I423" s="47"/>
      <c r="J423" s="3" t="str">
        <f t="shared" si="113"/>
        <v/>
      </c>
      <c r="K423" s="47"/>
      <c r="L423" s="3" t="str">
        <f t="shared" si="114"/>
        <v/>
      </c>
      <c r="M423" s="47"/>
      <c r="N423" s="3" t="str">
        <f t="shared" si="115"/>
        <v/>
      </c>
      <c r="O423" s="47"/>
      <c r="P423" s="3" t="str">
        <f t="shared" si="116"/>
        <v/>
      </c>
      <c r="Q423" s="47"/>
      <c r="R423" s="3" t="str">
        <f t="shared" si="117"/>
        <v/>
      </c>
      <c r="S423" s="47"/>
      <c r="T423" s="1" t="str">
        <f t="shared" si="118"/>
        <v/>
      </c>
      <c r="U423" s="47"/>
      <c r="V423" s="1" t="str">
        <f t="shared" si="119"/>
        <v/>
      </c>
      <c r="W423" s="47"/>
      <c r="X423" s="1" t="str">
        <f t="shared" si="120"/>
        <v/>
      </c>
      <c r="Y423" s="47"/>
      <c r="Z423" s="1" t="str">
        <f t="shared" si="121"/>
        <v/>
      </c>
      <c r="AA423" s="47"/>
      <c r="AB423" s="1" t="str">
        <f t="shared" si="122"/>
        <v/>
      </c>
      <c r="AC423" s="47"/>
      <c r="AD423" s="1" t="str">
        <f t="shared" si="123"/>
        <v/>
      </c>
      <c r="AE423" s="47"/>
      <c r="AF423" s="1" t="str">
        <f t="shared" si="124"/>
        <v/>
      </c>
      <c r="AG423" s="47"/>
    </row>
    <row r="424" spans="1:33">
      <c r="A424">
        <f t="shared" si="108"/>
        <v>0</v>
      </c>
      <c r="B424" s="2" t="str">
        <f t="shared" si="125"/>
        <v/>
      </c>
      <c r="C424" s="4" t="str">
        <f t="shared" si="109"/>
        <v/>
      </c>
      <c r="D424" s="3" t="str">
        <f t="shared" si="110"/>
        <v/>
      </c>
      <c r="E424" s="47"/>
      <c r="F424" s="3" t="str">
        <f t="shared" si="111"/>
        <v/>
      </c>
      <c r="G424" s="47"/>
      <c r="H424" s="3" t="str">
        <f t="shared" si="112"/>
        <v/>
      </c>
      <c r="I424" s="47"/>
      <c r="J424" s="3" t="str">
        <f t="shared" si="113"/>
        <v/>
      </c>
      <c r="K424" s="47"/>
      <c r="L424" s="3" t="str">
        <f t="shared" si="114"/>
        <v/>
      </c>
      <c r="M424" s="47"/>
      <c r="N424" s="3" t="str">
        <f t="shared" si="115"/>
        <v/>
      </c>
      <c r="O424" s="47"/>
      <c r="P424" s="3" t="str">
        <f t="shared" si="116"/>
        <v/>
      </c>
      <c r="Q424" s="47"/>
      <c r="R424" s="3" t="str">
        <f t="shared" si="117"/>
        <v/>
      </c>
      <c r="S424" s="47"/>
      <c r="T424" s="1" t="str">
        <f t="shared" si="118"/>
        <v/>
      </c>
      <c r="U424" s="47"/>
      <c r="V424" s="1" t="str">
        <f t="shared" si="119"/>
        <v/>
      </c>
      <c r="W424" s="47"/>
      <c r="X424" s="1" t="str">
        <f t="shared" si="120"/>
        <v/>
      </c>
      <c r="Y424" s="47"/>
      <c r="Z424" s="1" t="str">
        <f t="shared" si="121"/>
        <v/>
      </c>
      <c r="AA424" s="47"/>
      <c r="AB424" s="1" t="str">
        <f t="shared" si="122"/>
        <v/>
      </c>
      <c r="AC424" s="47"/>
      <c r="AD424" s="1" t="str">
        <f t="shared" si="123"/>
        <v/>
      </c>
      <c r="AE424" s="47"/>
      <c r="AF424" s="1" t="str">
        <f t="shared" si="124"/>
        <v/>
      </c>
      <c r="AG424" s="47"/>
    </row>
    <row r="425" spans="1:33">
      <c r="A425">
        <f t="shared" si="108"/>
        <v>0</v>
      </c>
      <c r="B425" s="2" t="str">
        <f t="shared" si="125"/>
        <v/>
      </c>
      <c r="C425" s="4" t="str">
        <f t="shared" si="109"/>
        <v/>
      </c>
      <c r="D425" s="3" t="str">
        <f t="shared" si="110"/>
        <v/>
      </c>
      <c r="E425" s="47"/>
      <c r="F425" s="3" t="str">
        <f t="shared" si="111"/>
        <v/>
      </c>
      <c r="G425" s="47"/>
      <c r="H425" s="3" t="str">
        <f t="shared" si="112"/>
        <v/>
      </c>
      <c r="I425" s="47"/>
      <c r="J425" s="3" t="str">
        <f t="shared" si="113"/>
        <v/>
      </c>
      <c r="K425" s="47"/>
      <c r="L425" s="3" t="str">
        <f t="shared" si="114"/>
        <v/>
      </c>
      <c r="M425" s="47"/>
      <c r="N425" s="3" t="str">
        <f t="shared" si="115"/>
        <v/>
      </c>
      <c r="O425" s="47"/>
      <c r="P425" s="3" t="str">
        <f t="shared" si="116"/>
        <v/>
      </c>
      <c r="Q425" s="47"/>
      <c r="R425" s="3" t="str">
        <f t="shared" si="117"/>
        <v/>
      </c>
      <c r="S425" s="47"/>
      <c r="T425" s="1" t="str">
        <f t="shared" si="118"/>
        <v/>
      </c>
      <c r="U425" s="47"/>
      <c r="V425" s="1" t="str">
        <f t="shared" si="119"/>
        <v/>
      </c>
      <c r="W425" s="47"/>
      <c r="X425" s="1" t="str">
        <f t="shared" si="120"/>
        <v/>
      </c>
      <c r="Y425" s="47"/>
      <c r="Z425" s="1" t="str">
        <f t="shared" si="121"/>
        <v/>
      </c>
      <c r="AA425" s="47"/>
      <c r="AB425" s="1" t="str">
        <f t="shared" si="122"/>
        <v/>
      </c>
      <c r="AC425" s="47"/>
      <c r="AD425" s="1" t="str">
        <f t="shared" si="123"/>
        <v/>
      </c>
      <c r="AE425" s="47"/>
      <c r="AF425" s="1" t="str">
        <f t="shared" si="124"/>
        <v/>
      </c>
      <c r="AG425" s="47"/>
    </row>
    <row r="426" spans="1:33">
      <c r="A426">
        <f t="shared" si="108"/>
        <v>0</v>
      </c>
      <c r="B426" s="2" t="str">
        <f t="shared" si="125"/>
        <v/>
      </c>
      <c r="C426" s="4" t="str">
        <f t="shared" si="109"/>
        <v/>
      </c>
      <c r="D426" s="3" t="str">
        <f t="shared" si="110"/>
        <v/>
      </c>
      <c r="E426" s="47"/>
      <c r="F426" s="3" t="str">
        <f t="shared" si="111"/>
        <v/>
      </c>
      <c r="G426" s="47"/>
      <c r="H426" s="3" t="str">
        <f t="shared" si="112"/>
        <v/>
      </c>
      <c r="I426" s="47"/>
      <c r="J426" s="3" t="str">
        <f t="shared" si="113"/>
        <v/>
      </c>
      <c r="K426" s="47"/>
      <c r="L426" s="3" t="str">
        <f t="shared" si="114"/>
        <v/>
      </c>
      <c r="M426" s="47"/>
      <c r="N426" s="3" t="str">
        <f t="shared" si="115"/>
        <v/>
      </c>
      <c r="O426" s="47"/>
      <c r="P426" s="3" t="str">
        <f t="shared" si="116"/>
        <v/>
      </c>
      <c r="Q426" s="47"/>
      <c r="R426" s="3" t="str">
        <f t="shared" si="117"/>
        <v/>
      </c>
      <c r="S426" s="47"/>
      <c r="T426" s="1" t="str">
        <f t="shared" si="118"/>
        <v/>
      </c>
      <c r="U426" s="47"/>
      <c r="V426" s="1" t="str">
        <f t="shared" si="119"/>
        <v/>
      </c>
      <c r="W426" s="47"/>
      <c r="X426" s="1" t="str">
        <f t="shared" si="120"/>
        <v/>
      </c>
      <c r="Y426" s="47"/>
      <c r="Z426" s="1" t="str">
        <f t="shared" si="121"/>
        <v/>
      </c>
      <c r="AA426" s="47"/>
      <c r="AB426" s="1" t="str">
        <f t="shared" si="122"/>
        <v/>
      </c>
      <c r="AC426" s="47"/>
      <c r="AD426" s="1" t="str">
        <f t="shared" si="123"/>
        <v/>
      </c>
      <c r="AE426" s="47"/>
      <c r="AF426" s="1" t="str">
        <f t="shared" si="124"/>
        <v/>
      </c>
      <c r="AG426" s="47"/>
    </row>
    <row r="427" spans="1:33">
      <c r="A427">
        <f t="shared" si="108"/>
        <v>0</v>
      </c>
      <c r="B427" s="2" t="str">
        <f t="shared" si="125"/>
        <v/>
      </c>
      <c r="C427" s="4" t="str">
        <f t="shared" si="109"/>
        <v/>
      </c>
      <c r="D427" s="3" t="str">
        <f t="shared" si="110"/>
        <v/>
      </c>
      <c r="E427" s="47"/>
      <c r="F427" s="3" t="str">
        <f t="shared" si="111"/>
        <v/>
      </c>
      <c r="G427" s="47"/>
      <c r="H427" s="3" t="str">
        <f t="shared" si="112"/>
        <v/>
      </c>
      <c r="I427" s="47"/>
      <c r="J427" s="3" t="str">
        <f t="shared" si="113"/>
        <v/>
      </c>
      <c r="K427" s="47"/>
      <c r="L427" s="3" t="str">
        <f t="shared" si="114"/>
        <v/>
      </c>
      <c r="M427" s="47"/>
      <c r="N427" s="3" t="str">
        <f t="shared" si="115"/>
        <v/>
      </c>
      <c r="O427" s="47"/>
      <c r="P427" s="3" t="str">
        <f t="shared" si="116"/>
        <v/>
      </c>
      <c r="Q427" s="47"/>
      <c r="R427" s="3" t="str">
        <f t="shared" si="117"/>
        <v/>
      </c>
      <c r="S427" s="47"/>
      <c r="T427" s="1" t="str">
        <f t="shared" si="118"/>
        <v/>
      </c>
      <c r="U427" s="47"/>
      <c r="V427" s="1" t="str">
        <f t="shared" si="119"/>
        <v/>
      </c>
      <c r="W427" s="47"/>
      <c r="X427" s="1" t="str">
        <f t="shared" si="120"/>
        <v/>
      </c>
      <c r="Y427" s="47"/>
      <c r="Z427" s="1" t="str">
        <f t="shared" si="121"/>
        <v/>
      </c>
      <c r="AA427" s="47"/>
      <c r="AB427" s="1" t="str">
        <f t="shared" si="122"/>
        <v/>
      </c>
      <c r="AC427" s="47"/>
      <c r="AD427" s="1" t="str">
        <f t="shared" si="123"/>
        <v/>
      </c>
      <c r="AE427" s="47"/>
      <c r="AF427" s="1" t="str">
        <f t="shared" si="124"/>
        <v/>
      </c>
      <c r="AG427" s="47"/>
    </row>
    <row r="428" spans="1:33">
      <c r="A428">
        <f t="shared" si="108"/>
        <v>0</v>
      </c>
      <c r="B428" s="2" t="str">
        <f t="shared" si="125"/>
        <v/>
      </c>
      <c r="C428" s="4" t="str">
        <f t="shared" si="109"/>
        <v/>
      </c>
      <c r="D428" s="3" t="str">
        <f t="shared" si="110"/>
        <v/>
      </c>
      <c r="E428" s="47"/>
      <c r="F428" s="3" t="str">
        <f t="shared" si="111"/>
        <v/>
      </c>
      <c r="G428" s="47"/>
      <c r="H428" s="3" t="str">
        <f t="shared" si="112"/>
        <v/>
      </c>
      <c r="I428" s="47"/>
      <c r="J428" s="3" t="str">
        <f t="shared" si="113"/>
        <v/>
      </c>
      <c r="K428" s="47"/>
      <c r="L428" s="3" t="str">
        <f t="shared" si="114"/>
        <v/>
      </c>
      <c r="M428" s="47"/>
      <c r="N428" s="3" t="str">
        <f t="shared" si="115"/>
        <v/>
      </c>
      <c r="O428" s="47"/>
      <c r="P428" s="3" t="str">
        <f t="shared" si="116"/>
        <v/>
      </c>
      <c r="Q428" s="47"/>
      <c r="R428" s="3" t="str">
        <f t="shared" si="117"/>
        <v/>
      </c>
      <c r="S428" s="47"/>
      <c r="T428" s="1" t="str">
        <f t="shared" si="118"/>
        <v/>
      </c>
      <c r="U428" s="47"/>
      <c r="V428" s="1" t="str">
        <f t="shared" si="119"/>
        <v/>
      </c>
      <c r="W428" s="47"/>
      <c r="X428" s="1" t="str">
        <f t="shared" si="120"/>
        <v/>
      </c>
      <c r="Y428" s="47"/>
      <c r="Z428" s="1" t="str">
        <f t="shared" si="121"/>
        <v/>
      </c>
      <c r="AA428" s="47"/>
      <c r="AB428" s="1" t="str">
        <f t="shared" si="122"/>
        <v/>
      </c>
      <c r="AC428" s="47"/>
      <c r="AD428" s="1" t="str">
        <f t="shared" si="123"/>
        <v/>
      </c>
      <c r="AE428" s="47"/>
      <c r="AF428" s="1" t="str">
        <f t="shared" si="124"/>
        <v/>
      </c>
      <c r="AG428" s="47"/>
    </row>
    <row r="429" spans="1:33">
      <c r="A429">
        <f t="shared" si="108"/>
        <v>0</v>
      </c>
      <c r="B429" s="2" t="str">
        <f t="shared" si="125"/>
        <v/>
      </c>
      <c r="C429" s="4" t="str">
        <f t="shared" si="109"/>
        <v/>
      </c>
      <c r="D429" s="3" t="str">
        <f t="shared" si="110"/>
        <v/>
      </c>
      <c r="E429" s="47"/>
      <c r="F429" s="3" t="str">
        <f t="shared" si="111"/>
        <v/>
      </c>
      <c r="G429" s="47"/>
      <c r="H429" s="3" t="str">
        <f t="shared" si="112"/>
        <v/>
      </c>
      <c r="I429" s="47"/>
      <c r="J429" s="3" t="str">
        <f t="shared" si="113"/>
        <v/>
      </c>
      <c r="K429" s="47"/>
      <c r="L429" s="3" t="str">
        <f t="shared" si="114"/>
        <v/>
      </c>
      <c r="M429" s="47"/>
      <c r="N429" s="3" t="str">
        <f t="shared" si="115"/>
        <v/>
      </c>
      <c r="O429" s="47"/>
      <c r="P429" s="3" t="str">
        <f t="shared" si="116"/>
        <v/>
      </c>
      <c r="Q429" s="47"/>
      <c r="R429" s="3" t="str">
        <f t="shared" si="117"/>
        <v/>
      </c>
      <c r="S429" s="47"/>
      <c r="T429" s="1" t="str">
        <f t="shared" si="118"/>
        <v/>
      </c>
      <c r="U429" s="47"/>
      <c r="V429" s="1" t="str">
        <f t="shared" si="119"/>
        <v/>
      </c>
      <c r="W429" s="47"/>
      <c r="X429" s="1" t="str">
        <f t="shared" si="120"/>
        <v/>
      </c>
      <c r="Y429" s="47"/>
      <c r="Z429" s="1" t="str">
        <f t="shared" si="121"/>
        <v/>
      </c>
      <c r="AA429" s="47"/>
      <c r="AB429" s="1" t="str">
        <f t="shared" si="122"/>
        <v/>
      </c>
      <c r="AC429" s="47"/>
      <c r="AD429" s="1" t="str">
        <f t="shared" si="123"/>
        <v/>
      </c>
      <c r="AE429" s="47"/>
      <c r="AF429" s="1" t="str">
        <f t="shared" si="124"/>
        <v/>
      </c>
      <c r="AG429" s="47"/>
    </row>
    <row r="430" spans="1:33">
      <c r="A430">
        <f t="shared" si="108"/>
        <v>0</v>
      </c>
      <c r="B430" s="2" t="str">
        <f t="shared" si="125"/>
        <v/>
      </c>
      <c r="C430" s="4" t="str">
        <f t="shared" si="109"/>
        <v/>
      </c>
      <c r="D430" s="3" t="str">
        <f t="shared" si="110"/>
        <v/>
      </c>
      <c r="E430" s="47"/>
      <c r="F430" s="3" t="str">
        <f t="shared" si="111"/>
        <v/>
      </c>
      <c r="G430" s="47"/>
      <c r="H430" s="3" t="str">
        <f t="shared" si="112"/>
        <v/>
      </c>
      <c r="I430" s="47"/>
      <c r="J430" s="3" t="str">
        <f t="shared" si="113"/>
        <v/>
      </c>
      <c r="K430" s="47"/>
      <c r="L430" s="3" t="str">
        <f t="shared" si="114"/>
        <v/>
      </c>
      <c r="M430" s="47"/>
      <c r="N430" s="3" t="str">
        <f t="shared" si="115"/>
        <v/>
      </c>
      <c r="O430" s="47"/>
      <c r="P430" s="3" t="str">
        <f t="shared" si="116"/>
        <v/>
      </c>
      <c r="Q430" s="47"/>
      <c r="R430" s="3" t="str">
        <f t="shared" si="117"/>
        <v/>
      </c>
      <c r="S430" s="47"/>
      <c r="T430" s="1" t="str">
        <f t="shared" si="118"/>
        <v/>
      </c>
      <c r="U430" s="47"/>
      <c r="V430" s="1" t="str">
        <f t="shared" si="119"/>
        <v/>
      </c>
      <c r="W430" s="47"/>
      <c r="X430" s="1" t="str">
        <f t="shared" si="120"/>
        <v/>
      </c>
      <c r="Y430" s="47"/>
      <c r="Z430" s="1" t="str">
        <f t="shared" si="121"/>
        <v/>
      </c>
      <c r="AA430" s="47"/>
      <c r="AB430" s="1" t="str">
        <f t="shared" si="122"/>
        <v/>
      </c>
      <c r="AC430" s="47"/>
      <c r="AD430" s="1" t="str">
        <f t="shared" si="123"/>
        <v/>
      </c>
      <c r="AE430" s="47"/>
      <c r="AF430" s="1" t="str">
        <f t="shared" si="124"/>
        <v/>
      </c>
      <c r="AG430" s="47"/>
    </row>
    <row r="431" spans="1:33">
      <c r="A431">
        <f t="shared" si="108"/>
        <v>0</v>
      </c>
      <c r="B431" s="2" t="str">
        <f t="shared" si="125"/>
        <v/>
      </c>
      <c r="C431" s="4" t="str">
        <f t="shared" si="109"/>
        <v/>
      </c>
      <c r="D431" s="3" t="str">
        <f t="shared" si="110"/>
        <v/>
      </c>
      <c r="E431" s="47"/>
      <c r="F431" s="3" t="str">
        <f t="shared" si="111"/>
        <v/>
      </c>
      <c r="G431" s="47"/>
      <c r="H431" s="3" t="str">
        <f t="shared" si="112"/>
        <v/>
      </c>
      <c r="I431" s="47"/>
      <c r="J431" s="3" t="str">
        <f t="shared" si="113"/>
        <v/>
      </c>
      <c r="K431" s="47"/>
      <c r="L431" s="3" t="str">
        <f t="shared" si="114"/>
        <v/>
      </c>
      <c r="M431" s="47"/>
      <c r="N431" s="3" t="str">
        <f t="shared" si="115"/>
        <v/>
      </c>
      <c r="O431" s="47"/>
      <c r="P431" s="3" t="str">
        <f t="shared" si="116"/>
        <v/>
      </c>
      <c r="Q431" s="47"/>
      <c r="R431" s="3" t="str">
        <f t="shared" si="117"/>
        <v/>
      </c>
      <c r="S431" s="47"/>
      <c r="T431" s="1" t="str">
        <f t="shared" si="118"/>
        <v/>
      </c>
      <c r="U431" s="47"/>
      <c r="V431" s="1" t="str">
        <f t="shared" si="119"/>
        <v/>
      </c>
      <c r="W431" s="47"/>
      <c r="X431" s="1" t="str">
        <f t="shared" si="120"/>
        <v/>
      </c>
      <c r="Y431" s="47"/>
      <c r="Z431" s="1" t="str">
        <f t="shared" si="121"/>
        <v/>
      </c>
      <c r="AA431" s="47"/>
      <c r="AB431" s="1" t="str">
        <f t="shared" si="122"/>
        <v/>
      </c>
      <c r="AC431" s="47"/>
      <c r="AD431" s="1" t="str">
        <f t="shared" si="123"/>
        <v/>
      </c>
      <c r="AE431" s="47"/>
      <c r="AF431" s="1" t="str">
        <f t="shared" si="124"/>
        <v/>
      </c>
      <c r="AG431" s="47"/>
    </row>
    <row r="432" spans="1:33">
      <c r="A432">
        <f t="shared" si="108"/>
        <v>0</v>
      </c>
      <c r="B432" s="2" t="str">
        <f t="shared" si="125"/>
        <v/>
      </c>
      <c r="C432" s="4" t="str">
        <f t="shared" si="109"/>
        <v/>
      </c>
      <c r="D432" s="3" t="str">
        <f t="shared" si="110"/>
        <v/>
      </c>
      <c r="E432" s="47"/>
      <c r="F432" s="3" t="str">
        <f t="shared" si="111"/>
        <v/>
      </c>
      <c r="G432" s="47"/>
      <c r="H432" s="3" t="str">
        <f t="shared" si="112"/>
        <v/>
      </c>
      <c r="I432" s="47"/>
      <c r="J432" s="3" t="str">
        <f t="shared" si="113"/>
        <v/>
      </c>
      <c r="K432" s="47"/>
      <c r="L432" s="3" t="str">
        <f t="shared" si="114"/>
        <v/>
      </c>
      <c r="M432" s="47"/>
      <c r="N432" s="3" t="str">
        <f t="shared" si="115"/>
        <v/>
      </c>
      <c r="O432" s="47"/>
      <c r="P432" s="3" t="str">
        <f t="shared" si="116"/>
        <v/>
      </c>
      <c r="Q432" s="47"/>
      <c r="R432" s="3" t="str">
        <f t="shared" si="117"/>
        <v/>
      </c>
      <c r="S432" s="47"/>
      <c r="T432" s="1" t="str">
        <f t="shared" si="118"/>
        <v/>
      </c>
      <c r="U432" s="47"/>
      <c r="V432" s="1" t="str">
        <f t="shared" si="119"/>
        <v/>
      </c>
      <c r="W432" s="47"/>
      <c r="X432" s="1" t="str">
        <f t="shared" si="120"/>
        <v/>
      </c>
      <c r="Y432" s="47"/>
      <c r="Z432" s="1" t="str">
        <f t="shared" si="121"/>
        <v/>
      </c>
      <c r="AA432" s="47"/>
      <c r="AB432" s="1" t="str">
        <f t="shared" si="122"/>
        <v/>
      </c>
      <c r="AC432" s="47"/>
      <c r="AD432" s="1" t="str">
        <f t="shared" si="123"/>
        <v/>
      </c>
      <c r="AE432" s="47"/>
      <c r="AF432" s="1" t="str">
        <f t="shared" si="124"/>
        <v/>
      </c>
      <c r="AG432" s="47"/>
    </row>
    <row r="433" spans="1:33">
      <c r="A433">
        <f t="shared" si="108"/>
        <v>0</v>
      </c>
      <c r="B433" s="2" t="str">
        <f t="shared" si="125"/>
        <v/>
      </c>
      <c r="C433" s="4" t="str">
        <f t="shared" si="109"/>
        <v/>
      </c>
      <c r="D433" s="3" t="str">
        <f t="shared" si="110"/>
        <v/>
      </c>
      <c r="E433" s="47"/>
      <c r="F433" s="3" t="str">
        <f t="shared" si="111"/>
        <v/>
      </c>
      <c r="G433" s="47"/>
      <c r="H433" s="3" t="str">
        <f t="shared" si="112"/>
        <v/>
      </c>
      <c r="I433" s="47"/>
      <c r="J433" s="3" t="str">
        <f t="shared" si="113"/>
        <v/>
      </c>
      <c r="K433" s="47"/>
      <c r="L433" s="3" t="str">
        <f t="shared" si="114"/>
        <v/>
      </c>
      <c r="M433" s="47"/>
      <c r="N433" s="3" t="str">
        <f t="shared" si="115"/>
        <v/>
      </c>
      <c r="O433" s="47"/>
      <c r="P433" s="3" t="str">
        <f t="shared" si="116"/>
        <v/>
      </c>
      <c r="Q433" s="47"/>
      <c r="R433" s="3" t="str">
        <f t="shared" si="117"/>
        <v/>
      </c>
      <c r="S433" s="47"/>
      <c r="T433" s="1" t="str">
        <f t="shared" si="118"/>
        <v/>
      </c>
      <c r="U433" s="47"/>
      <c r="V433" s="1" t="str">
        <f t="shared" si="119"/>
        <v/>
      </c>
      <c r="W433" s="47"/>
      <c r="X433" s="1" t="str">
        <f t="shared" si="120"/>
        <v/>
      </c>
      <c r="Y433" s="47"/>
      <c r="Z433" s="1" t="str">
        <f t="shared" si="121"/>
        <v/>
      </c>
      <c r="AA433" s="47"/>
      <c r="AB433" s="1" t="str">
        <f t="shared" si="122"/>
        <v/>
      </c>
      <c r="AC433" s="47"/>
      <c r="AD433" s="1" t="str">
        <f t="shared" si="123"/>
        <v/>
      </c>
      <c r="AE433" s="47"/>
      <c r="AF433" s="1" t="str">
        <f t="shared" si="124"/>
        <v/>
      </c>
      <c r="AG433" s="47"/>
    </row>
    <row r="434" spans="1:33">
      <c r="A434">
        <f t="shared" si="108"/>
        <v>0</v>
      </c>
      <c r="B434" s="2" t="str">
        <f t="shared" si="125"/>
        <v/>
      </c>
      <c r="C434" s="4" t="str">
        <f t="shared" si="109"/>
        <v/>
      </c>
      <c r="D434" s="3" t="str">
        <f t="shared" si="110"/>
        <v/>
      </c>
      <c r="E434" s="47"/>
      <c r="F434" s="3" t="str">
        <f t="shared" si="111"/>
        <v/>
      </c>
      <c r="G434" s="47"/>
      <c r="H434" s="3" t="str">
        <f t="shared" si="112"/>
        <v/>
      </c>
      <c r="I434" s="47"/>
      <c r="J434" s="3" t="str">
        <f t="shared" si="113"/>
        <v/>
      </c>
      <c r="K434" s="47"/>
      <c r="L434" s="3" t="str">
        <f t="shared" si="114"/>
        <v/>
      </c>
      <c r="M434" s="47"/>
      <c r="N434" s="3" t="str">
        <f t="shared" si="115"/>
        <v/>
      </c>
      <c r="O434" s="47"/>
      <c r="P434" s="3" t="str">
        <f t="shared" si="116"/>
        <v/>
      </c>
      <c r="Q434" s="47"/>
      <c r="R434" s="3" t="str">
        <f t="shared" si="117"/>
        <v/>
      </c>
      <c r="S434" s="47"/>
      <c r="T434" s="1" t="str">
        <f t="shared" si="118"/>
        <v/>
      </c>
      <c r="U434" s="47"/>
      <c r="V434" s="1" t="str">
        <f t="shared" si="119"/>
        <v/>
      </c>
      <c r="W434" s="47"/>
      <c r="X434" s="1" t="str">
        <f t="shared" si="120"/>
        <v/>
      </c>
      <c r="Y434" s="47"/>
      <c r="Z434" s="1" t="str">
        <f t="shared" si="121"/>
        <v/>
      </c>
      <c r="AA434" s="47"/>
      <c r="AB434" s="1" t="str">
        <f t="shared" si="122"/>
        <v/>
      </c>
      <c r="AC434" s="47"/>
      <c r="AD434" s="1" t="str">
        <f t="shared" si="123"/>
        <v/>
      </c>
      <c r="AE434" s="47"/>
      <c r="AF434" s="1" t="str">
        <f t="shared" si="124"/>
        <v/>
      </c>
      <c r="AG434" s="47"/>
    </row>
    <row r="435" spans="1:33">
      <c r="A435">
        <f t="shared" si="108"/>
        <v>0</v>
      </c>
      <c r="B435" s="2" t="str">
        <f t="shared" si="125"/>
        <v/>
      </c>
      <c r="C435" s="4" t="str">
        <f t="shared" si="109"/>
        <v/>
      </c>
      <c r="D435" s="3" t="str">
        <f t="shared" si="110"/>
        <v/>
      </c>
      <c r="E435" s="47"/>
      <c r="F435" s="3" t="str">
        <f t="shared" si="111"/>
        <v/>
      </c>
      <c r="G435" s="47"/>
      <c r="H435" s="3" t="str">
        <f t="shared" si="112"/>
        <v/>
      </c>
      <c r="I435" s="47"/>
      <c r="J435" s="3" t="str">
        <f t="shared" si="113"/>
        <v/>
      </c>
      <c r="K435" s="47"/>
      <c r="L435" s="3" t="str">
        <f t="shared" si="114"/>
        <v/>
      </c>
      <c r="M435" s="47"/>
      <c r="N435" s="3" t="str">
        <f t="shared" si="115"/>
        <v/>
      </c>
      <c r="O435" s="47"/>
      <c r="P435" s="3" t="str">
        <f t="shared" si="116"/>
        <v/>
      </c>
      <c r="Q435" s="47"/>
      <c r="R435" s="3" t="str">
        <f t="shared" si="117"/>
        <v/>
      </c>
      <c r="S435" s="47"/>
      <c r="T435" s="1" t="str">
        <f t="shared" si="118"/>
        <v/>
      </c>
      <c r="U435" s="47"/>
      <c r="V435" s="1" t="str">
        <f t="shared" si="119"/>
        <v/>
      </c>
      <c r="W435" s="47"/>
      <c r="X435" s="1" t="str">
        <f t="shared" si="120"/>
        <v/>
      </c>
      <c r="Y435" s="47"/>
      <c r="Z435" s="1" t="str">
        <f t="shared" si="121"/>
        <v/>
      </c>
      <c r="AA435" s="47"/>
      <c r="AB435" s="1" t="str">
        <f t="shared" si="122"/>
        <v/>
      </c>
      <c r="AC435" s="47"/>
      <c r="AD435" s="1" t="str">
        <f t="shared" si="123"/>
        <v/>
      </c>
      <c r="AE435" s="47"/>
      <c r="AF435" s="1" t="str">
        <f t="shared" si="124"/>
        <v/>
      </c>
      <c r="AG435" s="47"/>
    </row>
    <row r="436" spans="1:33">
      <c r="A436">
        <f t="shared" si="108"/>
        <v>0</v>
      </c>
      <c r="B436" s="2" t="str">
        <f t="shared" si="125"/>
        <v/>
      </c>
      <c r="C436" s="4" t="str">
        <f t="shared" si="109"/>
        <v/>
      </c>
      <c r="D436" s="3" t="str">
        <f t="shared" si="110"/>
        <v/>
      </c>
      <c r="E436" s="47"/>
      <c r="F436" s="3" t="str">
        <f t="shared" si="111"/>
        <v/>
      </c>
      <c r="G436" s="47"/>
      <c r="H436" s="3" t="str">
        <f t="shared" si="112"/>
        <v/>
      </c>
      <c r="I436" s="47"/>
      <c r="J436" s="3" t="str">
        <f t="shared" si="113"/>
        <v/>
      </c>
      <c r="K436" s="47"/>
      <c r="L436" s="3" t="str">
        <f t="shared" si="114"/>
        <v/>
      </c>
      <c r="M436" s="47"/>
      <c r="N436" s="3" t="str">
        <f t="shared" si="115"/>
        <v/>
      </c>
      <c r="O436" s="47"/>
      <c r="P436" s="3" t="str">
        <f t="shared" si="116"/>
        <v/>
      </c>
      <c r="Q436" s="47"/>
      <c r="R436" s="3" t="str">
        <f t="shared" si="117"/>
        <v/>
      </c>
      <c r="S436" s="47"/>
      <c r="T436" s="1" t="str">
        <f t="shared" si="118"/>
        <v/>
      </c>
      <c r="U436" s="47"/>
      <c r="V436" s="1" t="str">
        <f t="shared" si="119"/>
        <v/>
      </c>
      <c r="W436" s="47"/>
      <c r="X436" s="1" t="str">
        <f t="shared" si="120"/>
        <v/>
      </c>
      <c r="Y436" s="47"/>
      <c r="Z436" s="1" t="str">
        <f t="shared" si="121"/>
        <v/>
      </c>
      <c r="AA436" s="47"/>
      <c r="AB436" s="1" t="str">
        <f t="shared" si="122"/>
        <v/>
      </c>
      <c r="AC436" s="47"/>
      <c r="AD436" s="1" t="str">
        <f t="shared" si="123"/>
        <v/>
      </c>
      <c r="AE436" s="47"/>
      <c r="AF436" s="1" t="str">
        <f t="shared" si="124"/>
        <v/>
      </c>
      <c r="AG436" s="47"/>
    </row>
    <row r="437" spans="1:33">
      <c r="A437">
        <f t="shared" si="108"/>
        <v>0</v>
      </c>
      <c r="B437" s="2" t="str">
        <f t="shared" si="125"/>
        <v/>
      </c>
      <c r="C437" s="4" t="str">
        <f t="shared" si="109"/>
        <v/>
      </c>
      <c r="D437" s="3" t="str">
        <f t="shared" si="110"/>
        <v/>
      </c>
      <c r="E437" s="47"/>
      <c r="F437" s="3" t="str">
        <f t="shared" si="111"/>
        <v/>
      </c>
      <c r="G437" s="47"/>
      <c r="H437" s="3" t="str">
        <f t="shared" si="112"/>
        <v/>
      </c>
      <c r="I437" s="47"/>
      <c r="J437" s="3" t="str">
        <f t="shared" si="113"/>
        <v/>
      </c>
      <c r="K437" s="47"/>
      <c r="L437" s="3" t="str">
        <f t="shared" si="114"/>
        <v/>
      </c>
      <c r="M437" s="47"/>
      <c r="N437" s="3" t="str">
        <f t="shared" si="115"/>
        <v/>
      </c>
      <c r="O437" s="47"/>
      <c r="P437" s="3" t="str">
        <f t="shared" si="116"/>
        <v/>
      </c>
      <c r="Q437" s="47"/>
      <c r="R437" s="3" t="str">
        <f t="shared" si="117"/>
        <v/>
      </c>
      <c r="S437" s="47"/>
      <c r="T437" s="1" t="str">
        <f t="shared" si="118"/>
        <v/>
      </c>
      <c r="U437" s="47"/>
      <c r="V437" s="1" t="str">
        <f t="shared" si="119"/>
        <v/>
      </c>
      <c r="W437" s="47"/>
      <c r="X437" s="1" t="str">
        <f t="shared" si="120"/>
        <v/>
      </c>
      <c r="Y437" s="47"/>
      <c r="Z437" s="1" t="str">
        <f t="shared" si="121"/>
        <v/>
      </c>
      <c r="AA437" s="47"/>
      <c r="AB437" s="1" t="str">
        <f t="shared" si="122"/>
        <v/>
      </c>
      <c r="AC437" s="47"/>
      <c r="AD437" s="1" t="str">
        <f t="shared" si="123"/>
        <v/>
      </c>
      <c r="AE437" s="47"/>
      <c r="AF437" s="1" t="str">
        <f t="shared" si="124"/>
        <v/>
      </c>
      <c r="AG437" s="47"/>
    </row>
    <row r="438" spans="1:33">
      <c r="A438">
        <f t="shared" si="108"/>
        <v>0</v>
      </c>
      <c r="B438" s="2" t="str">
        <f t="shared" si="125"/>
        <v/>
      </c>
      <c r="C438" s="4" t="str">
        <f t="shared" si="109"/>
        <v/>
      </c>
      <c r="D438" s="3" t="str">
        <f t="shared" si="110"/>
        <v/>
      </c>
      <c r="E438" s="47"/>
      <c r="F438" s="3" t="str">
        <f t="shared" si="111"/>
        <v/>
      </c>
      <c r="G438" s="47"/>
      <c r="H438" s="3" t="str">
        <f t="shared" si="112"/>
        <v/>
      </c>
      <c r="I438" s="47"/>
      <c r="J438" s="3" t="str">
        <f t="shared" si="113"/>
        <v/>
      </c>
      <c r="K438" s="47"/>
      <c r="L438" s="3" t="str">
        <f t="shared" si="114"/>
        <v/>
      </c>
      <c r="M438" s="47"/>
      <c r="N438" s="3" t="str">
        <f t="shared" si="115"/>
        <v/>
      </c>
      <c r="O438" s="47"/>
      <c r="P438" s="3" t="str">
        <f t="shared" si="116"/>
        <v/>
      </c>
      <c r="Q438" s="47"/>
      <c r="R438" s="3" t="str">
        <f t="shared" si="117"/>
        <v/>
      </c>
      <c r="S438" s="47"/>
      <c r="T438" s="1" t="str">
        <f t="shared" si="118"/>
        <v/>
      </c>
      <c r="U438" s="47"/>
      <c r="V438" s="1" t="str">
        <f t="shared" si="119"/>
        <v/>
      </c>
      <c r="W438" s="47"/>
      <c r="X438" s="1" t="str">
        <f t="shared" si="120"/>
        <v/>
      </c>
      <c r="Y438" s="47"/>
      <c r="Z438" s="1" t="str">
        <f t="shared" si="121"/>
        <v/>
      </c>
      <c r="AA438" s="47"/>
      <c r="AB438" s="1" t="str">
        <f t="shared" si="122"/>
        <v/>
      </c>
      <c r="AC438" s="47"/>
      <c r="AD438" s="1" t="str">
        <f t="shared" si="123"/>
        <v/>
      </c>
      <c r="AE438" s="47"/>
      <c r="AF438" s="1" t="str">
        <f t="shared" si="124"/>
        <v/>
      </c>
      <c r="AG438" s="47"/>
    </row>
    <row r="439" spans="1:33">
      <c r="A439">
        <f t="shared" si="108"/>
        <v>0</v>
      </c>
      <c r="B439" s="2" t="str">
        <f t="shared" si="125"/>
        <v/>
      </c>
      <c r="C439" s="4" t="str">
        <f t="shared" si="109"/>
        <v/>
      </c>
      <c r="D439" s="3" t="str">
        <f t="shared" si="110"/>
        <v/>
      </c>
      <c r="E439" s="47"/>
      <c r="F439" s="3" t="str">
        <f t="shared" si="111"/>
        <v/>
      </c>
      <c r="G439" s="47"/>
      <c r="H439" s="3" t="str">
        <f t="shared" si="112"/>
        <v/>
      </c>
      <c r="I439" s="47"/>
      <c r="J439" s="3" t="str">
        <f t="shared" si="113"/>
        <v/>
      </c>
      <c r="K439" s="47"/>
      <c r="L439" s="3" t="str">
        <f t="shared" si="114"/>
        <v/>
      </c>
      <c r="M439" s="47"/>
      <c r="N439" s="3" t="str">
        <f t="shared" si="115"/>
        <v/>
      </c>
      <c r="O439" s="47"/>
      <c r="P439" s="3" t="str">
        <f t="shared" si="116"/>
        <v/>
      </c>
      <c r="Q439" s="47"/>
      <c r="R439" s="3" t="str">
        <f t="shared" si="117"/>
        <v/>
      </c>
      <c r="S439" s="47"/>
      <c r="T439" s="1" t="str">
        <f t="shared" si="118"/>
        <v/>
      </c>
      <c r="U439" s="47"/>
      <c r="V439" s="1" t="str">
        <f t="shared" si="119"/>
        <v/>
      </c>
      <c r="W439" s="47"/>
      <c r="X439" s="1" t="str">
        <f t="shared" si="120"/>
        <v/>
      </c>
      <c r="Y439" s="47"/>
      <c r="Z439" s="1" t="str">
        <f t="shared" si="121"/>
        <v/>
      </c>
      <c r="AA439" s="47"/>
      <c r="AB439" s="1" t="str">
        <f t="shared" si="122"/>
        <v/>
      </c>
      <c r="AC439" s="47"/>
      <c r="AD439" s="1" t="str">
        <f t="shared" si="123"/>
        <v/>
      </c>
      <c r="AE439" s="47"/>
      <c r="AF439" s="1" t="str">
        <f t="shared" si="124"/>
        <v/>
      </c>
      <c r="AG439" s="47"/>
    </row>
    <row r="440" spans="1:33">
      <c r="A440">
        <f t="shared" si="108"/>
        <v>0</v>
      </c>
      <c r="B440" s="2" t="str">
        <f t="shared" si="125"/>
        <v/>
      </c>
      <c r="C440" s="4" t="str">
        <f t="shared" si="109"/>
        <v/>
      </c>
      <c r="D440" s="3" t="str">
        <f t="shared" si="110"/>
        <v/>
      </c>
      <c r="E440" s="47"/>
      <c r="F440" s="3" t="str">
        <f t="shared" si="111"/>
        <v/>
      </c>
      <c r="G440" s="47"/>
      <c r="H440" s="3" t="str">
        <f t="shared" si="112"/>
        <v/>
      </c>
      <c r="I440" s="47"/>
      <c r="J440" s="3" t="str">
        <f t="shared" si="113"/>
        <v/>
      </c>
      <c r="K440" s="47"/>
      <c r="L440" s="3" t="str">
        <f t="shared" si="114"/>
        <v/>
      </c>
      <c r="M440" s="47"/>
      <c r="N440" s="3" t="str">
        <f t="shared" si="115"/>
        <v/>
      </c>
      <c r="O440" s="47"/>
      <c r="P440" s="3" t="str">
        <f t="shared" si="116"/>
        <v/>
      </c>
      <c r="Q440" s="47"/>
      <c r="R440" s="3" t="str">
        <f t="shared" si="117"/>
        <v/>
      </c>
      <c r="S440" s="47"/>
      <c r="T440" s="1" t="str">
        <f t="shared" si="118"/>
        <v/>
      </c>
      <c r="U440" s="47"/>
      <c r="V440" s="1" t="str">
        <f t="shared" si="119"/>
        <v/>
      </c>
      <c r="W440" s="47"/>
      <c r="X440" s="1" t="str">
        <f t="shared" si="120"/>
        <v/>
      </c>
      <c r="Y440" s="47"/>
      <c r="Z440" s="1" t="str">
        <f t="shared" si="121"/>
        <v/>
      </c>
      <c r="AA440" s="47"/>
      <c r="AB440" s="1" t="str">
        <f t="shared" si="122"/>
        <v/>
      </c>
      <c r="AC440" s="47"/>
      <c r="AD440" s="1" t="str">
        <f t="shared" si="123"/>
        <v/>
      </c>
      <c r="AE440" s="47"/>
      <c r="AF440" s="1" t="str">
        <f t="shared" si="124"/>
        <v/>
      </c>
      <c r="AG440" s="47"/>
    </row>
    <row r="441" spans="1:33">
      <c r="A441">
        <f t="shared" si="108"/>
        <v>0</v>
      </c>
      <c r="B441" s="2" t="str">
        <f t="shared" si="125"/>
        <v/>
      </c>
      <c r="C441" s="4" t="str">
        <f t="shared" si="109"/>
        <v/>
      </c>
      <c r="D441" s="3" t="str">
        <f t="shared" si="110"/>
        <v/>
      </c>
      <c r="E441" s="47"/>
      <c r="F441" s="3" t="str">
        <f t="shared" si="111"/>
        <v/>
      </c>
      <c r="G441" s="47"/>
      <c r="H441" s="3" t="str">
        <f t="shared" si="112"/>
        <v/>
      </c>
      <c r="I441" s="47"/>
      <c r="J441" s="3" t="str">
        <f t="shared" si="113"/>
        <v/>
      </c>
      <c r="K441" s="47"/>
      <c r="L441" s="3" t="str">
        <f t="shared" si="114"/>
        <v/>
      </c>
      <c r="M441" s="47"/>
      <c r="N441" s="3" t="str">
        <f t="shared" si="115"/>
        <v/>
      </c>
      <c r="O441" s="47"/>
      <c r="P441" s="3" t="str">
        <f t="shared" si="116"/>
        <v/>
      </c>
      <c r="Q441" s="47"/>
      <c r="R441" s="3" t="str">
        <f t="shared" si="117"/>
        <v/>
      </c>
      <c r="S441" s="47"/>
      <c r="T441" s="1" t="str">
        <f t="shared" si="118"/>
        <v/>
      </c>
      <c r="U441" s="47"/>
      <c r="V441" s="1" t="str">
        <f t="shared" si="119"/>
        <v/>
      </c>
      <c r="W441" s="47"/>
      <c r="X441" s="1" t="str">
        <f t="shared" si="120"/>
        <v/>
      </c>
      <c r="Y441" s="47"/>
      <c r="Z441" s="1" t="str">
        <f t="shared" si="121"/>
        <v/>
      </c>
      <c r="AA441" s="47"/>
      <c r="AB441" s="1" t="str">
        <f t="shared" si="122"/>
        <v/>
      </c>
      <c r="AC441" s="47"/>
      <c r="AD441" s="1" t="str">
        <f t="shared" si="123"/>
        <v/>
      </c>
      <c r="AE441" s="47"/>
      <c r="AF441" s="1" t="str">
        <f t="shared" si="124"/>
        <v/>
      </c>
      <c r="AG441" s="47"/>
    </row>
    <row r="442" spans="1:33">
      <c r="A442">
        <f t="shared" si="108"/>
        <v>0</v>
      </c>
      <c r="B442" s="2" t="str">
        <f t="shared" si="125"/>
        <v/>
      </c>
      <c r="C442" s="4" t="str">
        <f t="shared" si="109"/>
        <v/>
      </c>
      <c r="D442" s="3" t="str">
        <f t="shared" si="110"/>
        <v/>
      </c>
      <c r="E442" s="47"/>
      <c r="F442" s="3" t="str">
        <f t="shared" si="111"/>
        <v/>
      </c>
      <c r="G442" s="47"/>
      <c r="H442" s="3" t="str">
        <f t="shared" si="112"/>
        <v/>
      </c>
      <c r="I442" s="47"/>
      <c r="J442" s="3" t="str">
        <f t="shared" si="113"/>
        <v/>
      </c>
      <c r="K442" s="47"/>
      <c r="L442" s="3" t="str">
        <f t="shared" si="114"/>
        <v/>
      </c>
      <c r="M442" s="47"/>
      <c r="N442" s="3" t="str">
        <f t="shared" si="115"/>
        <v/>
      </c>
      <c r="O442" s="47"/>
      <c r="P442" s="3" t="str">
        <f t="shared" si="116"/>
        <v/>
      </c>
      <c r="Q442" s="47"/>
      <c r="R442" s="3" t="str">
        <f t="shared" si="117"/>
        <v/>
      </c>
      <c r="S442" s="47"/>
      <c r="T442" s="1" t="str">
        <f t="shared" si="118"/>
        <v/>
      </c>
      <c r="U442" s="47"/>
      <c r="V442" s="1" t="str">
        <f t="shared" si="119"/>
        <v/>
      </c>
      <c r="W442" s="47"/>
      <c r="X442" s="1" t="str">
        <f t="shared" si="120"/>
        <v/>
      </c>
      <c r="Y442" s="47"/>
      <c r="Z442" s="1" t="str">
        <f t="shared" si="121"/>
        <v/>
      </c>
      <c r="AA442" s="47"/>
      <c r="AB442" s="1" t="str">
        <f t="shared" si="122"/>
        <v/>
      </c>
      <c r="AC442" s="47"/>
      <c r="AD442" s="1" t="str">
        <f t="shared" si="123"/>
        <v/>
      </c>
      <c r="AE442" s="47"/>
      <c r="AF442" s="1" t="str">
        <f t="shared" si="124"/>
        <v/>
      </c>
      <c r="AG442" s="47"/>
    </row>
    <row r="443" spans="1:33">
      <c r="A443">
        <f t="shared" si="108"/>
        <v>0</v>
      </c>
      <c r="B443" s="2" t="str">
        <f t="shared" si="125"/>
        <v/>
      </c>
      <c r="C443" s="4" t="str">
        <f t="shared" si="109"/>
        <v/>
      </c>
      <c r="D443" s="3" t="str">
        <f t="shared" si="110"/>
        <v/>
      </c>
      <c r="E443" s="47"/>
      <c r="F443" s="3" t="str">
        <f t="shared" si="111"/>
        <v/>
      </c>
      <c r="G443" s="47"/>
      <c r="H443" s="3" t="str">
        <f t="shared" si="112"/>
        <v/>
      </c>
      <c r="I443" s="47"/>
      <c r="J443" s="3" t="str">
        <f t="shared" si="113"/>
        <v/>
      </c>
      <c r="K443" s="47"/>
      <c r="L443" s="3" t="str">
        <f t="shared" si="114"/>
        <v/>
      </c>
      <c r="M443" s="47"/>
      <c r="N443" s="3" t="str">
        <f t="shared" si="115"/>
        <v/>
      </c>
      <c r="O443" s="47"/>
      <c r="P443" s="3" t="str">
        <f t="shared" si="116"/>
        <v/>
      </c>
      <c r="Q443" s="47"/>
      <c r="R443" s="3" t="str">
        <f t="shared" si="117"/>
        <v/>
      </c>
      <c r="S443" s="47"/>
      <c r="T443" s="1" t="str">
        <f t="shared" si="118"/>
        <v/>
      </c>
      <c r="U443" s="47"/>
      <c r="V443" s="1" t="str">
        <f t="shared" si="119"/>
        <v/>
      </c>
      <c r="W443" s="47"/>
      <c r="X443" s="1" t="str">
        <f t="shared" si="120"/>
        <v/>
      </c>
      <c r="Y443" s="47"/>
      <c r="Z443" s="1" t="str">
        <f t="shared" si="121"/>
        <v/>
      </c>
      <c r="AA443" s="47"/>
      <c r="AB443" s="1" t="str">
        <f t="shared" si="122"/>
        <v/>
      </c>
      <c r="AC443" s="47"/>
      <c r="AD443" s="1" t="str">
        <f t="shared" si="123"/>
        <v/>
      </c>
      <c r="AE443" s="47"/>
      <c r="AF443" s="1" t="str">
        <f t="shared" si="124"/>
        <v/>
      </c>
      <c r="AG443" s="47"/>
    </row>
    <row r="444" spans="1:33">
      <c r="A444">
        <f t="shared" si="108"/>
        <v>0</v>
      </c>
      <c r="B444" s="2" t="str">
        <f t="shared" si="125"/>
        <v/>
      </c>
      <c r="C444" s="4" t="str">
        <f t="shared" si="109"/>
        <v/>
      </c>
      <c r="D444" s="3" t="str">
        <f t="shared" si="110"/>
        <v/>
      </c>
      <c r="E444" s="47"/>
      <c r="F444" s="3" t="str">
        <f t="shared" si="111"/>
        <v/>
      </c>
      <c r="G444" s="47"/>
      <c r="H444" s="3" t="str">
        <f t="shared" si="112"/>
        <v/>
      </c>
      <c r="I444" s="47"/>
      <c r="J444" s="3" t="str">
        <f t="shared" si="113"/>
        <v/>
      </c>
      <c r="K444" s="47"/>
      <c r="L444" s="3" t="str">
        <f t="shared" si="114"/>
        <v/>
      </c>
      <c r="M444" s="47"/>
      <c r="N444" s="3" t="str">
        <f t="shared" si="115"/>
        <v/>
      </c>
      <c r="O444" s="47"/>
      <c r="P444" s="3" t="str">
        <f t="shared" si="116"/>
        <v/>
      </c>
      <c r="Q444" s="47"/>
      <c r="R444" s="3" t="str">
        <f t="shared" si="117"/>
        <v/>
      </c>
      <c r="S444" s="47"/>
      <c r="T444" s="1" t="str">
        <f t="shared" si="118"/>
        <v/>
      </c>
      <c r="U444" s="47"/>
      <c r="V444" s="1" t="str">
        <f t="shared" si="119"/>
        <v/>
      </c>
      <c r="W444" s="47"/>
      <c r="X444" s="1" t="str">
        <f t="shared" si="120"/>
        <v/>
      </c>
      <c r="Y444" s="47"/>
      <c r="Z444" s="1" t="str">
        <f t="shared" si="121"/>
        <v/>
      </c>
      <c r="AA444" s="47"/>
      <c r="AB444" s="1" t="str">
        <f t="shared" si="122"/>
        <v/>
      </c>
      <c r="AC444" s="47"/>
      <c r="AD444" s="1" t="str">
        <f t="shared" si="123"/>
        <v/>
      </c>
      <c r="AE444" s="47"/>
      <c r="AF444" s="1" t="str">
        <f t="shared" si="124"/>
        <v/>
      </c>
      <c r="AG444" s="47"/>
    </row>
    <row r="445" spans="1:33">
      <c r="A445">
        <f t="shared" si="108"/>
        <v>0</v>
      </c>
      <c r="B445" s="2" t="str">
        <f t="shared" si="125"/>
        <v/>
      </c>
      <c r="C445" s="4" t="str">
        <f t="shared" si="109"/>
        <v/>
      </c>
      <c r="D445" s="3" t="str">
        <f t="shared" si="110"/>
        <v/>
      </c>
      <c r="E445" s="47"/>
      <c r="F445" s="3" t="str">
        <f t="shared" si="111"/>
        <v/>
      </c>
      <c r="G445" s="47"/>
      <c r="H445" s="3" t="str">
        <f t="shared" si="112"/>
        <v/>
      </c>
      <c r="I445" s="47"/>
      <c r="J445" s="3" t="str">
        <f t="shared" si="113"/>
        <v/>
      </c>
      <c r="K445" s="47"/>
      <c r="L445" s="3" t="str">
        <f t="shared" si="114"/>
        <v/>
      </c>
      <c r="M445" s="47"/>
      <c r="N445" s="3" t="str">
        <f t="shared" si="115"/>
        <v/>
      </c>
      <c r="O445" s="47"/>
      <c r="P445" s="3" t="str">
        <f t="shared" si="116"/>
        <v/>
      </c>
      <c r="Q445" s="47"/>
      <c r="R445" s="3" t="str">
        <f t="shared" si="117"/>
        <v/>
      </c>
      <c r="S445" s="47"/>
      <c r="T445" s="1" t="str">
        <f t="shared" si="118"/>
        <v/>
      </c>
      <c r="U445" s="47"/>
      <c r="V445" s="1" t="str">
        <f t="shared" si="119"/>
        <v/>
      </c>
      <c r="W445" s="47"/>
      <c r="X445" s="1" t="str">
        <f t="shared" si="120"/>
        <v/>
      </c>
      <c r="Y445" s="47"/>
      <c r="Z445" s="1" t="str">
        <f t="shared" si="121"/>
        <v/>
      </c>
      <c r="AA445" s="47"/>
      <c r="AB445" s="1" t="str">
        <f t="shared" si="122"/>
        <v/>
      </c>
      <c r="AC445" s="47"/>
      <c r="AD445" s="1" t="str">
        <f t="shared" si="123"/>
        <v/>
      </c>
      <c r="AE445" s="47"/>
      <c r="AF445" s="1" t="str">
        <f t="shared" si="124"/>
        <v/>
      </c>
      <c r="AG445" s="47"/>
    </row>
    <row r="446" spans="1:33">
      <c r="A446">
        <f t="shared" si="108"/>
        <v>0</v>
      </c>
      <c r="B446" s="2" t="str">
        <f t="shared" si="125"/>
        <v/>
      </c>
      <c r="C446" s="4" t="str">
        <f t="shared" si="109"/>
        <v/>
      </c>
      <c r="D446" s="3" t="str">
        <f t="shared" si="110"/>
        <v/>
      </c>
      <c r="E446" s="47"/>
      <c r="F446" s="3" t="str">
        <f t="shared" si="111"/>
        <v/>
      </c>
      <c r="G446" s="47"/>
      <c r="H446" s="3" t="str">
        <f t="shared" si="112"/>
        <v/>
      </c>
      <c r="I446" s="47"/>
      <c r="J446" s="3" t="str">
        <f t="shared" si="113"/>
        <v/>
      </c>
      <c r="K446" s="47"/>
      <c r="L446" s="3" t="str">
        <f t="shared" si="114"/>
        <v/>
      </c>
      <c r="M446" s="47"/>
      <c r="N446" s="3" t="str">
        <f t="shared" si="115"/>
        <v/>
      </c>
      <c r="O446" s="47"/>
      <c r="P446" s="3" t="str">
        <f t="shared" si="116"/>
        <v/>
      </c>
      <c r="Q446" s="47"/>
      <c r="R446" s="3" t="str">
        <f t="shared" si="117"/>
        <v/>
      </c>
      <c r="S446" s="47"/>
      <c r="T446" s="1" t="str">
        <f t="shared" si="118"/>
        <v/>
      </c>
      <c r="U446" s="47"/>
      <c r="V446" s="1" t="str">
        <f t="shared" si="119"/>
        <v/>
      </c>
      <c r="W446" s="47"/>
      <c r="X446" s="1" t="str">
        <f t="shared" si="120"/>
        <v/>
      </c>
      <c r="Y446" s="47"/>
      <c r="Z446" s="1" t="str">
        <f t="shared" si="121"/>
        <v/>
      </c>
      <c r="AA446" s="47"/>
      <c r="AB446" s="1" t="str">
        <f t="shared" si="122"/>
        <v/>
      </c>
      <c r="AC446" s="47"/>
      <c r="AD446" s="1" t="str">
        <f t="shared" si="123"/>
        <v/>
      </c>
      <c r="AE446" s="47"/>
      <c r="AF446" s="1" t="str">
        <f t="shared" si="124"/>
        <v/>
      </c>
      <c r="AG446" s="47"/>
    </row>
    <row r="447" spans="1:33">
      <c r="A447">
        <f t="shared" si="108"/>
        <v>0</v>
      </c>
      <c r="B447" s="2" t="str">
        <f t="shared" si="125"/>
        <v/>
      </c>
      <c r="C447" s="4" t="str">
        <f t="shared" si="109"/>
        <v/>
      </c>
      <c r="D447" s="3" t="str">
        <f t="shared" si="110"/>
        <v/>
      </c>
      <c r="E447" s="47"/>
      <c r="F447" s="3" t="str">
        <f t="shared" si="111"/>
        <v/>
      </c>
      <c r="G447" s="47"/>
      <c r="H447" s="3" t="str">
        <f t="shared" si="112"/>
        <v/>
      </c>
      <c r="I447" s="47"/>
      <c r="J447" s="3" t="str">
        <f t="shared" si="113"/>
        <v/>
      </c>
      <c r="K447" s="47"/>
      <c r="L447" s="3" t="str">
        <f t="shared" si="114"/>
        <v/>
      </c>
      <c r="M447" s="47"/>
      <c r="N447" s="3" t="str">
        <f t="shared" si="115"/>
        <v/>
      </c>
      <c r="O447" s="47"/>
      <c r="P447" s="3" t="str">
        <f t="shared" si="116"/>
        <v/>
      </c>
      <c r="Q447" s="47"/>
      <c r="R447" s="3" t="str">
        <f t="shared" si="117"/>
        <v/>
      </c>
      <c r="S447" s="47"/>
      <c r="T447" s="1" t="str">
        <f t="shared" si="118"/>
        <v/>
      </c>
      <c r="U447" s="47"/>
      <c r="V447" s="1" t="str">
        <f t="shared" si="119"/>
        <v/>
      </c>
      <c r="W447" s="47"/>
      <c r="X447" s="1" t="str">
        <f t="shared" si="120"/>
        <v/>
      </c>
      <c r="Y447" s="47"/>
      <c r="Z447" s="1" t="str">
        <f t="shared" si="121"/>
        <v/>
      </c>
      <c r="AA447" s="47"/>
      <c r="AB447" s="1" t="str">
        <f t="shared" si="122"/>
        <v/>
      </c>
      <c r="AC447" s="47"/>
      <c r="AD447" s="1" t="str">
        <f t="shared" si="123"/>
        <v/>
      </c>
      <c r="AE447" s="47"/>
      <c r="AF447" s="1" t="str">
        <f t="shared" si="124"/>
        <v/>
      </c>
      <c r="AG447" s="47"/>
    </row>
    <row r="448" spans="1:33">
      <c r="A448">
        <f t="shared" si="108"/>
        <v>0</v>
      </c>
      <c r="B448" s="2" t="str">
        <f t="shared" si="125"/>
        <v/>
      </c>
      <c r="C448" s="4" t="str">
        <f t="shared" si="109"/>
        <v/>
      </c>
      <c r="D448" s="3" t="str">
        <f t="shared" si="110"/>
        <v/>
      </c>
      <c r="E448" s="47"/>
      <c r="F448" s="3" t="str">
        <f t="shared" si="111"/>
        <v/>
      </c>
      <c r="G448" s="47"/>
      <c r="H448" s="3" t="str">
        <f t="shared" si="112"/>
        <v/>
      </c>
      <c r="I448" s="47"/>
      <c r="J448" s="3" t="str">
        <f t="shared" si="113"/>
        <v/>
      </c>
      <c r="K448" s="47"/>
      <c r="L448" s="3" t="str">
        <f t="shared" si="114"/>
        <v/>
      </c>
      <c r="M448" s="47"/>
      <c r="N448" s="3" t="str">
        <f t="shared" si="115"/>
        <v/>
      </c>
      <c r="O448" s="47"/>
      <c r="P448" s="3" t="str">
        <f t="shared" si="116"/>
        <v/>
      </c>
      <c r="Q448" s="47"/>
      <c r="R448" s="3" t="str">
        <f t="shared" si="117"/>
        <v/>
      </c>
      <c r="S448" s="47"/>
      <c r="T448" s="1" t="str">
        <f t="shared" si="118"/>
        <v/>
      </c>
      <c r="U448" s="47"/>
      <c r="V448" s="1" t="str">
        <f t="shared" si="119"/>
        <v/>
      </c>
      <c r="W448" s="47"/>
      <c r="X448" s="1" t="str">
        <f t="shared" si="120"/>
        <v/>
      </c>
      <c r="Y448" s="47"/>
      <c r="Z448" s="1" t="str">
        <f t="shared" si="121"/>
        <v/>
      </c>
      <c r="AA448" s="47"/>
      <c r="AB448" s="1" t="str">
        <f t="shared" si="122"/>
        <v/>
      </c>
      <c r="AC448" s="47"/>
      <c r="AD448" s="1" t="str">
        <f t="shared" si="123"/>
        <v/>
      </c>
      <c r="AE448" s="47"/>
      <c r="AF448" s="1" t="str">
        <f t="shared" si="124"/>
        <v/>
      </c>
      <c r="AG448" s="47"/>
    </row>
    <row r="449" spans="1:33">
      <c r="A449">
        <f t="shared" si="108"/>
        <v>0</v>
      </c>
      <c r="B449" s="2" t="str">
        <f t="shared" si="125"/>
        <v/>
      </c>
      <c r="C449" s="4" t="str">
        <f t="shared" si="109"/>
        <v/>
      </c>
      <c r="D449" s="3" t="str">
        <f t="shared" si="110"/>
        <v/>
      </c>
      <c r="E449" s="47"/>
      <c r="F449" s="3" t="str">
        <f t="shared" si="111"/>
        <v/>
      </c>
      <c r="G449" s="47"/>
      <c r="H449" s="3" t="str">
        <f t="shared" si="112"/>
        <v/>
      </c>
      <c r="I449" s="47"/>
      <c r="J449" s="3" t="str">
        <f t="shared" si="113"/>
        <v/>
      </c>
      <c r="K449" s="47"/>
      <c r="L449" s="3" t="str">
        <f t="shared" si="114"/>
        <v/>
      </c>
      <c r="M449" s="47"/>
      <c r="N449" s="3" t="str">
        <f t="shared" si="115"/>
        <v/>
      </c>
      <c r="O449" s="47"/>
      <c r="P449" s="3" t="str">
        <f t="shared" si="116"/>
        <v/>
      </c>
      <c r="Q449" s="47"/>
      <c r="R449" s="3" t="str">
        <f t="shared" si="117"/>
        <v/>
      </c>
      <c r="S449" s="47"/>
      <c r="T449" s="1" t="str">
        <f t="shared" si="118"/>
        <v/>
      </c>
      <c r="U449" s="47"/>
      <c r="V449" s="1" t="str">
        <f t="shared" si="119"/>
        <v/>
      </c>
      <c r="W449" s="47"/>
      <c r="X449" s="1" t="str">
        <f t="shared" si="120"/>
        <v/>
      </c>
      <c r="Y449" s="47"/>
      <c r="Z449" s="1" t="str">
        <f t="shared" si="121"/>
        <v/>
      </c>
      <c r="AA449" s="47"/>
      <c r="AB449" s="1" t="str">
        <f t="shared" si="122"/>
        <v/>
      </c>
      <c r="AC449" s="47"/>
      <c r="AD449" s="1" t="str">
        <f t="shared" si="123"/>
        <v/>
      </c>
      <c r="AE449" s="47"/>
      <c r="AF449" s="1" t="str">
        <f t="shared" si="124"/>
        <v/>
      </c>
      <c r="AG449" s="47"/>
    </row>
    <row r="450" spans="1:33">
      <c r="A450">
        <f t="shared" si="108"/>
        <v>0</v>
      </c>
      <c r="B450" s="2" t="str">
        <f t="shared" si="125"/>
        <v/>
      </c>
      <c r="C450" s="4" t="str">
        <f t="shared" si="109"/>
        <v/>
      </c>
      <c r="D450" s="3" t="str">
        <f t="shared" si="110"/>
        <v/>
      </c>
      <c r="E450" s="47"/>
      <c r="F450" s="3" t="str">
        <f t="shared" si="111"/>
        <v/>
      </c>
      <c r="G450" s="47"/>
      <c r="H450" s="3" t="str">
        <f t="shared" si="112"/>
        <v/>
      </c>
      <c r="I450" s="47"/>
      <c r="J450" s="3" t="str">
        <f t="shared" si="113"/>
        <v/>
      </c>
      <c r="K450" s="47"/>
      <c r="L450" s="3" t="str">
        <f t="shared" si="114"/>
        <v/>
      </c>
      <c r="M450" s="47"/>
      <c r="N450" s="3" t="str">
        <f t="shared" si="115"/>
        <v/>
      </c>
      <c r="O450" s="47"/>
      <c r="P450" s="3" t="str">
        <f t="shared" si="116"/>
        <v/>
      </c>
      <c r="Q450" s="47"/>
      <c r="R450" s="3" t="str">
        <f t="shared" si="117"/>
        <v/>
      </c>
      <c r="S450" s="47"/>
      <c r="T450" s="1" t="str">
        <f t="shared" si="118"/>
        <v/>
      </c>
      <c r="U450" s="47"/>
      <c r="V450" s="1" t="str">
        <f t="shared" si="119"/>
        <v/>
      </c>
      <c r="W450" s="47"/>
      <c r="X450" s="1" t="str">
        <f t="shared" si="120"/>
        <v/>
      </c>
      <c r="Y450" s="47"/>
      <c r="Z450" s="1" t="str">
        <f t="shared" si="121"/>
        <v/>
      </c>
      <c r="AA450" s="47"/>
      <c r="AB450" s="1" t="str">
        <f t="shared" si="122"/>
        <v/>
      </c>
      <c r="AC450" s="47"/>
      <c r="AD450" s="1" t="str">
        <f t="shared" si="123"/>
        <v/>
      </c>
      <c r="AE450" s="47"/>
      <c r="AF450" s="1" t="str">
        <f t="shared" si="124"/>
        <v/>
      </c>
      <c r="AG450" s="47"/>
    </row>
    <row r="451" spans="1:33">
      <c r="A451">
        <f t="shared" si="108"/>
        <v>0</v>
      </c>
      <c r="B451" s="2" t="str">
        <f t="shared" si="125"/>
        <v/>
      </c>
      <c r="C451" s="4" t="str">
        <f t="shared" si="109"/>
        <v/>
      </c>
      <c r="D451" s="3" t="str">
        <f t="shared" si="110"/>
        <v/>
      </c>
      <c r="E451" s="47"/>
      <c r="F451" s="3" t="str">
        <f t="shared" si="111"/>
        <v/>
      </c>
      <c r="G451" s="47"/>
      <c r="H451" s="3" t="str">
        <f t="shared" si="112"/>
        <v/>
      </c>
      <c r="I451" s="47"/>
      <c r="J451" s="3" t="str">
        <f t="shared" si="113"/>
        <v/>
      </c>
      <c r="K451" s="47"/>
      <c r="L451" s="3" t="str">
        <f t="shared" si="114"/>
        <v/>
      </c>
      <c r="M451" s="47"/>
      <c r="N451" s="3" t="str">
        <f t="shared" si="115"/>
        <v/>
      </c>
      <c r="O451" s="47"/>
      <c r="P451" s="3" t="str">
        <f t="shared" si="116"/>
        <v/>
      </c>
      <c r="Q451" s="47"/>
      <c r="R451" s="3" t="str">
        <f t="shared" si="117"/>
        <v/>
      </c>
      <c r="S451" s="47"/>
      <c r="T451" s="1" t="str">
        <f t="shared" si="118"/>
        <v/>
      </c>
      <c r="U451" s="47"/>
      <c r="V451" s="1" t="str">
        <f t="shared" si="119"/>
        <v/>
      </c>
      <c r="W451" s="47"/>
      <c r="X451" s="1" t="str">
        <f t="shared" si="120"/>
        <v/>
      </c>
      <c r="Y451" s="47"/>
      <c r="Z451" s="1" t="str">
        <f t="shared" si="121"/>
        <v/>
      </c>
      <c r="AA451" s="47"/>
      <c r="AB451" s="1" t="str">
        <f t="shared" si="122"/>
        <v/>
      </c>
      <c r="AC451" s="47"/>
      <c r="AD451" s="1" t="str">
        <f t="shared" si="123"/>
        <v/>
      </c>
      <c r="AE451" s="47"/>
      <c r="AF451" s="1" t="str">
        <f t="shared" si="124"/>
        <v/>
      </c>
      <c r="AG451" s="47"/>
    </row>
    <row r="452" spans="1:33">
      <c r="A452">
        <f t="shared" si="108"/>
        <v>0</v>
      </c>
      <c r="B452" s="2" t="str">
        <f t="shared" si="125"/>
        <v/>
      </c>
      <c r="C452" s="4" t="str">
        <f t="shared" si="109"/>
        <v/>
      </c>
      <c r="D452" s="3" t="str">
        <f t="shared" si="110"/>
        <v/>
      </c>
      <c r="E452" s="47"/>
      <c r="F452" s="3" t="str">
        <f t="shared" si="111"/>
        <v/>
      </c>
      <c r="G452" s="47"/>
      <c r="H452" s="3" t="str">
        <f t="shared" si="112"/>
        <v/>
      </c>
      <c r="I452" s="47"/>
      <c r="J452" s="3" t="str">
        <f t="shared" si="113"/>
        <v/>
      </c>
      <c r="K452" s="47"/>
      <c r="L452" s="3" t="str">
        <f t="shared" si="114"/>
        <v/>
      </c>
      <c r="M452" s="47"/>
      <c r="N452" s="3" t="str">
        <f t="shared" si="115"/>
        <v/>
      </c>
      <c r="O452" s="47"/>
      <c r="P452" s="3" t="str">
        <f t="shared" si="116"/>
        <v/>
      </c>
      <c r="Q452" s="47"/>
      <c r="R452" s="3" t="str">
        <f t="shared" si="117"/>
        <v/>
      </c>
      <c r="S452" s="47"/>
      <c r="T452" s="1" t="str">
        <f t="shared" si="118"/>
        <v/>
      </c>
      <c r="U452" s="47"/>
      <c r="V452" s="1" t="str">
        <f t="shared" si="119"/>
        <v/>
      </c>
      <c r="W452" s="47"/>
      <c r="X452" s="1" t="str">
        <f t="shared" si="120"/>
        <v/>
      </c>
      <c r="Y452" s="47"/>
      <c r="Z452" s="1" t="str">
        <f t="shared" si="121"/>
        <v/>
      </c>
      <c r="AA452" s="47"/>
      <c r="AB452" s="1" t="str">
        <f t="shared" si="122"/>
        <v/>
      </c>
      <c r="AC452" s="47"/>
      <c r="AD452" s="1" t="str">
        <f t="shared" si="123"/>
        <v/>
      </c>
      <c r="AE452" s="47"/>
      <c r="AF452" s="1" t="str">
        <f t="shared" si="124"/>
        <v/>
      </c>
      <c r="AG452" s="47"/>
    </row>
    <row r="453" spans="1:33">
      <c r="A453">
        <f t="shared" si="108"/>
        <v>0</v>
      </c>
      <c r="B453" s="2" t="str">
        <f t="shared" si="125"/>
        <v/>
      </c>
      <c r="C453" s="4" t="str">
        <f t="shared" si="109"/>
        <v/>
      </c>
      <c r="D453" s="3" t="str">
        <f t="shared" si="110"/>
        <v/>
      </c>
      <c r="E453" s="47"/>
      <c r="F453" s="3" t="str">
        <f t="shared" si="111"/>
        <v/>
      </c>
      <c r="G453" s="47"/>
      <c r="H453" s="3" t="str">
        <f t="shared" si="112"/>
        <v/>
      </c>
      <c r="I453" s="47"/>
      <c r="J453" s="3" t="str">
        <f t="shared" si="113"/>
        <v/>
      </c>
      <c r="K453" s="47"/>
      <c r="L453" s="3" t="str">
        <f t="shared" si="114"/>
        <v/>
      </c>
      <c r="M453" s="47"/>
      <c r="N453" s="3" t="str">
        <f t="shared" si="115"/>
        <v/>
      </c>
      <c r="O453" s="47"/>
      <c r="P453" s="3" t="str">
        <f t="shared" si="116"/>
        <v/>
      </c>
      <c r="Q453" s="47"/>
      <c r="R453" s="3" t="str">
        <f t="shared" si="117"/>
        <v/>
      </c>
      <c r="S453" s="47"/>
      <c r="T453" s="1" t="str">
        <f t="shared" si="118"/>
        <v/>
      </c>
      <c r="U453" s="47"/>
      <c r="V453" s="1" t="str">
        <f t="shared" si="119"/>
        <v/>
      </c>
      <c r="W453" s="47"/>
      <c r="X453" s="1" t="str">
        <f t="shared" si="120"/>
        <v/>
      </c>
      <c r="Y453" s="47"/>
      <c r="Z453" s="1" t="str">
        <f t="shared" si="121"/>
        <v/>
      </c>
      <c r="AA453" s="47"/>
      <c r="AB453" s="1" t="str">
        <f t="shared" si="122"/>
        <v/>
      </c>
      <c r="AC453" s="47"/>
      <c r="AD453" s="1" t="str">
        <f t="shared" si="123"/>
        <v/>
      </c>
      <c r="AE453" s="47"/>
      <c r="AF453" s="1" t="str">
        <f t="shared" si="124"/>
        <v/>
      </c>
      <c r="AG453" s="47"/>
    </row>
    <row r="454" spans="1:33">
      <c r="A454">
        <f t="shared" si="108"/>
        <v>0</v>
      </c>
      <c r="B454" s="2" t="str">
        <f t="shared" si="125"/>
        <v/>
      </c>
      <c r="C454" s="4" t="str">
        <f t="shared" si="109"/>
        <v/>
      </c>
      <c r="D454" s="3" t="str">
        <f t="shared" si="110"/>
        <v/>
      </c>
      <c r="E454" s="47"/>
      <c r="F454" s="3" t="str">
        <f t="shared" si="111"/>
        <v/>
      </c>
      <c r="G454" s="47"/>
      <c r="H454" s="3" t="str">
        <f t="shared" si="112"/>
        <v/>
      </c>
      <c r="I454" s="47"/>
      <c r="J454" s="3" t="str">
        <f t="shared" si="113"/>
        <v/>
      </c>
      <c r="K454" s="47"/>
      <c r="L454" s="3" t="str">
        <f t="shared" si="114"/>
        <v/>
      </c>
      <c r="M454" s="47"/>
      <c r="N454" s="3" t="str">
        <f t="shared" si="115"/>
        <v/>
      </c>
      <c r="O454" s="47"/>
      <c r="P454" s="3" t="str">
        <f t="shared" si="116"/>
        <v/>
      </c>
      <c r="Q454" s="47"/>
      <c r="R454" s="3" t="str">
        <f t="shared" si="117"/>
        <v/>
      </c>
      <c r="S454" s="47"/>
      <c r="T454" s="1" t="str">
        <f t="shared" si="118"/>
        <v/>
      </c>
      <c r="U454" s="47"/>
      <c r="V454" s="1" t="str">
        <f t="shared" si="119"/>
        <v/>
      </c>
      <c r="W454" s="47"/>
      <c r="X454" s="1" t="str">
        <f t="shared" si="120"/>
        <v/>
      </c>
      <c r="Y454" s="47"/>
      <c r="Z454" s="1" t="str">
        <f t="shared" si="121"/>
        <v/>
      </c>
      <c r="AA454" s="47"/>
      <c r="AB454" s="1" t="str">
        <f t="shared" si="122"/>
        <v/>
      </c>
      <c r="AC454" s="47"/>
      <c r="AD454" s="1" t="str">
        <f t="shared" si="123"/>
        <v/>
      </c>
      <c r="AE454" s="47"/>
      <c r="AF454" s="1" t="str">
        <f t="shared" si="124"/>
        <v/>
      </c>
      <c r="AG454" s="47"/>
    </row>
    <row r="455" spans="1:33">
      <c r="A455">
        <f t="shared" ref="A455:A518" si="126">$C$1</f>
        <v>0</v>
      </c>
      <c r="B455" s="2" t="str">
        <f t="shared" si="125"/>
        <v/>
      </c>
      <c r="C455" s="4" t="str">
        <f t="shared" si="109"/>
        <v/>
      </c>
      <c r="D455" s="3" t="str">
        <f t="shared" si="110"/>
        <v/>
      </c>
      <c r="E455" s="47"/>
      <c r="F455" s="3" t="str">
        <f t="shared" si="111"/>
        <v/>
      </c>
      <c r="G455" s="47"/>
      <c r="H455" s="3" t="str">
        <f t="shared" si="112"/>
        <v/>
      </c>
      <c r="I455" s="47"/>
      <c r="J455" s="3" t="str">
        <f t="shared" si="113"/>
        <v/>
      </c>
      <c r="K455" s="47"/>
      <c r="L455" s="3" t="str">
        <f t="shared" si="114"/>
        <v/>
      </c>
      <c r="M455" s="47"/>
      <c r="N455" s="3" t="str">
        <f t="shared" si="115"/>
        <v/>
      </c>
      <c r="O455" s="47"/>
      <c r="P455" s="3" t="str">
        <f t="shared" si="116"/>
        <v/>
      </c>
      <c r="Q455" s="47"/>
      <c r="R455" s="3" t="str">
        <f t="shared" si="117"/>
        <v/>
      </c>
      <c r="S455" s="47"/>
      <c r="T455" s="1" t="str">
        <f t="shared" si="118"/>
        <v/>
      </c>
      <c r="U455" s="47"/>
      <c r="V455" s="1" t="str">
        <f t="shared" si="119"/>
        <v/>
      </c>
      <c r="W455" s="47"/>
      <c r="X455" s="1" t="str">
        <f t="shared" si="120"/>
        <v/>
      </c>
      <c r="Y455" s="47"/>
      <c r="Z455" s="1" t="str">
        <f t="shared" si="121"/>
        <v/>
      </c>
      <c r="AA455" s="47"/>
      <c r="AB455" s="1" t="str">
        <f t="shared" si="122"/>
        <v/>
      </c>
      <c r="AC455" s="47"/>
      <c r="AD455" s="1" t="str">
        <f t="shared" si="123"/>
        <v/>
      </c>
      <c r="AE455" s="47"/>
      <c r="AF455" s="1" t="str">
        <f t="shared" si="124"/>
        <v/>
      </c>
      <c r="AG455" s="47"/>
    </row>
    <row r="456" spans="1:33">
      <c r="A456">
        <f t="shared" si="126"/>
        <v>0</v>
      </c>
      <c r="B456" s="2" t="str">
        <f t="shared" si="125"/>
        <v/>
      </c>
      <c r="C456" s="4" t="str">
        <f t="shared" ref="C456:C519" si="127">TEXT(B456,"AAA")</f>
        <v/>
      </c>
      <c r="D456" s="3" t="str">
        <f t="shared" ref="D456:D519" si="128">IF(NOT(AND($F$3&lt;=B456,B456&lt;=$F$4)),"",$F$2&amp;"")</f>
        <v/>
      </c>
      <c r="E456" s="47"/>
      <c r="F456" s="3" t="str">
        <f t="shared" ref="F456:F519" si="129">IF(NOT(AND($G$3&lt;=B456,B456&lt;=$G$4)),"",$G$2&amp;"")</f>
        <v/>
      </c>
      <c r="G456" s="47"/>
      <c r="H456" s="3" t="str">
        <f t="shared" ref="H456:H519" si="130">IF(NOT(AND($H$3&lt;=B456,B456&lt;=$H$4)),"",$H$2&amp;"")</f>
        <v/>
      </c>
      <c r="I456" s="47"/>
      <c r="J456" s="3" t="str">
        <f t="shared" ref="J456:J519" si="131">IF(NOT(AND($I$3&lt;=B456,B456&lt;=$I$4)),"",$I$2&amp;"")</f>
        <v/>
      </c>
      <c r="K456" s="47"/>
      <c r="L456" s="3" t="str">
        <f t="shared" ref="L456:L519" si="132">IF(NOT(AND($J$3&lt;=B456,B456&lt;=$J$4)),"",$J$2&amp;"")</f>
        <v/>
      </c>
      <c r="M456" s="47"/>
      <c r="N456" s="3" t="str">
        <f t="shared" ref="N456:N519" si="133">IF(NOT(AND($K$3&lt;=B456,B456&lt;=$K$4)),"",$K$2&amp;"")</f>
        <v/>
      </c>
      <c r="O456" s="47"/>
      <c r="P456" s="3" t="str">
        <f t="shared" ref="P456:P519" si="134">IF(NOT(AND($L$3&lt;=B456,B456&lt;=$L$4)),"",$L$2&amp;"")</f>
        <v/>
      </c>
      <c r="Q456" s="47"/>
      <c r="R456" s="3" t="str">
        <f t="shared" ref="R456:R519" si="135">IF(NOT(AND($M$3&lt;=B456,B456&lt;=$M$4)),"",$M$2&amp;"")</f>
        <v/>
      </c>
      <c r="S456" s="47"/>
      <c r="T456" s="1" t="str">
        <f t="shared" ref="T456:T519" si="136">IF(NOT(AND($N$3&lt;=B456,B456&lt;=$N$4)),"",$N$2&amp;"")</f>
        <v/>
      </c>
      <c r="U456" s="47"/>
      <c r="V456" s="1" t="str">
        <f t="shared" ref="V456:V519" si="137">IF(NOT(AND($O$3&lt;=B456,B456&lt;=$O$4)),"",$O$2&amp;"")</f>
        <v/>
      </c>
      <c r="W456" s="47"/>
      <c r="X456" s="1" t="str">
        <f t="shared" ref="X456:X519" si="138">IF(NOT(AND($P$3&lt;=B456,B456&lt;=$P$4)),"",$P$2&amp;"")</f>
        <v/>
      </c>
      <c r="Y456" s="47"/>
      <c r="Z456" s="1" t="str">
        <f t="shared" ref="Z456:Z519" si="139">IF(NOT(AND($Q$3&lt;=B456,B456&lt;=$Q$4)),"",$Q$2&amp;"")</f>
        <v/>
      </c>
      <c r="AA456" s="47"/>
      <c r="AB456" s="1" t="str">
        <f t="shared" ref="AB456:AB519" si="140">IF(NOT(AND($R$3&lt;=B456,B456&lt;=$R$4)),"",$R$2&amp;"")</f>
        <v/>
      </c>
      <c r="AC456" s="47"/>
      <c r="AD456" s="1" t="str">
        <f t="shared" ref="AD456:AD519" si="141">IF(NOT(AND($S$3&lt;=B456,B456&lt;=$S$4)),"",$S$2&amp;"")</f>
        <v/>
      </c>
      <c r="AE456" s="47"/>
      <c r="AF456" s="1" t="str">
        <f t="shared" ref="AF456:AF519" si="142">IF(NOT(AND($T$3&lt;=B456,B456&lt;=$T$4)),"",$T$2&amp;"")</f>
        <v/>
      </c>
      <c r="AG456" s="47"/>
    </row>
    <row r="457" spans="1:33">
      <c r="A457">
        <f t="shared" si="126"/>
        <v>0</v>
      </c>
      <c r="B457" s="2" t="str">
        <f t="shared" ref="B457:B520" si="143">IFERROR(IF(B456+1&gt;$C$3,"",B456+1),"")</f>
        <v/>
      </c>
      <c r="C457" s="4" t="str">
        <f t="shared" si="127"/>
        <v/>
      </c>
      <c r="D457" s="3" t="str">
        <f t="shared" si="128"/>
        <v/>
      </c>
      <c r="E457" s="47"/>
      <c r="F457" s="3" t="str">
        <f t="shared" si="129"/>
        <v/>
      </c>
      <c r="G457" s="47"/>
      <c r="H457" s="3" t="str">
        <f t="shared" si="130"/>
        <v/>
      </c>
      <c r="I457" s="47"/>
      <c r="J457" s="3" t="str">
        <f t="shared" si="131"/>
        <v/>
      </c>
      <c r="K457" s="47"/>
      <c r="L457" s="3" t="str">
        <f t="shared" si="132"/>
        <v/>
      </c>
      <c r="M457" s="47"/>
      <c r="N457" s="3" t="str">
        <f t="shared" si="133"/>
        <v/>
      </c>
      <c r="O457" s="47"/>
      <c r="P457" s="3" t="str">
        <f t="shared" si="134"/>
        <v/>
      </c>
      <c r="Q457" s="47"/>
      <c r="R457" s="3" t="str">
        <f t="shared" si="135"/>
        <v/>
      </c>
      <c r="S457" s="47"/>
      <c r="T457" s="1" t="str">
        <f t="shared" si="136"/>
        <v/>
      </c>
      <c r="U457" s="47"/>
      <c r="V457" s="1" t="str">
        <f t="shared" si="137"/>
        <v/>
      </c>
      <c r="W457" s="47"/>
      <c r="X457" s="1" t="str">
        <f t="shared" si="138"/>
        <v/>
      </c>
      <c r="Y457" s="47"/>
      <c r="Z457" s="1" t="str">
        <f t="shared" si="139"/>
        <v/>
      </c>
      <c r="AA457" s="47"/>
      <c r="AB457" s="1" t="str">
        <f t="shared" si="140"/>
        <v/>
      </c>
      <c r="AC457" s="47"/>
      <c r="AD457" s="1" t="str">
        <f t="shared" si="141"/>
        <v/>
      </c>
      <c r="AE457" s="47"/>
      <c r="AF457" s="1" t="str">
        <f t="shared" si="142"/>
        <v/>
      </c>
      <c r="AG457" s="47"/>
    </row>
    <row r="458" spans="1:33">
      <c r="A458">
        <f t="shared" si="126"/>
        <v>0</v>
      </c>
      <c r="B458" s="2" t="str">
        <f t="shared" si="143"/>
        <v/>
      </c>
      <c r="C458" s="4" t="str">
        <f t="shared" si="127"/>
        <v/>
      </c>
      <c r="D458" s="3" t="str">
        <f t="shared" si="128"/>
        <v/>
      </c>
      <c r="E458" s="47"/>
      <c r="F458" s="3" t="str">
        <f t="shared" si="129"/>
        <v/>
      </c>
      <c r="G458" s="47"/>
      <c r="H458" s="3" t="str">
        <f t="shared" si="130"/>
        <v/>
      </c>
      <c r="I458" s="47"/>
      <c r="J458" s="3" t="str">
        <f t="shared" si="131"/>
        <v/>
      </c>
      <c r="K458" s="47"/>
      <c r="L458" s="3" t="str">
        <f t="shared" si="132"/>
        <v/>
      </c>
      <c r="M458" s="47"/>
      <c r="N458" s="3" t="str">
        <f t="shared" si="133"/>
        <v/>
      </c>
      <c r="O458" s="47"/>
      <c r="P458" s="3" t="str">
        <f t="shared" si="134"/>
        <v/>
      </c>
      <c r="Q458" s="47"/>
      <c r="R458" s="3" t="str">
        <f t="shared" si="135"/>
        <v/>
      </c>
      <c r="S458" s="47"/>
      <c r="T458" s="1" t="str">
        <f t="shared" si="136"/>
        <v/>
      </c>
      <c r="U458" s="47"/>
      <c r="V458" s="1" t="str">
        <f t="shared" si="137"/>
        <v/>
      </c>
      <c r="W458" s="47"/>
      <c r="X458" s="1" t="str">
        <f t="shared" si="138"/>
        <v/>
      </c>
      <c r="Y458" s="47"/>
      <c r="Z458" s="1" t="str">
        <f t="shared" si="139"/>
        <v/>
      </c>
      <c r="AA458" s="47"/>
      <c r="AB458" s="1" t="str">
        <f t="shared" si="140"/>
        <v/>
      </c>
      <c r="AC458" s="47"/>
      <c r="AD458" s="1" t="str">
        <f t="shared" si="141"/>
        <v/>
      </c>
      <c r="AE458" s="47"/>
      <c r="AF458" s="1" t="str">
        <f t="shared" si="142"/>
        <v/>
      </c>
      <c r="AG458" s="47"/>
    </row>
    <row r="459" spans="1:33">
      <c r="A459">
        <f t="shared" si="126"/>
        <v>0</v>
      </c>
      <c r="B459" s="2" t="str">
        <f t="shared" si="143"/>
        <v/>
      </c>
      <c r="C459" s="4" t="str">
        <f t="shared" si="127"/>
        <v/>
      </c>
      <c r="D459" s="3" t="str">
        <f t="shared" si="128"/>
        <v/>
      </c>
      <c r="E459" s="47"/>
      <c r="F459" s="3" t="str">
        <f t="shared" si="129"/>
        <v/>
      </c>
      <c r="G459" s="47"/>
      <c r="H459" s="3" t="str">
        <f t="shared" si="130"/>
        <v/>
      </c>
      <c r="I459" s="47"/>
      <c r="J459" s="3" t="str">
        <f t="shared" si="131"/>
        <v/>
      </c>
      <c r="K459" s="47"/>
      <c r="L459" s="3" t="str">
        <f t="shared" si="132"/>
        <v/>
      </c>
      <c r="M459" s="47"/>
      <c r="N459" s="3" t="str">
        <f t="shared" si="133"/>
        <v/>
      </c>
      <c r="O459" s="47"/>
      <c r="P459" s="3" t="str">
        <f t="shared" si="134"/>
        <v/>
      </c>
      <c r="Q459" s="47"/>
      <c r="R459" s="3" t="str">
        <f t="shared" si="135"/>
        <v/>
      </c>
      <c r="S459" s="47"/>
      <c r="T459" s="1" t="str">
        <f t="shared" si="136"/>
        <v/>
      </c>
      <c r="U459" s="47"/>
      <c r="V459" s="1" t="str">
        <f t="shared" si="137"/>
        <v/>
      </c>
      <c r="W459" s="47"/>
      <c r="X459" s="1" t="str">
        <f t="shared" si="138"/>
        <v/>
      </c>
      <c r="Y459" s="47"/>
      <c r="Z459" s="1" t="str">
        <f t="shared" si="139"/>
        <v/>
      </c>
      <c r="AA459" s="47"/>
      <c r="AB459" s="1" t="str">
        <f t="shared" si="140"/>
        <v/>
      </c>
      <c r="AC459" s="47"/>
      <c r="AD459" s="1" t="str">
        <f t="shared" si="141"/>
        <v/>
      </c>
      <c r="AE459" s="47"/>
      <c r="AF459" s="1" t="str">
        <f t="shared" si="142"/>
        <v/>
      </c>
      <c r="AG459" s="47"/>
    </row>
    <row r="460" spans="1:33">
      <c r="A460">
        <f t="shared" si="126"/>
        <v>0</v>
      </c>
      <c r="B460" s="2" t="str">
        <f t="shared" si="143"/>
        <v/>
      </c>
      <c r="C460" s="4" t="str">
        <f t="shared" si="127"/>
        <v/>
      </c>
      <c r="D460" s="3" t="str">
        <f t="shared" si="128"/>
        <v/>
      </c>
      <c r="E460" s="47"/>
      <c r="F460" s="3" t="str">
        <f t="shared" si="129"/>
        <v/>
      </c>
      <c r="G460" s="47"/>
      <c r="H460" s="3" t="str">
        <f t="shared" si="130"/>
        <v/>
      </c>
      <c r="I460" s="47"/>
      <c r="J460" s="3" t="str">
        <f t="shared" si="131"/>
        <v/>
      </c>
      <c r="K460" s="47"/>
      <c r="L460" s="3" t="str">
        <f t="shared" si="132"/>
        <v/>
      </c>
      <c r="M460" s="47"/>
      <c r="N460" s="3" t="str">
        <f t="shared" si="133"/>
        <v/>
      </c>
      <c r="O460" s="47"/>
      <c r="P460" s="3" t="str">
        <f t="shared" si="134"/>
        <v/>
      </c>
      <c r="Q460" s="47"/>
      <c r="R460" s="3" t="str">
        <f t="shared" si="135"/>
        <v/>
      </c>
      <c r="S460" s="47"/>
      <c r="T460" s="1" t="str">
        <f t="shared" si="136"/>
        <v/>
      </c>
      <c r="U460" s="47"/>
      <c r="V460" s="1" t="str">
        <f t="shared" si="137"/>
        <v/>
      </c>
      <c r="W460" s="47"/>
      <c r="X460" s="1" t="str">
        <f t="shared" si="138"/>
        <v/>
      </c>
      <c r="Y460" s="47"/>
      <c r="Z460" s="1" t="str">
        <f t="shared" si="139"/>
        <v/>
      </c>
      <c r="AA460" s="47"/>
      <c r="AB460" s="1" t="str">
        <f t="shared" si="140"/>
        <v/>
      </c>
      <c r="AC460" s="47"/>
      <c r="AD460" s="1" t="str">
        <f t="shared" si="141"/>
        <v/>
      </c>
      <c r="AE460" s="47"/>
      <c r="AF460" s="1" t="str">
        <f t="shared" si="142"/>
        <v/>
      </c>
      <c r="AG460" s="47"/>
    </row>
    <row r="461" spans="1:33">
      <c r="A461">
        <f t="shared" si="126"/>
        <v>0</v>
      </c>
      <c r="B461" s="2" t="str">
        <f t="shared" si="143"/>
        <v/>
      </c>
      <c r="C461" s="4" t="str">
        <f t="shared" si="127"/>
        <v/>
      </c>
      <c r="D461" s="3" t="str">
        <f t="shared" si="128"/>
        <v/>
      </c>
      <c r="E461" s="47"/>
      <c r="F461" s="3" t="str">
        <f t="shared" si="129"/>
        <v/>
      </c>
      <c r="G461" s="47"/>
      <c r="H461" s="3" t="str">
        <f t="shared" si="130"/>
        <v/>
      </c>
      <c r="I461" s="47"/>
      <c r="J461" s="3" t="str">
        <f t="shared" si="131"/>
        <v/>
      </c>
      <c r="K461" s="47"/>
      <c r="L461" s="3" t="str">
        <f t="shared" si="132"/>
        <v/>
      </c>
      <c r="M461" s="47"/>
      <c r="N461" s="3" t="str">
        <f t="shared" si="133"/>
        <v/>
      </c>
      <c r="O461" s="47"/>
      <c r="P461" s="3" t="str">
        <f t="shared" si="134"/>
        <v/>
      </c>
      <c r="Q461" s="47"/>
      <c r="R461" s="3" t="str">
        <f t="shared" si="135"/>
        <v/>
      </c>
      <c r="S461" s="47"/>
      <c r="T461" s="1" t="str">
        <f t="shared" si="136"/>
        <v/>
      </c>
      <c r="U461" s="47"/>
      <c r="V461" s="1" t="str">
        <f t="shared" si="137"/>
        <v/>
      </c>
      <c r="W461" s="47"/>
      <c r="X461" s="1" t="str">
        <f t="shared" si="138"/>
        <v/>
      </c>
      <c r="Y461" s="47"/>
      <c r="Z461" s="1" t="str">
        <f t="shared" si="139"/>
        <v/>
      </c>
      <c r="AA461" s="47"/>
      <c r="AB461" s="1" t="str">
        <f t="shared" si="140"/>
        <v/>
      </c>
      <c r="AC461" s="47"/>
      <c r="AD461" s="1" t="str">
        <f t="shared" si="141"/>
        <v/>
      </c>
      <c r="AE461" s="47"/>
      <c r="AF461" s="1" t="str">
        <f t="shared" si="142"/>
        <v/>
      </c>
      <c r="AG461" s="47"/>
    </row>
    <row r="462" spans="1:33">
      <c r="A462">
        <f t="shared" si="126"/>
        <v>0</v>
      </c>
      <c r="B462" s="2" t="str">
        <f t="shared" si="143"/>
        <v/>
      </c>
      <c r="C462" s="4" t="str">
        <f t="shared" si="127"/>
        <v/>
      </c>
      <c r="D462" s="3" t="str">
        <f t="shared" si="128"/>
        <v/>
      </c>
      <c r="E462" s="47"/>
      <c r="F462" s="3" t="str">
        <f t="shared" si="129"/>
        <v/>
      </c>
      <c r="G462" s="47"/>
      <c r="H462" s="3" t="str">
        <f t="shared" si="130"/>
        <v/>
      </c>
      <c r="I462" s="47"/>
      <c r="J462" s="3" t="str">
        <f t="shared" si="131"/>
        <v/>
      </c>
      <c r="K462" s="47"/>
      <c r="L462" s="3" t="str">
        <f t="shared" si="132"/>
        <v/>
      </c>
      <c r="M462" s="47"/>
      <c r="N462" s="3" t="str">
        <f t="shared" si="133"/>
        <v/>
      </c>
      <c r="O462" s="47"/>
      <c r="P462" s="3" t="str">
        <f t="shared" si="134"/>
        <v/>
      </c>
      <c r="Q462" s="47"/>
      <c r="R462" s="3" t="str">
        <f t="shared" si="135"/>
        <v/>
      </c>
      <c r="S462" s="47"/>
      <c r="T462" s="1" t="str">
        <f t="shared" si="136"/>
        <v/>
      </c>
      <c r="U462" s="47"/>
      <c r="V462" s="1" t="str">
        <f t="shared" si="137"/>
        <v/>
      </c>
      <c r="W462" s="47"/>
      <c r="X462" s="1" t="str">
        <f t="shared" si="138"/>
        <v/>
      </c>
      <c r="Y462" s="47"/>
      <c r="Z462" s="1" t="str">
        <f t="shared" si="139"/>
        <v/>
      </c>
      <c r="AA462" s="47"/>
      <c r="AB462" s="1" t="str">
        <f t="shared" si="140"/>
        <v/>
      </c>
      <c r="AC462" s="47"/>
      <c r="AD462" s="1" t="str">
        <f t="shared" si="141"/>
        <v/>
      </c>
      <c r="AE462" s="47"/>
      <c r="AF462" s="1" t="str">
        <f t="shared" si="142"/>
        <v/>
      </c>
      <c r="AG462" s="47"/>
    </row>
    <row r="463" spans="1:33">
      <c r="A463">
        <f t="shared" si="126"/>
        <v>0</v>
      </c>
      <c r="B463" s="2" t="str">
        <f t="shared" si="143"/>
        <v/>
      </c>
      <c r="C463" s="4" t="str">
        <f t="shared" si="127"/>
        <v/>
      </c>
      <c r="D463" s="3" t="str">
        <f t="shared" si="128"/>
        <v/>
      </c>
      <c r="E463" s="47"/>
      <c r="F463" s="3" t="str">
        <f t="shared" si="129"/>
        <v/>
      </c>
      <c r="G463" s="47"/>
      <c r="H463" s="3" t="str">
        <f t="shared" si="130"/>
        <v/>
      </c>
      <c r="I463" s="47"/>
      <c r="J463" s="3" t="str">
        <f t="shared" si="131"/>
        <v/>
      </c>
      <c r="K463" s="47"/>
      <c r="L463" s="3" t="str">
        <f t="shared" si="132"/>
        <v/>
      </c>
      <c r="M463" s="47"/>
      <c r="N463" s="3" t="str">
        <f t="shared" si="133"/>
        <v/>
      </c>
      <c r="O463" s="47"/>
      <c r="P463" s="3" t="str">
        <f t="shared" si="134"/>
        <v/>
      </c>
      <c r="Q463" s="47"/>
      <c r="R463" s="3" t="str">
        <f t="shared" si="135"/>
        <v/>
      </c>
      <c r="S463" s="47"/>
      <c r="T463" s="1" t="str">
        <f t="shared" si="136"/>
        <v/>
      </c>
      <c r="U463" s="47"/>
      <c r="V463" s="1" t="str">
        <f t="shared" si="137"/>
        <v/>
      </c>
      <c r="W463" s="47"/>
      <c r="X463" s="1" t="str">
        <f t="shared" si="138"/>
        <v/>
      </c>
      <c r="Y463" s="47"/>
      <c r="Z463" s="1" t="str">
        <f t="shared" si="139"/>
        <v/>
      </c>
      <c r="AA463" s="47"/>
      <c r="AB463" s="1" t="str">
        <f t="shared" si="140"/>
        <v/>
      </c>
      <c r="AC463" s="47"/>
      <c r="AD463" s="1" t="str">
        <f t="shared" si="141"/>
        <v/>
      </c>
      <c r="AE463" s="47"/>
      <c r="AF463" s="1" t="str">
        <f t="shared" si="142"/>
        <v/>
      </c>
      <c r="AG463" s="47"/>
    </row>
    <row r="464" spans="1:33">
      <c r="A464">
        <f t="shared" si="126"/>
        <v>0</v>
      </c>
      <c r="B464" s="2" t="str">
        <f t="shared" si="143"/>
        <v/>
      </c>
      <c r="C464" s="4" t="str">
        <f t="shared" si="127"/>
        <v/>
      </c>
      <c r="D464" s="3" t="str">
        <f t="shared" si="128"/>
        <v/>
      </c>
      <c r="E464" s="47"/>
      <c r="F464" s="3" t="str">
        <f t="shared" si="129"/>
        <v/>
      </c>
      <c r="G464" s="47"/>
      <c r="H464" s="3" t="str">
        <f t="shared" si="130"/>
        <v/>
      </c>
      <c r="I464" s="47"/>
      <c r="J464" s="3" t="str">
        <f t="shared" si="131"/>
        <v/>
      </c>
      <c r="K464" s="47"/>
      <c r="L464" s="3" t="str">
        <f t="shared" si="132"/>
        <v/>
      </c>
      <c r="M464" s="47"/>
      <c r="N464" s="3" t="str">
        <f t="shared" si="133"/>
        <v/>
      </c>
      <c r="O464" s="47"/>
      <c r="P464" s="3" t="str">
        <f t="shared" si="134"/>
        <v/>
      </c>
      <c r="Q464" s="47"/>
      <c r="R464" s="3" t="str">
        <f t="shared" si="135"/>
        <v/>
      </c>
      <c r="S464" s="47"/>
      <c r="T464" s="1" t="str">
        <f t="shared" si="136"/>
        <v/>
      </c>
      <c r="U464" s="47"/>
      <c r="V464" s="1" t="str">
        <f t="shared" si="137"/>
        <v/>
      </c>
      <c r="W464" s="47"/>
      <c r="X464" s="1" t="str">
        <f t="shared" si="138"/>
        <v/>
      </c>
      <c r="Y464" s="47"/>
      <c r="Z464" s="1" t="str">
        <f t="shared" si="139"/>
        <v/>
      </c>
      <c r="AA464" s="47"/>
      <c r="AB464" s="1" t="str">
        <f t="shared" si="140"/>
        <v/>
      </c>
      <c r="AC464" s="47"/>
      <c r="AD464" s="1" t="str">
        <f t="shared" si="141"/>
        <v/>
      </c>
      <c r="AE464" s="47"/>
      <c r="AF464" s="1" t="str">
        <f t="shared" si="142"/>
        <v/>
      </c>
      <c r="AG464" s="47"/>
    </row>
    <row r="465" spans="1:33">
      <c r="A465">
        <f t="shared" si="126"/>
        <v>0</v>
      </c>
      <c r="B465" s="2" t="str">
        <f t="shared" si="143"/>
        <v/>
      </c>
      <c r="C465" s="4" t="str">
        <f t="shared" si="127"/>
        <v/>
      </c>
      <c r="D465" s="3" t="str">
        <f t="shared" si="128"/>
        <v/>
      </c>
      <c r="E465" s="47"/>
      <c r="F465" s="3" t="str">
        <f t="shared" si="129"/>
        <v/>
      </c>
      <c r="G465" s="47"/>
      <c r="H465" s="3" t="str">
        <f t="shared" si="130"/>
        <v/>
      </c>
      <c r="I465" s="47"/>
      <c r="J465" s="3" t="str">
        <f t="shared" si="131"/>
        <v/>
      </c>
      <c r="K465" s="47"/>
      <c r="L465" s="3" t="str">
        <f t="shared" si="132"/>
        <v/>
      </c>
      <c r="M465" s="47"/>
      <c r="N465" s="3" t="str">
        <f t="shared" si="133"/>
        <v/>
      </c>
      <c r="O465" s="47"/>
      <c r="P465" s="3" t="str">
        <f t="shared" si="134"/>
        <v/>
      </c>
      <c r="Q465" s="47"/>
      <c r="R465" s="3" t="str">
        <f t="shared" si="135"/>
        <v/>
      </c>
      <c r="S465" s="47"/>
      <c r="T465" s="1" t="str">
        <f t="shared" si="136"/>
        <v/>
      </c>
      <c r="U465" s="47"/>
      <c r="V465" s="1" t="str">
        <f t="shared" si="137"/>
        <v/>
      </c>
      <c r="W465" s="47"/>
      <c r="X465" s="1" t="str">
        <f t="shared" si="138"/>
        <v/>
      </c>
      <c r="Y465" s="47"/>
      <c r="Z465" s="1" t="str">
        <f t="shared" si="139"/>
        <v/>
      </c>
      <c r="AA465" s="47"/>
      <c r="AB465" s="1" t="str">
        <f t="shared" si="140"/>
        <v/>
      </c>
      <c r="AC465" s="47"/>
      <c r="AD465" s="1" t="str">
        <f t="shared" si="141"/>
        <v/>
      </c>
      <c r="AE465" s="47"/>
      <c r="AF465" s="1" t="str">
        <f t="shared" si="142"/>
        <v/>
      </c>
      <c r="AG465" s="47"/>
    </row>
    <row r="466" spans="1:33">
      <c r="A466">
        <f t="shared" si="126"/>
        <v>0</v>
      </c>
      <c r="B466" s="2" t="str">
        <f t="shared" si="143"/>
        <v/>
      </c>
      <c r="C466" s="4" t="str">
        <f t="shared" si="127"/>
        <v/>
      </c>
      <c r="D466" s="3" t="str">
        <f t="shared" si="128"/>
        <v/>
      </c>
      <c r="E466" s="47"/>
      <c r="F466" s="3" t="str">
        <f t="shared" si="129"/>
        <v/>
      </c>
      <c r="G466" s="47"/>
      <c r="H466" s="3" t="str">
        <f t="shared" si="130"/>
        <v/>
      </c>
      <c r="I466" s="47"/>
      <c r="J466" s="3" t="str">
        <f t="shared" si="131"/>
        <v/>
      </c>
      <c r="K466" s="47"/>
      <c r="L466" s="3" t="str">
        <f t="shared" si="132"/>
        <v/>
      </c>
      <c r="M466" s="47"/>
      <c r="N466" s="3" t="str">
        <f t="shared" si="133"/>
        <v/>
      </c>
      <c r="O466" s="47"/>
      <c r="P466" s="3" t="str">
        <f t="shared" si="134"/>
        <v/>
      </c>
      <c r="Q466" s="47"/>
      <c r="R466" s="3" t="str">
        <f t="shared" si="135"/>
        <v/>
      </c>
      <c r="S466" s="47"/>
      <c r="T466" s="1" t="str">
        <f t="shared" si="136"/>
        <v/>
      </c>
      <c r="U466" s="47"/>
      <c r="V466" s="1" t="str">
        <f t="shared" si="137"/>
        <v/>
      </c>
      <c r="W466" s="47"/>
      <c r="X466" s="1" t="str">
        <f t="shared" si="138"/>
        <v/>
      </c>
      <c r="Y466" s="47"/>
      <c r="Z466" s="1" t="str">
        <f t="shared" si="139"/>
        <v/>
      </c>
      <c r="AA466" s="47"/>
      <c r="AB466" s="1" t="str">
        <f t="shared" si="140"/>
        <v/>
      </c>
      <c r="AC466" s="47"/>
      <c r="AD466" s="1" t="str">
        <f t="shared" si="141"/>
        <v/>
      </c>
      <c r="AE466" s="47"/>
      <c r="AF466" s="1" t="str">
        <f t="shared" si="142"/>
        <v/>
      </c>
      <c r="AG466" s="47"/>
    </row>
    <row r="467" spans="1:33">
      <c r="A467">
        <f t="shared" si="126"/>
        <v>0</v>
      </c>
      <c r="B467" s="2" t="str">
        <f t="shared" si="143"/>
        <v/>
      </c>
      <c r="C467" s="4" t="str">
        <f t="shared" si="127"/>
        <v/>
      </c>
      <c r="D467" s="3" t="str">
        <f t="shared" si="128"/>
        <v/>
      </c>
      <c r="E467" s="47"/>
      <c r="F467" s="3" t="str">
        <f t="shared" si="129"/>
        <v/>
      </c>
      <c r="G467" s="47"/>
      <c r="H467" s="3" t="str">
        <f t="shared" si="130"/>
        <v/>
      </c>
      <c r="I467" s="47"/>
      <c r="J467" s="3" t="str">
        <f t="shared" si="131"/>
        <v/>
      </c>
      <c r="K467" s="47"/>
      <c r="L467" s="3" t="str">
        <f t="shared" si="132"/>
        <v/>
      </c>
      <c r="M467" s="47"/>
      <c r="N467" s="3" t="str">
        <f t="shared" si="133"/>
        <v/>
      </c>
      <c r="O467" s="47"/>
      <c r="P467" s="3" t="str">
        <f t="shared" si="134"/>
        <v/>
      </c>
      <c r="Q467" s="47"/>
      <c r="R467" s="3" t="str">
        <f t="shared" si="135"/>
        <v/>
      </c>
      <c r="S467" s="47"/>
      <c r="T467" s="1" t="str">
        <f t="shared" si="136"/>
        <v/>
      </c>
      <c r="U467" s="47"/>
      <c r="V467" s="1" t="str">
        <f t="shared" si="137"/>
        <v/>
      </c>
      <c r="W467" s="47"/>
      <c r="X467" s="1" t="str">
        <f t="shared" si="138"/>
        <v/>
      </c>
      <c r="Y467" s="47"/>
      <c r="Z467" s="1" t="str">
        <f t="shared" si="139"/>
        <v/>
      </c>
      <c r="AA467" s="47"/>
      <c r="AB467" s="1" t="str">
        <f t="shared" si="140"/>
        <v/>
      </c>
      <c r="AC467" s="47"/>
      <c r="AD467" s="1" t="str">
        <f t="shared" si="141"/>
        <v/>
      </c>
      <c r="AE467" s="47"/>
      <c r="AF467" s="1" t="str">
        <f t="shared" si="142"/>
        <v/>
      </c>
      <c r="AG467" s="47"/>
    </row>
    <row r="468" spans="1:33">
      <c r="A468">
        <f t="shared" si="126"/>
        <v>0</v>
      </c>
      <c r="B468" s="2" t="str">
        <f t="shared" si="143"/>
        <v/>
      </c>
      <c r="C468" s="4" t="str">
        <f t="shared" si="127"/>
        <v/>
      </c>
      <c r="D468" s="3" t="str">
        <f t="shared" si="128"/>
        <v/>
      </c>
      <c r="E468" s="47"/>
      <c r="F468" s="3" t="str">
        <f t="shared" si="129"/>
        <v/>
      </c>
      <c r="G468" s="47"/>
      <c r="H468" s="3" t="str">
        <f t="shared" si="130"/>
        <v/>
      </c>
      <c r="I468" s="47"/>
      <c r="J468" s="3" t="str">
        <f t="shared" si="131"/>
        <v/>
      </c>
      <c r="K468" s="47"/>
      <c r="L468" s="3" t="str">
        <f t="shared" si="132"/>
        <v/>
      </c>
      <c r="M468" s="47"/>
      <c r="N468" s="3" t="str">
        <f t="shared" si="133"/>
        <v/>
      </c>
      <c r="O468" s="47"/>
      <c r="P468" s="3" t="str">
        <f t="shared" si="134"/>
        <v/>
      </c>
      <c r="Q468" s="47"/>
      <c r="R468" s="3" t="str">
        <f t="shared" si="135"/>
        <v/>
      </c>
      <c r="S468" s="47"/>
      <c r="T468" s="1" t="str">
        <f t="shared" si="136"/>
        <v/>
      </c>
      <c r="U468" s="47"/>
      <c r="V468" s="1" t="str">
        <f t="shared" si="137"/>
        <v/>
      </c>
      <c r="W468" s="47"/>
      <c r="X468" s="1" t="str">
        <f t="shared" si="138"/>
        <v/>
      </c>
      <c r="Y468" s="47"/>
      <c r="Z468" s="1" t="str">
        <f t="shared" si="139"/>
        <v/>
      </c>
      <c r="AA468" s="47"/>
      <c r="AB468" s="1" t="str">
        <f t="shared" si="140"/>
        <v/>
      </c>
      <c r="AC468" s="47"/>
      <c r="AD468" s="1" t="str">
        <f t="shared" si="141"/>
        <v/>
      </c>
      <c r="AE468" s="47"/>
      <c r="AF468" s="1" t="str">
        <f t="shared" si="142"/>
        <v/>
      </c>
      <c r="AG468" s="47"/>
    </row>
    <row r="469" spans="1:33">
      <c r="A469">
        <f t="shared" si="126"/>
        <v>0</v>
      </c>
      <c r="B469" s="2" t="str">
        <f t="shared" si="143"/>
        <v/>
      </c>
      <c r="C469" s="4" t="str">
        <f t="shared" si="127"/>
        <v/>
      </c>
      <c r="D469" s="3" t="str">
        <f t="shared" si="128"/>
        <v/>
      </c>
      <c r="E469" s="47"/>
      <c r="F469" s="3" t="str">
        <f t="shared" si="129"/>
        <v/>
      </c>
      <c r="G469" s="47"/>
      <c r="H469" s="3" t="str">
        <f t="shared" si="130"/>
        <v/>
      </c>
      <c r="I469" s="47"/>
      <c r="J469" s="3" t="str">
        <f t="shared" si="131"/>
        <v/>
      </c>
      <c r="K469" s="47"/>
      <c r="L469" s="3" t="str">
        <f t="shared" si="132"/>
        <v/>
      </c>
      <c r="M469" s="47"/>
      <c r="N469" s="3" t="str">
        <f t="shared" si="133"/>
        <v/>
      </c>
      <c r="O469" s="47"/>
      <c r="P469" s="3" t="str">
        <f t="shared" si="134"/>
        <v/>
      </c>
      <c r="Q469" s="47"/>
      <c r="R469" s="3" t="str">
        <f t="shared" si="135"/>
        <v/>
      </c>
      <c r="S469" s="47"/>
      <c r="T469" s="1" t="str">
        <f t="shared" si="136"/>
        <v/>
      </c>
      <c r="U469" s="47"/>
      <c r="V469" s="1" t="str">
        <f t="shared" si="137"/>
        <v/>
      </c>
      <c r="W469" s="47"/>
      <c r="X469" s="1" t="str">
        <f t="shared" si="138"/>
        <v/>
      </c>
      <c r="Y469" s="47"/>
      <c r="Z469" s="1" t="str">
        <f t="shared" si="139"/>
        <v/>
      </c>
      <c r="AA469" s="47"/>
      <c r="AB469" s="1" t="str">
        <f t="shared" si="140"/>
        <v/>
      </c>
      <c r="AC469" s="47"/>
      <c r="AD469" s="1" t="str">
        <f t="shared" si="141"/>
        <v/>
      </c>
      <c r="AE469" s="47"/>
      <c r="AF469" s="1" t="str">
        <f t="shared" si="142"/>
        <v/>
      </c>
      <c r="AG469" s="47"/>
    </row>
    <row r="470" spans="1:33">
      <c r="A470">
        <f t="shared" si="126"/>
        <v>0</v>
      </c>
      <c r="B470" s="2" t="str">
        <f t="shared" si="143"/>
        <v/>
      </c>
      <c r="C470" s="4" t="str">
        <f t="shared" si="127"/>
        <v/>
      </c>
      <c r="D470" s="3" t="str">
        <f t="shared" si="128"/>
        <v/>
      </c>
      <c r="E470" s="47"/>
      <c r="F470" s="3" t="str">
        <f t="shared" si="129"/>
        <v/>
      </c>
      <c r="G470" s="47"/>
      <c r="H470" s="3" t="str">
        <f t="shared" si="130"/>
        <v/>
      </c>
      <c r="I470" s="47"/>
      <c r="J470" s="3" t="str">
        <f t="shared" si="131"/>
        <v/>
      </c>
      <c r="K470" s="47"/>
      <c r="L470" s="3" t="str">
        <f t="shared" si="132"/>
        <v/>
      </c>
      <c r="M470" s="47"/>
      <c r="N470" s="3" t="str">
        <f t="shared" si="133"/>
        <v/>
      </c>
      <c r="O470" s="47"/>
      <c r="P470" s="3" t="str">
        <f t="shared" si="134"/>
        <v/>
      </c>
      <c r="Q470" s="47"/>
      <c r="R470" s="3" t="str">
        <f t="shared" si="135"/>
        <v/>
      </c>
      <c r="S470" s="47"/>
      <c r="T470" s="1" t="str">
        <f t="shared" si="136"/>
        <v/>
      </c>
      <c r="U470" s="47"/>
      <c r="V470" s="1" t="str">
        <f t="shared" si="137"/>
        <v/>
      </c>
      <c r="W470" s="47"/>
      <c r="X470" s="1" t="str">
        <f t="shared" si="138"/>
        <v/>
      </c>
      <c r="Y470" s="47"/>
      <c r="Z470" s="1" t="str">
        <f t="shared" si="139"/>
        <v/>
      </c>
      <c r="AA470" s="47"/>
      <c r="AB470" s="1" t="str">
        <f t="shared" si="140"/>
        <v/>
      </c>
      <c r="AC470" s="47"/>
      <c r="AD470" s="1" t="str">
        <f t="shared" si="141"/>
        <v/>
      </c>
      <c r="AE470" s="47"/>
      <c r="AF470" s="1" t="str">
        <f t="shared" si="142"/>
        <v/>
      </c>
      <c r="AG470" s="47"/>
    </row>
    <row r="471" spans="1:33">
      <c r="A471">
        <f t="shared" si="126"/>
        <v>0</v>
      </c>
      <c r="B471" s="2" t="str">
        <f t="shared" si="143"/>
        <v/>
      </c>
      <c r="C471" s="4" t="str">
        <f t="shared" si="127"/>
        <v/>
      </c>
      <c r="D471" s="3" t="str">
        <f t="shared" si="128"/>
        <v/>
      </c>
      <c r="E471" s="47"/>
      <c r="F471" s="3" t="str">
        <f t="shared" si="129"/>
        <v/>
      </c>
      <c r="G471" s="47"/>
      <c r="H471" s="3" t="str">
        <f t="shared" si="130"/>
        <v/>
      </c>
      <c r="I471" s="47"/>
      <c r="J471" s="3" t="str">
        <f t="shared" si="131"/>
        <v/>
      </c>
      <c r="K471" s="47"/>
      <c r="L471" s="3" t="str">
        <f t="shared" si="132"/>
        <v/>
      </c>
      <c r="M471" s="47"/>
      <c r="N471" s="3" t="str">
        <f t="shared" si="133"/>
        <v/>
      </c>
      <c r="O471" s="47"/>
      <c r="P471" s="3" t="str">
        <f t="shared" si="134"/>
        <v/>
      </c>
      <c r="Q471" s="47"/>
      <c r="R471" s="3" t="str">
        <f t="shared" si="135"/>
        <v/>
      </c>
      <c r="S471" s="47"/>
      <c r="T471" s="1" t="str">
        <f t="shared" si="136"/>
        <v/>
      </c>
      <c r="U471" s="47"/>
      <c r="V471" s="1" t="str">
        <f t="shared" si="137"/>
        <v/>
      </c>
      <c r="W471" s="47"/>
      <c r="X471" s="1" t="str">
        <f t="shared" si="138"/>
        <v/>
      </c>
      <c r="Y471" s="47"/>
      <c r="Z471" s="1" t="str">
        <f t="shared" si="139"/>
        <v/>
      </c>
      <c r="AA471" s="47"/>
      <c r="AB471" s="1" t="str">
        <f t="shared" si="140"/>
        <v/>
      </c>
      <c r="AC471" s="47"/>
      <c r="AD471" s="1" t="str">
        <f t="shared" si="141"/>
        <v/>
      </c>
      <c r="AE471" s="47"/>
      <c r="AF471" s="1" t="str">
        <f t="shared" si="142"/>
        <v/>
      </c>
      <c r="AG471" s="47"/>
    </row>
    <row r="472" spans="1:33">
      <c r="A472">
        <f t="shared" si="126"/>
        <v>0</v>
      </c>
      <c r="B472" s="2" t="str">
        <f t="shared" si="143"/>
        <v/>
      </c>
      <c r="C472" s="4" t="str">
        <f t="shared" si="127"/>
        <v/>
      </c>
      <c r="D472" s="3" t="str">
        <f t="shared" si="128"/>
        <v/>
      </c>
      <c r="E472" s="47"/>
      <c r="F472" s="3" t="str">
        <f t="shared" si="129"/>
        <v/>
      </c>
      <c r="G472" s="47"/>
      <c r="H472" s="3" t="str">
        <f t="shared" si="130"/>
        <v/>
      </c>
      <c r="I472" s="47"/>
      <c r="J472" s="3" t="str">
        <f t="shared" si="131"/>
        <v/>
      </c>
      <c r="K472" s="47"/>
      <c r="L472" s="3" t="str">
        <f t="shared" si="132"/>
        <v/>
      </c>
      <c r="M472" s="47"/>
      <c r="N472" s="3" t="str">
        <f t="shared" si="133"/>
        <v/>
      </c>
      <c r="O472" s="47"/>
      <c r="P472" s="3" t="str">
        <f t="shared" si="134"/>
        <v/>
      </c>
      <c r="Q472" s="47"/>
      <c r="R472" s="3" t="str">
        <f t="shared" si="135"/>
        <v/>
      </c>
      <c r="S472" s="47"/>
      <c r="T472" s="1" t="str">
        <f t="shared" si="136"/>
        <v/>
      </c>
      <c r="U472" s="47"/>
      <c r="V472" s="1" t="str">
        <f t="shared" si="137"/>
        <v/>
      </c>
      <c r="W472" s="47"/>
      <c r="X472" s="1" t="str">
        <f t="shared" si="138"/>
        <v/>
      </c>
      <c r="Y472" s="47"/>
      <c r="Z472" s="1" t="str">
        <f t="shared" si="139"/>
        <v/>
      </c>
      <c r="AA472" s="47"/>
      <c r="AB472" s="1" t="str">
        <f t="shared" si="140"/>
        <v/>
      </c>
      <c r="AC472" s="47"/>
      <c r="AD472" s="1" t="str">
        <f t="shared" si="141"/>
        <v/>
      </c>
      <c r="AE472" s="47"/>
      <c r="AF472" s="1" t="str">
        <f t="shared" si="142"/>
        <v/>
      </c>
      <c r="AG472" s="47"/>
    </row>
    <row r="473" spans="1:33">
      <c r="A473">
        <f t="shared" si="126"/>
        <v>0</v>
      </c>
      <c r="B473" s="2" t="str">
        <f t="shared" si="143"/>
        <v/>
      </c>
      <c r="C473" s="4" t="str">
        <f t="shared" si="127"/>
        <v/>
      </c>
      <c r="D473" s="3" t="str">
        <f t="shared" si="128"/>
        <v/>
      </c>
      <c r="E473" s="47"/>
      <c r="F473" s="3" t="str">
        <f t="shared" si="129"/>
        <v/>
      </c>
      <c r="G473" s="47"/>
      <c r="H473" s="3" t="str">
        <f t="shared" si="130"/>
        <v/>
      </c>
      <c r="I473" s="47"/>
      <c r="J473" s="3" t="str">
        <f t="shared" si="131"/>
        <v/>
      </c>
      <c r="K473" s="47"/>
      <c r="L473" s="3" t="str">
        <f t="shared" si="132"/>
        <v/>
      </c>
      <c r="M473" s="47"/>
      <c r="N473" s="3" t="str">
        <f t="shared" si="133"/>
        <v/>
      </c>
      <c r="O473" s="47"/>
      <c r="P473" s="3" t="str">
        <f t="shared" si="134"/>
        <v/>
      </c>
      <c r="Q473" s="47"/>
      <c r="R473" s="3" t="str">
        <f t="shared" si="135"/>
        <v/>
      </c>
      <c r="S473" s="47"/>
      <c r="T473" s="1" t="str">
        <f t="shared" si="136"/>
        <v/>
      </c>
      <c r="U473" s="47"/>
      <c r="V473" s="1" t="str">
        <f t="shared" si="137"/>
        <v/>
      </c>
      <c r="W473" s="47"/>
      <c r="X473" s="1" t="str">
        <f t="shared" si="138"/>
        <v/>
      </c>
      <c r="Y473" s="47"/>
      <c r="Z473" s="1" t="str">
        <f t="shared" si="139"/>
        <v/>
      </c>
      <c r="AA473" s="47"/>
      <c r="AB473" s="1" t="str">
        <f t="shared" si="140"/>
        <v/>
      </c>
      <c r="AC473" s="47"/>
      <c r="AD473" s="1" t="str">
        <f t="shared" si="141"/>
        <v/>
      </c>
      <c r="AE473" s="47"/>
      <c r="AF473" s="1" t="str">
        <f t="shared" si="142"/>
        <v/>
      </c>
      <c r="AG473" s="47"/>
    </row>
    <row r="474" spans="1:33">
      <c r="A474">
        <f t="shared" si="126"/>
        <v>0</v>
      </c>
      <c r="B474" s="2" t="str">
        <f t="shared" si="143"/>
        <v/>
      </c>
      <c r="C474" s="4" t="str">
        <f t="shared" si="127"/>
        <v/>
      </c>
      <c r="D474" s="3" t="str">
        <f t="shared" si="128"/>
        <v/>
      </c>
      <c r="E474" s="47"/>
      <c r="F474" s="3" t="str">
        <f t="shared" si="129"/>
        <v/>
      </c>
      <c r="G474" s="47"/>
      <c r="H474" s="3" t="str">
        <f t="shared" si="130"/>
        <v/>
      </c>
      <c r="I474" s="47"/>
      <c r="J474" s="3" t="str">
        <f t="shared" si="131"/>
        <v/>
      </c>
      <c r="K474" s="47"/>
      <c r="L474" s="3" t="str">
        <f t="shared" si="132"/>
        <v/>
      </c>
      <c r="M474" s="47"/>
      <c r="N474" s="3" t="str">
        <f t="shared" si="133"/>
        <v/>
      </c>
      <c r="O474" s="47"/>
      <c r="P474" s="3" t="str">
        <f t="shared" si="134"/>
        <v/>
      </c>
      <c r="Q474" s="47"/>
      <c r="R474" s="3" t="str">
        <f t="shared" si="135"/>
        <v/>
      </c>
      <c r="S474" s="47"/>
      <c r="T474" s="1" t="str">
        <f t="shared" si="136"/>
        <v/>
      </c>
      <c r="U474" s="47"/>
      <c r="V474" s="1" t="str">
        <f t="shared" si="137"/>
        <v/>
      </c>
      <c r="W474" s="47"/>
      <c r="X474" s="1" t="str">
        <f t="shared" si="138"/>
        <v/>
      </c>
      <c r="Y474" s="47"/>
      <c r="Z474" s="1" t="str">
        <f t="shared" si="139"/>
        <v/>
      </c>
      <c r="AA474" s="47"/>
      <c r="AB474" s="1" t="str">
        <f t="shared" si="140"/>
        <v/>
      </c>
      <c r="AC474" s="47"/>
      <c r="AD474" s="1" t="str">
        <f t="shared" si="141"/>
        <v/>
      </c>
      <c r="AE474" s="47"/>
      <c r="AF474" s="1" t="str">
        <f t="shared" si="142"/>
        <v/>
      </c>
      <c r="AG474" s="47"/>
    </row>
    <row r="475" spans="1:33">
      <c r="A475">
        <f t="shared" si="126"/>
        <v>0</v>
      </c>
      <c r="B475" s="2" t="str">
        <f t="shared" si="143"/>
        <v/>
      </c>
      <c r="C475" s="4" t="str">
        <f t="shared" si="127"/>
        <v/>
      </c>
      <c r="D475" s="3" t="str">
        <f t="shared" si="128"/>
        <v/>
      </c>
      <c r="E475" s="47"/>
      <c r="F475" s="3" t="str">
        <f t="shared" si="129"/>
        <v/>
      </c>
      <c r="G475" s="47"/>
      <c r="H475" s="3" t="str">
        <f t="shared" si="130"/>
        <v/>
      </c>
      <c r="I475" s="47"/>
      <c r="J475" s="3" t="str">
        <f t="shared" si="131"/>
        <v/>
      </c>
      <c r="K475" s="47"/>
      <c r="L475" s="3" t="str">
        <f t="shared" si="132"/>
        <v/>
      </c>
      <c r="M475" s="47"/>
      <c r="N475" s="3" t="str">
        <f t="shared" si="133"/>
        <v/>
      </c>
      <c r="O475" s="47"/>
      <c r="P475" s="3" t="str">
        <f t="shared" si="134"/>
        <v/>
      </c>
      <c r="Q475" s="47"/>
      <c r="R475" s="3" t="str">
        <f t="shared" si="135"/>
        <v/>
      </c>
      <c r="S475" s="47"/>
      <c r="T475" s="1" t="str">
        <f t="shared" si="136"/>
        <v/>
      </c>
      <c r="U475" s="47"/>
      <c r="V475" s="1" t="str">
        <f t="shared" si="137"/>
        <v/>
      </c>
      <c r="W475" s="47"/>
      <c r="X475" s="1" t="str">
        <f t="shared" si="138"/>
        <v/>
      </c>
      <c r="Y475" s="47"/>
      <c r="Z475" s="1" t="str">
        <f t="shared" si="139"/>
        <v/>
      </c>
      <c r="AA475" s="47"/>
      <c r="AB475" s="1" t="str">
        <f t="shared" si="140"/>
        <v/>
      </c>
      <c r="AC475" s="47"/>
      <c r="AD475" s="1" t="str">
        <f t="shared" si="141"/>
        <v/>
      </c>
      <c r="AE475" s="47"/>
      <c r="AF475" s="1" t="str">
        <f t="shared" si="142"/>
        <v/>
      </c>
      <c r="AG475" s="47"/>
    </row>
    <row r="476" spans="1:33">
      <c r="A476">
        <f t="shared" si="126"/>
        <v>0</v>
      </c>
      <c r="B476" s="2" t="str">
        <f t="shared" si="143"/>
        <v/>
      </c>
      <c r="C476" s="4" t="str">
        <f t="shared" si="127"/>
        <v/>
      </c>
      <c r="D476" s="3" t="str">
        <f t="shared" si="128"/>
        <v/>
      </c>
      <c r="E476" s="47"/>
      <c r="F476" s="3" t="str">
        <f t="shared" si="129"/>
        <v/>
      </c>
      <c r="G476" s="47"/>
      <c r="H476" s="3" t="str">
        <f t="shared" si="130"/>
        <v/>
      </c>
      <c r="I476" s="47"/>
      <c r="J476" s="3" t="str">
        <f t="shared" si="131"/>
        <v/>
      </c>
      <c r="K476" s="47"/>
      <c r="L476" s="3" t="str">
        <f t="shared" si="132"/>
        <v/>
      </c>
      <c r="M476" s="47"/>
      <c r="N476" s="3" t="str">
        <f t="shared" si="133"/>
        <v/>
      </c>
      <c r="O476" s="47"/>
      <c r="P476" s="3" t="str">
        <f t="shared" si="134"/>
        <v/>
      </c>
      <c r="Q476" s="47"/>
      <c r="R476" s="3" t="str">
        <f t="shared" si="135"/>
        <v/>
      </c>
      <c r="S476" s="47"/>
      <c r="T476" s="1" t="str">
        <f t="shared" si="136"/>
        <v/>
      </c>
      <c r="U476" s="47"/>
      <c r="V476" s="1" t="str">
        <f t="shared" si="137"/>
        <v/>
      </c>
      <c r="W476" s="47"/>
      <c r="X476" s="1" t="str">
        <f t="shared" si="138"/>
        <v/>
      </c>
      <c r="Y476" s="47"/>
      <c r="Z476" s="1" t="str">
        <f t="shared" si="139"/>
        <v/>
      </c>
      <c r="AA476" s="47"/>
      <c r="AB476" s="1" t="str">
        <f t="shared" si="140"/>
        <v/>
      </c>
      <c r="AC476" s="47"/>
      <c r="AD476" s="1" t="str">
        <f t="shared" si="141"/>
        <v/>
      </c>
      <c r="AE476" s="47"/>
      <c r="AF476" s="1" t="str">
        <f t="shared" si="142"/>
        <v/>
      </c>
      <c r="AG476" s="47"/>
    </row>
    <row r="477" spans="1:33">
      <c r="A477">
        <f t="shared" si="126"/>
        <v>0</v>
      </c>
      <c r="B477" s="2" t="str">
        <f t="shared" si="143"/>
        <v/>
      </c>
      <c r="C477" s="4" t="str">
        <f t="shared" si="127"/>
        <v/>
      </c>
      <c r="D477" s="3" t="str">
        <f t="shared" si="128"/>
        <v/>
      </c>
      <c r="E477" s="47"/>
      <c r="F477" s="3" t="str">
        <f t="shared" si="129"/>
        <v/>
      </c>
      <c r="G477" s="47"/>
      <c r="H477" s="3" t="str">
        <f t="shared" si="130"/>
        <v/>
      </c>
      <c r="I477" s="47"/>
      <c r="J477" s="3" t="str">
        <f t="shared" si="131"/>
        <v/>
      </c>
      <c r="K477" s="47"/>
      <c r="L477" s="3" t="str">
        <f t="shared" si="132"/>
        <v/>
      </c>
      <c r="M477" s="47"/>
      <c r="N477" s="3" t="str">
        <f t="shared" si="133"/>
        <v/>
      </c>
      <c r="O477" s="47"/>
      <c r="P477" s="3" t="str">
        <f t="shared" si="134"/>
        <v/>
      </c>
      <c r="Q477" s="47"/>
      <c r="R477" s="3" t="str">
        <f t="shared" si="135"/>
        <v/>
      </c>
      <c r="S477" s="47"/>
      <c r="T477" s="1" t="str">
        <f t="shared" si="136"/>
        <v/>
      </c>
      <c r="U477" s="47"/>
      <c r="V477" s="1" t="str">
        <f t="shared" si="137"/>
        <v/>
      </c>
      <c r="W477" s="47"/>
      <c r="X477" s="1" t="str">
        <f t="shared" si="138"/>
        <v/>
      </c>
      <c r="Y477" s="47"/>
      <c r="Z477" s="1" t="str">
        <f t="shared" si="139"/>
        <v/>
      </c>
      <c r="AA477" s="47"/>
      <c r="AB477" s="1" t="str">
        <f t="shared" si="140"/>
        <v/>
      </c>
      <c r="AC477" s="47"/>
      <c r="AD477" s="1" t="str">
        <f t="shared" si="141"/>
        <v/>
      </c>
      <c r="AE477" s="47"/>
      <c r="AF477" s="1" t="str">
        <f t="shared" si="142"/>
        <v/>
      </c>
      <c r="AG477" s="47"/>
    </row>
    <row r="478" spans="1:33">
      <c r="A478">
        <f t="shared" si="126"/>
        <v>0</v>
      </c>
      <c r="B478" s="2" t="str">
        <f t="shared" si="143"/>
        <v/>
      </c>
      <c r="C478" s="4" t="str">
        <f t="shared" si="127"/>
        <v/>
      </c>
      <c r="D478" s="3" t="str">
        <f t="shared" si="128"/>
        <v/>
      </c>
      <c r="E478" s="47"/>
      <c r="F478" s="3" t="str">
        <f t="shared" si="129"/>
        <v/>
      </c>
      <c r="G478" s="47"/>
      <c r="H478" s="3" t="str">
        <f t="shared" si="130"/>
        <v/>
      </c>
      <c r="I478" s="47"/>
      <c r="J478" s="3" t="str">
        <f t="shared" si="131"/>
        <v/>
      </c>
      <c r="K478" s="47"/>
      <c r="L478" s="3" t="str">
        <f t="shared" si="132"/>
        <v/>
      </c>
      <c r="M478" s="47"/>
      <c r="N478" s="3" t="str">
        <f t="shared" si="133"/>
        <v/>
      </c>
      <c r="O478" s="47"/>
      <c r="P478" s="3" t="str">
        <f t="shared" si="134"/>
        <v/>
      </c>
      <c r="Q478" s="47"/>
      <c r="R478" s="3" t="str">
        <f t="shared" si="135"/>
        <v/>
      </c>
      <c r="S478" s="47"/>
      <c r="T478" s="1" t="str">
        <f t="shared" si="136"/>
        <v/>
      </c>
      <c r="U478" s="47"/>
      <c r="V478" s="1" t="str">
        <f t="shared" si="137"/>
        <v/>
      </c>
      <c r="W478" s="47"/>
      <c r="X478" s="1" t="str">
        <f t="shared" si="138"/>
        <v/>
      </c>
      <c r="Y478" s="47"/>
      <c r="Z478" s="1" t="str">
        <f t="shared" si="139"/>
        <v/>
      </c>
      <c r="AA478" s="47"/>
      <c r="AB478" s="1" t="str">
        <f t="shared" si="140"/>
        <v/>
      </c>
      <c r="AC478" s="47"/>
      <c r="AD478" s="1" t="str">
        <f t="shared" si="141"/>
        <v/>
      </c>
      <c r="AE478" s="47"/>
      <c r="AF478" s="1" t="str">
        <f t="shared" si="142"/>
        <v/>
      </c>
      <c r="AG478" s="47"/>
    </row>
    <row r="479" spans="1:33">
      <c r="A479">
        <f t="shared" si="126"/>
        <v>0</v>
      </c>
      <c r="B479" s="2" t="str">
        <f t="shared" si="143"/>
        <v/>
      </c>
      <c r="C479" s="4" t="str">
        <f t="shared" si="127"/>
        <v/>
      </c>
      <c r="D479" s="3" t="str">
        <f t="shared" si="128"/>
        <v/>
      </c>
      <c r="E479" s="47"/>
      <c r="F479" s="3" t="str">
        <f t="shared" si="129"/>
        <v/>
      </c>
      <c r="G479" s="47"/>
      <c r="H479" s="3" t="str">
        <f t="shared" si="130"/>
        <v/>
      </c>
      <c r="I479" s="47"/>
      <c r="J479" s="3" t="str">
        <f t="shared" si="131"/>
        <v/>
      </c>
      <c r="K479" s="47"/>
      <c r="L479" s="3" t="str">
        <f t="shared" si="132"/>
        <v/>
      </c>
      <c r="M479" s="47"/>
      <c r="N479" s="3" t="str">
        <f t="shared" si="133"/>
        <v/>
      </c>
      <c r="O479" s="47"/>
      <c r="P479" s="3" t="str">
        <f t="shared" si="134"/>
        <v/>
      </c>
      <c r="Q479" s="47"/>
      <c r="R479" s="3" t="str">
        <f t="shared" si="135"/>
        <v/>
      </c>
      <c r="S479" s="47"/>
      <c r="T479" s="1" t="str">
        <f t="shared" si="136"/>
        <v/>
      </c>
      <c r="U479" s="47"/>
      <c r="V479" s="1" t="str">
        <f t="shared" si="137"/>
        <v/>
      </c>
      <c r="W479" s="47"/>
      <c r="X479" s="1" t="str">
        <f t="shared" si="138"/>
        <v/>
      </c>
      <c r="Y479" s="47"/>
      <c r="Z479" s="1" t="str">
        <f t="shared" si="139"/>
        <v/>
      </c>
      <c r="AA479" s="47"/>
      <c r="AB479" s="1" t="str">
        <f t="shared" si="140"/>
        <v/>
      </c>
      <c r="AC479" s="47"/>
      <c r="AD479" s="1" t="str">
        <f t="shared" si="141"/>
        <v/>
      </c>
      <c r="AE479" s="47"/>
      <c r="AF479" s="1" t="str">
        <f t="shared" si="142"/>
        <v/>
      </c>
      <c r="AG479" s="47"/>
    </row>
    <row r="480" spans="1:33">
      <c r="A480">
        <f t="shared" si="126"/>
        <v>0</v>
      </c>
      <c r="B480" s="2" t="str">
        <f t="shared" si="143"/>
        <v/>
      </c>
      <c r="C480" s="4" t="str">
        <f t="shared" si="127"/>
        <v/>
      </c>
      <c r="D480" s="3" t="str">
        <f t="shared" si="128"/>
        <v/>
      </c>
      <c r="E480" s="47"/>
      <c r="F480" s="3" t="str">
        <f t="shared" si="129"/>
        <v/>
      </c>
      <c r="G480" s="47"/>
      <c r="H480" s="3" t="str">
        <f t="shared" si="130"/>
        <v/>
      </c>
      <c r="I480" s="47"/>
      <c r="J480" s="3" t="str">
        <f t="shared" si="131"/>
        <v/>
      </c>
      <c r="K480" s="47"/>
      <c r="L480" s="3" t="str">
        <f t="shared" si="132"/>
        <v/>
      </c>
      <c r="M480" s="47"/>
      <c r="N480" s="3" t="str">
        <f t="shared" si="133"/>
        <v/>
      </c>
      <c r="O480" s="47"/>
      <c r="P480" s="3" t="str">
        <f t="shared" si="134"/>
        <v/>
      </c>
      <c r="Q480" s="47"/>
      <c r="R480" s="3" t="str">
        <f t="shared" si="135"/>
        <v/>
      </c>
      <c r="S480" s="47"/>
      <c r="T480" s="1" t="str">
        <f t="shared" si="136"/>
        <v/>
      </c>
      <c r="U480" s="47"/>
      <c r="V480" s="1" t="str">
        <f t="shared" si="137"/>
        <v/>
      </c>
      <c r="W480" s="47"/>
      <c r="X480" s="1" t="str">
        <f t="shared" si="138"/>
        <v/>
      </c>
      <c r="Y480" s="47"/>
      <c r="Z480" s="1" t="str">
        <f t="shared" si="139"/>
        <v/>
      </c>
      <c r="AA480" s="47"/>
      <c r="AB480" s="1" t="str">
        <f t="shared" si="140"/>
        <v/>
      </c>
      <c r="AC480" s="47"/>
      <c r="AD480" s="1" t="str">
        <f t="shared" si="141"/>
        <v/>
      </c>
      <c r="AE480" s="47"/>
      <c r="AF480" s="1" t="str">
        <f t="shared" si="142"/>
        <v/>
      </c>
      <c r="AG480" s="47"/>
    </row>
    <row r="481" spans="1:33">
      <c r="A481">
        <f t="shared" si="126"/>
        <v>0</v>
      </c>
      <c r="B481" s="2" t="str">
        <f t="shared" si="143"/>
        <v/>
      </c>
      <c r="C481" s="4" t="str">
        <f t="shared" si="127"/>
        <v/>
      </c>
      <c r="D481" s="3" t="str">
        <f t="shared" si="128"/>
        <v/>
      </c>
      <c r="E481" s="47"/>
      <c r="F481" s="3" t="str">
        <f t="shared" si="129"/>
        <v/>
      </c>
      <c r="G481" s="47"/>
      <c r="H481" s="3" t="str">
        <f t="shared" si="130"/>
        <v/>
      </c>
      <c r="I481" s="47"/>
      <c r="J481" s="3" t="str">
        <f t="shared" si="131"/>
        <v/>
      </c>
      <c r="K481" s="47"/>
      <c r="L481" s="3" t="str">
        <f t="shared" si="132"/>
        <v/>
      </c>
      <c r="M481" s="47"/>
      <c r="N481" s="3" t="str">
        <f t="shared" si="133"/>
        <v/>
      </c>
      <c r="O481" s="47"/>
      <c r="P481" s="3" t="str">
        <f t="shared" si="134"/>
        <v/>
      </c>
      <c r="Q481" s="47"/>
      <c r="R481" s="3" t="str">
        <f t="shared" si="135"/>
        <v/>
      </c>
      <c r="S481" s="47"/>
      <c r="T481" s="1" t="str">
        <f t="shared" si="136"/>
        <v/>
      </c>
      <c r="U481" s="47"/>
      <c r="V481" s="1" t="str">
        <f t="shared" si="137"/>
        <v/>
      </c>
      <c r="W481" s="47"/>
      <c r="X481" s="1" t="str">
        <f t="shared" si="138"/>
        <v/>
      </c>
      <c r="Y481" s="47"/>
      <c r="Z481" s="1" t="str">
        <f t="shared" si="139"/>
        <v/>
      </c>
      <c r="AA481" s="47"/>
      <c r="AB481" s="1" t="str">
        <f t="shared" si="140"/>
        <v/>
      </c>
      <c r="AC481" s="47"/>
      <c r="AD481" s="1" t="str">
        <f t="shared" si="141"/>
        <v/>
      </c>
      <c r="AE481" s="47"/>
      <c r="AF481" s="1" t="str">
        <f t="shared" si="142"/>
        <v/>
      </c>
      <c r="AG481" s="47"/>
    </row>
    <row r="482" spans="1:33">
      <c r="A482">
        <f t="shared" si="126"/>
        <v>0</v>
      </c>
      <c r="B482" s="2" t="str">
        <f t="shared" si="143"/>
        <v/>
      </c>
      <c r="C482" s="4" t="str">
        <f t="shared" si="127"/>
        <v/>
      </c>
      <c r="D482" s="3" t="str">
        <f t="shared" si="128"/>
        <v/>
      </c>
      <c r="E482" s="47"/>
      <c r="F482" s="3" t="str">
        <f t="shared" si="129"/>
        <v/>
      </c>
      <c r="G482" s="47"/>
      <c r="H482" s="3" t="str">
        <f t="shared" si="130"/>
        <v/>
      </c>
      <c r="I482" s="47"/>
      <c r="J482" s="3" t="str">
        <f t="shared" si="131"/>
        <v/>
      </c>
      <c r="K482" s="47"/>
      <c r="L482" s="3" t="str">
        <f t="shared" si="132"/>
        <v/>
      </c>
      <c r="M482" s="47"/>
      <c r="N482" s="3" t="str">
        <f t="shared" si="133"/>
        <v/>
      </c>
      <c r="O482" s="47"/>
      <c r="P482" s="3" t="str">
        <f t="shared" si="134"/>
        <v/>
      </c>
      <c r="Q482" s="47"/>
      <c r="R482" s="3" t="str">
        <f t="shared" si="135"/>
        <v/>
      </c>
      <c r="S482" s="47"/>
      <c r="T482" s="1" t="str">
        <f t="shared" si="136"/>
        <v/>
      </c>
      <c r="U482" s="47"/>
      <c r="V482" s="1" t="str">
        <f t="shared" si="137"/>
        <v/>
      </c>
      <c r="W482" s="47"/>
      <c r="X482" s="1" t="str">
        <f t="shared" si="138"/>
        <v/>
      </c>
      <c r="Y482" s="47"/>
      <c r="Z482" s="1" t="str">
        <f t="shared" si="139"/>
        <v/>
      </c>
      <c r="AA482" s="47"/>
      <c r="AB482" s="1" t="str">
        <f t="shared" si="140"/>
        <v/>
      </c>
      <c r="AC482" s="47"/>
      <c r="AD482" s="1" t="str">
        <f t="shared" si="141"/>
        <v/>
      </c>
      <c r="AE482" s="47"/>
      <c r="AF482" s="1" t="str">
        <f t="shared" si="142"/>
        <v/>
      </c>
      <c r="AG482" s="47"/>
    </row>
    <row r="483" spans="1:33">
      <c r="A483">
        <f t="shared" si="126"/>
        <v>0</v>
      </c>
      <c r="B483" s="2" t="str">
        <f t="shared" si="143"/>
        <v/>
      </c>
      <c r="C483" s="4" t="str">
        <f t="shared" si="127"/>
        <v/>
      </c>
      <c r="D483" s="3" t="str">
        <f t="shared" si="128"/>
        <v/>
      </c>
      <c r="E483" s="47"/>
      <c r="F483" s="3" t="str">
        <f t="shared" si="129"/>
        <v/>
      </c>
      <c r="G483" s="47"/>
      <c r="H483" s="3" t="str">
        <f t="shared" si="130"/>
        <v/>
      </c>
      <c r="I483" s="47"/>
      <c r="J483" s="3" t="str">
        <f t="shared" si="131"/>
        <v/>
      </c>
      <c r="K483" s="47"/>
      <c r="L483" s="3" t="str">
        <f t="shared" si="132"/>
        <v/>
      </c>
      <c r="M483" s="47"/>
      <c r="N483" s="3" t="str">
        <f t="shared" si="133"/>
        <v/>
      </c>
      <c r="O483" s="47"/>
      <c r="P483" s="3" t="str">
        <f t="shared" si="134"/>
        <v/>
      </c>
      <c r="Q483" s="47"/>
      <c r="R483" s="3" t="str">
        <f t="shared" si="135"/>
        <v/>
      </c>
      <c r="S483" s="47"/>
      <c r="T483" s="1" t="str">
        <f t="shared" si="136"/>
        <v/>
      </c>
      <c r="U483" s="47"/>
      <c r="V483" s="1" t="str">
        <f t="shared" si="137"/>
        <v/>
      </c>
      <c r="W483" s="47"/>
      <c r="X483" s="1" t="str">
        <f t="shared" si="138"/>
        <v/>
      </c>
      <c r="Y483" s="47"/>
      <c r="Z483" s="1" t="str">
        <f t="shared" si="139"/>
        <v/>
      </c>
      <c r="AA483" s="47"/>
      <c r="AB483" s="1" t="str">
        <f t="shared" si="140"/>
        <v/>
      </c>
      <c r="AC483" s="47"/>
      <c r="AD483" s="1" t="str">
        <f t="shared" si="141"/>
        <v/>
      </c>
      <c r="AE483" s="47"/>
      <c r="AF483" s="1" t="str">
        <f t="shared" si="142"/>
        <v/>
      </c>
      <c r="AG483" s="47"/>
    </row>
    <row r="484" spans="1:33">
      <c r="A484">
        <f t="shared" si="126"/>
        <v>0</v>
      </c>
      <c r="B484" s="2" t="str">
        <f t="shared" si="143"/>
        <v/>
      </c>
      <c r="C484" s="4" t="str">
        <f t="shared" si="127"/>
        <v/>
      </c>
      <c r="D484" s="3" t="str">
        <f t="shared" si="128"/>
        <v/>
      </c>
      <c r="E484" s="47"/>
      <c r="F484" s="3" t="str">
        <f t="shared" si="129"/>
        <v/>
      </c>
      <c r="G484" s="47"/>
      <c r="H484" s="3" t="str">
        <f t="shared" si="130"/>
        <v/>
      </c>
      <c r="I484" s="47"/>
      <c r="J484" s="3" t="str">
        <f t="shared" si="131"/>
        <v/>
      </c>
      <c r="K484" s="47"/>
      <c r="L484" s="3" t="str">
        <f t="shared" si="132"/>
        <v/>
      </c>
      <c r="M484" s="47"/>
      <c r="N484" s="3" t="str">
        <f t="shared" si="133"/>
        <v/>
      </c>
      <c r="O484" s="47"/>
      <c r="P484" s="3" t="str">
        <f t="shared" si="134"/>
        <v/>
      </c>
      <c r="Q484" s="47"/>
      <c r="R484" s="3" t="str">
        <f t="shared" si="135"/>
        <v/>
      </c>
      <c r="S484" s="47"/>
      <c r="T484" s="1" t="str">
        <f t="shared" si="136"/>
        <v/>
      </c>
      <c r="U484" s="47"/>
      <c r="V484" s="1" t="str">
        <f t="shared" si="137"/>
        <v/>
      </c>
      <c r="W484" s="47"/>
      <c r="X484" s="1" t="str">
        <f t="shared" si="138"/>
        <v/>
      </c>
      <c r="Y484" s="47"/>
      <c r="Z484" s="1" t="str">
        <f t="shared" si="139"/>
        <v/>
      </c>
      <c r="AA484" s="47"/>
      <c r="AB484" s="1" t="str">
        <f t="shared" si="140"/>
        <v/>
      </c>
      <c r="AC484" s="47"/>
      <c r="AD484" s="1" t="str">
        <f t="shared" si="141"/>
        <v/>
      </c>
      <c r="AE484" s="47"/>
      <c r="AF484" s="1" t="str">
        <f t="shared" si="142"/>
        <v/>
      </c>
      <c r="AG484" s="47"/>
    </row>
    <row r="485" spans="1:33">
      <c r="A485">
        <f t="shared" si="126"/>
        <v>0</v>
      </c>
      <c r="B485" s="2" t="str">
        <f t="shared" si="143"/>
        <v/>
      </c>
      <c r="C485" s="4" t="str">
        <f t="shared" si="127"/>
        <v/>
      </c>
      <c r="D485" s="3" t="str">
        <f t="shared" si="128"/>
        <v/>
      </c>
      <c r="E485" s="47"/>
      <c r="F485" s="3" t="str">
        <f t="shared" si="129"/>
        <v/>
      </c>
      <c r="G485" s="47"/>
      <c r="H485" s="3" t="str">
        <f t="shared" si="130"/>
        <v/>
      </c>
      <c r="I485" s="47"/>
      <c r="J485" s="3" t="str">
        <f t="shared" si="131"/>
        <v/>
      </c>
      <c r="K485" s="47"/>
      <c r="L485" s="3" t="str">
        <f t="shared" si="132"/>
        <v/>
      </c>
      <c r="M485" s="47"/>
      <c r="N485" s="3" t="str">
        <f t="shared" si="133"/>
        <v/>
      </c>
      <c r="O485" s="47"/>
      <c r="P485" s="3" t="str">
        <f t="shared" si="134"/>
        <v/>
      </c>
      <c r="Q485" s="47"/>
      <c r="R485" s="3" t="str">
        <f t="shared" si="135"/>
        <v/>
      </c>
      <c r="S485" s="47"/>
      <c r="T485" s="1" t="str">
        <f t="shared" si="136"/>
        <v/>
      </c>
      <c r="U485" s="47"/>
      <c r="V485" s="1" t="str">
        <f t="shared" si="137"/>
        <v/>
      </c>
      <c r="W485" s="47"/>
      <c r="X485" s="1" t="str">
        <f t="shared" si="138"/>
        <v/>
      </c>
      <c r="Y485" s="47"/>
      <c r="Z485" s="1" t="str">
        <f t="shared" si="139"/>
        <v/>
      </c>
      <c r="AA485" s="47"/>
      <c r="AB485" s="1" t="str">
        <f t="shared" si="140"/>
        <v/>
      </c>
      <c r="AC485" s="47"/>
      <c r="AD485" s="1" t="str">
        <f t="shared" si="141"/>
        <v/>
      </c>
      <c r="AE485" s="47"/>
      <c r="AF485" s="1" t="str">
        <f t="shared" si="142"/>
        <v/>
      </c>
      <c r="AG485" s="47"/>
    </row>
    <row r="486" spans="1:33">
      <c r="A486">
        <f t="shared" si="126"/>
        <v>0</v>
      </c>
      <c r="B486" s="2" t="str">
        <f t="shared" si="143"/>
        <v/>
      </c>
      <c r="C486" s="4" t="str">
        <f t="shared" si="127"/>
        <v/>
      </c>
      <c r="D486" s="3" t="str">
        <f t="shared" si="128"/>
        <v/>
      </c>
      <c r="E486" s="47"/>
      <c r="F486" s="3" t="str">
        <f t="shared" si="129"/>
        <v/>
      </c>
      <c r="G486" s="47"/>
      <c r="H486" s="3" t="str">
        <f t="shared" si="130"/>
        <v/>
      </c>
      <c r="I486" s="47"/>
      <c r="J486" s="3" t="str">
        <f t="shared" si="131"/>
        <v/>
      </c>
      <c r="K486" s="47"/>
      <c r="L486" s="3" t="str">
        <f t="shared" si="132"/>
        <v/>
      </c>
      <c r="M486" s="47"/>
      <c r="N486" s="3" t="str">
        <f t="shared" si="133"/>
        <v/>
      </c>
      <c r="O486" s="47"/>
      <c r="P486" s="3" t="str">
        <f t="shared" si="134"/>
        <v/>
      </c>
      <c r="Q486" s="47"/>
      <c r="R486" s="3" t="str">
        <f t="shared" si="135"/>
        <v/>
      </c>
      <c r="S486" s="47"/>
      <c r="T486" s="1" t="str">
        <f t="shared" si="136"/>
        <v/>
      </c>
      <c r="U486" s="47"/>
      <c r="V486" s="1" t="str">
        <f t="shared" si="137"/>
        <v/>
      </c>
      <c r="W486" s="47"/>
      <c r="X486" s="1" t="str">
        <f t="shared" si="138"/>
        <v/>
      </c>
      <c r="Y486" s="47"/>
      <c r="Z486" s="1" t="str">
        <f t="shared" si="139"/>
        <v/>
      </c>
      <c r="AA486" s="47"/>
      <c r="AB486" s="1" t="str">
        <f t="shared" si="140"/>
        <v/>
      </c>
      <c r="AC486" s="47"/>
      <c r="AD486" s="1" t="str">
        <f t="shared" si="141"/>
        <v/>
      </c>
      <c r="AE486" s="47"/>
      <c r="AF486" s="1" t="str">
        <f t="shared" si="142"/>
        <v/>
      </c>
      <c r="AG486" s="47"/>
    </row>
    <row r="487" spans="1:33">
      <c r="A487">
        <f t="shared" si="126"/>
        <v>0</v>
      </c>
      <c r="B487" s="2" t="str">
        <f t="shared" si="143"/>
        <v/>
      </c>
      <c r="C487" s="4" t="str">
        <f t="shared" si="127"/>
        <v/>
      </c>
      <c r="D487" s="3" t="str">
        <f t="shared" si="128"/>
        <v/>
      </c>
      <c r="E487" s="47"/>
      <c r="F487" s="3" t="str">
        <f t="shared" si="129"/>
        <v/>
      </c>
      <c r="G487" s="47"/>
      <c r="H487" s="3" t="str">
        <f t="shared" si="130"/>
        <v/>
      </c>
      <c r="I487" s="47"/>
      <c r="J487" s="3" t="str">
        <f t="shared" si="131"/>
        <v/>
      </c>
      <c r="K487" s="47"/>
      <c r="L487" s="3" t="str">
        <f t="shared" si="132"/>
        <v/>
      </c>
      <c r="M487" s="47"/>
      <c r="N487" s="3" t="str">
        <f t="shared" si="133"/>
        <v/>
      </c>
      <c r="O487" s="47"/>
      <c r="P487" s="3" t="str">
        <f t="shared" si="134"/>
        <v/>
      </c>
      <c r="Q487" s="47"/>
      <c r="R487" s="3" t="str">
        <f t="shared" si="135"/>
        <v/>
      </c>
      <c r="S487" s="47"/>
      <c r="T487" s="1" t="str">
        <f t="shared" si="136"/>
        <v/>
      </c>
      <c r="U487" s="47"/>
      <c r="V487" s="1" t="str">
        <f t="shared" si="137"/>
        <v/>
      </c>
      <c r="W487" s="47"/>
      <c r="X487" s="1" t="str">
        <f t="shared" si="138"/>
        <v/>
      </c>
      <c r="Y487" s="47"/>
      <c r="Z487" s="1" t="str">
        <f t="shared" si="139"/>
        <v/>
      </c>
      <c r="AA487" s="47"/>
      <c r="AB487" s="1" t="str">
        <f t="shared" si="140"/>
        <v/>
      </c>
      <c r="AC487" s="47"/>
      <c r="AD487" s="1" t="str">
        <f t="shared" si="141"/>
        <v/>
      </c>
      <c r="AE487" s="47"/>
      <c r="AF487" s="1" t="str">
        <f t="shared" si="142"/>
        <v/>
      </c>
      <c r="AG487" s="47"/>
    </row>
    <row r="488" spans="1:33">
      <c r="A488">
        <f t="shared" si="126"/>
        <v>0</v>
      </c>
      <c r="B488" s="2" t="str">
        <f t="shared" si="143"/>
        <v/>
      </c>
      <c r="C488" s="4" t="str">
        <f t="shared" si="127"/>
        <v/>
      </c>
      <c r="D488" s="3" t="str">
        <f t="shared" si="128"/>
        <v/>
      </c>
      <c r="E488" s="47"/>
      <c r="F488" s="3" t="str">
        <f t="shared" si="129"/>
        <v/>
      </c>
      <c r="G488" s="47"/>
      <c r="H488" s="3" t="str">
        <f t="shared" si="130"/>
        <v/>
      </c>
      <c r="I488" s="47"/>
      <c r="J488" s="3" t="str">
        <f t="shared" si="131"/>
        <v/>
      </c>
      <c r="K488" s="47"/>
      <c r="L488" s="3" t="str">
        <f t="shared" si="132"/>
        <v/>
      </c>
      <c r="M488" s="47"/>
      <c r="N488" s="3" t="str">
        <f t="shared" si="133"/>
        <v/>
      </c>
      <c r="O488" s="47"/>
      <c r="P488" s="3" t="str">
        <f t="shared" si="134"/>
        <v/>
      </c>
      <c r="Q488" s="47"/>
      <c r="R488" s="3" t="str">
        <f t="shared" si="135"/>
        <v/>
      </c>
      <c r="S488" s="47"/>
      <c r="T488" s="1" t="str">
        <f t="shared" si="136"/>
        <v/>
      </c>
      <c r="U488" s="47"/>
      <c r="V488" s="1" t="str">
        <f t="shared" si="137"/>
        <v/>
      </c>
      <c r="W488" s="47"/>
      <c r="X488" s="1" t="str">
        <f t="shared" si="138"/>
        <v/>
      </c>
      <c r="Y488" s="47"/>
      <c r="Z488" s="1" t="str">
        <f t="shared" si="139"/>
        <v/>
      </c>
      <c r="AA488" s="47"/>
      <c r="AB488" s="1" t="str">
        <f t="shared" si="140"/>
        <v/>
      </c>
      <c r="AC488" s="47"/>
      <c r="AD488" s="1" t="str">
        <f t="shared" si="141"/>
        <v/>
      </c>
      <c r="AE488" s="47"/>
      <c r="AF488" s="1" t="str">
        <f t="shared" si="142"/>
        <v/>
      </c>
      <c r="AG488" s="47"/>
    </row>
    <row r="489" spans="1:33">
      <c r="A489">
        <f t="shared" si="126"/>
        <v>0</v>
      </c>
      <c r="B489" s="2" t="str">
        <f t="shared" si="143"/>
        <v/>
      </c>
      <c r="C489" s="4" t="str">
        <f t="shared" si="127"/>
        <v/>
      </c>
      <c r="D489" s="3" t="str">
        <f t="shared" si="128"/>
        <v/>
      </c>
      <c r="E489" s="47"/>
      <c r="F489" s="3" t="str">
        <f t="shared" si="129"/>
        <v/>
      </c>
      <c r="G489" s="47"/>
      <c r="H489" s="3" t="str">
        <f t="shared" si="130"/>
        <v/>
      </c>
      <c r="I489" s="47"/>
      <c r="J489" s="3" t="str">
        <f t="shared" si="131"/>
        <v/>
      </c>
      <c r="K489" s="47"/>
      <c r="L489" s="3" t="str">
        <f t="shared" si="132"/>
        <v/>
      </c>
      <c r="M489" s="47"/>
      <c r="N489" s="3" t="str">
        <f t="shared" si="133"/>
        <v/>
      </c>
      <c r="O489" s="47"/>
      <c r="P489" s="3" t="str">
        <f t="shared" si="134"/>
        <v/>
      </c>
      <c r="Q489" s="47"/>
      <c r="R489" s="3" t="str">
        <f t="shared" si="135"/>
        <v/>
      </c>
      <c r="S489" s="47"/>
      <c r="T489" s="1" t="str">
        <f t="shared" si="136"/>
        <v/>
      </c>
      <c r="U489" s="47"/>
      <c r="V489" s="1" t="str">
        <f t="shared" si="137"/>
        <v/>
      </c>
      <c r="W489" s="47"/>
      <c r="X489" s="1" t="str">
        <f t="shared" si="138"/>
        <v/>
      </c>
      <c r="Y489" s="47"/>
      <c r="Z489" s="1" t="str">
        <f t="shared" si="139"/>
        <v/>
      </c>
      <c r="AA489" s="47"/>
      <c r="AB489" s="1" t="str">
        <f t="shared" si="140"/>
        <v/>
      </c>
      <c r="AC489" s="47"/>
      <c r="AD489" s="1" t="str">
        <f t="shared" si="141"/>
        <v/>
      </c>
      <c r="AE489" s="47"/>
      <c r="AF489" s="1" t="str">
        <f t="shared" si="142"/>
        <v/>
      </c>
      <c r="AG489" s="47"/>
    </row>
    <row r="490" spans="1:33">
      <c r="A490">
        <f t="shared" si="126"/>
        <v>0</v>
      </c>
      <c r="B490" s="2" t="str">
        <f t="shared" si="143"/>
        <v/>
      </c>
      <c r="C490" s="4" t="str">
        <f t="shared" si="127"/>
        <v/>
      </c>
      <c r="D490" s="3" t="str">
        <f t="shared" si="128"/>
        <v/>
      </c>
      <c r="E490" s="47"/>
      <c r="F490" s="3" t="str">
        <f t="shared" si="129"/>
        <v/>
      </c>
      <c r="G490" s="47"/>
      <c r="H490" s="3" t="str">
        <f t="shared" si="130"/>
        <v/>
      </c>
      <c r="I490" s="47"/>
      <c r="J490" s="3" t="str">
        <f t="shared" si="131"/>
        <v/>
      </c>
      <c r="K490" s="47"/>
      <c r="L490" s="3" t="str">
        <f t="shared" si="132"/>
        <v/>
      </c>
      <c r="M490" s="47"/>
      <c r="N490" s="3" t="str">
        <f t="shared" si="133"/>
        <v/>
      </c>
      <c r="O490" s="47"/>
      <c r="P490" s="3" t="str">
        <f t="shared" si="134"/>
        <v/>
      </c>
      <c r="Q490" s="47"/>
      <c r="R490" s="3" t="str">
        <f t="shared" si="135"/>
        <v/>
      </c>
      <c r="S490" s="47"/>
      <c r="T490" s="1" t="str">
        <f t="shared" si="136"/>
        <v/>
      </c>
      <c r="U490" s="47"/>
      <c r="V490" s="1" t="str">
        <f t="shared" si="137"/>
        <v/>
      </c>
      <c r="W490" s="47"/>
      <c r="X490" s="1" t="str">
        <f t="shared" si="138"/>
        <v/>
      </c>
      <c r="Y490" s="47"/>
      <c r="Z490" s="1" t="str">
        <f t="shared" si="139"/>
        <v/>
      </c>
      <c r="AA490" s="47"/>
      <c r="AB490" s="1" t="str">
        <f t="shared" si="140"/>
        <v/>
      </c>
      <c r="AC490" s="47"/>
      <c r="AD490" s="1" t="str">
        <f t="shared" si="141"/>
        <v/>
      </c>
      <c r="AE490" s="47"/>
      <c r="AF490" s="1" t="str">
        <f t="shared" si="142"/>
        <v/>
      </c>
      <c r="AG490" s="47"/>
    </row>
    <row r="491" spans="1:33">
      <c r="A491">
        <f t="shared" si="126"/>
        <v>0</v>
      </c>
      <c r="B491" s="2" t="str">
        <f t="shared" si="143"/>
        <v/>
      </c>
      <c r="C491" s="4" t="str">
        <f t="shared" si="127"/>
        <v/>
      </c>
      <c r="D491" s="3" t="str">
        <f t="shared" si="128"/>
        <v/>
      </c>
      <c r="E491" s="47"/>
      <c r="F491" s="3" t="str">
        <f t="shared" si="129"/>
        <v/>
      </c>
      <c r="G491" s="47"/>
      <c r="H491" s="3" t="str">
        <f t="shared" si="130"/>
        <v/>
      </c>
      <c r="I491" s="47"/>
      <c r="J491" s="3" t="str">
        <f t="shared" si="131"/>
        <v/>
      </c>
      <c r="K491" s="47"/>
      <c r="L491" s="3" t="str">
        <f t="shared" si="132"/>
        <v/>
      </c>
      <c r="M491" s="47"/>
      <c r="N491" s="3" t="str">
        <f t="shared" si="133"/>
        <v/>
      </c>
      <c r="O491" s="47"/>
      <c r="P491" s="3" t="str">
        <f t="shared" si="134"/>
        <v/>
      </c>
      <c r="Q491" s="47"/>
      <c r="R491" s="3" t="str">
        <f t="shared" si="135"/>
        <v/>
      </c>
      <c r="S491" s="47"/>
      <c r="T491" s="1" t="str">
        <f t="shared" si="136"/>
        <v/>
      </c>
      <c r="U491" s="47"/>
      <c r="V491" s="1" t="str">
        <f t="shared" si="137"/>
        <v/>
      </c>
      <c r="W491" s="47"/>
      <c r="X491" s="1" t="str">
        <f t="shared" si="138"/>
        <v/>
      </c>
      <c r="Y491" s="47"/>
      <c r="Z491" s="1" t="str">
        <f t="shared" si="139"/>
        <v/>
      </c>
      <c r="AA491" s="47"/>
      <c r="AB491" s="1" t="str">
        <f t="shared" si="140"/>
        <v/>
      </c>
      <c r="AC491" s="47"/>
      <c r="AD491" s="1" t="str">
        <f t="shared" si="141"/>
        <v/>
      </c>
      <c r="AE491" s="47"/>
      <c r="AF491" s="1" t="str">
        <f t="shared" si="142"/>
        <v/>
      </c>
      <c r="AG491" s="47"/>
    </row>
    <row r="492" spans="1:33">
      <c r="A492">
        <f t="shared" si="126"/>
        <v>0</v>
      </c>
      <c r="B492" s="2" t="str">
        <f t="shared" si="143"/>
        <v/>
      </c>
      <c r="C492" s="4" t="str">
        <f t="shared" si="127"/>
        <v/>
      </c>
      <c r="D492" s="3" t="str">
        <f t="shared" si="128"/>
        <v/>
      </c>
      <c r="E492" s="47"/>
      <c r="F492" s="3" t="str">
        <f t="shared" si="129"/>
        <v/>
      </c>
      <c r="G492" s="47"/>
      <c r="H492" s="3" t="str">
        <f t="shared" si="130"/>
        <v/>
      </c>
      <c r="I492" s="47"/>
      <c r="J492" s="3" t="str">
        <f t="shared" si="131"/>
        <v/>
      </c>
      <c r="K492" s="47"/>
      <c r="L492" s="3" t="str">
        <f t="shared" si="132"/>
        <v/>
      </c>
      <c r="M492" s="47"/>
      <c r="N492" s="3" t="str">
        <f t="shared" si="133"/>
        <v/>
      </c>
      <c r="O492" s="47"/>
      <c r="P492" s="3" t="str">
        <f t="shared" si="134"/>
        <v/>
      </c>
      <c r="Q492" s="47"/>
      <c r="R492" s="3" t="str">
        <f t="shared" si="135"/>
        <v/>
      </c>
      <c r="S492" s="47"/>
      <c r="T492" s="1" t="str">
        <f t="shared" si="136"/>
        <v/>
      </c>
      <c r="U492" s="47"/>
      <c r="V492" s="1" t="str">
        <f t="shared" si="137"/>
        <v/>
      </c>
      <c r="W492" s="47"/>
      <c r="X492" s="1" t="str">
        <f t="shared" si="138"/>
        <v/>
      </c>
      <c r="Y492" s="47"/>
      <c r="Z492" s="1" t="str">
        <f t="shared" si="139"/>
        <v/>
      </c>
      <c r="AA492" s="47"/>
      <c r="AB492" s="1" t="str">
        <f t="shared" si="140"/>
        <v/>
      </c>
      <c r="AC492" s="47"/>
      <c r="AD492" s="1" t="str">
        <f t="shared" si="141"/>
        <v/>
      </c>
      <c r="AE492" s="47"/>
      <c r="AF492" s="1" t="str">
        <f t="shared" si="142"/>
        <v/>
      </c>
      <c r="AG492" s="47"/>
    </row>
    <row r="493" spans="1:33">
      <c r="A493">
        <f t="shared" si="126"/>
        <v>0</v>
      </c>
      <c r="B493" s="2" t="str">
        <f t="shared" si="143"/>
        <v/>
      </c>
      <c r="C493" s="4" t="str">
        <f t="shared" si="127"/>
        <v/>
      </c>
      <c r="D493" s="3" t="str">
        <f t="shared" si="128"/>
        <v/>
      </c>
      <c r="E493" s="47"/>
      <c r="F493" s="3" t="str">
        <f t="shared" si="129"/>
        <v/>
      </c>
      <c r="G493" s="47"/>
      <c r="H493" s="3" t="str">
        <f t="shared" si="130"/>
        <v/>
      </c>
      <c r="I493" s="47"/>
      <c r="J493" s="3" t="str">
        <f t="shared" si="131"/>
        <v/>
      </c>
      <c r="K493" s="47"/>
      <c r="L493" s="3" t="str">
        <f t="shared" si="132"/>
        <v/>
      </c>
      <c r="M493" s="47"/>
      <c r="N493" s="3" t="str">
        <f t="shared" si="133"/>
        <v/>
      </c>
      <c r="O493" s="47"/>
      <c r="P493" s="3" t="str">
        <f t="shared" si="134"/>
        <v/>
      </c>
      <c r="Q493" s="47"/>
      <c r="R493" s="3" t="str">
        <f t="shared" si="135"/>
        <v/>
      </c>
      <c r="S493" s="47"/>
      <c r="T493" s="1" t="str">
        <f t="shared" si="136"/>
        <v/>
      </c>
      <c r="U493" s="47"/>
      <c r="V493" s="1" t="str">
        <f t="shared" si="137"/>
        <v/>
      </c>
      <c r="W493" s="47"/>
      <c r="X493" s="1" t="str">
        <f t="shared" si="138"/>
        <v/>
      </c>
      <c r="Y493" s="47"/>
      <c r="Z493" s="1" t="str">
        <f t="shared" si="139"/>
        <v/>
      </c>
      <c r="AA493" s="47"/>
      <c r="AB493" s="1" t="str">
        <f t="shared" si="140"/>
        <v/>
      </c>
      <c r="AC493" s="47"/>
      <c r="AD493" s="1" t="str">
        <f t="shared" si="141"/>
        <v/>
      </c>
      <c r="AE493" s="47"/>
      <c r="AF493" s="1" t="str">
        <f t="shared" si="142"/>
        <v/>
      </c>
      <c r="AG493" s="47"/>
    </row>
    <row r="494" spans="1:33">
      <c r="A494">
        <f t="shared" si="126"/>
        <v>0</v>
      </c>
      <c r="B494" s="2" t="str">
        <f t="shared" si="143"/>
        <v/>
      </c>
      <c r="C494" s="4" t="str">
        <f t="shared" si="127"/>
        <v/>
      </c>
      <c r="D494" s="3" t="str">
        <f t="shared" si="128"/>
        <v/>
      </c>
      <c r="E494" s="47"/>
      <c r="F494" s="3" t="str">
        <f t="shared" si="129"/>
        <v/>
      </c>
      <c r="G494" s="47"/>
      <c r="H494" s="3" t="str">
        <f t="shared" si="130"/>
        <v/>
      </c>
      <c r="I494" s="47"/>
      <c r="J494" s="3" t="str">
        <f t="shared" si="131"/>
        <v/>
      </c>
      <c r="K494" s="47"/>
      <c r="L494" s="3" t="str">
        <f t="shared" si="132"/>
        <v/>
      </c>
      <c r="M494" s="47"/>
      <c r="N494" s="3" t="str">
        <f t="shared" si="133"/>
        <v/>
      </c>
      <c r="O494" s="47"/>
      <c r="P494" s="3" t="str">
        <f t="shared" si="134"/>
        <v/>
      </c>
      <c r="Q494" s="47"/>
      <c r="R494" s="3" t="str">
        <f t="shared" si="135"/>
        <v/>
      </c>
      <c r="S494" s="47"/>
      <c r="T494" s="1" t="str">
        <f t="shared" si="136"/>
        <v/>
      </c>
      <c r="U494" s="47"/>
      <c r="V494" s="1" t="str">
        <f t="shared" si="137"/>
        <v/>
      </c>
      <c r="W494" s="47"/>
      <c r="X494" s="1" t="str">
        <f t="shared" si="138"/>
        <v/>
      </c>
      <c r="Y494" s="47"/>
      <c r="Z494" s="1" t="str">
        <f t="shared" si="139"/>
        <v/>
      </c>
      <c r="AA494" s="47"/>
      <c r="AB494" s="1" t="str">
        <f t="shared" si="140"/>
        <v/>
      </c>
      <c r="AC494" s="47"/>
      <c r="AD494" s="1" t="str">
        <f t="shared" si="141"/>
        <v/>
      </c>
      <c r="AE494" s="47"/>
      <c r="AF494" s="1" t="str">
        <f t="shared" si="142"/>
        <v/>
      </c>
      <c r="AG494" s="47"/>
    </row>
    <row r="495" spans="1:33">
      <c r="A495">
        <f t="shared" si="126"/>
        <v>0</v>
      </c>
      <c r="B495" s="2" t="str">
        <f t="shared" si="143"/>
        <v/>
      </c>
      <c r="C495" s="4" t="str">
        <f t="shared" si="127"/>
        <v/>
      </c>
      <c r="D495" s="3" t="str">
        <f t="shared" si="128"/>
        <v/>
      </c>
      <c r="E495" s="47"/>
      <c r="F495" s="3" t="str">
        <f t="shared" si="129"/>
        <v/>
      </c>
      <c r="G495" s="47"/>
      <c r="H495" s="3" t="str">
        <f t="shared" si="130"/>
        <v/>
      </c>
      <c r="I495" s="47"/>
      <c r="J495" s="3" t="str">
        <f t="shared" si="131"/>
        <v/>
      </c>
      <c r="K495" s="47"/>
      <c r="L495" s="3" t="str">
        <f t="shared" si="132"/>
        <v/>
      </c>
      <c r="M495" s="47"/>
      <c r="N495" s="3" t="str">
        <f t="shared" si="133"/>
        <v/>
      </c>
      <c r="O495" s="47"/>
      <c r="P495" s="3" t="str">
        <f t="shared" si="134"/>
        <v/>
      </c>
      <c r="Q495" s="47"/>
      <c r="R495" s="3" t="str">
        <f t="shared" si="135"/>
        <v/>
      </c>
      <c r="S495" s="47"/>
      <c r="T495" s="1" t="str">
        <f t="shared" si="136"/>
        <v/>
      </c>
      <c r="U495" s="47"/>
      <c r="V495" s="1" t="str">
        <f t="shared" si="137"/>
        <v/>
      </c>
      <c r="W495" s="47"/>
      <c r="X495" s="1" t="str">
        <f t="shared" si="138"/>
        <v/>
      </c>
      <c r="Y495" s="47"/>
      <c r="Z495" s="1" t="str">
        <f t="shared" si="139"/>
        <v/>
      </c>
      <c r="AA495" s="47"/>
      <c r="AB495" s="1" t="str">
        <f t="shared" si="140"/>
        <v/>
      </c>
      <c r="AC495" s="47"/>
      <c r="AD495" s="1" t="str">
        <f t="shared" si="141"/>
        <v/>
      </c>
      <c r="AE495" s="47"/>
      <c r="AF495" s="1" t="str">
        <f t="shared" si="142"/>
        <v/>
      </c>
      <c r="AG495" s="47"/>
    </row>
    <row r="496" spans="1:33">
      <c r="A496">
        <f t="shared" si="126"/>
        <v>0</v>
      </c>
      <c r="B496" s="2" t="str">
        <f t="shared" si="143"/>
        <v/>
      </c>
      <c r="C496" s="4" t="str">
        <f t="shared" si="127"/>
        <v/>
      </c>
      <c r="D496" s="3" t="str">
        <f t="shared" si="128"/>
        <v/>
      </c>
      <c r="E496" s="47"/>
      <c r="F496" s="3" t="str">
        <f t="shared" si="129"/>
        <v/>
      </c>
      <c r="G496" s="47"/>
      <c r="H496" s="3" t="str">
        <f t="shared" si="130"/>
        <v/>
      </c>
      <c r="I496" s="47"/>
      <c r="J496" s="3" t="str">
        <f t="shared" si="131"/>
        <v/>
      </c>
      <c r="K496" s="47"/>
      <c r="L496" s="3" t="str">
        <f t="shared" si="132"/>
        <v/>
      </c>
      <c r="M496" s="47"/>
      <c r="N496" s="3" t="str">
        <f t="shared" si="133"/>
        <v/>
      </c>
      <c r="O496" s="47"/>
      <c r="P496" s="3" t="str">
        <f t="shared" si="134"/>
        <v/>
      </c>
      <c r="Q496" s="47"/>
      <c r="R496" s="3" t="str">
        <f t="shared" si="135"/>
        <v/>
      </c>
      <c r="S496" s="47"/>
      <c r="T496" s="1" t="str">
        <f t="shared" si="136"/>
        <v/>
      </c>
      <c r="U496" s="47"/>
      <c r="V496" s="1" t="str">
        <f t="shared" si="137"/>
        <v/>
      </c>
      <c r="W496" s="47"/>
      <c r="X496" s="1" t="str">
        <f t="shared" si="138"/>
        <v/>
      </c>
      <c r="Y496" s="47"/>
      <c r="Z496" s="1" t="str">
        <f t="shared" si="139"/>
        <v/>
      </c>
      <c r="AA496" s="47"/>
      <c r="AB496" s="1" t="str">
        <f t="shared" si="140"/>
        <v/>
      </c>
      <c r="AC496" s="47"/>
      <c r="AD496" s="1" t="str">
        <f t="shared" si="141"/>
        <v/>
      </c>
      <c r="AE496" s="47"/>
      <c r="AF496" s="1" t="str">
        <f t="shared" si="142"/>
        <v/>
      </c>
      <c r="AG496" s="47"/>
    </row>
    <row r="497" spans="1:33">
      <c r="A497">
        <f t="shared" si="126"/>
        <v>0</v>
      </c>
      <c r="B497" s="2" t="str">
        <f t="shared" si="143"/>
        <v/>
      </c>
      <c r="C497" s="4" t="str">
        <f t="shared" si="127"/>
        <v/>
      </c>
      <c r="D497" s="3" t="str">
        <f t="shared" si="128"/>
        <v/>
      </c>
      <c r="E497" s="47"/>
      <c r="F497" s="3" t="str">
        <f t="shared" si="129"/>
        <v/>
      </c>
      <c r="G497" s="47"/>
      <c r="H497" s="3" t="str">
        <f t="shared" si="130"/>
        <v/>
      </c>
      <c r="I497" s="47"/>
      <c r="J497" s="3" t="str">
        <f t="shared" si="131"/>
        <v/>
      </c>
      <c r="K497" s="47"/>
      <c r="L497" s="3" t="str">
        <f t="shared" si="132"/>
        <v/>
      </c>
      <c r="M497" s="47"/>
      <c r="N497" s="3" t="str">
        <f t="shared" si="133"/>
        <v/>
      </c>
      <c r="O497" s="47"/>
      <c r="P497" s="3" t="str">
        <f t="shared" si="134"/>
        <v/>
      </c>
      <c r="Q497" s="47"/>
      <c r="R497" s="3" t="str">
        <f t="shared" si="135"/>
        <v/>
      </c>
      <c r="S497" s="47"/>
      <c r="T497" s="1" t="str">
        <f t="shared" si="136"/>
        <v/>
      </c>
      <c r="U497" s="47"/>
      <c r="V497" s="1" t="str">
        <f t="shared" si="137"/>
        <v/>
      </c>
      <c r="W497" s="47"/>
      <c r="X497" s="1" t="str">
        <f t="shared" si="138"/>
        <v/>
      </c>
      <c r="Y497" s="47"/>
      <c r="Z497" s="1" t="str">
        <f t="shared" si="139"/>
        <v/>
      </c>
      <c r="AA497" s="47"/>
      <c r="AB497" s="1" t="str">
        <f t="shared" si="140"/>
        <v/>
      </c>
      <c r="AC497" s="47"/>
      <c r="AD497" s="1" t="str">
        <f t="shared" si="141"/>
        <v/>
      </c>
      <c r="AE497" s="47"/>
      <c r="AF497" s="1" t="str">
        <f t="shared" si="142"/>
        <v/>
      </c>
      <c r="AG497" s="47"/>
    </row>
    <row r="498" spans="1:33">
      <c r="A498">
        <f t="shared" si="126"/>
        <v>0</v>
      </c>
      <c r="B498" s="2" t="str">
        <f t="shared" si="143"/>
        <v/>
      </c>
      <c r="C498" s="4" t="str">
        <f t="shared" si="127"/>
        <v/>
      </c>
      <c r="D498" s="3" t="str">
        <f t="shared" si="128"/>
        <v/>
      </c>
      <c r="E498" s="47"/>
      <c r="F498" s="3" t="str">
        <f t="shared" si="129"/>
        <v/>
      </c>
      <c r="G498" s="47"/>
      <c r="H498" s="3" t="str">
        <f t="shared" si="130"/>
        <v/>
      </c>
      <c r="I498" s="47"/>
      <c r="J498" s="3" t="str">
        <f t="shared" si="131"/>
        <v/>
      </c>
      <c r="K498" s="47"/>
      <c r="L498" s="3" t="str">
        <f t="shared" si="132"/>
        <v/>
      </c>
      <c r="M498" s="47"/>
      <c r="N498" s="3" t="str">
        <f t="shared" si="133"/>
        <v/>
      </c>
      <c r="O498" s="47"/>
      <c r="P498" s="3" t="str">
        <f t="shared" si="134"/>
        <v/>
      </c>
      <c r="Q498" s="47"/>
      <c r="R498" s="3" t="str">
        <f t="shared" si="135"/>
        <v/>
      </c>
      <c r="S498" s="47"/>
      <c r="T498" s="1" t="str">
        <f t="shared" si="136"/>
        <v/>
      </c>
      <c r="U498" s="47"/>
      <c r="V498" s="1" t="str">
        <f t="shared" si="137"/>
        <v/>
      </c>
      <c r="W498" s="47"/>
      <c r="X498" s="1" t="str">
        <f t="shared" si="138"/>
        <v/>
      </c>
      <c r="Y498" s="47"/>
      <c r="Z498" s="1" t="str">
        <f t="shared" si="139"/>
        <v/>
      </c>
      <c r="AA498" s="47"/>
      <c r="AB498" s="1" t="str">
        <f t="shared" si="140"/>
        <v/>
      </c>
      <c r="AC498" s="47"/>
      <c r="AD498" s="1" t="str">
        <f t="shared" si="141"/>
        <v/>
      </c>
      <c r="AE498" s="47"/>
      <c r="AF498" s="1" t="str">
        <f t="shared" si="142"/>
        <v/>
      </c>
      <c r="AG498" s="47"/>
    </row>
    <row r="499" spans="1:33">
      <c r="A499">
        <f t="shared" si="126"/>
        <v>0</v>
      </c>
      <c r="B499" s="2" t="str">
        <f t="shared" si="143"/>
        <v/>
      </c>
      <c r="C499" s="4" t="str">
        <f t="shared" si="127"/>
        <v/>
      </c>
      <c r="D499" s="3" t="str">
        <f t="shared" si="128"/>
        <v/>
      </c>
      <c r="E499" s="47"/>
      <c r="F499" s="3" t="str">
        <f t="shared" si="129"/>
        <v/>
      </c>
      <c r="G499" s="47"/>
      <c r="H499" s="3" t="str">
        <f t="shared" si="130"/>
        <v/>
      </c>
      <c r="I499" s="47"/>
      <c r="J499" s="3" t="str">
        <f t="shared" si="131"/>
        <v/>
      </c>
      <c r="K499" s="47"/>
      <c r="L499" s="3" t="str">
        <f t="shared" si="132"/>
        <v/>
      </c>
      <c r="M499" s="47"/>
      <c r="N499" s="3" t="str">
        <f t="shared" si="133"/>
        <v/>
      </c>
      <c r="O499" s="47"/>
      <c r="P499" s="3" t="str">
        <f t="shared" si="134"/>
        <v/>
      </c>
      <c r="Q499" s="47"/>
      <c r="R499" s="3" t="str">
        <f t="shared" si="135"/>
        <v/>
      </c>
      <c r="S499" s="47"/>
      <c r="T499" s="1" t="str">
        <f t="shared" si="136"/>
        <v/>
      </c>
      <c r="U499" s="47"/>
      <c r="V499" s="1" t="str">
        <f t="shared" si="137"/>
        <v/>
      </c>
      <c r="W499" s="47"/>
      <c r="X499" s="1" t="str">
        <f t="shared" si="138"/>
        <v/>
      </c>
      <c r="Y499" s="47"/>
      <c r="Z499" s="1" t="str">
        <f t="shared" si="139"/>
        <v/>
      </c>
      <c r="AA499" s="47"/>
      <c r="AB499" s="1" t="str">
        <f t="shared" si="140"/>
        <v/>
      </c>
      <c r="AC499" s="47"/>
      <c r="AD499" s="1" t="str">
        <f t="shared" si="141"/>
        <v/>
      </c>
      <c r="AE499" s="47"/>
      <c r="AF499" s="1" t="str">
        <f t="shared" si="142"/>
        <v/>
      </c>
      <c r="AG499" s="47"/>
    </row>
    <row r="500" spans="1:33">
      <c r="A500">
        <f t="shared" si="126"/>
        <v>0</v>
      </c>
      <c r="B500" s="2" t="str">
        <f t="shared" si="143"/>
        <v/>
      </c>
      <c r="C500" s="4" t="str">
        <f t="shared" si="127"/>
        <v/>
      </c>
      <c r="D500" s="3" t="str">
        <f t="shared" si="128"/>
        <v/>
      </c>
      <c r="E500" s="47"/>
      <c r="F500" s="3" t="str">
        <f t="shared" si="129"/>
        <v/>
      </c>
      <c r="G500" s="47"/>
      <c r="H500" s="3" t="str">
        <f t="shared" si="130"/>
        <v/>
      </c>
      <c r="I500" s="47"/>
      <c r="J500" s="3" t="str">
        <f t="shared" si="131"/>
        <v/>
      </c>
      <c r="K500" s="47"/>
      <c r="L500" s="3" t="str">
        <f t="shared" si="132"/>
        <v/>
      </c>
      <c r="M500" s="47"/>
      <c r="N500" s="3" t="str">
        <f t="shared" si="133"/>
        <v/>
      </c>
      <c r="O500" s="47"/>
      <c r="P500" s="3" t="str">
        <f t="shared" si="134"/>
        <v/>
      </c>
      <c r="Q500" s="47"/>
      <c r="R500" s="3" t="str">
        <f t="shared" si="135"/>
        <v/>
      </c>
      <c r="S500" s="47"/>
      <c r="T500" s="1" t="str">
        <f t="shared" si="136"/>
        <v/>
      </c>
      <c r="U500" s="47"/>
      <c r="V500" s="1" t="str">
        <f t="shared" si="137"/>
        <v/>
      </c>
      <c r="W500" s="47"/>
      <c r="X500" s="1" t="str">
        <f t="shared" si="138"/>
        <v/>
      </c>
      <c r="Y500" s="47"/>
      <c r="Z500" s="1" t="str">
        <f t="shared" si="139"/>
        <v/>
      </c>
      <c r="AA500" s="47"/>
      <c r="AB500" s="1" t="str">
        <f t="shared" si="140"/>
        <v/>
      </c>
      <c r="AC500" s="47"/>
      <c r="AD500" s="1" t="str">
        <f t="shared" si="141"/>
        <v/>
      </c>
      <c r="AE500" s="47"/>
      <c r="AF500" s="1" t="str">
        <f t="shared" si="142"/>
        <v/>
      </c>
      <c r="AG500" s="47"/>
    </row>
    <row r="501" spans="1:33">
      <c r="A501">
        <f t="shared" si="126"/>
        <v>0</v>
      </c>
      <c r="B501" s="2" t="str">
        <f t="shared" si="143"/>
        <v/>
      </c>
      <c r="C501" s="4" t="str">
        <f t="shared" si="127"/>
        <v/>
      </c>
      <c r="D501" s="3" t="str">
        <f t="shared" si="128"/>
        <v/>
      </c>
      <c r="E501" s="47"/>
      <c r="F501" s="3" t="str">
        <f t="shared" si="129"/>
        <v/>
      </c>
      <c r="G501" s="47"/>
      <c r="H501" s="3" t="str">
        <f t="shared" si="130"/>
        <v/>
      </c>
      <c r="I501" s="47"/>
      <c r="J501" s="3" t="str">
        <f t="shared" si="131"/>
        <v/>
      </c>
      <c r="K501" s="47"/>
      <c r="L501" s="3" t="str">
        <f t="shared" si="132"/>
        <v/>
      </c>
      <c r="M501" s="47"/>
      <c r="N501" s="3" t="str">
        <f t="shared" si="133"/>
        <v/>
      </c>
      <c r="O501" s="47"/>
      <c r="P501" s="3" t="str">
        <f t="shared" si="134"/>
        <v/>
      </c>
      <c r="Q501" s="47"/>
      <c r="R501" s="3" t="str">
        <f t="shared" si="135"/>
        <v/>
      </c>
      <c r="S501" s="47"/>
      <c r="T501" s="1" t="str">
        <f t="shared" si="136"/>
        <v/>
      </c>
      <c r="U501" s="47"/>
      <c r="V501" s="1" t="str">
        <f t="shared" si="137"/>
        <v/>
      </c>
      <c r="W501" s="47"/>
      <c r="X501" s="1" t="str">
        <f t="shared" si="138"/>
        <v/>
      </c>
      <c r="Y501" s="47"/>
      <c r="Z501" s="1" t="str">
        <f t="shared" si="139"/>
        <v/>
      </c>
      <c r="AA501" s="47"/>
      <c r="AB501" s="1" t="str">
        <f t="shared" si="140"/>
        <v/>
      </c>
      <c r="AC501" s="47"/>
      <c r="AD501" s="1" t="str">
        <f t="shared" si="141"/>
        <v/>
      </c>
      <c r="AE501" s="47"/>
      <c r="AF501" s="1" t="str">
        <f t="shared" si="142"/>
        <v/>
      </c>
      <c r="AG501" s="47"/>
    </row>
    <row r="502" spans="1:33">
      <c r="A502">
        <f t="shared" si="126"/>
        <v>0</v>
      </c>
      <c r="B502" s="2" t="str">
        <f t="shared" si="143"/>
        <v/>
      </c>
      <c r="C502" s="4" t="str">
        <f t="shared" si="127"/>
        <v/>
      </c>
      <c r="D502" s="3" t="str">
        <f t="shared" si="128"/>
        <v/>
      </c>
      <c r="E502" s="47"/>
      <c r="F502" s="3" t="str">
        <f t="shared" si="129"/>
        <v/>
      </c>
      <c r="G502" s="47"/>
      <c r="H502" s="3" t="str">
        <f t="shared" si="130"/>
        <v/>
      </c>
      <c r="I502" s="47"/>
      <c r="J502" s="3" t="str">
        <f t="shared" si="131"/>
        <v/>
      </c>
      <c r="K502" s="47"/>
      <c r="L502" s="3" t="str">
        <f t="shared" si="132"/>
        <v/>
      </c>
      <c r="M502" s="47"/>
      <c r="N502" s="3" t="str">
        <f t="shared" si="133"/>
        <v/>
      </c>
      <c r="O502" s="47"/>
      <c r="P502" s="3" t="str">
        <f t="shared" si="134"/>
        <v/>
      </c>
      <c r="Q502" s="47"/>
      <c r="R502" s="3" t="str">
        <f t="shared" si="135"/>
        <v/>
      </c>
      <c r="S502" s="47"/>
      <c r="T502" s="1" t="str">
        <f t="shared" si="136"/>
        <v/>
      </c>
      <c r="U502" s="47"/>
      <c r="V502" s="1" t="str">
        <f t="shared" si="137"/>
        <v/>
      </c>
      <c r="W502" s="47"/>
      <c r="X502" s="1" t="str">
        <f t="shared" si="138"/>
        <v/>
      </c>
      <c r="Y502" s="47"/>
      <c r="Z502" s="1" t="str">
        <f t="shared" si="139"/>
        <v/>
      </c>
      <c r="AA502" s="47"/>
      <c r="AB502" s="1" t="str">
        <f t="shared" si="140"/>
        <v/>
      </c>
      <c r="AC502" s="47"/>
      <c r="AD502" s="1" t="str">
        <f t="shared" si="141"/>
        <v/>
      </c>
      <c r="AE502" s="47"/>
      <c r="AF502" s="1" t="str">
        <f t="shared" si="142"/>
        <v/>
      </c>
      <c r="AG502" s="47"/>
    </row>
    <row r="503" spans="1:33">
      <c r="A503">
        <f t="shared" si="126"/>
        <v>0</v>
      </c>
      <c r="B503" s="2" t="str">
        <f t="shared" si="143"/>
        <v/>
      </c>
      <c r="C503" s="4" t="str">
        <f t="shared" si="127"/>
        <v/>
      </c>
      <c r="D503" s="3" t="str">
        <f t="shared" si="128"/>
        <v/>
      </c>
      <c r="E503" s="47"/>
      <c r="F503" s="3" t="str">
        <f t="shared" si="129"/>
        <v/>
      </c>
      <c r="G503" s="47"/>
      <c r="H503" s="3" t="str">
        <f t="shared" si="130"/>
        <v/>
      </c>
      <c r="I503" s="47"/>
      <c r="J503" s="3" t="str">
        <f t="shared" si="131"/>
        <v/>
      </c>
      <c r="K503" s="47"/>
      <c r="L503" s="3" t="str">
        <f t="shared" si="132"/>
        <v/>
      </c>
      <c r="M503" s="47"/>
      <c r="N503" s="3" t="str">
        <f t="shared" si="133"/>
        <v/>
      </c>
      <c r="O503" s="47"/>
      <c r="P503" s="3" t="str">
        <f t="shared" si="134"/>
        <v/>
      </c>
      <c r="Q503" s="47"/>
      <c r="R503" s="3" t="str">
        <f t="shared" si="135"/>
        <v/>
      </c>
      <c r="S503" s="47"/>
      <c r="T503" s="1" t="str">
        <f t="shared" si="136"/>
        <v/>
      </c>
      <c r="U503" s="47"/>
      <c r="V503" s="1" t="str">
        <f t="shared" si="137"/>
        <v/>
      </c>
      <c r="W503" s="47"/>
      <c r="X503" s="1" t="str">
        <f t="shared" si="138"/>
        <v/>
      </c>
      <c r="Y503" s="47"/>
      <c r="Z503" s="1" t="str">
        <f t="shared" si="139"/>
        <v/>
      </c>
      <c r="AA503" s="47"/>
      <c r="AB503" s="1" t="str">
        <f t="shared" si="140"/>
        <v/>
      </c>
      <c r="AC503" s="47"/>
      <c r="AD503" s="1" t="str">
        <f t="shared" si="141"/>
        <v/>
      </c>
      <c r="AE503" s="47"/>
      <c r="AF503" s="1" t="str">
        <f t="shared" si="142"/>
        <v/>
      </c>
      <c r="AG503" s="47"/>
    </row>
    <row r="504" spans="1:33">
      <c r="A504">
        <f t="shared" si="126"/>
        <v>0</v>
      </c>
      <c r="B504" s="2" t="str">
        <f t="shared" si="143"/>
        <v/>
      </c>
      <c r="C504" s="4" t="str">
        <f t="shared" si="127"/>
        <v/>
      </c>
      <c r="D504" s="3" t="str">
        <f t="shared" si="128"/>
        <v/>
      </c>
      <c r="E504" s="47"/>
      <c r="F504" s="3" t="str">
        <f t="shared" si="129"/>
        <v/>
      </c>
      <c r="G504" s="47"/>
      <c r="H504" s="3" t="str">
        <f t="shared" si="130"/>
        <v/>
      </c>
      <c r="I504" s="47"/>
      <c r="J504" s="3" t="str">
        <f t="shared" si="131"/>
        <v/>
      </c>
      <c r="K504" s="47"/>
      <c r="L504" s="3" t="str">
        <f t="shared" si="132"/>
        <v/>
      </c>
      <c r="M504" s="47"/>
      <c r="N504" s="3" t="str">
        <f t="shared" si="133"/>
        <v/>
      </c>
      <c r="O504" s="47"/>
      <c r="P504" s="3" t="str">
        <f t="shared" si="134"/>
        <v/>
      </c>
      <c r="Q504" s="47"/>
      <c r="R504" s="3" t="str">
        <f t="shared" si="135"/>
        <v/>
      </c>
      <c r="S504" s="47"/>
      <c r="T504" s="1" t="str">
        <f t="shared" si="136"/>
        <v/>
      </c>
      <c r="U504" s="47"/>
      <c r="V504" s="1" t="str">
        <f t="shared" si="137"/>
        <v/>
      </c>
      <c r="W504" s="47"/>
      <c r="X504" s="1" t="str">
        <f t="shared" si="138"/>
        <v/>
      </c>
      <c r="Y504" s="47"/>
      <c r="Z504" s="1" t="str">
        <f t="shared" si="139"/>
        <v/>
      </c>
      <c r="AA504" s="47"/>
      <c r="AB504" s="1" t="str">
        <f t="shared" si="140"/>
        <v/>
      </c>
      <c r="AC504" s="47"/>
      <c r="AD504" s="1" t="str">
        <f t="shared" si="141"/>
        <v/>
      </c>
      <c r="AE504" s="47"/>
      <c r="AF504" s="1" t="str">
        <f t="shared" si="142"/>
        <v/>
      </c>
      <c r="AG504" s="47"/>
    </row>
    <row r="505" spans="1:33">
      <c r="A505">
        <f t="shared" si="126"/>
        <v>0</v>
      </c>
      <c r="B505" s="2" t="str">
        <f t="shared" si="143"/>
        <v/>
      </c>
      <c r="C505" s="4" t="str">
        <f t="shared" si="127"/>
        <v/>
      </c>
      <c r="D505" s="3" t="str">
        <f t="shared" si="128"/>
        <v/>
      </c>
      <c r="E505" s="47"/>
      <c r="F505" s="3" t="str">
        <f t="shared" si="129"/>
        <v/>
      </c>
      <c r="G505" s="47"/>
      <c r="H505" s="3" t="str">
        <f t="shared" si="130"/>
        <v/>
      </c>
      <c r="I505" s="47"/>
      <c r="J505" s="3" t="str">
        <f t="shared" si="131"/>
        <v/>
      </c>
      <c r="K505" s="47"/>
      <c r="L505" s="3" t="str">
        <f t="shared" si="132"/>
        <v/>
      </c>
      <c r="M505" s="47"/>
      <c r="N505" s="3" t="str">
        <f t="shared" si="133"/>
        <v/>
      </c>
      <c r="O505" s="47"/>
      <c r="P505" s="3" t="str">
        <f t="shared" si="134"/>
        <v/>
      </c>
      <c r="Q505" s="47"/>
      <c r="R505" s="3" t="str">
        <f t="shared" si="135"/>
        <v/>
      </c>
      <c r="S505" s="47"/>
      <c r="T505" s="1" t="str">
        <f t="shared" si="136"/>
        <v/>
      </c>
      <c r="U505" s="47"/>
      <c r="V505" s="1" t="str">
        <f t="shared" si="137"/>
        <v/>
      </c>
      <c r="W505" s="47"/>
      <c r="X505" s="1" t="str">
        <f t="shared" si="138"/>
        <v/>
      </c>
      <c r="Y505" s="47"/>
      <c r="Z505" s="1" t="str">
        <f t="shared" si="139"/>
        <v/>
      </c>
      <c r="AA505" s="47"/>
      <c r="AB505" s="1" t="str">
        <f t="shared" si="140"/>
        <v/>
      </c>
      <c r="AC505" s="47"/>
      <c r="AD505" s="1" t="str">
        <f t="shared" si="141"/>
        <v/>
      </c>
      <c r="AE505" s="47"/>
      <c r="AF505" s="1" t="str">
        <f t="shared" si="142"/>
        <v/>
      </c>
      <c r="AG505" s="47"/>
    </row>
    <row r="506" spans="1:33">
      <c r="A506">
        <f t="shared" si="126"/>
        <v>0</v>
      </c>
      <c r="B506" s="2" t="str">
        <f t="shared" si="143"/>
        <v/>
      </c>
      <c r="C506" s="4" t="str">
        <f t="shared" si="127"/>
        <v/>
      </c>
      <c r="D506" s="3" t="str">
        <f t="shared" si="128"/>
        <v/>
      </c>
      <c r="E506" s="47"/>
      <c r="F506" s="3" t="str">
        <f t="shared" si="129"/>
        <v/>
      </c>
      <c r="G506" s="47"/>
      <c r="H506" s="3" t="str">
        <f t="shared" si="130"/>
        <v/>
      </c>
      <c r="I506" s="47"/>
      <c r="J506" s="3" t="str">
        <f t="shared" si="131"/>
        <v/>
      </c>
      <c r="K506" s="47"/>
      <c r="L506" s="3" t="str">
        <f t="shared" si="132"/>
        <v/>
      </c>
      <c r="M506" s="47"/>
      <c r="N506" s="3" t="str">
        <f t="shared" si="133"/>
        <v/>
      </c>
      <c r="O506" s="47"/>
      <c r="P506" s="3" t="str">
        <f t="shared" si="134"/>
        <v/>
      </c>
      <c r="Q506" s="47"/>
      <c r="R506" s="3" t="str">
        <f t="shared" si="135"/>
        <v/>
      </c>
      <c r="S506" s="47"/>
      <c r="T506" s="1" t="str">
        <f t="shared" si="136"/>
        <v/>
      </c>
      <c r="U506" s="47"/>
      <c r="V506" s="1" t="str">
        <f t="shared" si="137"/>
        <v/>
      </c>
      <c r="W506" s="47"/>
      <c r="X506" s="1" t="str">
        <f t="shared" si="138"/>
        <v/>
      </c>
      <c r="Y506" s="47"/>
      <c r="Z506" s="1" t="str">
        <f t="shared" si="139"/>
        <v/>
      </c>
      <c r="AA506" s="47"/>
      <c r="AB506" s="1" t="str">
        <f t="shared" si="140"/>
        <v/>
      </c>
      <c r="AC506" s="47"/>
      <c r="AD506" s="1" t="str">
        <f t="shared" si="141"/>
        <v/>
      </c>
      <c r="AE506" s="47"/>
      <c r="AF506" s="1" t="str">
        <f t="shared" si="142"/>
        <v/>
      </c>
      <c r="AG506" s="47"/>
    </row>
    <row r="507" spans="1:33">
      <c r="A507">
        <f t="shared" si="126"/>
        <v>0</v>
      </c>
      <c r="B507" s="2" t="str">
        <f t="shared" si="143"/>
        <v/>
      </c>
      <c r="C507" s="4" t="str">
        <f t="shared" si="127"/>
        <v/>
      </c>
      <c r="D507" s="3" t="str">
        <f t="shared" si="128"/>
        <v/>
      </c>
      <c r="E507" s="47"/>
      <c r="F507" s="3" t="str">
        <f t="shared" si="129"/>
        <v/>
      </c>
      <c r="G507" s="47"/>
      <c r="H507" s="3" t="str">
        <f t="shared" si="130"/>
        <v/>
      </c>
      <c r="I507" s="47"/>
      <c r="J507" s="3" t="str">
        <f t="shared" si="131"/>
        <v/>
      </c>
      <c r="K507" s="47"/>
      <c r="L507" s="3" t="str">
        <f t="shared" si="132"/>
        <v/>
      </c>
      <c r="M507" s="47"/>
      <c r="N507" s="3" t="str">
        <f t="shared" si="133"/>
        <v/>
      </c>
      <c r="O507" s="47"/>
      <c r="P507" s="3" t="str">
        <f t="shared" si="134"/>
        <v/>
      </c>
      <c r="Q507" s="47"/>
      <c r="R507" s="3" t="str">
        <f t="shared" si="135"/>
        <v/>
      </c>
      <c r="S507" s="47"/>
      <c r="T507" s="1" t="str">
        <f t="shared" si="136"/>
        <v/>
      </c>
      <c r="U507" s="47"/>
      <c r="V507" s="1" t="str">
        <f t="shared" si="137"/>
        <v/>
      </c>
      <c r="W507" s="47"/>
      <c r="X507" s="1" t="str">
        <f t="shared" si="138"/>
        <v/>
      </c>
      <c r="Y507" s="47"/>
      <c r="Z507" s="1" t="str">
        <f t="shared" si="139"/>
        <v/>
      </c>
      <c r="AA507" s="47"/>
      <c r="AB507" s="1" t="str">
        <f t="shared" si="140"/>
        <v/>
      </c>
      <c r="AC507" s="47"/>
      <c r="AD507" s="1" t="str">
        <f t="shared" si="141"/>
        <v/>
      </c>
      <c r="AE507" s="47"/>
      <c r="AF507" s="1" t="str">
        <f t="shared" si="142"/>
        <v/>
      </c>
      <c r="AG507" s="47"/>
    </row>
    <row r="508" spans="1:33">
      <c r="A508">
        <f t="shared" si="126"/>
        <v>0</v>
      </c>
      <c r="B508" s="2" t="str">
        <f t="shared" si="143"/>
        <v/>
      </c>
      <c r="C508" s="4" t="str">
        <f t="shared" si="127"/>
        <v/>
      </c>
      <c r="D508" s="3" t="str">
        <f t="shared" si="128"/>
        <v/>
      </c>
      <c r="E508" s="47"/>
      <c r="F508" s="3" t="str">
        <f t="shared" si="129"/>
        <v/>
      </c>
      <c r="G508" s="47"/>
      <c r="H508" s="3" t="str">
        <f t="shared" si="130"/>
        <v/>
      </c>
      <c r="I508" s="47"/>
      <c r="J508" s="3" t="str">
        <f t="shared" si="131"/>
        <v/>
      </c>
      <c r="K508" s="47"/>
      <c r="L508" s="3" t="str">
        <f t="shared" si="132"/>
        <v/>
      </c>
      <c r="M508" s="47"/>
      <c r="N508" s="3" t="str">
        <f t="shared" si="133"/>
        <v/>
      </c>
      <c r="O508" s="47"/>
      <c r="P508" s="3" t="str">
        <f t="shared" si="134"/>
        <v/>
      </c>
      <c r="Q508" s="47"/>
      <c r="R508" s="3" t="str">
        <f t="shared" si="135"/>
        <v/>
      </c>
      <c r="S508" s="47"/>
      <c r="T508" s="1" t="str">
        <f t="shared" si="136"/>
        <v/>
      </c>
      <c r="U508" s="47"/>
      <c r="V508" s="1" t="str">
        <f t="shared" si="137"/>
        <v/>
      </c>
      <c r="W508" s="47"/>
      <c r="X508" s="1" t="str">
        <f t="shared" si="138"/>
        <v/>
      </c>
      <c r="Y508" s="47"/>
      <c r="Z508" s="1" t="str">
        <f t="shared" si="139"/>
        <v/>
      </c>
      <c r="AA508" s="47"/>
      <c r="AB508" s="1" t="str">
        <f t="shared" si="140"/>
        <v/>
      </c>
      <c r="AC508" s="47"/>
      <c r="AD508" s="1" t="str">
        <f t="shared" si="141"/>
        <v/>
      </c>
      <c r="AE508" s="47"/>
      <c r="AF508" s="1" t="str">
        <f t="shared" si="142"/>
        <v/>
      </c>
      <c r="AG508" s="47"/>
    </row>
    <row r="509" spans="1:33">
      <c r="A509">
        <f t="shared" si="126"/>
        <v>0</v>
      </c>
      <c r="B509" s="2" t="str">
        <f t="shared" si="143"/>
        <v/>
      </c>
      <c r="C509" s="4" t="str">
        <f t="shared" si="127"/>
        <v/>
      </c>
      <c r="D509" s="3" t="str">
        <f t="shared" si="128"/>
        <v/>
      </c>
      <c r="E509" s="47"/>
      <c r="F509" s="3" t="str">
        <f t="shared" si="129"/>
        <v/>
      </c>
      <c r="G509" s="47"/>
      <c r="H509" s="3" t="str">
        <f t="shared" si="130"/>
        <v/>
      </c>
      <c r="I509" s="47"/>
      <c r="J509" s="3" t="str">
        <f t="shared" si="131"/>
        <v/>
      </c>
      <c r="K509" s="47"/>
      <c r="L509" s="3" t="str">
        <f t="shared" si="132"/>
        <v/>
      </c>
      <c r="M509" s="47"/>
      <c r="N509" s="3" t="str">
        <f t="shared" si="133"/>
        <v/>
      </c>
      <c r="O509" s="47"/>
      <c r="P509" s="3" t="str">
        <f t="shared" si="134"/>
        <v/>
      </c>
      <c r="Q509" s="47"/>
      <c r="R509" s="3" t="str">
        <f t="shared" si="135"/>
        <v/>
      </c>
      <c r="S509" s="47"/>
      <c r="T509" s="1" t="str">
        <f t="shared" si="136"/>
        <v/>
      </c>
      <c r="U509" s="47"/>
      <c r="V509" s="1" t="str">
        <f t="shared" si="137"/>
        <v/>
      </c>
      <c r="W509" s="47"/>
      <c r="X509" s="1" t="str">
        <f t="shared" si="138"/>
        <v/>
      </c>
      <c r="Y509" s="47"/>
      <c r="Z509" s="1" t="str">
        <f t="shared" si="139"/>
        <v/>
      </c>
      <c r="AA509" s="47"/>
      <c r="AB509" s="1" t="str">
        <f t="shared" si="140"/>
        <v/>
      </c>
      <c r="AC509" s="47"/>
      <c r="AD509" s="1" t="str">
        <f t="shared" si="141"/>
        <v/>
      </c>
      <c r="AE509" s="47"/>
      <c r="AF509" s="1" t="str">
        <f t="shared" si="142"/>
        <v/>
      </c>
      <c r="AG509" s="47"/>
    </row>
    <row r="510" spans="1:33">
      <c r="A510">
        <f t="shared" si="126"/>
        <v>0</v>
      </c>
      <c r="B510" s="2" t="str">
        <f t="shared" si="143"/>
        <v/>
      </c>
      <c r="C510" s="4" t="str">
        <f t="shared" si="127"/>
        <v/>
      </c>
      <c r="D510" s="3" t="str">
        <f t="shared" si="128"/>
        <v/>
      </c>
      <c r="E510" s="47"/>
      <c r="F510" s="3" t="str">
        <f t="shared" si="129"/>
        <v/>
      </c>
      <c r="G510" s="47"/>
      <c r="H510" s="3" t="str">
        <f t="shared" si="130"/>
        <v/>
      </c>
      <c r="I510" s="47"/>
      <c r="J510" s="3" t="str">
        <f t="shared" si="131"/>
        <v/>
      </c>
      <c r="K510" s="47"/>
      <c r="L510" s="3" t="str">
        <f t="shared" si="132"/>
        <v/>
      </c>
      <c r="M510" s="47"/>
      <c r="N510" s="3" t="str">
        <f t="shared" si="133"/>
        <v/>
      </c>
      <c r="O510" s="47"/>
      <c r="P510" s="3" t="str">
        <f t="shared" si="134"/>
        <v/>
      </c>
      <c r="Q510" s="47"/>
      <c r="R510" s="3" t="str">
        <f t="shared" si="135"/>
        <v/>
      </c>
      <c r="S510" s="47"/>
      <c r="T510" s="1" t="str">
        <f t="shared" si="136"/>
        <v/>
      </c>
      <c r="U510" s="47"/>
      <c r="V510" s="1" t="str">
        <f t="shared" si="137"/>
        <v/>
      </c>
      <c r="W510" s="47"/>
      <c r="X510" s="1" t="str">
        <f t="shared" si="138"/>
        <v/>
      </c>
      <c r="Y510" s="47"/>
      <c r="Z510" s="1" t="str">
        <f t="shared" si="139"/>
        <v/>
      </c>
      <c r="AA510" s="47"/>
      <c r="AB510" s="1" t="str">
        <f t="shared" si="140"/>
        <v/>
      </c>
      <c r="AC510" s="47"/>
      <c r="AD510" s="1" t="str">
        <f t="shared" si="141"/>
        <v/>
      </c>
      <c r="AE510" s="47"/>
      <c r="AF510" s="1" t="str">
        <f t="shared" si="142"/>
        <v/>
      </c>
      <c r="AG510" s="47"/>
    </row>
    <row r="511" spans="1:33">
      <c r="A511">
        <f t="shared" si="126"/>
        <v>0</v>
      </c>
      <c r="B511" s="2" t="str">
        <f t="shared" si="143"/>
        <v/>
      </c>
      <c r="C511" s="4" t="str">
        <f t="shared" si="127"/>
        <v/>
      </c>
      <c r="D511" s="3" t="str">
        <f t="shared" si="128"/>
        <v/>
      </c>
      <c r="E511" s="47"/>
      <c r="F511" s="3" t="str">
        <f t="shared" si="129"/>
        <v/>
      </c>
      <c r="G511" s="47"/>
      <c r="H511" s="3" t="str">
        <f t="shared" si="130"/>
        <v/>
      </c>
      <c r="I511" s="47"/>
      <c r="J511" s="3" t="str">
        <f t="shared" si="131"/>
        <v/>
      </c>
      <c r="K511" s="47"/>
      <c r="L511" s="3" t="str">
        <f t="shared" si="132"/>
        <v/>
      </c>
      <c r="M511" s="47"/>
      <c r="N511" s="3" t="str">
        <f t="shared" si="133"/>
        <v/>
      </c>
      <c r="O511" s="47"/>
      <c r="P511" s="3" t="str">
        <f t="shared" si="134"/>
        <v/>
      </c>
      <c r="Q511" s="47"/>
      <c r="R511" s="3" t="str">
        <f t="shared" si="135"/>
        <v/>
      </c>
      <c r="S511" s="47"/>
      <c r="T511" s="1" t="str">
        <f t="shared" si="136"/>
        <v/>
      </c>
      <c r="U511" s="47"/>
      <c r="V511" s="1" t="str">
        <f t="shared" si="137"/>
        <v/>
      </c>
      <c r="W511" s="47"/>
      <c r="X511" s="1" t="str">
        <f t="shared" si="138"/>
        <v/>
      </c>
      <c r="Y511" s="47"/>
      <c r="Z511" s="1" t="str">
        <f t="shared" si="139"/>
        <v/>
      </c>
      <c r="AA511" s="47"/>
      <c r="AB511" s="1" t="str">
        <f t="shared" si="140"/>
        <v/>
      </c>
      <c r="AC511" s="47"/>
      <c r="AD511" s="1" t="str">
        <f t="shared" si="141"/>
        <v/>
      </c>
      <c r="AE511" s="47"/>
      <c r="AF511" s="1" t="str">
        <f t="shared" si="142"/>
        <v/>
      </c>
      <c r="AG511" s="47"/>
    </row>
    <row r="512" spans="1:33">
      <c r="A512">
        <f t="shared" si="126"/>
        <v>0</v>
      </c>
      <c r="B512" s="2" t="str">
        <f t="shared" si="143"/>
        <v/>
      </c>
      <c r="C512" s="4" t="str">
        <f t="shared" si="127"/>
        <v/>
      </c>
      <c r="D512" s="3" t="str">
        <f t="shared" si="128"/>
        <v/>
      </c>
      <c r="E512" s="47"/>
      <c r="F512" s="3" t="str">
        <f t="shared" si="129"/>
        <v/>
      </c>
      <c r="G512" s="47"/>
      <c r="H512" s="3" t="str">
        <f t="shared" si="130"/>
        <v/>
      </c>
      <c r="I512" s="47"/>
      <c r="J512" s="3" t="str">
        <f t="shared" si="131"/>
        <v/>
      </c>
      <c r="K512" s="47"/>
      <c r="L512" s="3" t="str">
        <f t="shared" si="132"/>
        <v/>
      </c>
      <c r="M512" s="47"/>
      <c r="N512" s="3" t="str">
        <f t="shared" si="133"/>
        <v/>
      </c>
      <c r="O512" s="47"/>
      <c r="P512" s="3" t="str">
        <f t="shared" si="134"/>
        <v/>
      </c>
      <c r="Q512" s="47"/>
      <c r="R512" s="3" t="str">
        <f t="shared" si="135"/>
        <v/>
      </c>
      <c r="S512" s="47"/>
      <c r="T512" s="1" t="str">
        <f t="shared" si="136"/>
        <v/>
      </c>
      <c r="U512" s="47"/>
      <c r="V512" s="1" t="str">
        <f t="shared" si="137"/>
        <v/>
      </c>
      <c r="W512" s="47"/>
      <c r="X512" s="1" t="str">
        <f t="shared" si="138"/>
        <v/>
      </c>
      <c r="Y512" s="47"/>
      <c r="Z512" s="1" t="str">
        <f t="shared" si="139"/>
        <v/>
      </c>
      <c r="AA512" s="47"/>
      <c r="AB512" s="1" t="str">
        <f t="shared" si="140"/>
        <v/>
      </c>
      <c r="AC512" s="47"/>
      <c r="AD512" s="1" t="str">
        <f t="shared" si="141"/>
        <v/>
      </c>
      <c r="AE512" s="47"/>
      <c r="AF512" s="1" t="str">
        <f t="shared" si="142"/>
        <v/>
      </c>
      <c r="AG512" s="47"/>
    </row>
    <row r="513" spans="1:33">
      <c r="A513">
        <f t="shared" si="126"/>
        <v>0</v>
      </c>
      <c r="B513" s="2" t="str">
        <f t="shared" si="143"/>
        <v/>
      </c>
      <c r="C513" s="4" t="str">
        <f t="shared" si="127"/>
        <v/>
      </c>
      <c r="D513" s="3" t="str">
        <f t="shared" si="128"/>
        <v/>
      </c>
      <c r="E513" s="47"/>
      <c r="F513" s="3" t="str">
        <f t="shared" si="129"/>
        <v/>
      </c>
      <c r="G513" s="47"/>
      <c r="H513" s="3" t="str">
        <f t="shared" si="130"/>
        <v/>
      </c>
      <c r="I513" s="47"/>
      <c r="J513" s="3" t="str">
        <f t="shared" si="131"/>
        <v/>
      </c>
      <c r="K513" s="47"/>
      <c r="L513" s="3" t="str">
        <f t="shared" si="132"/>
        <v/>
      </c>
      <c r="M513" s="47"/>
      <c r="N513" s="3" t="str">
        <f t="shared" si="133"/>
        <v/>
      </c>
      <c r="O513" s="47"/>
      <c r="P513" s="3" t="str">
        <f t="shared" si="134"/>
        <v/>
      </c>
      <c r="Q513" s="47"/>
      <c r="R513" s="3" t="str">
        <f t="shared" si="135"/>
        <v/>
      </c>
      <c r="S513" s="47"/>
      <c r="T513" s="1" t="str">
        <f t="shared" si="136"/>
        <v/>
      </c>
      <c r="U513" s="47"/>
      <c r="V513" s="1" t="str">
        <f t="shared" si="137"/>
        <v/>
      </c>
      <c r="W513" s="47"/>
      <c r="X513" s="1" t="str">
        <f t="shared" si="138"/>
        <v/>
      </c>
      <c r="Y513" s="47"/>
      <c r="Z513" s="1" t="str">
        <f t="shared" si="139"/>
        <v/>
      </c>
      <c r="AA513" s="47"/>
      <c r="AB513" s="1" t="str">
        <f t="shared" si="140"/>
        <v/>
      </c>
      <c r="AC513" s="47"/>
      <c r="AD513" s="1" t="str">
        <f t="shared" si="141"/>
        <v/>
      </c>
      <c r="AE513" s="47"/>
      <c r="AF513" s="1" t="str">
        <f t="shared" si="142"/>
        <v/>
      </c>
      <c r="AG513" s="47"/>
    </row>
    <row r="514" spans="1:33">
      <c r="A514">
        <f t="shared" si="126"/>
        <v>0</v>
      </c>
      <c r="B514" s="2" t="str">
        <f t="shared" si="143"/>
        <v/>
      </c>
      <c r="C514" s="4" t="str">
        <f t="shared" si="127"/>
        <v/>
      </c>
      <c r="D514" s="3" t="str">
        <f t="shared" si="128"/>
        <v/>
      </c>
      <c r="E514" s="47"/>
      <c r="F514" s="3" t="str">
        <f t="shared" si="129"/>
        <v/>
      </c>
      <c r="G514" s="47"/>
      <c r="H514" s="3" t="str">
        <f t="shared" si="130"/>
        <v/>
      </c>
      <c r="I514" s="47"/>
      <c r="J514" s="3" t="str">
        <f t="shared" si="131"/>
        <v/>
      </c>
      <c r="K514" s="47"/>
      <c r="L514" s="3" t="str">
        <f t="shared" si="132"/>
        <v/>
      </c>
      <c r="M514" s="47"/>
      <c r="N514" s="3" t="str">
        <f t="shared" si="133"/>
        <v/>
      </c>
      <c r="O514" s="47"/>
      <c r="P514" s="3" t="str">
        <f t="shared" si="134"/>
        <v/>
      </c>
      <c r="Q514" s="47"/>
      <c r="R514" s="3" t="str">
        <f t="shared" si="135"/>
        <v/>
      </c>
      <c r="S514" s="47"/>
      <c r="T514" s="1" t="str">
        <f t="shared" si="136"/>
        <v/>
      </c>
      <c r="U514" s="47"/>
      <c r="V514" s="1" t="str">
        <f t="shared" si="137"/>
        <v/>
      </c>
      <c r="W514" s="47"/>
      <c r="X514" s="1" t="str">
        <f t="shared" si="138"/>
        <v/>
      </c>
      <c r="Y514" s="47"/>
      <c r="Z514" s="1" t="str">
        <f t="shared" si="139"/>
        <v/>
      </c>
      <c r="AA514" s="47"/>
      <c r="AB514" s="1" t="str">
        <f t="shared" si="140"/>
        <v/>
      </c>
      <c r="AC514" s="47"/>
      <c r="AD514" s="1" t="str">
        <f t="shared" si="141"/>
        <v/>
      </c>
      <c r="AE514" s="47"/>
      <c r="AF514" s="1" t="str">
        <f t="shared" si="142"/>
        <v/>
      </c>
      <c r="AG514" s="47"/>
    </row>
    <row r="515" spans="1:33">
      <c r="A515">
        <f t="shared" si="126"/>
        <v>0</v>
      </c>
      <c r="B515" s="2" t="str">
        <f t="shared" si="143"/>
        <v/>
      </c>
      <c r="C515" s="4" t="str">
        <f t="shared" si="127"/>
        <v/>
      </c>
      <c r="D515" s="3" t="str">
        <f t="shared" si="128"/>
        <v/>
      </c>
      <c r="E515" s="47"/>
      <c r="F515" s="3" t="str">
        <f t="shared" si="129"/>
        <v/>
      </c>
      <c r="G515" s="47"/>
      <c r="H515" s="3" t="str">
        <f t="shared" si="130"/>
        <v/>
      </c>
      <c r="I515" s="47"/>
      <c r="J515" s="3" t="str">
        <f t="shared" si="131"/>
        <v/>
      </c>
      <c r="K515" s="47"/>
      <c r="L515" s="3" t="str">
        <f t="shared" si="132"/>
        <v/>
      </c>
      <c r="M515" s="47"/>
      <c r="N515" s="3" t="str">
        <f t="shared" si="133"/>
        <v/>
      </c>
      <c r="O515" s="47"/>
      <c r="P515" s="3" t="str">
        <f t="shared" si="134"/>
        <v/>
      </c>
      <c r="Q515" s="47"/>
      <c r="R515" s="3" t="str">
        <f t="shared" si="135"/>
        <v/>
      </c>
      <c r="S515" s="47"/>
      <c r="T515" s="1" t="str">
        <f t="shared" si="136"/>
        <v/>
      </c>
      <c r="U515" s="47"/>
      <c r="V515" s="1" t="str">
        <f t="shared" si="137"/>
        <v/>
      </c>
      <c r="W515" s="47"/>
      <c r="X515" s="1" t="str">
        <f t="shared" si="138"/>
        <v/>
      </c>
      <c r="Y515" s="47"/>
      <c r="Z515" s="1" t="str">
        <f t="shared" si="139"/>
        <v/>
      </c>
      <c r="AA515" s="47"/>
      <c r="AB515" s="1" t="str">
        <f t="shared" si="140"/>
        <v/>
      </c>
      <c r="AC515" s="47"/>
      <c r="AD515" s="1" t="str">
        <f t="shared" si="141"/>
        <v/>
      </c>
      <c r="AE515" s="47"/>
      <c r="AF515" s="1" t="str">
        <f t="shared" si="142"/>
        <v/>
      </c>
      <c r="AG515" s="47"/>
    </row>
    <row r="516" spans="1:33">
      <c r="A516">
        <f t="shared" si="126"/>
        <v>0</v>
      </c>
      <c r="B516" s="2" t="str">
        <f t="shared" si="143"/>
        <v/>
      </c>
      <c r="C516" s="4" t="str">
        <f t="shared" si="127"/>
        <v/>
      </c>
      <c r="D516" s="3" t="str">
        <f t="shared" si="128"/>
        <v/>
      </c>
      <c r="E516" s="47"/>
      <c r="F516" s="3" t="str">
        <f t="shared" si="129"/>
        <v/>
      </c>
      <c r="G516" s="47"/>
      <c r="H516" s="3" t="str">
        <f t="shared" si="130"/>
        <v/>
      </c>
      <c r="I516" s="47"/>
      <c r="J516" s="3" t="str">
        <f t="shared" si="131"/>
        <v/>
      </c>
      <c r="K516" s="47"/>
      <c r="L516" s="3" t="str">
        <f t="shared" si="132"/>
        <v/>
      </c>
      <c r="M516" s="47"/>
      <c r="N516" s="3" t="str">
        <f t="shared" si="133"/>
        <v/>
      </c>
      <c r="O516" s="47"/>
      <c r="P516" s="3" t="str">
        <f t="shared" si="134"/>
        <v/>
      </c>
      <c r="Q516" s="47"/>
      <c r="R516" s="3" t="str">
        <f t="shared" si="135"/>
        <v/>
      </c>
      <c r="S516" s="47"/>
      <c r="T516" s="1" t="str">
        <f t="shared" si="136"/>
        <v/>
      </c>
      <c r="U516" s="47"/>
      <c r="V516" s="1" t="str">
        <f t="shared" si="137"/>
        <v/>
      </c>
      <c r="W516" s="47"/>
      <c r="X516" s="1" t="str">
        <f t="shared" si="138"/>
        <v/>
      </c>
      <c r="Y516" s="47"/>
      <c r="Z516" s="1" t="str">
        <f t="shared" si="139"/>
        <v/>
      </c>
      <c r="AA516" s="47"/>
      <c r="AB516" s="1" t="str">
        <f t="shared" si="140"/>
        <v/>
      </c>
      <c r="AC516" s="47"/>
      <c r="AD516" s="1" t="str">
        <f t="shared" si="141"/>
        <v/>
      </c>
      <c r="AE516" s="47"/>
      <c r="AF516" s="1" t="str">
        <f t="shared" si="142"/>
        <v/>
      </c>
      <c r="AG516" s="47"/>
    </row>
    <row r="517" spans="1:33">
      <c r="A517">
        <f t="shared" si="126"/>
        <v>0</v>
      </c>
      <c r="B517" s="2" t="str">
        <f t="shared" si="143"/>
        <v/>
      </c>
      <c r="C517" s="4" t="str">
        <f t="shared" si="127"/>
        <v/>
      </c>
      <c r="D517" s="3" t="str">
        <f t="shared" si="128"/>
        <v/>
      </c>
      <c r="E517" s="47"/>
      <c r="F517" s="3" t="str">
        <f t="shared" si="129"/>
        <v/>
      </c>
      <c r="G517" s="47"/>
      <c r="H517" s="3" t="str">
        <f t="shared" si="130"/>
        <v/>
      </c>
      <c r="I517" s="47"/>
      <c r="J517" s="3" t="str">
        <f t="shared" si="131"/>
        <v/>
      </c>
      <c r="K517" s="47"/>
      <c r="L517" s="3" t="str">
        <f t="shared" si="132"/>
        <v/>
      </c>
      <c r="M517" s="47"/>
      <c r="N517" s="3" t="str">
        <f t="shared" si="133"/>
        <v/>
      </c>
      <c r="O517" s="47"/>
      <c r="P517" s="3" t="str">
        <f t="shared" si="134"/>
        <v/>
      </c>
      <c r="Q517" s="47"/>
      <c r="R517" s="3" t="str">
        <f t="shared" si="135"/>
        <v/>
      </c>
      <c r="S517" s="47"/>
      <c r="T517" s="1" t="str">
        <f t="shared" si="136"/>
        <v/>
      </c>
      <c r="U517" s="47"/>
      <c r="V517" s="1" t="str">
        <f t="shared" si="137"/>
        <v/>
      </c>
      <c r="W517" s="47"/>
      <c r="X517" s="1" t="str">
        <f t="shared" si="138"/>
        <v/>
      </c>
      <c r="Y517" s="47"/>
      <c r="Z517" s="1" t="str">
        <f t="shared" si="139"/>
        <v/>
      </c>
      <c r="AA517" s="47"/>
      <c r="AB517" s="1" t="str">
        <f t="shared" si="140"/>
        <v/>
      </c>
      <c r="AC517" s="47"/>
      <c r="AD517" s="1" t="str">
        <f t="shared" si="141"/>
        <v/>
      </c>
      <c r="AE517" s="47"/>
      <c r="AF517" s="1" t="str">
        <f t="shared" si="142"/>
        <v/>
      </c>
      <c r="AG517" s="47"/>
    </row>
    <row r="518" spans="1:33">
      <c r="A518">
        <f t="shared" si="126"/>
        <v>0</v>
      </c>
      <c r="B518" s="2" t="str">
        <f t="shared" si="143"/>
        <v/>
      </c>
      <c r="C518" s="4" t="str">
        <f t="shared" si="127"/>
        <v/>
      </c>
      <c r="D518" s="3" t="str">
        <f t="shared" si="128"/>
        <v/>
      </c>
      <c r="E518" s="47"/>
      <c r="F518" s="3" t="str">
        <f t="shared" si="129"/>
        <v/>
      </c>
      <c r="G518" s="47"/>
      <c r="H518" s="3" t="str">
        <f t="shared" si="130"/>
        <v/>
      </c>
      <c r="I518" s="47"/>
      <c r="J518" s="3" t="str">
        <f t="shared" si="131"/>
        <v/>
      </c>
      <c r="K518" s="47"/>
      <c r="L518" s="3" t="str">
        <f t="shared" si="132"/>
        <v/>
      </c>
      <c r="M518" s="47"/>
      <c r="N518" s="3" t="str">
        <f t="shared" si="133"/>
        <v/>
      </c>
      <c r="O518" s="47"/>
      <c r="P518" s="3" t="str">
        <f t="shared" si="134"/>
        <v/>
      </c>
      <c r="Q518" s="47"/>
      <c r="R518" s="3" t="str">
        <f t="shared" si="135"/>
        <v/>
      </c>
      <c r="S518" s="47"/>
      <c r="T518" s="1" t="str">
        <f t="shared" si="136"/>
        <v/>
      </c>
      <c r="U518" s="47"/>
      <c r="V518" s="1" t="str">
        <f t="shared" si="137"/>
        <v/>
      </c>
      <c r="W518" s="47"/>
      <c r="X518" s="1" t="str">
        <f t="shared" si="138"/>
        <v/>
      </c>
      <c r="Y518" s="47"/>
      <c r="Z518" s="1" t="str">
        <f t="shared" si="139"/>
        <v/>
      </c>
      <c r="AA518" s="47"/>
      <c r="AB518" s="1" t="str">
        <f t="shared" si="140"/>
        <v/>
      </c>
      <c r="AC518" s="47"/>
      <c r="AD518" s="1" t="str">
        <f t="shared" si="141"/>
        <v/>
      </c>
      <c r="AE518" s="47"/>
      <c r="AF518" s="1" t="str">
        <f t="shared" si="142"/>
        <v/>
      </c>
      <c r="AG518" s="47"/>
    </row>
    <row r="519" spans="1:33">
      <c r="A519">
        <f t="shared" ref="A519:A582" si="144">$C$1</f>
        <v>0</v>
      </c>
      <c r="B519" s="2" t="str">
        <f t="shared" si="143"/>
        <v/>
      </c>
      <c r="C519" s="4" t="str">
        <f t="shared" si="127"/>
        <v/>
      </c>
      <c r="D519" s="3" t="str">
        <f t="shared" si="128"/>
        <v/>
      </c>
      <c r="E519" s="47"/>
      <c r="F519" s="3" t="str">
        <f t="shared" si="129"/>
        <v/>
      </c>
      <c r="G519" s="47"/>
      <c r="H519" s="3" t="str">
        <f t="shared" si="130"/>
        <v/>
      </c>
      <c r="I519" s="47"/>
      <c r="J519" s="3" t="str">
        <f t="shared" si="131"/>
        <v/>
      </c>
      <c r="K519" s="47"/>
      <c r="L519" s="3" t="str">
        <f t="shared" si="132"/>
        <v/>
      </c>
      <c r="M519" s="47"/>
      <c r="N519" s="3" t="str">
        <f t="shared" si="133"/>
        <v/>
      </c>
      <c r="O519" s="47"/>
      <c r="P519" s="3" t="str">
        <f t="shared" si="134"/>
        <v/>
      </c>
      <c r="Q519" s="47"/>
      <c r="R519" s="3" t="str">
        <f t="shared" si="135"/>
        <v/>
      </c>
      <c r="S519" s="47"/>
      <c r="T519" s="1" t="str">
        <f t="shared" si="136"/>
        <v/>
      </c>
      <c r="U519" s="47"/>
      <c r="V519" s="1" t="str">
        <f t="shared" si="137"/>
        <v/>
      </c>
      <c r="W519" s="47"/>
      <c r="X519" s="1" t="str">
        <f t="shared" si="138"/>
        <v/>
      </c>
      <c r="Y519" s="47"/>
      <c r="Z519" s="1" t="str">
        <f t="shared" si="139"/>
        <v/>
      </c>
      <c r="AA519" s="47"/>
      <c r="AB519" s="1" t="str">
        <f t="shared" si="140"/>
        <v/>
      </c>
      <c r="AC519" s="47"/>
      <c r="AD519" s="1" t="str">
        <f t="shared" si="141"/>
        <v/>
      </c>
      <c r="AE519" s="47"/>
      <c r="AF519" s="1" t="str">
        <f t="shared" si="142"/>
        <v/>
      </c>
      <c r="AG519" s="47"/>
    </row>
    <row r="520" spans="1:33">
      <c r="A520">
        <f t="shared" si="144"/>
        <v>0</v>
      </c>
      <c r="B520" s="2" t="str">
        <f t="shared" si="143"/>
        <v/>
      </c>
      <c r="C520" s="4" t="str">
        <f t="shared" ref="C520:C583" si="145">TEXT(B520,"AAA")</f>
        <v/>
      </c>
      <c r="D520" s="3" t="str">
        <f t="shared" ref="D520:D583" si="146">IF(NOT(AND($F$3&lt;=B520,B520&lt;=$F$4)),"",$F$2&amp;"")</f>
        <v/>
      </c>
      <c r="E520" s="47"/>
      <c r="F520" s="3" t="str">
        <f t="shared" ref="F520:F583" si="147">IF(NOT(AND($G$3&lt;=B520,B520&lt;=$G$4)),"",$G$2&amp;"")</f>
        <v/>
      </c>
      <c r="G520" s="47"/>
      <c r="H520" s="3" t="str">
        <f t="shared" ref="H520:H583" si="148">IF(NOT(AND($H$3&lt;=B520,B520&lt;=$H$4)),"",$H$2&amp;"")</f>
        <v/>
      </c>
      <c r="I520" s="47"/>
      <c r="J520" s="3" t="str">
        <f t="shared" ref="J520:J583" si="149">IF(NOT(AND($I$3&lt;=B520,B520&lt;=$I$4)),"",$I$2&amp;"")</f>
        <v/>
      </c>
      <c r="K520" s="47"/>
      <c r="L520" s="3" t="str">
        <f t="shared" ref="L520:L583" si="150">IF(NOT(AND($J$3&lt;=B520,B520&lt;=$J$4)),"",$J$2&amp;"")</f>
        <v/>
      </c>
      <c r="M520" s="47"/>
      <c r="N520" s="3" t="str">
        <f t="shared" ref="N520:N583" si="151">IF(NOT(AND($K$3&lt;=B520,B520&lt;=$K$4)),"",$K$2&amp;"")</f>
        <v/>
      </c>
      <c r="O520" s="47"/>
      <c r="P520" s="3" t="str">
        <f t="shared" ref="P520:P583" si="152">IF(NOT(AND($L$3&lt;=B520,B520&lt;=$L$4)),"",$L$2&amp;"")</f>
        <v/>
      </c>
      <c r="Q520" s="47"/>
      <c r="R520" s="3" t="str">
        <f t="shared" ref="R520:R583" si="153">IF(NOT(AND($M$3&lt;=B520,B520&lt;=$M$4)),"",$M$2&amp;"")</f>
        <v/>
      </c>
      <c r="S520" s="47"/>
      <c r="T520" s="1" t="str">
        <f t="shared" ref="T520:T583" si="154">IF(NOT(AND($N$3&lt;=B520,B520&lt;=$N$4)),"",$N$2&amp;"")</f>
        <v/>
      </c>
      <c r="U520" s="47"/>
      <c r="V520" s="1" t="str">
        <f t="shared" ref="V520:V583" si="155">IF(NOT(AND($O$3&lt;=B520,B520&lt;=$O$4)),"",$O$2&amp;"")</f>
        <v/>
      </c>
      <c r="W520" s="47"/>
      <c r="X520" s="1" t="str">
        <f t="shared" ref="X520:X583" si="156">IF(NOT(AND($P$3&lt;=B520,B520&lt;=$P$4)),"",$P$2&amp;"")</f>
        <v/>
      </c>
      <c r="Y520" s="47"/>
      <c r="Z520" s="1" t="str">
        <f t="shared" ref="Z520:Z583" si="157">IF(NOT(AND($Q$3&lt;=B520,B520&lt;=$Q$4)),"",$Q$2&amp;"")</f>
        <v/>
      </c>
      <c r="AA520" s="47"/>
      <c r="AB520" s="1" t="str">
        <f t="shared" ref="AB520:AB583" si="158">IF(NOT(AND($R$3&lt;=B520,B520&lt;=$R$4)),"",$R$2&amp;"")</f>
        <v/>
      </c>
      <c r="AC520" s="47"/>
      <c r="AD520" s="1" t="str">
        <f t="shared" ref="AD520:AD583" si="159">IF(NOT(AND($S$3&lt;=B520,B520&lt;=$S$4)),"",$S$2&amp;"")</f>
        <v/>
      </c>
      <c r="AE520" s="47"/>
      <c r="AF520" s="1" t="str">
        <f t="shared" ref="AF520:AF583" si="160">IF(NOT(AND($T$3&lt;=B520,B520&lt;=$T$4)),"",$T$2&amp;"")</f>
        <v/>
      </c>
      <c r="AG520" s="47"/>
    </row>
    <row r="521" spans="1:33">
      <c r="A521">
        <f t="shared" si="144"/>
        <v>0</v>
      </c>
      <c r="B521" s="2" t="str">
        <f t="shared" ref="B521:B584" si="161">IFERROR(IF(B520+1&gt;$C$3,"",B520+1),"")</f>
        <v/>
      </c>
      <c r="C521" s="4" t="str">
        <f t="shared" si="145"/>
        <v/>
      </c>
      <c r="D521" s="3" t="str">
        <f t="shared" si="146"/>
        <v/>
      </c>
      <c r="E521" s="47"/>
      <c r="F521" s="3" t="str">
        <f t="shared" si="147"/>
        <v/>
      </c>
      <c r="G521" s="47"/>
      <c r="H521" s="3" t="str">
        <f t="shared" si="148"/>
        <v/>
      </c>
      <c r="I521" s="47"/>
      <c r="J521" s="3" t="str">
        <f t="shared" si="149"/>
        <v/>
      </c>
      <c r="K521" s="47"/>
      <c r="L521" s="3" t="str">
        <f t="shared" si="150"/>
        <v/>
      </c>
      <c r="M521" s="47"/>
      <c r="N521" s="3" t="str">
        <f t="shared" si="151"/>
        <v/>
      </c>
      <c r="O521" s="47"/>
      <c r="P521" s="3" t="str">
        <f t="shared" si="152"/>
        <v/>
      </c>
      <c r="Q521" s="47"/>
      <c r="R521" s="3" t="str">
        <f t="shared" si="153"/>
        <v/>
      </c>
      <c r="S521" s="47"/>
      <c r="T521" s="1" t="str">
        <f t="shared" si="154"/>
        <v/>
      </c>
      <c r="U521" s="47"/>
      <c r="V521" s="1" t="str">
        <f t="shared" si="155"/>
        <v/>
      </c>
      <c r="W521" s="47"/>
      <c r="X521" s="1" t="str">
        <f t="shared" si="156"/>
        <v/>
      </c>
      <c r="Y521" s="47"/>
      <c r="Z521" s="1" t="str">
        <f t="shared" si="157"/>
        <v/>
      </c>
      <c r="AA521" s="47"/>
      <c r="AB521" s="1" t="str">
        <f t="shared" si="158"/>
        <v/>
      </c>
      <c r="AC521" s="47"/>
      <c r="AD521" s="1" t="str">
        <f t="shared" si="159"/>
        <v/>
      </c>
      <c r="AE521" s="47"/>
      <c r="AF521" s="1" t="str">
        <f t="shared" si="160"/>
        <v/>
      </c>
      <c r="AG521" s="47"/>
    </row>
    <row r="522" spans="1:33">
      <c r="A522">
        <f t="shared" si="144"/>
        <v>0</v>
      </c>
      <c r="B522" s="2" t="str">
        <f t="shared" si="161"/>
        <v/>
      </c>
      <c r="C522" s="4" t="str">
        <f t="shared" si="145"/>
        <v/>
      </c>
      <c r="D522" s="3" t="str">
        <f t="shared" si="146"/>
        <v/>
      </c>
      <c r="E522" s="47"/>
      <c r="F522" s="3" t="str">
        <f t="shared" si="147"/>
        <v/>
      </c>
      <c r="G522" s="47"/>
      <c r="H522" s="3" t="str">
        <f t="shared" si="148"/>
        <v/>
      </c>
      <c r="I522" s="47"/>
      <c r="J522" s="3" t="str">
        <f t="shared" si="149"/>
        <v/>
      </c>
      <c r="K522" s="47"/>
      <c r="L522" s="3" t="str">
        <f t="shared" si="150"/>
        <v/>
      </c>
      <c r="M522" s="47"/>
      <c r="N522" s="3" t="str">
        <f t="shared" si="151"/>
        <v/>
      </c>
      <c r="O522" s="47"/>
      <c r="P522" s="3" t="str">
        <f t="shared" si="152"/>
        <v/>
      </c>
      <c r="Q522" s="47"/>
      <c r="R522" s="3" t="str">
        <f t="shared" si="153"/>
        <v/>
      </c>
      <c r="S522" s="47"/>
      <c r="T522" s="1" t="str">
        <f t="shared" si="154"/>
        <v/>
      </c>
      <c r="U522" s="47"/>
      <c r="V522" s="1" t="str">
        <f t="shared" si="155"/>
        <v/>
      </c>
      <c r="W522" s="47"/>
      <c r="X522" s="1" t="str">
        <f t="shared" si="156"/>
        <v/>
      </c>
      <c r="Y522" s="47"/>
      <c r="Z522" s="1" t="str">
        <f t="shared" si="157"/>
        <v/>
      </c>
      <c r="AA522" s="47"/>
      <c r="AB522" s="1" t="str">
        <f t="shared" si="158"/>
        <v/>
      </c>
      <c r="AC522" s="47"/>
      <c r="AD522" s="1" t="str">
        <f t="shared" si="159"/>
        <v/>
      </c>
      <c r="AE522" s="47"/>
      <c r="AF522" s="1" t="str">
        <f t="shared" si="160"/>
        <v/>
      </c>
      <c r="AG522" s="47"/>
    </row>
    <row r="523" spans="1:33">
      <c r="A523">
        <f t="shared" si="144"/>
        <v>0</v>
      </c>
      <c r="B523" s="2" t="str">
        <f t="shared" si="161"/>
        <v/>
      </c>
      <c r="C523" s="4" t="str">
        <f t="shared" si="145"/>
        <v/>
      </c>
      <c r="D523" s="3" t="str">
        <f t="shared" si="146"/>
        <v/>
      </c>
      <c r="E523" s="47"/>
      <c r="F523" s="3" t="str">
        <f t="shared" si="147"/>
        <v/>
      </c>
      <c r="G523" s="47"/>
      <c r="H523" s="3" t="str">
        <f t="shared" si="148"/>
        <v/>
      </c>
      <c r="I523" s="47"/>
      <c r="J523" s="3" t="str">
        <f t="shared" si="149"/>
        <v/>
      </c>
      <c r="K523" s="47"/>
      <c r="L523" s="3" t="str">
        <f t="shared" si="150"/>
        <v/>
      </c>
      <c r="M523" s="47"/>
      <c r="N523" s="3" t="str">
        <f t="shared" si="151"/>
        <v/>
      </c>
      <c r="O523" s="47"/>
      <c r="P523" s="3" t="str">
        <f t="shared" si="152"/>
        <v/>
      </c>
      <c r="Q523" s="47"/>
      <c r="R523" s="3" t="str">
        <f t="shared" si="153"/>
        <v/>
      </c>
      <c r="S523" s="47"/>
      <c r="T523" s="1" t="str">
        <f t="shared" si="154"/>
        <v/>
      </c>
      <c r="U523" s="47"/>
      <c r="V523" s="1" t="str">
        <f t="shared" si="155"/>
        <v/>
      </c>
      <c r="W523" s="47"/>
      <c r="X523" s="1" t="str">
        <f t="shared" si="156"/>
        <v/>
      </c>
      <c r="Y523" s="47"/>
      <c r="Z523" s="1" t="str">
        <f t="shared" si="157"/>
        <v/>
      </c>
      <c r="AA523" s="47"/>
      <c r="AB523" s="1" t="str">
        <f t="shared" si="158"/>
        <v/>
      </c>
      <c r="AC523" s="47"/>
      <c r="AD523" s="1" t="str">
        <f t="shared" si="159"/>
        <v/>
      </c>
      <c r="AE523" s="47"/>
      <c r="AF523" s="1" t="str">
        <f t="shared" si="160"/>
        <v/>
      </c>
      <c r="AG523" s="47"/>
    </row>
    <row r="524" spans="1:33">
      <c r="A524">
        <f t="shared" si="144"/>
        <v>0</v>
      </c>
      <c r="B524" s="2" t="str">
        <f t="shared" si="161"/>
        <v/>
      </c>
      <c r="C524" s="4" t="str">
        <f t="shared" si="145"/>
        <v/>
      </c>
      <c r="D524" s="3" t="str">
        <f t="shared" si="146"/>
        <v/>
      </c>
      <c r="E524" s="47"/>
      <c r="F524" s="3" t="str">
        <f t="shared" si="147"/>
        <v/>
      </c>
      <c r="G524" s="47"/>
      <c r="H524" s="3" t="str">
        <f t="shared" si="148"/>
        <v/>
      </c>
      <c r="I524" s="47"/>
      <c r="J524" s="3" t="str">
        <f t="shared" si="149"/>
        <v/>
      </c>
      <c r="K524" s="47"/>
      <c r="L524" s="3" t="str">
        <f t="shared" si="150"/>
        <v/>
      </c>
      <c r="M524" s="47"/>
      <c r="N524" s="3" t="str">
        <f t="shared" si="151"/>
        <v/>
      </c>
      <c r="O524" s="47"/>
      <c r="P524" s="3" t="str">
        <f t="shared" si="152"/>
        <v/>
      </c>
      <c r="Q524" s="47"/>
      <c r="R524" s="3" t="str">
        <f t="shared" si="153"/>
        <v/>
      </c>
      <c r="S524" s="47"/>
      <c r="T524" s="1" t="str">
        <f t="shared" si="154"/>
        <v/>
      </c>
      <c r="U524" s="47"/>
      <c r="V524" s="1" t="str">
        <f t="shared" si="155"/>
        <v/>
      </c>
      <c r="W524" s="47"/>
      <c r="X524" s="1" t="str">
        <f t="shared" si="156"/>
        <v/>
      </c>
      <c r="Y524" s="47"/>
      <c r="Z524" s="1" t="str">
        <f t="shared" si="157"/>
        <v/>
      </c>
      <c r="AA524" s="47"/>
      <c r="AB524" s="1" t="str">
        <f t="shared" si="158"/>
        <v/>
      </c>
      <c r="AC524" s="47"/>
      <c r="AD524" s="1" t="str">
        <f t="shared" si="159"/>
        <v/>
      </c>
      <c r="AE524" s="47"/>
      <c r="AF524" s="1" t="str">
        <f t="shared" si="160"/>
        <v/>
      </c>
      <c r="AG524" s="47"/>
    </row>
    <row r="525" spans="1:33">
      <c r="A525">
        <f t="shared" si="144"/>
        <v>0</v>
      </c>
      <c r="B525" s="2" t="str">
        <f t="shared" si="161"/>
        <v/>
      </c>
      <c r="C525" s="4" t="str">
        <f t="shared" si="145"/>
        <v/>
      </c>
      <c r="D525" s="3" t="str">
        <f t="shared" si="146"/>
        <v/>
      </c>
      <c r="E525" s="47"/>
      <c r="F525" s="3" t="str">
        <f t="shared" si="147"/>
        <v/>
      </c>
      <c r="G525" s="47"/>
      <c r="H525" s="3" t="str">
        <f t="shared" si="148"/>
        <v/>
      </c>
      <c r="I525" s="47"/>
      <c r="J525" s="3" t="str">
        <f t="shared" si="149"/>
        <v/>
      </c>
      <c r="K525" s="47"/>
      <c r="L525" s="3" t="str">
        <f t="shared" si="150"/>
        <v/>
      </c>
      <c r="M525" s="47"/>
      <c r="N525" s="3" t="str">
        <f t="shared" si="151"/>
        <v/>
      </c>
      <c r="O525" s="47"/>
      <c r="P525" s="3" t="str">
        <f t="shared" si="152"/>
        <v/>
      </c>
      <c r="Q525" s="47"/>
      <c r="R525" s="3" t="str">
        <f t="shared" si="153"/>
        <v/>
      </c>
      <c r="S525" s="47"/>
      <c r="T525" s="1" t="str">
        <f t="shared" si="154"/>
        <v/>
      </c>
      <c r="U525" s="47"/>
      <c r="V525" s="1" t="str">
        <f t="shared" si="155"/>
        <v/>
      </c>
      <c r="W525" s="47"/>
      <c r="X525" s="1" t="str">
        <f t="shared" si="156"/>
        <v/>
      </c>
      <c r="Y525" s="47"/>
      <c r="Z525" s="1" t="str">
        <f t="shared" si="157"/>
        <v/>
      </c>
      <c r="AA525" s="47"/>
      <c r="AB525" s="1" t="str">
        <f t="shared" si="158"/>
        <v/>
      </c>
      <c r="AC525" s="47"/>
      <c r="AD525" s="1" t="str">
        <f t="shared" si="159"/>
        <v/>
      </c>
      <c r="AE525" s="47"/>
      <c r="AF525" s="1" t="str">
        <f t="shared" si="160"/>
        <v/>
      </c>
      <c r="AG525" s="47"/>
    </row>
    <row r="526" spans="1:33">
      <c r="A526">
        <f t="shared" si="144"/>
        <v>0</v>
      </c>
      <c r="B526" s="2" t="str">
        <f t="shared" si="161"/>
        <v/>
      </c>
      <c r="C526" s="4" t="str">
        <f t="shared" si="145"/>
        <v/>
      </c>
      <c r="D526" s="3" t="str">
        <f t="shared" si="146"/>
        <v/>
      </c>
      <c r="E526" s="47"/>
      <c r="F526" s="3" t="str">
        <f t="shared" si="147"/>
        <v/>
      </c>
      <c r="G526" s="47"/>
      <c r="H526" s="3" t="str">
        <f t="shared" si="148"/>
        <v/>
      </c>
      <c r="I526" s="47"/>
      <c r="J526" s="3" t="str">
        <f t="shared" si="149"/>
        <v/>
      </c>
      <c r="K526" s="47"/>
      <c r="L526" s="3" t="str">
        <f t="shared" si="150"/>
        <v/>
      </c>
      <c r="M526" s="47"/>
      <c r="N526" s="3" t="str">
        <f t="shared" si="151"/>
        <v/>
      </c>
      <c r="O526" s="47"/>
      <c r="P526" s="3" t="str">
        <f t="shared" si="152"/>
        <v/>
      </c>
      <c r="Q526" s="47"/>
      <c r="R526" s="3" t="str">
        <f t="shared" si="153"/>
        <v/>
      </c>
      <c r="S526" s="47"/>
      <c r="T526" s="1" t="str">
        <f t="shared" si="154"/>
        <v/>
      </c>
      <c r="U526" s="47"/>
      <c r="V526" s="1" t="str">
        <f t="shared" si="155"/>
        <v/>
      </c>
      <c r="W526" s="47"/>
      <c r="X526" s="1" t="str">
        <f t="shared" si="156"/>
        <v/>
      </c>
      <c r="Y526" s="47"/>
      <c r="Z526" s="1" t="str">
        <f t="shared" si="157"/>
        <v/>
      </c>
      <c r="AA526" s="47"/>
      <c r="AB526" s="1" t="str">
        <f t="shared" si="158"/>
        <v/>
      </c>
      <c r="AC526" s="47"/>
      <c r="AD526" s="1" t="str">
        <f t="shared" si="159"/>
        <v/>
      </c>
      <c r="AE526" s="47"/>
      <c r="AF526" s="1" t="str">
        <f t="shared" si="160"/>
        <v/>
      </c>
      <c r="AG526" s="47"/>
    </row>
    <row r="527" spans="1:33">
      <c r="A527">
        <f t="shared" si="144"/>
        <v>0</v>
      </c>
      <c r="B527" s="2" t="str">
        <f t="shared" si="161"/>
        <v/>
      </c>
      <c r="C527" s="4" t="str">
        <f t="shared" si="145"/>
        <v/>
      </c>
      <c r="D527" s="3" t="str">
        <f t="shared" si="146"/>
        <v/>
      </c>
      <c r="E527" s="47"/>
      <c r="F527" s="3" t="str">
        <f t="shared" si="147"/>
        <v/>
      </c>
      <c r="G527" s="47"/>
      <c r="H527" s="3" t="str">
        <f t="shared" si="148"/>
        <v/>
      </c>
      <c r="I527" s="47"/>
      <c r="J527" s="3" t="str">
        <f t="shared" si="149"/>
        <v/>
      </c>
      <c r="K527" s="47"/>
      <c r="L527" s="3" t="str">
        <f t="shared" si="150"/>
        <v/>
      </c>
      <c r="M527" s="47"/>
      <c r="N527" s="3" t="str">
        <f t="shared" si="151"/>
        <v/>
      </c>
      <c r="O527" s="47"/>
      <c r="P527" s="3" t="str">
        <f t="shared" si="152"/>
        <v/>
      </c>
      <c r="Q527" s="47"/>
      <c r="R527" s="3" t="str">
        <f t="shared" si="153"/>
        <v/>
      </c>
      <c r="S527" s="47"/>
      <c r="T527" s="1" t="str">
        <f t="shared" si="154"/>
        <v/>
      </c>
      <c r="U527" s="47"/>
      <c r="V527" s="1" t="str">
        <f t="shared" si="155"/>
        <v/>
      </c>
      <c r="W527" s="47"/>
      <c r="X527" s="1" t="str">
        <f t="shared" si="156"/>
        <v/>
      </c>
      <c r="Y527" s="47"/>
      <c r="Z527" s="1" t="str">
        <f t="shared" si="157"/>
        <v/>
      </c>
      <c r="AA527" s="47"/>
      <c r="AB527" s="1" t="str">
        <f t="shared" si="158"/>
        <v/>
      </c>
      <c r="AC527" s="47"/>
      <c r="AD527" s="1" t="str">
        <f t="shared" si="159"/>
        <v/>
      </c>
      <c r="AE527" s="47"/>
      <c r="AF527" s="1" t="str">
        <f t="shared" si="160"/>
        <v/>
      </c>
      <c r="AG527" s="47"/>
    </row>
    <row r="528" spans="1:33">
      <c r="A528">
        <f t="shared" si="144"/>
        <v>0</v>
      </c>
      <c r="B528" s="2" t="str">
        <f t="shared" si="161"/>
        <v/>
      </c>
      <c r="C528" s="4" t="str">
        <f t="shared" si="145"/>
        <v/>
      </c>
      <c r="D528" s="3" t="str">
        <f t="shared" si="146"/>
        <v/>
      </c>
      <c r="E528" s="47"/>
      <c r="F528" s="3" t="str">
        <f t="shared" si="147"/>
        <v/>
      </c>
      <c r="G528" s="47"/>
      <c r="H528" s="3" t="str">
        <f t="shared" si="148"/>
        <v/>
      </c>
      <c r="I528" s="47"/>
      <c r="J528" s="3" t="str">
        <f t="shared" si="149"/>
        <v/>
      </c>
      <c r="K528" s="47"/>
      <c r="L528" s="3" t="str">
        <f t="shared" si="150"/>
        <v/>
      </c>
      <c r="M528" s="47"/>
      <c r="N528" s="3" t="str">
        <f t="shared" si="151"/>
        <v/>
      </c>
      <c r="O528" s="47"/>
      <c r="P528" s="3" t="str">
        <f t="shared" si="152"/>
        <v/>
      </c>
      <c r="Q528" s="47"/>
      <c r="R528" s="3" t="str">
        <f t="shared" si="153"/>
        <v/>
      </c>
      <c r="S528" s="47"/>
      <c r="T528" s="1" t="str">
        <f t="shared" si="154"/>
        <v/>
      </c>
      <c r="U528" s="47"/>
      <c r="V528" s="1" t="str">
        <f t="shared" si="155"/>
        <v/>
      </c>
      <c r="W528" s="47"/>
      <c r="X528" s="1" t="str">
        <f t="shared" si="156"/>
        <v/>
      </c>
      <c r="Y528" s="47"/>
      <c r="Z528" s="1" t="str">
        <f t="shared" si="157"/>
        <v/>
      </c>
      <c r="AA528" s="47"/>
      <c r="AB528" s="1" t="str">
        <f t="shared" si="158"/>
        <v/>
      </c>
      <c r="AC528" s="47"/>
      <c r="AD528" s="1" t="str">
        <f t="shared" si="159"/>
        <v/>
      </c>
      <c r="AE528" s="47"/>
      <c r="AF528" s="1" t="str">
        <f t="shared" si="160"/>
        <v/>
      </c>
      <c r="AG528" s="47"/>
    </row>
    <row r="529" spans="1:33">
      <c r="A529">
        <f t="shared" si="144"/>
        <v>0</v>
      </c>
      <c r="B529" s="2" t="str">
        <f t="shared" si="161"/>
        <v/>
      </c>
      <c r="C529" s="4" t="str">
        <f t="shared" si="145"/>
        <v/>
      </c>
      <c r="D529" s="3" t="str">
        <f t="shared" si="146"/>
        <v/>
      </c>
      <c r="E529" s="47"/>
      <c r="F529" s="3" t="str">
        <f t="shared" si="147"/>
        <v/>
      </c>
      <c r="G529" s="47"/>
      <c r="H529" s="3" t="str">
        <f t="shared" si="148"/>
        <v/>
      </c>
      <c r="I529" s="47"/>
      <c r="J529" s="3" t="str">
        <f t="shared" si="149"/>
        <v/>
      </c>
      <c r="K529" s="47"/>
      <c r="L529" s="3" t="str">
        <f t="shared" si="150"/>
        <v/>
      </c>
      <c r="M529" s="47"/>
      <c r="N529" s="3" t="str">
        <f t="shared" si="151"/>
        <v/>
      </c>
      <c r="O529" s="47"/>
      <c r="P529" s="3" t="str">
        <f t="shared" si="152"/>
        <v/>
      </c>
      <c r="Q529" s="47"/>
      <c r="R529" s="3" t="str">
        <f t="shared" si="153"/>
        <v/>
      </c>
      <c r="S529" s="47"/>
      <c r="T529" s="1" t="str">
        <f t="shared" si="154"/>
        <v/>
      </c>
      <c r="U529" s="47"/>
      <c r="V529" s="1" t="str">
        <f t="shared" si="155"/>
        <v/>
      </c>
      <c r="W529" s="47"/>
      <c r="X529" s="1" t="str">
        <f t="shared" si="156"/>
        <v/>
      </c>
      <c r="Y529" s="47"/>
      <c r="Z529" s="1" t="str">
        <f t="shared" si="157"/>
        <v/>
      </c>
      <c r="AA529" s="47"/>
      <c r="AB529" s="1" t="str">
        <f t="shared" si="158"/>
        <v/>
      </c>
      <c r="AC529" s="47"/>
      <c r="AD529" s="1" t="str">
        <f t="shared" si="159"/>
        <v/>
      </c>
      <c r="AE529" s="47"/>
      <c r="AF529" s="1" t="str">
        <f t="shared" si="160"/>
        <v/>
      </c>
      <c r="AG529" s="47"/>
    </row>
    <row r="530" spans="1:33">
      <c r="A530">
        <f t="shared" si="144"/>
        <v>0</v>
      </c>
      <c r="B530" s="2" t="str">
        <f t="shared" si="161"/>
        <v/>
      </c>
      <c r="C530" s="4" t="str">
        <f t="shared" si="145"/>
        <v/>
      </c>
      <c r="D530" s="3" t="str">
        <f t="shared" si="146"/>
        <v/>
      </c>
      <c r="E530" s="47"/>
      <c r="F530" s="3" t="str">
        <f t="shared" si="147"/>
        <v/>
      </c>
      <c r="G530" s="47"/>
      <c r="H530" s="3" t="str">
        <f t="shared" si="148"/>
        <v/>
      </c>
      <c r="I530" s="47"/>
      <c r="J530" s="3" t="str">
        <f t="shared" si="149"/>
        <v/>
      </c>
      <c r="K530" s="47"/>
      <c r="L530" s="3" t="str">
        <f t="shared" si="150"/>
        <v/>
      </c>
      <c r="M530" s="47"/>
      <c r="N530" s="3" t="str">
        <f t="shared" si="151"/>
        <v/>
      </c>
      <c r="O530" s="47"/>
      <c r="P530" s="3" t="str">
        <f t="shared" si="152"/>
        <v/>
      </c>
      <c r="Q530" s="47"/>
      <c r="R530" s="3" t="str">
        <f t="shared" si="153"/>
        <v/>
      </c>
      <c r="S530" s="47"/>
      <c r="T530" s="1" t="str">
        <f t="shared" si="154"/>
        <v/>
      </c>
      <c r="U530" s="47"/>
      <c r="V530" s="1" t="str">
        <f t="shared" si="155"/>
        <v/>
      </c>
      <c r="W530" s="47"/>
      <c r="X530" s="1" t="str">
        <f t="shared" si="156"/>
        <v/>
      </c>
      <c r="Y530" s="47"/>
      <c r="Z530" s="1" t="str">
        <f t="shared" si="157"/>
        <v/>
      </c>
      <c r="AA530" s="47"/>
      <c r="AB530" s="1" t="str">
        <f t="shared" si="158"/>
        <v/>
      </c>
      <c r="AC530" s="47"/>
      <c r="AD530" s="1" t="str">
        <f t="shared" si="159"/>
        <v/>
      </c>
      <c r="AE530" s="47"/>
      <c r="AF530" s="1" t="str">
        <f t="shared" si="160"/>
        <v/>
      </c>
      <c r="AG530" s="47"/>
    </row>
    <row r="531" spans="1:33">
      <c r="A531">
        <f t="shared" si="144"/>
        <v>0</v>
      </c>
      <c r="B531" s="2" t="str">
        <f t="shared" si="161"/>
        <v/>
      </c>
      <c r="C531" s="4" t="str">
        <f t="shared" si="145"/>
        <v/>
      </c>
      <c r="D531" s="3" t="str">
        <f t="shared" si="146"/>
        <v/>
      </c>
      <c r="E531" s="47"/>
      <c r="F531" s="3" t="str">
        <f t="shared" si="147"/>
        <v/>
      </c>
      <c r="G531" s="47"/>
      <c r="H531" s="3" t="str">
        <f t="shared" si="148"/>
        <v/>
      </c>
      <c r="I531" s="47"/>
      <c r="J531" s="3" t="str">
        <f t="shared" si="149"/>
        <v/>
      </c>
      <c r="K531" s="47"/>
      <c r="L531" s="3" t="str">
        <f t="shared" si="150"/>
        <v/>
      </c>
      <c r="M531" s="47"/>
      <c r="N531" s="3" t="str">
        <f t="shared" si="151"/>
        <v/>
      </c>
      <c r="O531" s="47"/>
      <c r="P531" s="3" t="str">
        <f t="shared" si="152"/>
        <v/>
      </c>
      <c r="Q531" s="47"/>
      <c r="R531" s="3" t="str">
        <f t="shared" si="153"/>
        <v/>
      </c>
      <c r="S531" s="47"/>
      <c r="T531" s="1" t="str">
        <f t="shared" si="154"/>
        <v/>
      </c>
      <c r="U531" s="47"/>
      <c r="V531" s="1" t="str">
        <f t="shared" si="155"/>
        <v/>
      </c>
      <c r="W531" s="47"/>
      <c r="X531" s="1" t="str">
        <f t="shared" si="156"/>
        <v/>
      </c>
      <c r="Y531" s="47"/>
      <c r="Z531" s="1" t="str">
        <f t="shared" si="157"/>
        <v/>
      </c>
      <c r="AA531" s="47"/>
      <c r="AB531" s="1" t="str">
        <f t="shared" si="158"/>
        <v/>
      </c>
      <c r="AC531" s="47"/>
      <c r="AD531" s="1" t="str">
        <f t="shared" si="159"/>
        <v/>
      </c>
      <c r="AE531" s="47"/>
      <c r="AF531" s="1" t="str">
        <f t="shared" si="160"/>
        <v/>
      </c>
      <c r="AG531" s="47"/>
    </row>
    <row r="532" spans="1:33">
      <c r="A532">
        <f t="shared" si="144"/>
        <v>0</v>
      </c>
      <c r="B532" s="2" t="str">
        <f t="shared" si="161"/>
        <v/>
      </c>
      <c r="C532" s="4" t="str">
        <f t="shared" si="145"/>
        <v/>
      </c>
      <c r="D532" s="3" t="str">
        <f t="shared" si="146"/>
        <v/>
      </c>
      <c r="E532" s="47"/>
      <c r="F532" s="3" t="str">
        <f t="shared" si="147"/>
        <v/>
      </c>
      <c r="G532" s="47"/>
      <c r="H532" s="3" t="str">
        <f t="shared" si="148"/>
        <v/>
      </c>
      <c r="I532" s="47"/>
      <c r="J532" s="3" t="str">
        <f t="shared" si="149"/>
        <v/>
      </c>
      <c r="K532" s="47"/>
      <c r="L532" s="3" t="str">
        <f t="shared" si="150"/>
        <v/>
      </c>
      <c r="M532" s="47"/>
      <c r="N532" s="3" t="str">
        <f t="shared" si="151"/>
        <v/>
      </c>
      <c r="O532" s="47"/>
      <c r="P532" s="3" t="str">
        <f t="shared" si="152"/>
        <v/>
      </c>
      <c r="Q532" s="47"/>
      <c r="R532" s="3" t="str">
        <f t="shared" si="153"/>
        <v/>
      </c>
      <c r="S532" s="47"/>
      <c r="T532" s="1" t="str">
        <f t="shared" si="154"/>
        <v/>
      </c>
      <c r="U532" s="47"/>
      <c r="V532" s="1" t="str">
        <f t="shared" si="155"/>
        <v/>
      </c>
      <c r="W532" s="47"/>
      <c r="X532" s="1" t="str">
        <f t="shared" si="156"/>
        <v/>
      </c>
      <c r="Y532" s="47"/>
      <c r="Z532" s="1" t="str">
        <f t="shared" si="157"/>
        <v/>
      </c>
      <c r="AA532" s="47"/>
      <c r="AB532" s="1" t="str">
        <f t="shared" si="158"/>
        <v/>
      </c>
      <c r="AC532" s="47"/>
      <c r="AD532" s="1" t="str">
        <f t="shared" si="159"/>
        <v/>
      </c>
      <c r="AE532" s="47"/>
      <c r="AF532" s="1" t="str">
        <f t="shared" si="160"/>
        <v/>
      </c>
      <c r="AG532" s="47"/>
    </row>
    <row r="533" spans="1:33">
      <c r="A533">
        <f t="shared" si="144"/>
        <v>0</v>
      </c>
      <c r="B533" s="2" t="str">
        <f t="shared" si="161"/>
        <v/>
      </c>
      <c r="C533" s="4" t="str">
        <f t="shared" si="145"/>
        <v/>
      </c>
      <c r="D533" s="3" t="str">
        <f t="shared" si="146"/>
        <v/>
      </c>
      <c r="E533" s="47"/>
      <c r="F533" s="3" t="str">
        <f t="shared" si="147"/>
        <v/>
      </c>
      <c r="G533" s="47"/>
      <c r="H533" s="3" t="str">
        <f t="shared" si="148"/>
        <v/>
      </c>
      <c r="I533" s="47"/>
      <c r="J533" s="3" t="str">
        <f t="shared" si="149"/>
        <v/>
      </c>
      <c r="K533" s="47"/>
      <c r="L533" s="3" t="str">
        <f t="shared" si="150"/>
        <v/>
      </c>
      <c r="M533" s="47"/>
      <c r="N533" s="3" t="str">
        <f t="shared" si="151"/>
        <v/>
      </c>
      <c r="O533" s="47"/>
      <c r="P533" s="3" t="str">
        <f t="shared" si="152"/>
        <v/>
      </c>
      <c r="Q533" s="47"/>
      <c r="R533" s="3" t="str">
        <f t="shared" si="153"/>
        <v/>
      </c>
      <c r="S533" s="47"/>
      <c r="T533" s="1" t="str">
        <f t="shared" si="154"/>
        <v/>
      </c>
      <c r="U533" s="47"/>
      <c r="V533" s="1" t="str">
        <f t="shared" si="155"/>
        <v/>
      </c>
      <c r="W533" s="47"/>
      <c r="X533" s="1" t="str">
        <f t="shared" si="156"/>
        <v/>
      </c>
      <c r="Y533" s="47"/>
      <c r="Z533" s="1" t="str">
        <f t="shared" si="157"/>
        <v/>
      </c>
      <c r="AA533" s="47"/>
      <c r="AB533" s="1" t="str">
        <f t="shared" si="158"/>
        <v/>
      </c>
      <c r="AC533" s="47"/>
      <c r="AD533" s="1" t="str">
        <f t="shared" si="159"/>
        <v/>
      </c>
      <c r="AE533" s="47"/>
      <c r="AF533" s="1" t="str">
        <f t="shared" si="160"/>
        <v/>
      </c>
      <c r="AG533" s="47"/>
    </row>
    <row r="534" spans="1:33">
      <c r="A534">
        <f t="shared" si="144"/>
        <v>0</v>
      </c>
      <c r="B534" s="2" t="str">
        <f t="shared" si="161"/>
        <v/>
      </c>
      <c r="C534" s="4" t="str">
        <f t="shared" si="145"/>
        <v/>
      </c>
      <c r="D534" s="3" t="str">
        <f t="shared" si="146"/>
        <v/>
      </c>
      <c r="E534" s="47"/>
      <c r="F534" s="3" t="str">
        <f t="shared" si="147"/>
        <v/>
      </c>
      <c r="G534" s="47"/>
      <c r="H534" s="3" t="str">
        <f t="shared" si="148"/>
        <v/>
      </c>
      <c r="I534" s="47"/>
      <c r="J534" s="3" t="str">
        <f t="shared" si="149"/>
        <v/>
      </c>
      <c r="K534" s="47"/>
      <c r="L534" s="3" t="str">
        <f t="shared" si="150"/>
        <v/>
      </c>
      <c r="M534" s="47"/>
      <c r="N534" s="3" t="str">
        <f t="shared" si="151"/>
        <v/>
      </c>
      <c r="O534" s="47"/>
      <c r="P534" s="3" t="str">
        <f t="shared" si="152"/>
        <v/>
      </c>
      <c r="Q534" s="47"/>
      <c r="R534" s="3" t="str">
        <f t="shared" si="153"/>
        <v/>
      </c>
      <c r="S534" s="47"/>
      <c r="T534" s="1" t="str">
        <f t="shared" si="154"/>
        <v/>
      </c>
      <c r="U534" s="47"/>
      <c r="V534" s="1" t="str">
        <f t="shared" si="155"/>
        <v/>
      </c>
      <c r="W534" s="47"/>
      <c r="X534" s="1" t="str">
        <f t="shared" si="156"/>
        <v/>
      </c>
      <c r="Y534" s="47"/>
      <c r="Z534" s="1" t="str">
        <f t="shared" si="157"/>
        <v/>
      </c>
      <c r="AA534" s="47"/>
      <c r="AB534" s="1" t="str">
        <f t="shared" si="158"/>
        <v/>
      </c>
      <c r="AC534" s="47"/>
      <c r="AD534" s="1" t="str">
        <f t="shared" si="159"/>
        <v/>
      </c>
      <c r="AE534" s="47"/>
      <c r="AF534" s="1" t="str">
        <f t="shared" si="160"/>
        <v/>
      </c>
      <c r="AG534" s="47"/>
    </row>
    <row r="535" spans="1:33">
      <c r="A535">
        <f t="shared" si="144"/>
        <v>0</v>
      </c>
      <c r="B535" s="2" t="str">
        <f t="shared" si="161"/>
        <v/>
      </c>
      <c r="C535" s="4" t="str">
        <f t="shared" si="145"/>
        <v/>
      </c>
      <c r="D535" s="3" t="str">
        <f t="shared" si="146"/>
        <v/>
      </c>
      <c r="E535" s="47"/>
      <c r="F535" s="3" t="str">
        <f t="shared" si="147"/>
        <v/>
      </c>
      <c r="G535" s="47"/>
      <c r="H535" s="3" t="str">
        <f t="shared" si="148"/>
        <v/>
      </c>
      <c r="I535" s="47"/>
      <c r="J535" s="3" t="str">
        <f t="shared" si="149"/>
        <v/>
      </c>
      <c r="K535" s="47"/>
      <c r="L535" s="3" t="str">
        <f t="shared" si="150"/>
        <v/>
      </c>
      <c r="M535" s="47"/>
      <c r="N535" s="3" t="str">
        <f t="shared" si="151"/>
        <v/>
      </c>
      <c r="O535" s="47"/>
      <c r="P535" s="3" t="str">
        <f t="shared" si="152"/>
        <v/>
      </c>
      <c r="Q535" s="47"/>
      <c r="R535" s="3" t="str">
        <f t="shared" si="153"/>
        <v/>
      </c>
      <c r="S535" s="47"/>
      <c r="T535" s="1" t="str">
        <f t="shared" si="154"/>
        <v/>
      </c>
      <c r="U535" s="47"/>
      <c r="V535" s="1" t="str">
        <f t="shared" si="155"/>
        <v/>
      </c>
      <c r="W535" s="47"/>
      <c r="X535" s="1" t="str">
        <f t="shared" si="156"/>
        <v/>
      </c>
      <c r="Y535" s="47"/>
      <c r="Z535" s="1" t="str">
        <f t="shared" si="157"/>
        <v/>
      </c>
      <c r="AA535" s="47"/>
      <c r="AB535" s="1" t="str">
        <f t="shared" si="158"/>
        <v/>
      </c>
      <c r="AC535" s="47"/>
      <c r="AD535" s="1" t="str">
        <f t="shared" si="159"/>
        <v/>
      </c>
      <c r="AE535" s="47"/>
      <c r="AF535" s="1" t="str">
        <f t="shared" si="160"/>
        <v/>
      </c>
      <c r="AG535" s="47"/>
    </row>
    <row r="536" spans="1:33">
      <c r="A536">
        <f t="shared" si="144"/>
        <v>0</v>
      </c>
      <c r="B536" s="2" t="str">
        <f t="shared" si="161"/>
        <v/>
      </c>
      <c r="C536" s="4" t="str">
        <f t="shared" si="145"/>
        <v/>
      </c>
      <c r="D536" s="3" t="str">
        <f t="shared" si="146"/>
        <v/>
      </c>
      <c r="E536" s="47"/>
      <c r="F536" s="3" t="str">
        <f t="shared" si="147"/>
        <v/>
      </c>
      <c r="G536" s="47"/>
      <c r="H536" s="3" t="str">
        <f t="shared" si="148"/>
        <v/>
      </c>
      <c r="I536" s="47"/>
      <c r="J536" s="3" t="str">
        <f t="shared" si="149"/>
        <v/>
      </c>
      <c r="K536" s="47"/>
      <c r="L536" s="3" t="str">
        <f t="shared" si="150"/>
        <v/>
      </c>
      <c r="M536" s="47"/>
      <c r="N536" s="3" t="str">
        <f t="shared" si="151"/>
        <v/>
      </c>
      <c r="O536" s="47"/>
      <c r="P536" s="3" t="str">
        <f t="shared" si="152"/>
        <v/>
      </c>
      <c r="Q536" s="47"/>
      <c r="R536" s="3" t="str">
        <f t="shared" si="153"/>
        <v/>
      </c>
      <c r="S536" s="47"/>
      <c r="T536" s="1" t="str">
        <f t="shared" si="154"/>
        <v/>
      </c>
      <c r="U536" s="47"/>
      <c r="V536" s="1" t="str">
        <f t="shared" si="155"/>
        <v/>
      </c>
      <c r="W536" s="47"/>
      <c r="X536" s="1" t="str">
        <f t="shared" si="156"/>
        <v/>
      </c>
      <c r="Y536" s="47"/>
      <c r="Z536" s="1" t="str">
        <f t="shared" si="157"/>
        <v/>
      </c>
      <c r="AA536" s="47"/>
      <c r="AB536" s="1" t="str">
        <f t="shared" si="158"/>
        <v/>
      </c>
      <c r="AC536" s="47"/>
      <c r="AD536" s="1" t="str">
        <f t="shared" si="159"/>
        <v/>
      </c>
      <c r="AE536" s="47"/>
      <c r="AF536" s="1" t="str">
        <f t="shared" si="160"/>
        <v/>
      </c>
      <c r="AG536" s="47"/>
    </row>
    <row r="537" spans="1:33">
      <c r="A537">
        <f t="shared" si="144"/>
        <v>0</v>
      </c>
      <c r="B537" s="2" t="str">
        <f t="shared" si="161"/>
        <v/>
      </c>
      <c r="C537" s="4" t="str">
        <f t="shared" si="145"/>
        <v/>
      </c>
      <c r="D537" s="3" t="str">
        <f t="shared" si="146"/>
        <v/>
      </c>
      <c r="E537" s="47"/>
      <c r="F537" s="3" t="str">
        <f t="shared" si="147"/>
        <v/>
      </c>
      <c r="G537" s="47"/>
      <c r="H537" s="3" t="str">
        <f t="shared" si="148"/>
        <v/>
      </c>
      <c r="I537" s="47"/>
      <c r="J537" s="3" t="str">
        <f t="shared" si="149"/>
        <v/>
      </c>
      <c r="K537" s="47"/>
      <c r="L537" s="3" t="str">
        <f t="shared" si="150"/>
        <v/>
      </c>
      <c r="M537" s="47"/>
      <c r="N537" s="3" t="str">
        <f t="shared" si="151"/>
        <v/>
      </c>
      <c r="O537" s="47"/>
      <c r="P537" s="3" t="str">
        <f t="shared" si="152"/>
        <v/>
      </c>
      <c r="Q537" s="47"/>
      <c r="R537" s="3" t="str">
        <f t="shared" si="153"/>
        <v/>
      </c>
      <c r="S537" s="47"/>
      <c r="T537" s="1" t="str">
        <f t="shared" si="154"/>
        <v/>
      </c>
      <c r="U537" s="47"/>
      <c r="V537" s="1" t="str">
        <f t="shared" si="155"/>
        <v/>
      </c>
      <c r="W537" s="47"/>
      <c r="X537" s="1" t="str">
        <f t="shared" si="156"/>
        <v/>
      </c>
      <c r="Y537" s="47"/>
      <c r="Z537" s="1" t="str">
        <f t="shared" si="157"/>
        <v/>
      </c>
      <c r="AA537" s="47"/>
      <c r="AB537" s="1" t="str">
        <f t="shared" si="158"/>
        <v/>
      </c>
      <c r="AC537" s="47"/>
      <c r="AD537" s="1" t="str">
        <f t="shared" si="159"/>
        <v/>
      </c>
      <c r="AE537" s="47"/>
      <c r="AF537" s="1" t="str">
        <f t="shared" si="160"/>
        <v/>
      </c>
      <c r="AG537" s="47"/>
    </row>
    <row r="538" spans="1:33">
      <c r="A538">
        <f t="shared" si="144"/>
        <v>0</v>
      </c>
      <c r="B538" s="2" t="str">
        <f t="shared" si="161"/>
        <v/>
      </c>
      <c r="C538" s="4" t="str">
        <f t="shared" si="145"/>
        <v/>
      </c>
      <c r="D538" s="3" t="str">
        <f t="shared" si="146"/>
        <v/>
      </c>
      <c r="E538" s="47"/>
      <c r="F538" s="3" t="str">
        <f t="shared" si="147"/>
        <v/>
      </c>
      <c r="G538" s="47"/>
      <c r="H538" s="3" t="str">
        <f t="shared" si="148"/>
        <v/>
      </c>
      <c r="I538" s="47"/>
      <c r="J538" s="3" t="str">
        <f t="shared" si="149"/>
        <v/>
      </c>
      <c r="K538" s="47"/>
      <c r="L538" s="3" t="str">
        <f t="shared" si="150"/>
        <v/>
      </c>
      <c r="M538" s="47"/>
      <c r="N538" s="3" t="str">
        <f t="shared" si="151"/>
        <v/>
      </c>
      <c r="O538" s="47"/>
      <c r="P538" s="3" t="str">
        <f t="shared" si="152"/>
        <v/>
      </c>
      <c r="Q538" s="47"/>
      <c r="R538" s="3" t="str">
        <f t="shared" si="153"/>
        <v/>
      </c>
      <c r="S538" s="47"/>
      <c r="T538" s="1" t="str">
        <f t="shared" si="154"/>
        <v/>
      </c>
      <c r="U538" s="47"/>
      <c r="V538" s="1" t="str">
        <f t="shared" si="155"/>
        <v/>
      </c>
      <c r="W538" s="47"/>
      <c r="X538" s="1" t="str">
        <f t="shared" si="156"/>
        <v/>
      </c>
      <c r="Y538" s="47"/>
      <c r="Z538" s="1" t="str">
        <f t="shared" si="157"/>
        <v/>
      </c>
      <c r="AA538" s="47"/>
      <c r="AB538" s="1" t="str">
        <f t="shared" si="158"/>
        <v/>
      </c>
      <c r="AC538" s="47"/>
      <c r="AD538" s="1" t="str">
        <f t="shared" si="159"/>
        <v/>
      </c>
      <c r="AE538" s="47"/>
      <c r="AF538" s="1" t="str">
        <f t="shared" si="160"/>
        <v/>
      </c>
      <c r="AG538" s="47"/>
    </row>
    <row r="539" spans="1:33">
      <c r="A539">
        <f t="shared" si="144"/>
        <v>0</v>
      </c>
      <c r="B539" s="2" t="str">
        <f t="shared" si="161"/>
        <v/>
      </c>
      <c r="C539" s="4" t="str">
        <f t="shared" si="145"/>
        <v/>
      </c>
      <c r="D539" s="3" t="str">
        <f t="shared" si="146"/>
        <v/>
      </c>
      <c r="E539" s="47"/>
      <c r="F539" s="3" t="str">
        <f t="shared" si="147"/>
        <v/>
      </c>
      <c r="G539" s="47"/>
      <c r="H539" s="3" t="str">
        <f t="shared" si="148"/>
        <v/>
      </c>
      <c r="I539" s="47"/>
      <c r="J539" s="3" t="str">
        <f t="shared" si="149"/>
        <v/>
      </c>
      <c r="K539" s="47"/>
      <c r="L539" s="3" t="str">
        <f t="shared" si="150"/>
        <v/>
      </c>
      <c r="M539" s="47"/>
      <c r="N539" s="3" t="str">
        <f t="shared" si="151"/>
        <v/>
      </c>
      <c r="O539" s="47"/>
      <c r="P539" s="3" t="str">
        <f t="shared" si="152"/>
        <v/>
      </c>
      <c r="Q539" s="47"/>
      <c r="R539" s="3" t="str">
        <f t="shared" si="153"/>
        <v/>
      </c>
      <c r="S539" s="47"/>
      <c r="T539" s="1" t="str">
        <f t="shared" si="154"/>
        <v/>
      </c>
      <c r="U539" s="47"/>
      <c r="V539" s="1" t="str">
        <f t="shared" si="155"/>
        <v/>
      </c>
      <c r="W539" s="47"/>
      <c r="X539" s="1" t="str">
        <f t="shared" si="156"/>
        <v/>
      </c>
      <c r="Y539" s="47"/>
      <c r="Z539" s="1" t="str">
        <f t="shared" si="157"/>
        <v/>
      </c>
      <c r="AA539" s="47"/>
      <c r="AB539" s="1" t="str">
        <f t="shared" si="158"/>
        <v/>
      </c>
      <c r="AC539" s="47"/>
      <c r="AD539" s="1" t="str">
        <f t="shared" si="159"/>
        <v/>
      </c>
      <c r="AE539" s="47"/>
      <c r="AF539" s="1" t="str">
        <f t="shared" si="160"/>
        <v/>
      </c>
      <c r="AG539" s="47"/>
    </row>
    <row r="540" spans="1:33">
      <c r="A540">
        <f t="shared" si="144"/>
        <v>0</v>
      </c>
      <c r="B540" s="2" t="str">
        <f t="shared" si="161"/>
        <v/>
      </c>
      <c r="C540" s="4" t="str">
        <f t="shared" si="145"/>
        <v/>
      </c>
      <c r="D540" s="3" t="str">
        <f t="shared" si="146"/>
        <v/>
      </c>
      <c r="E540" s="47"/>
      <c r="F540" s="3" t="str">
        <f t="shared" si="147"/>
        <v/>
      </c>
      <c r="G540" s="47"/>
      <c r="H540" s="3" t="str">
        <f t="shared" si="148"/>
        <v/>
      </c>
      <c r="I540" s="47"/>
      <c r="J540" s="3" t="str">
        <f t="shared" si="149"/>
        <v/>
      </c>
      <c r="K540" s="47"/>
      <c r="L540" s="3" t="str">
        <f t="shared" si="150"/>
        <v/>
      </c>
      <c r="M540" s="47"/>
      <c r="N540" s="3" t="str">
        <f t="shared" si="151"/>
        <v/>
      </c>
      <c r="O540" s="47"/>
      <c r="P540" s="3" t="str">
        <f t="shared" si="152"/>
        <v/>
      </c>
      <c r="Q540" s="47"/>
      <c r="R540" s="3" t="str">
        <f t="shared" si="153"/>
        <v/>
      </c>
      <c r="S540" s="47"/>
      <c r="T540" s="1" t="str">
        <f t="shared" si="154"/>
        <v/>
      </c>
      <c r="U540" s="47"/>
      <c r="V540" s="1" t="str">
        <f t="shared" si="155"/>
        <v/>
      </c>
      <c r="W540" s="47"/>
      <c r="X540" s="1" t="str">
        <f t="shared" si="156"/>
        <v/>
      </c>
      <c r="Y540" s="47"/>
      <c r="Z540" s="1" t="str">
        <f t="shared" si="157"/>
        <v/>
      </c>
      <c r="AA540" s="47"/>
      <c r="AB540" s="1" t="str">
        <f t="shared" si="158"/>
        <v/>
      </c>
      <c r="AC540" s="47"/>
      <c r="AD540" s="1" t="str">
        <f t="shared" si="159"/>
        <v/>
      </c>
      <c r="AE540" s="47"/>
      <c r="AF540" s="1" t="str">
        <f t="shared" si="160"/>
        <v/>
      </c>
      <c r="AG540" s="47"/>
    </row>
    <row r="541" spans="1:33">
      <c r="A541">
        <f t="shared" si="144"/>
        <v>0</v>
      </c>
      <c r="B541" s="2" t="str">
        <f t="shared" si="161"/>
        <v/>
      </c>
      <c r="C541" s="4" t="str">
        <f t="shared" si="145"/>
        <v/>
      </c>
      <c r="D541" s="3" t="str">
        <f t="shared" si="146"/>
        <v/>
      </c>
      <c r="E541" s="47"/>
      <c r="F541" s="3" t="str">
        <f t="shared" si="147"/>
        <v/>
      </c>
      <c r="G541" s="47"/>
      <c r="H541" s="3" t="str">
        <f t="shared" si="148"/>
        <v/>
      </c>
      <c r="I541" s="47"/>
      <c r="J541" s="3" t="str">
        <f t="shared" si="149"/>
        <v/>
      </c>
      <c r="K541" s="47"/>
      <c r="L541" s="3" t="str">
        <f t="shared" si="150"/>
        <v/>
      </c>
      <c r="M541" s="47"/>
      <c r="N541" s="3" t="str">
        <f t="shared" si="151"/>
        <v/>
      </c>
      <c r="O541" s="47"/>
      <c r="P541" s="3" t="str">
        <f t="shared" si="152"/>
        <v/>
      </c>
      <c r="Q541" s="47"/>
      <c r="R541" s="3" t="str">
        <f t="shared" si="153"/>
        <v/>
      </c>
      <c r="S541" s="47"/>
      <c r="T541" s="1" t="str">
        <f t="shared" si="154"/>
        <v/>
      </c>
      <c r="U541" s="47"/>
      <c r="V541" s="1" t="str">
        <f t="shared" si="155"/>
        <v/>
      </c>
      <c r="W541" s="47"/>
      <c r="X541" s="1" t="str">
        <f t="shared" si="156"/>
        <v/>
      </c>
      <c r="Y541" s="47"/>
      <c r="Z541" s="1" t="str">
        <f t="shared" si="157"/>
        <v/>
      </c>
      <c r="AA541" s="47"/>
      <c r="AB541" s="1" t="str">
        <f t="shared" si="158"/>
        <v/>
      </c>
      <c r="AC541" s="47"/>
      <c r="AD541" s="1" t="str">
        <f t="shared" si="159"/>
        <v/>
      </c>
      <c r="AE541" s="47"/>
      <c r="AF541" s="1" t="str">
        <f t="shared" si="160"/>
        <v/>
      </c>
      <c r="AG541" s="47"/>
    </row>
    <row r="542" spans="1:33">
      <c r="A542">
        <f t="shared" si="144"/>
        <v>0</v>
      </c>
      <c r="B542" s="2" t="str">
        <f t="shared" si="161"/>
        <v/>
      </c>
      <c r="C542" s="4" t="str">
        <f t="shared" si="145"/>
        <v/>
      </c>
      <c r="D542" s="3" t="str">
        <f t="shared" si="146"/>
        <v/>
      </c>
      <c r="E542" s="47"/>
      <c r="F542" s="3" t="str">
        <f t="shared" si="147"/>
        <v/>
      </c>
      <c r="G542" s="47"/>
      <c r="H542" s="3" t="str">
        <f t="shared" si="148"/>
        <v/>
      </c>
      <c r="I542" s="47"/>
      <c r="J542" s="3" t="str">
        <f t="shared" si="149"/>
        <v/>
      </c>
      <c r="K542" s="47"/>
      <c r="L542" s="3" t="str">
        <f t="shared" si="150"/>
        <v/>
      </c>
      <c r="M542" s="47"/>
      <c r="N542" s="3" t="str">
        <f t="shared" si="151"/>
        <v/>
      </c>
      <c r="O542" s="47"/>
      <c r="P542" s="3" t="str">
        <f t="shared" si="152"/>
        <v/>
      </c>
      <c r="Q542" s="47"/>
      <c r="R542" s="3" t="str">
        <f t="shared" si="153"/>
        <v/>
      </c>
      <c r="S542" s="47"/>
      <c r="T542" s="1" t="str">
        <f t="shared" si="154"/>
        <v/>
      </c>
      <c r="U542" s="47"/>
      <c r="V542" s="1" t="str">
        <f t="shared" si="155"/>
        <v/>
      </c>
      <c r="W542" s="47"/>
      <c r="X542" s="1" t="str">
        <f t="shared" si="156"/>
        <v/>
      </c>
      <c r="Y542" s="47"/>
      <c r="Z542" s="1" t="str">
        <f t="shared" si="157"/>
        <v/>
      </c>
      <c r="AA542" s="47"/>
      <c r="AB542" s="1" t="str">
        <f t="shared" si="158"/>
        <v/>
      </c>
      <c r="AC542" s="47"/>
      <c r="AD542" s="1" t="str">
        <f t="shared" si="159"/>
        <v/>
      </c>
      <c r="AE542" s="47"/>
      <c r="AF542" s="1" t="str">
        <f t="shared" si="160"/>
        <v/>
      </c>
      <c r="AG542" s="47"/>
    </row>
    <row r="543" spans="1:33">
      <c r="A543">
        <f t="shared" si="144"/>
        <v>0</v>
      </c>
      <c r="B543" s="2" t="str">
        <f t="shared" si="161"/>
        <v/>
      </c>
      <c r="C543" s="4" t="str">
        <f t="shared" si="145"/>
        <v/>
      </c>
      <c r="D543" s="3" t="str">
        <f t="shared" si="146"/>
        <v/>
      </c>
      <c r="E543" s="47"/>
      <c r="F543" s="3" t="str">
        <f t="shared" si="147"/>
        <v/>
      </c>
      <c r="G543" s="47"/>
      <c r="H543" s="3" t="str">
        <f t="shared" si="148"/>
        <v/>
      </c>
      <c r="I543" s="47"/>
      <c r="J543" s="3" t="str">
        <f t="shared" si="149"/>
        <v/>
      </c>
      <c r="K543" s="47"/>
      <c r="L543" s="3" t="str">
        <f t="shared" si="150"/>
        <v/>
      </c>
      <c r="M543" s="47"/>
      <c r="N543" s="3" t="str">
        <f t="shared" si="151"/>
        <v/>
      </c>
      <c r="O543" s="47"/>
      <c r="P543" s="3" t="str">
        <f t="shared" si="152"/>
        <v/>
      </c>
      <c r="Q543" s="47"/>
      <c r="R543" s="3" t="str">
        <f t="shared" si="153"/>
        <v/>
      </c>
      <c r="S543" s="47"/>
      <c r="T543" s="1" t="str">
        <f t="shared" si="154"/>
        <v/>
      </c>
      <c r="U543" s="47"/>
      <c r="V543" s="1" t="str">
        <f t="shared" si="155"/>
        <v/>
      </c>
      <c r="W543" s="47"/>
      <c r="X543" s="1" t="str">
        <f t="shared" si="156"/>
        <v/>
      </c>
      <c r="Y543" s="47"/>
      <c r="Z543" s="1" t="str">
        <f t="shared" si="157"/>
        <v/>
      </c>
      <c r="AA543" s="47"/>
      <c r="AB543" s="1" t="str">
        <f t="shared" si="158"/>
        <v/>
      </c>
      <c r="AC543" s="47"/>
      <c r="AD543" s="1" t="str">
        <f t="shared" si="159"/>
        <v/>
      </c>
      <c r="AE543" s="47"/>
      <c r="AF543" s="1" t="str">
        <f t="shared" si="160"/>
        <v/>
      </c>
      <c r="AG543" s="47"/>
    </row>
    <row r="544" spans="1:33">
      <c r="A544">
        <f t="shared" si="144"/>
        <v>0</v>
      </c>
      <c r="B544" s="2" t="str">
        <f t="shared" si="161"/>
        <v/>
      </c>
      <c r="C544" s="4" t="str">
        <f t="shared" si="145"/>
        <v/>
      </c>
      <c r="D544" s="3" t="str">
        <f t="shared" si="146"/>
        <v/>
      </c>
      <c r="E544" s="47"/>
      <c r="F544" s="3" t="str">
        <f t="shared" si="147"/>
        <v/>
      </c>
      <c r="G544" s="47"/>
      <c r="H544" s="3" t="str">
        <f t="shared" si="148"/>
        <v/>
      </c>
      <c r="I544" s="47"/>
      <c r="J544" s="3" t="str">
        <f t="shared" si="149"/>
        <v/>
      </c>
      <c r="K544" s="47"/>
      <c r="L544" s="3" t="str">
        <f t="shared" si="150"/>
        <v/>
      </c>
      <c r="M544" s="47"/>
      <c r="N544" s="3" t="str">
        <f t="shared" si="151"/>
        <v/>
      </c>
      <c r="O544" s="47"/>
      <c r="P544" s="3" t="str">
        <f t="shared" si="152"/>
        <v/>
      </c>
      <c r="Q544" s="47"/>
      <c r="R544" s="3" t="str">
        <f t="shared" si="153"/>
        <v/>
      </c>
      <c r="S544" s="47"/>
      <c r="T544" s="1" t="str">
        <f t="shared" si="154"/>
        <v/>
      </c>
      <c r="U544" s="47"/>
      <c r="V544" s="1" t="str">
        <f t="shared" si="155"/>
        <v/>
      </c>
      <c r="W544" s="47"/>
      <c r="X544" s="1" t="str">
        <f t="shared" si="156"/>
        <v/>
      </c>
      <c r="Y544" s="47"/>
      <c r="Z544" s="1" t="str">
        <f t="shared" si="157"/>
        <v/>
      </c>
      <c r="AA544" s="47"/>
      <c r="AB544" s="1" t="str">
        <f t="shared" si="158"/>
        <v/>
      </c>
      <c r="AC544" s="47"/>
      <c r="AD544" s="1" t="str">
        <f t="shared" si="159"/>
        <v/>
      </c>
      <c r="AE544" s="47"/>
      <c r="AF544" s="1" t="str">
        <f t="shared" si="160"/>
        <v/>
      </c>
      <c r="AG544" s="47"/>
    </row>
    <row r="545" spans="1:33">
      <c r="A545">
        <f t="shared" si="144"/>
        <v>0</v>
      </c>
      <c r="B545" s="2" t="str">
        <f t="shared" si="161"/>
        <v/>
      </c>
      <c r="C545" s="4" t="str">
        <f t="shared" si="145"/>
        <v/>
      </c>
      <c r="D545" s="3" t="str">
        <f t="shared" si="146"/>
        <v/>
      </c>
      <c r="E545" s="47"/>
      <c r="F545" s="3" t="str">
        <f t="shared" si="147"/>
        <v/>
      </c>
      <c r="G545" s="47"/>
      <c r="H545" s="3" t="str">
        <f t="shared" si="148"/>
        <v/>
      </c>
      <c r="I545" s="47"/>
      <c r="J545" s="3" t="str">
        <f t="shared" si="149"/>
        <v/>
      </c>
      <c r="K545" s="47"/>
      <c r="L545" s="3" t="str">
        <f t="shared" si="150"/>
        <v/>
      </c>
      <c r="M545" s="47"/>
      <c r="N545" s="3" t="str">
        <f t="shared" si="151"/>
        <v/>
      </c>
      <c r="O545" s="47"/>
      <c r="P545" s="3" t="str">
        <f t="shared" si="152"/>
        <v/>
      </c>
      <c r="Q545" s="47"/>
      <c r="R545" s="3" t="str">
        <f t="shared" si="153"/>
        <v/>
      </c>
      <c r="S545" s="47"/>
      <c r="T545" s="1" t="str">
        <f t="shared" si="154"/>
        <v/>
      </c>
      <c r="U545" s="47"/>
      <c r="V545" s="1" t="str">
        <f t="shared" si="155"/>
        <v/>
      </c>
      <c r="W545" s="47"/>
      <c r="X545" s="1" t="str">
        <f t="shared" si="156"/>
        <v/>
      </c>
      <c r="Y545" s="47"/>
      <c r="Z545" s="1" t="str">
        <f t="shared" si="157"/>
        <v/>
      </c>
      <c r="AA545" s="47"/>
      <c r="AB545" s="1" t="str">
        <f t="shared" si="158"/>
        <v/>
      </c>
      <c r="AC545" s="47"/>
      <c r="AD545" s="1" t="str">
        <f t="shared" si="159"/>
        <v/>
      </c>
      <c r="AE545" s="47"/>
      <c r="AF545" s="1" t="str">
        <f t="shared" si="160"/>
        <v/>
      </c>
      <c r="AG545" s="47"/>
    </row>
    <row r="546" spans="1:33">
      <c r="A546">
        <f t="shared" si="144"/>
        <v>0</v>
      </c>
      <c r="B546" s="2" t="str">
        <f t="shared" si="161"/>
        <v/>
      </c>
      <c r="C546" s="4" t="str">
        <f t="shared" si="145"/>
        <v/>
      </c>
      <c r="D546" s="3" t="str">
        <f t="shared" si="146"/>
        <v/>
      </c>
      <c r="E546" s="47"/>
      <c r="F546" s="3" t="str">
        <f t="shared" si="147"/>
        <v/>
      </c>
      <c r="G546" s="47"/>
      <c r="H546" s="3" t="str">
        <f t="shared" si="148"/>
        <v/>
      </c>
      <c r="I546" s="47"/>
      <c r="J546" s="3" t="str">
        <f t="shared" si="149"/>
        <v/>
      </c>
      <c r="K546" s="47"/>
      <c r="L546" s="3" t="str">
        <f t="shared" si="150"/>
        <v/>
      </c>
      <c r="M546" s="47"/>
      <c r="N546" s="3" t="str">
        <f t="shared" si="151"/>
        <v/>
      </c>
      <c r="O546" s="47"/>
      <c r="P546" s="3" t="str">
        <f t="shared" si="152"/>
        <v/>
      </c>
      <c r="Q546" s="47"/>
      <c r="R546" s="3" t="str">
        <f t="shared" si="153"/>
        <v/>
      </c>
      <c r="S546" s="47"/>
      <c r="T546" s="1" t="str">
        <f t="shared" si="154"/>
        <v/>
      </c>
      <c r="U546" s="47"/>
      <c r="V546" s="1" t="str">
        <f t="shared" si="155"/>
        <v/>
      </c>
      <c r="W546" s="47"/>
      <c r="X546" s="1" t="str">
        <f t="shared" si="156"/>
        <v/>
      </c>
      <c r="Y546" s="47"/>
      <c r="Z546" s="1" t="str">
        <f t="shared" si="157"/>
        <v/>
      </c>
      <c r="AA546" s="47"/>
      <c r="AB546" s="1" t="str">
        <f t="shared" si="158"/>
        <v/>
      </c>
      <c r="AC546" s="47"/>
      <c r="AD546" s="1" t="str">
        <f t="shared" si="159"/>
        <v/>
      </c>
      <c r="AE546" s="47"/>
      <c r="AF546" s="1" t="str">
        <f t="shared" si="160"/>
        <v/>
      </c>
      <c r="AG546" s="47"/>
    </row>
    <row r="547" spans="1:33">
      <c r="A547">
        <f t="shared" si="144"/>
        <v>0</v>
      </c>
      <c r="B547" s="2" t="str">
        <f t="shared" si="161"/>
        <v/>
      </c>
      <c r="C547" s="4" t="str">
        <f t="shared" si="145"/>
        <v/>
      </c>
      <c r="D547" s="3" t="str">
        <f t="shared" si="146"/>
        <v/>
      </c>
      <c r="E547" s="47"/>
      <c r="F547" s="3" t="str">
        <f t="shared" si="147"/>
        <v/>
      </c>
      <c r="G547" s="47"/>
      <c r="H547" s="3" t="str">
        <f t="shared" si="148"/>
        <v/>
      </c>
      <c r="I547" s="47"/>
      <c r="J547" s="3" t="str">
        <f t="shared" si="149"/>
        <v/>
      </c>
      <c r="K547" s="47"/>
      <c r="L547" s="3" t="str">
        <f t="shared" si="150"/>
        <v/>
      </c>
      <c r="M547" s="47"/>
      <c r="N547" s="3" t="str">
        <f t="shared" si="151"/>
        <v/>
      </c>
      <c r="O547" s="47"/>
      <c r="P547" s="3" t="str">
        <f t="shared" si="152"/>
        <v/>
      </c>
      <c r="Q547" s="47"/>
      <c r="R547" s="3" t="str">
        <f t="shared" si="153"/>
        <v/>
      </c>
      <c r="S547" s="47"/>
      <c r="T547" s="1" t="str">
        <f t="shared" si="154"/>
        <v/>
      </c>
      <c r="U547" s="47"/>
      <c r="V547" s="1" t="str">
        <f t="shared" si="155"/>
        <v/>
      </c>
      <c r="W547" s="47"/>
      <c r="X547" s="1" t="str">
        <f t="shared" si="156"/>
        <v/>
      </c>
      <c r="Y547" s="47"/>
      <c r="Z547" s="1" t="str">
        <f t="shared" si="157"/>
        <v/>
      </c>
      <c r="AA547" s="47"/>
      <c r="AB547" s="1" t="str">
        <f t="shared" si="158"/>
        <v/>
      </c>
      <c r="AC547" s="47"/>
      <c r="AD547" s="1" t="str">
        <f t="shared" si="159"/>
        <v/>
      </c>
      <c r="AE547" s="47"/>
      <c r="AF547" s="1" t="str">
        <f t="shared" si="160"/>
        <v/>
      </c>
      <c r="AG547" s="47"/>
    </row>
    <row r="548" spans="1:33">
      <c r="A548">
        <f t="shared" si="144"/>
        <v>0</v>
      </c>
      <c r="B548" s="2" t="str">
        <f t="shared" si="161"/>
        <v/>
      </c>
      <c r="C548" s="4" t="str">
        <f t="shared" si="145"/>
        <v/>
      </c>
      <c r="D548" s="3" t="str">
        <f t="shared" si="146"/>
        <v/>
      </c>
      <c r="E548" s="47"/>
      <c r="F548" s="3" t="str">
        <f t="shared" si="147"/>
        <v/>
      </c>
      <c r="G548" s="47"/>
      <c r="H548" s="3" t="str">
        <f t="shared" si="148"/>
        <v/>
      </c>
      <c r="I548" s="47"/>
      <c r="J548" s="3" t="str">
        <f t="shared" si="149"/>
        <v/>
      </c>
      <c r="K548" s="47"/>
      <c r="L548" s="3" t="str">
        <f t="shared" si="150"/>
        <v/>
      </c>
      <c r="M548" s="47"/>
      <c r="N548" s="3" t="str">
        <f t="shared" si="151"/>
        <v/>
      </c>
      <c r="O548" s="47"/>
      <c r="P548" s="3" t="str">
        <f t="shared" si="152"/>
        <v/>
      </c>
      <c r="Q548" s="47"/>
      <c r="R548" s="3" t="str">
        <f t="shared" si="153"/>
        <v/>
      </c>
      <c r="S548" s="47"/>
      <c r="T548" s="1" t="str">
        <f t="shared" si="154"/>
        <v/>
      </c>
      <c r="U548" s="47"/>
      <c r="V548" s="1" t="str">
        <f t="shared" si="155"/>
        <v/>
      </c>
      <c r="W548" s="47"/>
      <c r="X548" s="1" t="str">
        <f t="shared" si="156"/>
        <v/>
      </c>
      <c r="Y548" s="47"/>
      <c r="Z548" s="1" t="str">
        <f t="shared" si="157"/>
        <v/>
      </c>
      <c r="AA548" s="47"/>
      <c r="AB548" s="1" t="str">
        <f t="shared" si="158"/>
        <v/>
      </c>
      <c r="AC548" s="47"/>
      <c r="AD548" s="1" t="str">
        <f t="shared" si="159"/>
        <v/>
      </c>
      <c r="AE548" s="47"/>
      <c r="AF548" s="1" t="str">
        <f t="shared" si="160"/>
        <v/>
      </c>
      <c r="AG548" s="47"/>
    </row>
    <row r="549" spans="1:33">
      <c r="A549">
        <f t="shared" si="144"/>
        <v>0</v>
      </c>
      <c r="B549" s="2" t="str">
        <f t="shared" si="161"/>
        <v/>
      </c>
      <c r="C549" s="4" t="str">
        <f t="shared" si="145"/>
        <v/>
      </c>
      <c r="D549" s="3" t="str">
        <f t="shared" si="146"/>
        <v/>
      </c>
      <c r="E549" s="47"/>
      <c r="F549" s="3" t="str">
        <f t="shared" si="147"/>
        <v/>
      </c>
      <c r="G549" s="47"/>
      <c r="H549" s="3" t="str">
        <f t="shared" si="148"/>
        <v/>
      </c>
      <c r="I549" s="47"/>
      <c r="J549" s="3" t="str">
        <f t="shared" si="149"/>
        <v/>
      </c>
      <c r="K549" s="47"/>
      <c r="L549" s="3" t="str">
        <f t="shared" si="150"/>
        <v/>
      </c>
      <c r="M549" s="47"/>
      <c r="N549" s="3" t="str">
        <f t="shared" si="151"/>
        <v/>
      </c>
      <c r="O549" s="47"/>
      <c r="P549" s="3" t="str">
        <f t="shared" si="152"/>
        <v/>
      </c>
      <c r="Q549" s="47"/>
      <c r="R549" s="3" t="str">
        <f t="shared" si="153"/>
        <v/>
      </c>
      <c r="S549" s="47"/>
      <c r="T549" s="1" t="str">
        <f t="shared" si="154"/>
        <v/>
      </c>
      <c r="U549" s="47"/>
      <c r="V549" s="1" t="str">
        <f t="shared" si="155"/>
        <v/>
      </c>
      <c r="W549" s="47"/>
      <c r="X549" s="1" t="str">
        <f t="shared" si="156"/>
        <v/>
      </c>
      <c r="Y549" s="47"/>
      <c r="Z549" s="1" t="str">
        <f t="shared" si="157"/>
        <v/>
      </c>
      <c r="AA549" s="47"/>
      <c r="AB549" s="1" t="str">
        <f t="shared" si="158"/>
        <v/>
      </c>
      <c r="AC549" s="47"/>
      <c r="AD549" s="1" t="str">
        <f t="shared" si="159"/>
        <v/>
      </c>
      <c r="AE549" s="47"/>
      <c r="AF549" s="1" t="str">
        <f t="shared" si="160"/>
        <v/>
      </c>
      <c r="AG549" s="47"/>
    </row>
    <row r="550" spans="1:33">
      <c r="A550">
        <f t="shared" si="144"/>
        <v>0</v>
      </c>
      <c r="B550" s="2" t="str">
        <f t="shared" si="161"/>
        <v/>
      </c>
      <c r="C550" s="4" t="str">
        <f t="shared" si="145"/>
        <v/>
      </c>
      <c r="D550" s="3" t="str">
        <f t="shared" si="146"/>
        <v/>
      </c>
      <c r="E550" s="47"/>
      <c r="F550" s="3" t="str">
        <f t="shared" si="147"/>
        <v/>
      </c>
      <c r="G550" s="47"/>
      <c r="H550" s="3" t="str">
        <f t="shared" si="148"/>
        <v/>
      </c>
      <c r="I550" s="47"/>
      <c r="J550" s="3" t="str">
        <f t="shared" si="149"/>
        <v/>
      </c>
      <c r="K550" s="47"/>
      <c r="L550" s="3" t="str">
        <f t="shared" si="150"/>
        <v/>
      </c>
      <c r="M550" s="47"/>
      <c r="N550" s="3" t="str">
        <f t="shared" si="151"/>
        <v/>
      </c>
      <c r="O550" s="47"/>
      <c r="P550" s="3" t="str">
        <f t="shared" si="152"/>
        <v/>
      </c>
      <c r="Q550" s="47"/>
      <c r="R550" s="3" t="str">
        <f t="shared" si="153"/>
        <v/>
      </c>
      <c r="S550" s="47"/>
      <c r="T550" s="1" t="str">
        <f t="shared" si="154"/>
        <v/>
      </c>
      <c r="U550" s="47"/>
      <c r="V550" s="1" t="str">
        <f t="shared" si="155"/>
        <v/>
      </c>
      <c r="W550" s="47"/>
      <c r="X550" s="1" t="str">
        <f t="shared" si="156"/>
        <v/>
      </c>
      <c r="Y550" s="47"/>
      <c r="Z550" s="1" t="str">
        <f t="shared" si="157"/>
        <v/>
      </c>
      <c r="AA550" s="47"/>
      <c r="AB550" s="1" t="str">
        <f t="shared" si="158"/>
        <v/>
      </c>
      <c r="AC550" s="47"/>
      <c r="AD550" s="1" t="str">
        <f t="shared" si="159"/>
        <v/>
      </c>
      <c r="AE550" s="47"/>
      <c r="AF550" s="1" t="str">
        <f t="shared" si="160"/>
        <v/>
      </c>
      <c r="AG550" s="47"/>
    </row>
    <row r="551" spans="1:33">
      <c r="A551">
        <f t="shared" si="144"/>
        <v>0</v>
      </c>
      <c r="B551" s="2" t="str">
        <f t="shared" si="161"/>
        <v/>
      </c>
      <c r="C551" s="4" t="str">
        <f t="shared" si="145"/>
        <v/>
      </c>
      <c r="D551" s="3" t="str">
        <f t="shared" si="146"/>
        <v/>
      </c>
      <c r="E551" s="47"/>
      <c r="F551" s="3" t="str">
        <f t="shared" si="147"/>
        <v/>
      </c>
      <c r="G551" s="47"/>
      <c r="H551" s="3" t="str">
        <f t="shared" si="148"/>
        <v/>
      </c>
      <c r="I551" s="47"/>
      <c r="J551" s="3" t="str">
        <f t="shared" si="149"/>
        <v/>
      </c>
      <c r="K551" s="47"/>
      <c r="L551" s="3" t="str">
        <f t="shared" si="150"/>
        <v/>
      </c>
      <c r="M551" s="47"/>
      <c r="N551" s="3" t="str">
        <f t="shared" si="151"/>
        <v/>
      </c>
      <c r="O551" s="47"/>
      <c r="P551" s="3" t="str">
        <f t="shared" si="152"/>
        <v/>
      </c>
      <c r="Q551" s="47"/>
      <c r="R551" s="3" t="str">
        <f t="shared" si="153"/>
        <v/>
      </c>
      <c r="S551" s="47"/>
      <c r="T551" s="1" t="str">
        <f t="shared" si="154"/>
        <v/>
      </c>
      <c r="U551" s="47"/>
      <c r="V551" s="1" t="str">
        <f t="shared" si="155"/>
        <v/>
      </c>
      <c r="W551" s="47"/>
      <c r="X551" s="1" t="str">
        <f t="shared" si="156"/>
        <v/>
      </c>
      <c r="Y551" s="47"/>
      <c r="Z551" s="1" t="str">
        <f t="shared" si="157"/>
        <v/>
      </c>
      <c r="AA551" s="47"/>
      <c r="AB551" s="1" t="str">
        <f t="shared" si="158"/>
        <v/>
      </c>
      <c r="AC551" s="47"/>
      <c r="AD551" s="1" t="str">
        <f t="shared" si="159"/>
        <v/>
      </c>
      <c r="AE551" s="47"/>
      <c r="AF551" s="1" t="str">
        <f t="shared" si="160"/>
        <v/>
      </c>
      <c r="AG551" s="47"/>
    </row>
    <row r="552" spans="1:33">
      <c r="A552">
        <f t="shared" si="144"/>
        <v>0</v>
      </c>
      <c r="B552" s="2" t="str">
        <f t="shared" si="161"/>
        <v/>
      </c>
      <c r="C552" s="4" t="str">
        <f t="shared" si="145"/>
        <v/>
      </c>
      <c r="D552" s="3" t="str">
        <f t="shared" si="146"/>
        <v/>
      </c>
      <c r="E552" s="47"/>
      <c r="F552" s="3" t="str">
        <f t="shared" si="147"/>
        <v/>
      </c>
      <c r="G552" s="47"/>
      <c r="H552" s="3" t="str">
        <f t="shared" si="148"/>
        <v/>
      </c>
      <c r="I552" s="47"/>
      <c r="J552" s="3" t="str">
        <f t="shared" si="149"/>
        <v/>
      </c>
      <c r="K552" s="47"/>
      <c r="L552" s="3" t="str">
        <f t="shared" si="150"/>
        <v/>
      </c>
      <c r="M552" s="47"/>
      <c r="N552" s="3" t="str">
        <f t="shared" si="151"/>
        <v/>
      </c>
      <c r="O552" s="47"/>
      <c r="P552" s="3" t="str">
        <f t="shared" si="152"/>
        <v/>
      </c>
      <c r="Q552" s="47"/>
      <c r="R552" s="3" t="str">
        <f t="shared" si="153"/>
        <v/>
      </c>
      <c r="S552" s="47"/>
      <c r="T552" s="1" t="str">
        <f t="shared" si="154"/>
        <v/>
      </c>
      <c r="U552" s="47"/>
      <c r="V552" s="1" t="str">
        <f t="shared" si="155"/>
        <v/>
      </c>
      <c r="W552" s="47"/>
      <c r="X552" s="1" t="str">
        <f t="shared" si="156"/>
        <v/>
      </c>
      <c r="Y552" s="47"/>
      <c r="Z552" s="1" t="str">
        <f t="shared" si="157"/>
        <v/>
      </c>
      <c r="AA552" s="47"/>
      <c r="AB552" s="1" t="str">
        <f t="shared" si="158"/>
        <v/>
      </c>
      <c r="AC552" s="47"/>
      <c r="AD552" s="1" t="str">
        <f t="shared" si="159"/>
        <v/>
      </c>
      <c r="AE552" s="47"/>
      <c r="AF552" s="1" t="str">
        <f t="shared" si="160"/>
        <v/>
      </c>
      <c r="AG552" s="47"/>
    </row>
    <row r="553" spans="1:33">
      <c r="A553">
        <f t="shared" si="144"/>
        <v>0</v>
      </c>
      <c r="B553" s="2" t="str">
        <f t="shared" si="161"/>
        <v/>
      </c>
      <c r="C553" s="4" t="str">
        <f t="shared" si="145"/>
        <v/>
      </c>
      <c r="D553" s="3" t="str">
        <f t="shared" si="146"/>
        <v/>
      </c>
      <c r="E553" s="47"/>
      <c r="F553" s="3" t="str">
        <f t="shared" si="147"/>
        <v/>
      </c>
      <c r="G553" s="47"/>
      <c r="H553" s="3" t="str">
        <f t="shared" si="148"/>
        <v/>
      </c>
      <c r="I553" s="47"/>
      <c r="J553" s="3" t="str">
        <f t="shared" si="149"/>
        <v/>
      </c>
      <c r="K553" s="47"/>
      <c r="L553" s="3" t="str">
        <f t="shared" si="150"/>
        <v/>
      </c>
      <c r="M553" s="47"/>
      <c r="N553" s="3" t="str">
        <f t="shared" si="151"/>
        <v/>
      </c>
      <c r="O553" s="47"/>
      <c r="P553" s="3" t="str">
        <f t="shared" si="152"/>
        <v/>
      </c>
      <c r="Q553" s="47"/>
      <c r="R553" s="3" t="str">
        <f t="shared" si="153"/>
        <v/>
      </c>
      <c r="S553" s="47"/>
      <c r="T553" s="1" t="str">
        <f t="shared" si="154"/>
        <v/>
      </c>
      <c r="U553" s="47"/>
      <c r="V553" s="1" t="str">
        <f t="shared" si="155"/>
        <v/>
      </c>
      <c r="W553" s="47"/>
      <c r="X553" s="1" t="str">
        <f t="shared" si="156"/>
        <v/>
      </c>
      <c r="Y553" s="47"/>
      <c r="Z553" s="1" t="str">
        <f t="shared" si="157"/>
        <v/>
      </c>
      <c r="AA553" s="47"/>
      <c r="AB553" s="1" t="str">
        <f t="shared" si="158"/>
        <v/>
      </c>
      <c r="AC553" s="47"/>
      <c r="AD553" s="1" t="str">
        <f t="shared" si="159"/>
        <v/>
      </c>
      <c r="AE553" s="47"/>
      <c r="AF553" s="1" t="str">
        <f t="shared" si="160"/>
        <v/>
      </c>
      <c r="AG553" s="47"/>
    </row>
    <row r="554" spans="1:33">
      <c r="A554">
        <f t="shared" si="144"/>
        <v>0</v>
      </c>
      <c r="B554" s="2" t="str">
        <f t="shared" si="161"/>
        <v/>
      </c>
      <c r="C554" s="4" t="str">
        <f t="shared" si="145"/>
        <v/>
      </c>
      <c r="D554" s="3" t="str">
        <f t="shared" si="146"/>
        <v/>
      </c>
      <c r="E554" s="47"/>
      <c r="F554" s="3" t="str">
        <f t="shared" si="147"/>
        <v/>
      </c>
      <c r="G554" s="47"/>
      <c r="H554" s="3" t="str">
        <f t="shared" si="148"/>
        <v/>
      </c>
      <c r="I554" s="47"/>
      <c r="J554" s="3" t="str">
        <f t="shared" si="149"/>
        <v/>
      </c>
      <c r="K554" s="47"/>
      <c r="L554" s="3" t="str">
        <f t="shared" si="150"/>
        <v/>
      </c>
      <c r="M554" s="47"/>
      <c r="N554" s="3" t="str">
        <f t="shared" si="151"/>
        <v/>
      </c>
      <c r="O554" s="47"/>
      <c r="P554" s="3" t="str">
        <f t="shared" si="152"/>
        <v/>
      </c>
      <c r="Q554" s="47"/>
      <c r="R554" s="3" t="str">
        <f t="shared" si="153"/>
        <v/>
      </c>
      <c r="S554" s="47"/>
      <c r="T554" s="1" t="str">
        <f t="shared" si="154"/>
        <v/>
      </c>
      <c r="U554" s="47"/>
      <c r="V554" s="1" t="str">
        <f t="shared" si="155"/>
        <v/>
      </c>
      <c r="W554" s="47"/>
      <c r="X554" s="1" t="str">
        <f t="shared" si="156"/>
        <v/>
      </c>
      <c r="Y554" s="47"/>
      <c r="Z554" s="1" t="str">
        <f t="shared" si="157"/>
        <v/>
      </c>
      <c r="AA554" s="47"/>
      <c r="AB554" s="1" t="str">
        <f t="shared" si="158"/>
        <v/>
      </c>
      <c r="AC554" s="47"/>
      <c r="AD554" s="1" t="str">
        <f t="shared" si="159"/>
        <v/>
      </c>
      <c r="AE554" s="47"/>
      <c r="AF554" s="1" t="str">
        <f t="shared" si="160"/>
        <v/>
      </c>
      <c r="AG554" s="47"/>
    </row>
    <row r="555" spans="1:33">
      <c r="A555">
        <f t="shared" si="144"/>
        <v>0</v>
      </c>
      <c r="B555" s="2" t="str">
        <f t="shared" si="161"/>
        <v/>
      </c>
      <c r="C555" s="4" t="str">
        <f t="shared" si="145"/>
        <v/>
      </c>
      <c r="D555" s="3" t="str">
        <f t="shared" si="146"/>
        <v/>
      </c>
      <c r="E555" s="47"/>
      <c r="F555" s="3" t="str">
        <f t="shared" si="147"/>
        <v/>
      </c>
      <c r="G555" s="47"/>
      <c r="H555" s="3" t="str">
        <f t="shared" si="148"/>
        <v/>
      </c>
      <c r="I555" s="47"/>
      <c r="J555" s="3" t="str">
        <f t="shared" si="149"/>
        <v/>
      </c>
      <c r="K555" s="47"/>
      <c r="L555" s="3" t="str">
        <f t="shared" si="150"/>
        <v/>
      </c>
      <c r="M555" s="47"/>
      <c r="N555" s="3" t="str">
        <f t="shared" si="151"/>
        <v/>
      </c>
      <c r="O555" s="47"/>
      <c r="P555" s="3" t="str">
        <f t="shared" si="152"/>
        <v/>
      </c>
      <c r="Q555" s="47"/>
      <c r="R555" s="3" t="str">
        <f t="shared" si="153"/>
        <v/>
      </c>
      <c r="S555" s="47"/>
      <c r="T555" s="1" t="str">
        <f t="shared" si="154"/>
        <v/>
      </c>
      <c r="U555" s="47"/>
      <c r="V555" s="1" t="str">
        <f t="shared" si="155"/>
        <v/>
      </c>
      <c r="W555" s="47"/>
      <c r="X555" s="1" t="str">
        <f t="shared" si="156"/>
        <v/>
      </c>
      <c r="Y555" s="47"/>
      <c r="Z555" s="1" t="str">
        <f t="shared" si="157"/>
        <v/>
      </c>
      <c r="AA555" s="47"/>
      <c r="AB555" s="1" t="str">
        <f t="shared" si="158"/>
        <v/>
      </c>
      <c r="AC555" s="47"/>
      <c r="AD555" s="1" t="str">
        <f t="shared" si="159"/>
        <v/>
      </c>
      <c r="AE555" s="47"/>
      <c r="AF555" s="1" t="str">
        <f t="shared" si="160"/>
        <v/>
      </c>
      <c r="AG555" s="47"/>
    </row>
    <row r="556" spans="1:33">
      <c r="A556">
        <f t="shared" si="144"/>
        <v>0</v>
      </c>
      <c r="B556" s="2" t="str">
        <f t="shared" si="161"/>
        <v/>
      </c>
      <c r="C556" s="4" t="str">
        <f t="shared" si="145"/>
        <v/>
      </c>
      <c r="D556" s="3" t="str">
        <f t="shared" si="146"/>
        <v/>
      </c>
      <c r="E556" s="47"/>
      <c r="F556" s="3" t="str">
        <f t="shared" si="147"/>
        <v/>
      </c>
      <c r="G556" s="47"/>
      <c r="H556" s="3" t="str">
        <f t="shared" si="148"/>
        <v/>
      </c>
      <c r="I556" s="47"/>
      <c r="J556" s="3" t="str">
        <f t="shared" si="149"/>
        <v/>
      </c>
      <c r="K556" s="47"/>
      <c r="L556" s="3" t="str">
        <f t="shared" si="150"/>
        <v/>
      </c>
      <c r="M556" s="47"/>
      <c r="N556" s="3" t="str">
        <f t="shared" si="151"/>
        <v/>
      </c>
      <c r="O556" s="47"/>
      <c r="P556" s="3" t="str">
        <f t="shared" si="152"/>
        <v/>
      </c>
      <c r="Q556" s="47"/>
      <c r="R556" s="3" t="str">
        <f t="shared" si="153"/>
        <v/>
      </c>
      <c r="S556" s="47"/>
      <c r="T556" s="1" t="str">
        <f t="shared" si="154"/>
        <v/>
      </c>
      <c r="U556" s="47"/>
      <c r="V556" s="1" t="str">
        <f t="shared" si="155"/>
        <v/>
      </c>
      <c r="W556" s="47"/>
      <c r="X556" s="1" t="str">
        <f t="shared" si="156"/>
        <v/>
      </c>
      <c r="Y556" s="47"/>
      <c r="Z556" s="1" t="str">
        <f t="shared" si="157"/>
        <v/>
      </c>
      <c r="AA556" s="47"/>
      <c r="AB556" s="1" t="str">
        <f t="shared" si="158"/>
        <v/>
      </c>
      <c r="AC556" s="47"/>
      <c r="AD556" s="1" t="str">
        <f t="shared" si="159"/>
        <v/>
      </c>
      <c r="AE556" s="47"/>
      <c r="AF556" s="1" t="str">
        <f t="shared" si="160"/>
        <v/>
      </c>
      <c r="AG556" s="47"/>
    </row>
    <row r="557" spans="1:33">
      <c r="A557">
        <f t="shared" si="144"/>
        <v>0</v>
      </c>
      <c r="B557" s="2" t="str">
        <f t="shared" si="161"/>
        <v/>
      </c>
      <c r="C557" s="4" t="str">
        <f t="shared" si="145"/>
        <v/>
      </c>
      <c r="D557" s="3" t="str">
        <f t="shared" si="146"/>
        <v/>
      </c>
      <c r="E557" s="47"/>
      <c r="F557" s="3" t="str">
        <f t="shared" si="147"/>
        <v/>
      </c>
      <c r="G557" s="47"/>
      <c r="H557" s="3" t="str">
        <f t="shared" si="148"/>
        <v/>
      </c>
      <c r="I557" s="47"/>
      <c r="J557" s="3" t="str">
        <f t="shared" si="149"/>
        <v/>
      </c>
      <c r="K557" s="47"/>
      <c r="L557" s="3" t="str">
        <f t="shared" si="150"/>
        <v/>
      </c>
      <c r="M557" s="47"/>
      <c r="N557" s="3" t="str">
        <f t="shared" si="151"/>
        <v/>
      </c>
      <c r="O557" s="47"/>
      <c r="P557" s="3" t="str">
        <f t="shared" si="152"/>
        <v/>
      </c>
      <c r="Q557" s="47"/>
      <c r="R557" s="3" t="str">
        <f t="shared" si="153"/>
        <v/>
      </c>
      <c r="S557" s="47"/>
      <c r="T557" s="1" t="str">
        <f t="shared" si="154"/>
        <v/>
      </c>
      <c r="U557" s="47"/>
      <c r="V557" s="1" t="str">
        <f t="shared" si="155"/>
        <v/>
      </c>
      <c r="W557" s="47"/>
      <c r="X557" s="1" t="str">
        <f t="shared" si="156"/>
        <v/>
      </c>
      <c r="Y557" s="47"/>
      <c r="Z557" s="1" t="str">
        <f t="shared" si="157"/>
        <v/>
      </c>
      <c r="AA557" s="47"/>
      <c r="AB557" s="1" t="str">
        <f t="shared" si="158"/>
        <v/>
      </c>
      <c r="AC557" s="47"/>
      <c r="AD557" s="1" t="str">
        <f t="shared" si="159"/>
        <v/>
      </c>
      <c r="AE557" s="47"/>
      <c r="AF557" s="1" t="str">
        <f t="shared" si="160"/>
        <v/>
      </c>
      <c r="AG557" s="47"/>
    </row>
    <row r="558" spans="1:33">
      <c r="A558">
        <f t="shared" si="144"/>
        <v>0</v>
      </c>
      <c r="B558" s="2" t="str">
        <f t="shared" si="161"/>
        <v/>
      </c>
      <c r="C558" s="4" t="str">
        <f t="shared" si="145"/>
        <v/>
      </c>
      <c r="D558" s="3" t="str">
        <f t="shared" si="146"/>
        <v/>
      </c>
      <c r="E558" s="47"/>
      <c r="F558" s="3" t="str">
        <f t="shared" si="147"/>
        <v/>
      </c>
      <c r="G558" s="47"/>
      <c r="H558" s="3" t="str">
        <f t="shared" si="148"/>
        <v/>
      </c>
      <c r="I558" s="47"/>
      <c r="J558" s="3" t="str">
        <f t="shared" si="149"/>
        <v/>
      </c>
      <c r="K558" s="47"/>
      <c r="L558" s="3" t="str">
        <f t="shared" si="150"/>
        <v/>
      </c>
      <c r="M558" s="47"/>
      <c r="N558" s="3" t="str">
        <f t="shared" si="151"/>
        <v/>
      </c>
      <c r="O558" s="47"/>
      <c r="P558" s="3" t="str">
        <f t="shared" si="152"/>
        <v/>
      </c>
      <c r="Q558" s="47"/>
      <c r="R558" s="3" t="str">
        <f t="shared" si="153"/>
        <v/>
      </c>
      <c r="S558" s="47"/>
      <c r="T558" s="1" t="str">
        <f t="shared" si="154"/>
        <v/>
      </c>
      <c r="U558" s="47"/>
      <c r="V558" s="1" t="str">
        <f t="shared" si="155"/>
        <v/>
      </c>
      <c r="W558" s="47"/>
      <c r="X558" s="1" t="str">
        <f t="shared" si="156"/>
        <v/>
      </c>
      <c r="Y558" s="47"/>
      <c r="Z558" s="1" t="str">
        <f t="shared" si="157"/>
        <v/>
      </c>
      <c r="AA558" s="47"/>
      <c r="AB558" s="1" t="str">
        <f t="shared" si="158"/>
        <v/>
      </c>
      <c r="AC558" s="47"/>
      <c r="AD558" s="1" t="str">
        <f t="shared" si="159"/>
        <v/>
      </c>
      <c r="AE558" s="47"/>
      <c r="AF558" s="1" t="str">
        <f t="shared" si="160"/>
        <v/>
      </c>
      <c r="AG558" s="47"/>
    </row>
    <row r="559" spans="1:33">
      <c r="A559">
        <f t="shared" si="144"/>
        <v>0</v>
      </c>
      <c r="B559" s="2" t="str">
        <f t="shared" si="161"/>
        <v/>
      </c>
      <c r="C559" s="4" t="str">
        <f t="shared" si="145"/>
        <v/>
      </c>
      <c r="D559" s="3" t="str">
        <f t="shared" si="146"/>
        <v/>
      </c>
      <c r="E559" s="47"/>
      <c r="F559" s="3" t="str">
        <f t="shared" si="147"/>
        <v/>
      </c>
      <c r="G559" s="47"/>
      <c r="H559" s="3" t="str">
        <f t="shared" si="148"/>
        <v/>
      </c>
      <c r="I559" s="47"/>
      <c r="J559" s="3" t="str">
        <f t="shared" si="149"/>
        <v/>
      </c>
      <c r="K559" s="47"/>
      <c r="L559" s="3" t="str">
        <f t="shared" si="150"/>
        <v/>
      </c>
      <c r="M559" s="47"/>
      <c r="N559" s="3" t="str">
        <f t="shared" si="151"/>
        <v/>
      </c>
      <c r="O559" s="47"/>
      <c r="P559" s="3" t="str">
        <f t="shared" si="152"/>
        <v/>
      </c>
      <c r="Q559" s="47"/>
      <c r="R559" s="3" t="str">
        <f t="shared" si="153"/>
        <v/>
      </c>
      <c r="S559" s="47"/>
      <c r="T559" s="1" t="str">
        <f t="shared" si="154"/>
        <v/>
      </c>
      <c r="U559" s="47"/>
      <c r="V559" s="1" t="str">
        <f t="shared" si="155"/>
        <v/>
      </c>
      <c r="W559" s="47"/>
      <c r="X559" s="1" t="str">
        <f t="shared" si="156"/>
        <v/>
      </c>
      <c r="Y559" s="47"/>
      <c r="Z559" s="1" t="str">
        <f t="shared" si="157"/>
        <v/>
      </c>
      <c r="AA559" s="47"/>
      <c r="AB559" s="1" t="str">
        <f t="shared" si="158"/>
        <v/>
      </c>
      <c r="AC559" s="47"/>
      <c r="AD559" s="1" t="str">
        <f t="shared" si="159"/>
        <v/>
      </c>
      <c r="AE559" s="47"/>
      <c r="AF559" s="1" t="str">
        <f t="shared" si="160"/>
        <v/>
      </c>
      <c r="AG559" s="47"/>
    </row>
    <row r="560" spans="1:33">
      <c r="A560">
        <f t="shared" si="144"/>
        <v>0</v>
      </c>
      <c r="B560" s="2" t="str">
        <f t="shared" si="161"/>
        <v/>
      </c>
      <c r="C560" s="4" t="str">
        <f t="shared" si="145"/>
        <v/>
      </c>
      <c r="D560" s="3" t="str">
        <f t="shared" si="146"/>
        <v/>
      </c>
      <c r="E560" s="47"/>
      <c r="F560" s="3" t="str">
        <f t="shared" si="147"/>
        <v/>
      </c>
      <c r="G560" s="47"/>
      <c r="H560" s="3" t="str">
        <f t="shared" si="148"/>
        <v/>
      </c>
      <c r="I560" s="47"/>
      <c r="J560" s="3" t="str">
        <f t="shared" si="149"/>
        <v/>
      </c>
      <c r="K560" s="47"/>
      <c r="L560" s="3" t="str">
        <f t="shared" si="150"/>
        <v/>
      </c>
      <c r="M560" s="47"/>
      <c r="N560" s="3" t="str">
        <f t="shared" si="151"/>
        <v/>
      </c>
      <c r="O560" s="47"/>
      <c r="P560" s="3" t="str">
        <f t="shared" si="152"/>
        <v/>
      </c>
      <c r="Q560" s="47"/>
      <c r="R560" s="3" t="str">
        <f t="shared" si="153"/>
        <v/>
      </c>
      <c r="S560" s="47"/>
      <c r="T560" s="1" t="str">
        <f t="shared" si="154"/>
        <v/>
      </c>
      <c r="U560" s="47"/>
      <c r="V560" s="1" t="str">
        <f t="shared" si="155"/>
        <v/>
      </c>
      <c r="W560" s="47"/>
      <c r="X560" s="1" t="str">
        <f t="shared" si="156"/>
        <v/>
      </c>
      <c r="Y560" s="47"/>
      <c r="Z560" s="1" t="str">
        <f t="shared" si="157"/>
        <v/>
      </c>
      <c r="AA560" s="47"/>
      <c r="AB560" s="1" t="str">
        <f t="shared" si="158"/>
        <v/>
      </c>
      <c r="AC560" s="47"/>
      <c r="AD560" s="1" t="str">
        <f t="shared" si="159"/>
        <v/>
      </c>
      <c r="AE560" s="47"/>
      <c r="AF560" s="1" t="str">
        <f t="shared" si="160"/>
        <v/>
      </c>
      <c r="AG560" s="47"/>
    </row>
    <row r="561" spans="1:33">
      <c r="A561">
        <f t="shared" si="144"/>
        <v>0</v>
      </c>
      <c r="B561" s="2" t="str">
        <f t="shared" si="161"/>
        <v/>
      </c>
      <c r="C561" s="4" t="str">
        <f t="shared" si="145"/>
        <v/>
      </c>
      <c r="D561" s="3" t="str">
        <f t="shared" si="146"/>
        <v/>
      </c>
      <c r="E561" s="47"/>
      <c r="F561" s="3" t="str">
        <f t="shared" si="147"/>
        <v/>
      </c>
      <c r="G561" s="47"/>
      <c r="H561" s="3" t="str">
        <f t="shared" si="148"/>
        <v/>
      </c>
      <c r="I561" s="47"/>
      <c r="J561" s="3" t="str">
        <f t="shared" si="149"/>
        <v/>
      </c>
      <c r="K561" s="47"/>
      <c r="L561" s="3" t="str">
        <f t="shared" si="150"/>
        <v/>
      </c>
      <c r="M561" s="47"/>
      <c r="N561" s="3" t="str">
        <f t="shared" si="151"/>
        <v/>
      </c>
      <c r="O561" s="47"/>
      <c r="P561" s="3" t="str">
        <f t="shared" si="152"/>
        <v/>
      </c>
      <c r="Q561" s="47"/>
      <c r="R561" s="3" t="str">
        <f t="shared" si="153"/>
        <v/>
      </c>
      <c r="S561" s="47"/>
      <c r="T561" s="1" t="str">
        <f t="shared" si="154"/>
        <v/>
      </c>
      <c r="U561" s="47"/>
      <c r="V561" s="1" t="str">
        <f t="shared" si="155"/>
        <v/>
      </c>
      <c r="W561" s="47"/>
      <c r="X561" s="1" t="str">
        <f t="shared" si="156"/>
        <v/>
      </c>
      <c r="Y561" s="47"/>
      <c r="Z561" s="1" t="str">
        <f t="shared" si="157"/>
        <v/>
      </c>
      <c r="AA561" s="47"/>
      <c r="AB561" s="1" t="str">
        <f t="shared" si="158"/>
        <v/>
      </c>
      <c r="AC561" s="47"/>
      <c r="AD561" s="1" t="str">
        <f t="shared" si="159"/>
        <v/>
      </c>
      <c r="AE561" s="47"/>
      <c r="AF561" s="1" t="str">
        <f t="shared" si="160"/>
        <v/>
      </c>
      <c r="AG561" s="47"/>
    </row>
    <row r="562" spans="1:33">
      <c r="A562">
        <f t="shared" si="144"/>
        <v>0</v>
      </c>
      <c r="B562" s="2" t="str">
        <f t="shared" si="161"/>
        <v/>
      </c>
      <c r="C562" s="4" t="str">
        <f t="shared" si="145"/>
        <v/>
      </c>
      <c r="D562" s="3" t="str">
        <f t="shared" si="146"/>
        <v/>
      </c>
      <c r="E562" s="47"/>
      <c r="F562" s="3" t="str">
        <f t="shared" si="147"/>
        <v/>
      </c>
      <c r="G562" s="47"/>
      <c r="H562" s="3" t="str">
        <f t="shared" si="148"/>
        <v/>
      </c>
      <c r="I562" s="47"/>
      <c r="J562" s="3" t="str">
        <f t="shared" si="149"/>
        <v/>
      </c>
      <c r="K562" s="47"/>
      <c r="L562" s="3" t="str">
        <f t="shared" si="150"/>
        <v/>
      </c>
      <c r="M562" s="47"/>
      <c r="N562" s="3" t="str">
        <f t="shared" si="151"/>
        <v/>
      </c>
      <c r="O562" s="47"/>
      <c r="P562" s="3" t="str">
        <f t="shared" si="152"/>
        <v/>
      </c>
      <c r="Q562" s="47"/>
      <c r="R562" s="3" t="str">
        <f t="shared" si="153"/>
        <v/>
      </c>
      <c r="S562" s="47"/>
      <c r="T562" s="1" t="str">
        <f t="shared" si="154"/>
        <v/>
      </c>
      <c r="U562" s="47"/>
      <c r="V562" s="1" t="str">
        <f t="shared" si="155"/>
        <v/>
      </c>
      <c r="W562" s="47"/>
      <c r="X562" s="1" t="str">
        <f t="shared" si="156"/>
        <v/>
      </c>
      <c r="Y562" s="47"/>
      <c r="Z562" s="1" t="str">
        <f t="shared" si="157"/>
        <v/>
      </c>
      <c r="AA562" s="47"/>
      <c r="AB562" s="1" t="str">
        <f t="shared" si="158"/>
        <v/>
      </c>
      <c r="AC562" s="47"/>
      <c r="AD562" s="1" t="str">
        <f t="shared" si="159"/>
        <v/>
      </c>
      <c r="AE562" s="47"/>
      <c r="AF562" s="1" t="str">
        <f t="shared" si="160"/>
        <v/>
      </c>
      <c r="AG562" s="47"/>
    </row>
    <row r="563" spans="1:33">
      <c r="A563">
        <f t="shared" si="144"/>
        <v>0</v>
      </c>
      <c r="B563" s="2" t="str">
        <f t="shared" si="161"/>
        <v/>
      </c>
      <c r="C563" s="4" t="str">
        <f t="shared" si="145"/>
        <v/>
      </c>
      <c r="D563" s="3" t="str">
        <f t="shared" si="146"/>
        <v/>
      </c>
      <c r="E563" s="47"/>
      <c r="F563" s="3" t="str">
        <f t="shared" si="147"/>
        <v/>
      </c>
      <c r="G563" s="47"/>
      <c r="H563" s="3" t="str">
        <f t="shared" si="148"/>
        <v/>
      </c>
      <c r="I563" s="47"/>
      <c r="J563" s="3" t="str">
        <f t="shared" si="149"/>
        <v/>
      </c>
      <c r="K563" s="47"/>
      <c r="L563" s="3" t="str">
        <f t="shared" si="150"/>
        <v/>
      </c>
      <c r="M563" s="47"/>
      <c r="N563" s="3" t="str">
        <f t="shared" si="151"/>
        <v/>
      </c>
      <c r="O563" s="47"/>
      <c r="P563" s="3" t="str">
        <f t="shared" si="152"/>
        <v/>
      </c>
      <c r="Q563" s="47"/>
      <c r="R563" s="3" t="str">
        <f t="shared" si="153"/>
        <v/>
      </c>
      <c r="S563" s="47"/>
      <c r="T563" s="1" t="str">
        <f t="shared" si="154"/>
        <v/>
      </c>
      <c r="U563" s="47"/>
      <c r="V563" s="1" t="str">
        <f t="shared" si="155"/>
        <v/>
      </c>
      <c r="W563" s="47"/>
      <c r="X563" s="1" t="str">
        <f t="shared" si="156"/>
        <v/>
      </c>
      <c r="Y563" s="47"/>
      <c r="Z563" s="1" t="str">
        <f t="shared" si="157"/>
        <v/>
      </c>
      <c r="AA563" s="47"/>
      <c r="AB563" s="1" t="str">
        <f t="shared" si="158"/>
        <v/>
      </c>
      <c r="AC563" s="47"/>
      <c r="AD563" s="1" t="str">
        <f t="shared" si="159"/>
        <v/>
      </c>
      <c r="AE563" s="47"/>
      <c r="AF563" s="1" t="str">
        <f t="shared" si="160"/>
        <v/>
      </c>
      <c r="AG563" s="47"/>
    </row>
    <row r="564" spans="1:33">
      <c r="A564">
        <f t="shared" si="144"/>
        <v>0</v>
      </c>
      <c r="B564" s="2" t="str">
        <f t="shared" si="161"/>
        <v/>
      </c>
      <c r="C564" s="4" t="str">
        <f t="shared" si="145"/>
        <v/>
      </c>
      <c r="D564" s="3" t="str">
        <f t="shared" si="146"/>
        <v/>
      </c>
      <c r="E564" s="47"/>
      <c r="F564" s="3" t="str">
        <f t="shared" si="147"/>
        <v/>
      </c>
      <c r="G564" s="47"/>
      <c r="H564" s="3" t="str">
        <f t="shared" si="148"/>
        <v/>
      </c>
      <c r="I564" s="47"/>
      <c r="J564" s="3" t="str">
        <f t="shared" si="149"/>
        <v/>
      </c>
      <c r="K564" s="47"/>
      <c r="L564" s="3" t="str">
        <f t="shared" si="150"/>
        <v/>
      </c>
      <c r="M564" s="47"/>
      <c r="N564" s="3" t="str">
        <f t="shared" si="151"/>
        <v/>
      </c>
      <c r="O564" s="47"/>
      <c r="P564" s="3" t="str">
        <f t="shared" si="152"/>
        <v/>
      </c>
      <c r="Q564" s="47"/>
      <c r="R564" s="3" t="str">
        <f t="shared" si="153"/>
        <v/>
      </c>
      <c r="S564" s="47"/>
      <c r="T564" s="1" t="str">
        <f t="shared" si="154"/>
        <v/>
      </c>
      <c r="U564" s="47"/>
      <c r="V564" s="1" t="str">
        <f t="shared" si="155"/>
        <v/>
      </c>
      <c r="W564" s="47"/>
      <c r="X564" s="1" t="str">
        <f t="shared" si="156"/>
        <v/>
      </c>
      <c r="Y564" s="47"/>
      <c r="Z564" s="1" t="str">
        <f t="shared" si="157"/>
        <v/>
      </c>
      <c r="AA564" s="47"/>
      <c r="AB564" s="1" t="str">
        <f t="shared" si="158"/>
        <v/>
      </c>
      <c r="AC564" s="47"/>
      <c r="AD564" s="1" t="str">
        <f t="shared" si="159"/>
        <v/>
      </c>
      <c r="AE564" s="47"/>
      <c r="AF564" s="1" t="str">
        <f t="shared" si="160"/>
        <v/>
      </c>
      <c r="AG564" s="47"/>
    </row>
    <row r="565" spans="1:33">
      <c r="A565">
        <f t="shared" si="144"/>
        <v>0</v>
      </c>
      <c r="B565" s="2" t="str">
        <f t="shared" si="161"/>
        <v/>
      </c>
      <c r="C565" s="4" t="str">
        <f t="shared" si="145"/>
        <v/>
      </c>
      <c r="D565" s="3" t="str">
        <f t="shared" si="146"/>
        <v/>
      </c>
      <c r="E565" s="47"/>
      <c r="F565" s="3" t="str">
        <f t="shared" si="147"/>
        <v/>
      </c>
      <c r="G565" s="47"/>
      <c r="H565" s="3" t="str">
        <f t="shared" si="148"/>
        <v/>
      </c>
      <c r="I565" s="47"/>
      <c r="J565" s="3" t="str">
        <f t="shared" si="149"/>
        <v/>
      </c>
      <c r="K565" s="47"/>
      <c r="L565" s="3" t="str">
        <f t="shared" si="150"/>
        <v/>
      </c>
      <c r="M565" s="47"/>
      <c r="N565" s="3" t="str">
        <f t="shared" si="151"/>
        <v/>
      </c>
      <c r="O565" s="47"/>
      <c r="P565" s="3" t="str">
        <f t="shared" si="152"/>
        <v/>
      </c>
      <c r="Q565" s="47"/>
      <c r="R565" s="3" t="str">
        <f t="shared" si="153"/>
        <v/>
      </c>
      <c r="S565" s="47"/>
      <c r="T565" s="1" t="str">
        <f t="shared" si="154"/>
        <v/>
      </c>
      <c r="U565" s="47"/>
      <c r="V565" s="1" t="str">
        <f t="shared" si="155"/>
        <v/>
      </c>
      <c r="W565" s="47"/>
      <c r="X565" s="1" t="str">
        <f t="shared" si="156"/>
        <v/>
      </c>
      <c r="Y565" s="47"/>
      <c r="Z565" s="1" t="str">
        <f t="shared" si="157"/>
        <v/>
      </c>
      <c r="AA565" s="47"/>
      <c r="AB565" s="1" t="str">
        <f t="shared" si="158"/>
        <v/>
      </c>
      <c r="AC565" s="47"/>
      <c r="AD565" s="1" t="str">
        <f t="shared" si="159"/>
        <v/>
      </c>
      <c r="AE565" s="47"/>
      <c r="AF565" s="1" t="str">
        <f t="shared" si="160"/>
        <v/>
      </c>
      <c r="AG565" s="47"/>
    </row>
    <row r="566" spans="1:33">
      <c r="A566">
        <f t="shared" si="144"/>
        <v>0</v>
      </c>
      <c r="B566" s="2" t="str">
        <f t="shared" si="161"/>
        <v/>
      </c>
      <c r="C566" s="4" t="str">
        <f t="shared" si="145"/>
        <v/>
      </c>
      <c r="D566" s="3" t="str">
        <f t="shared" si="146"/>
        <v/>
      </c>
      <c r="E566" s="47"/>
      <c r="F566" s="3" t="str">
        <f t="shared" si="147"/>
        <v/>
      </c>
      <c r="G566" s="47"/>
      <c r="H566" s="3" t="str">
        <f t="shared" si="148"/>
        <v/>
      </c>
      <c r="I566" s="47"/>
      <c r="J566" s="3" t="str">
        <f t="shared" si="149"/>
        <v/>
      </c>
      <c r="K566" s="47"/>
      <c r="L566" s="3" t="str">
        <f t="shared" si="150"/>
        <v/>
      </c>
      <c r="M566" s="47"/>
      <c r="N566" s="3" t="str">
        <f t="shared" si="151"/>
        <v/>
      </c>
      <c r="O566" s="47"/>
      <c r="P566" s="3" t="str">
        <f t="shared" si="152"/>
        <v/>
      </c>
      <c r="Q566" s="47"/>
      <c r="R566" s="3" t="str">
        <f t="shared" si="153"/>
        <v/>
      </c>
      <c r="S566" s="47"/>
      <c r="T566" s="1" t="str">
        <f t="shared" si="154"/>
        <v/>
      </c>
      <c r="U566" s="47"/>
      <c r="V566" s="1" t="str">
        <f t="shared" si="155"/>
        <v/>
      </c>
      <c r="W566" s="47"/>
      <c r="X566" s="1" t="str">
        <f t="shared" si="156"/>
        <v/>
      </c>
      <c r="Y566" s="47"/>
      <c r="Z566" s="1" t="str">
        <f t="shared" si="157"/>
        <v/>
      </c>
      <c r="AA566" s="47"/>
      <c r="AB566" s="1" t="str">
        <f t="shared" si="158"/>
        <v/>
      </c>
      <c r="AC566" s="47"/>
      <c r="AD566" s="1" t="str">
        <f t="shared" si="159"/>
        <v/>
      </c>
      <c r="AE566" s="47"/>
      <c r="AF566" s="1" t="str">
        <f t="shared" si="160"/>
        <v/>
      </c>
      <c r="AG566" s="47"/>
    </row>
    <row r="567" spans="1:33">
      <c r="A567">
        <f t="shared" si="144"/>
        <v>0</v>
      </c>
      <c r="B567" s="2" t="str">
        <f t="shared" si="161"/>
        <v/>
      </c>
      <c r="C567" s="4" t="str">
        <f t="shared" si="145"/>
        <v/>
      </c>
      <c r="D567" s="3" t="str">
        <f t="shared" si="146"/>
        <v/>
      </c>
      <c r="E567" s="47"/>
      <c r="F567" s="3" t="str">
        <f t="shared" si="147"/>
        <v/>
      </c>
      <c r="G567" s="47"/>
      <c r="H567" s="3" t="str">
        <f t="shared" si="148"/>
        <v/>
      </c>
      <c r="I567" s="47"/>
      <c r="J567" s="3" t="str">
        <f t="shared" si="149"/>
        <v/>
      </c>
      <c r="K567" s="47"/>
      <c r="L567" s="3" t="str">
        <f t="shared" si="150"/>
        <v/>
      </c>
      <c r="M567" s="47"/>
      <c r="N567" s="3" t="str">
        <f t="shared" si="151"/>
        <v/>
      </c>
      <c r="O567" s="47"/>
      <c r="P567" s="3" t="str">
        <f t="shared" si="152"/>
        <v/>
      </c>
      <c r="Q567" s="47"/>
      <c r="R567" s="3" t="str">
        <f t="shared" si="153"/>
        <v/>
      </c>
      <c r="S567" s="47"/>
      <c r="T567" s="1" t="str">
        <f t="shared" si="154"/>
        <v/>
      </c>
      <c r="U567" s="47"/>
      <c r="V567" s="1" t="str">
        <f t="shared" si="155"/>
        <v/>
      </c>
      <c r="W567" s="47"/>
      <c r="X567" s="1" t="str">
        <f t="shared" si="156"/>
        <v/>
      </c>
      <c r="Y567" s="47"/>
      <c r="Z567" s="1" t="str">
        <f t="shared" si="157"/>
        <v/>
      </c>
      <c r="AA567" s="47"/>
      <c r="AB567" s="1" t="str">
        <f t="shared" si="158"/>
        <v/>
      </c>
      <c r="AC567" s="47"/>
      <c r="AD567" s="1" t="str">
        <f t="shared" si="159"/>
        <v/>
      </c>
      <c r="AE567" s="47"/>
      <c r="AF567" s="1" t="str">
        <f t="shared" si="160"/>
        <v/>
      </c>
      <c r="AG567" s="47"/>
    </row>
    <row r="568" spans="1:33">
      <c r="A568">
        <f t="shared" si="144"/>
        <v>0</v>
      </c>
      <c r="B568" s="2" t="str">
        <f t="shared" si="161"/>
        <v/>
      </c>
      <c r="C568" s="4" t="str">
        <f t="shared" si="145"/>
        <v/>
      </c>
      <c r="D568" s="3" t="str">
        <f t="shared" si="146"/>
        <v/>
      </c>
      <c r="E568" s="47"/>
      <c r="F568" s="3" t="str">
        <f t="shared" si="147"/>
        <v/>
      </c>
      <c r="G568" s="47"/>
      <c r="H568" s="3" t="str">
        <f t="shared" si="148"/>
        <v/>
      </c>
      <c r="I568" s="47"/>
      <c r="J568" s="3" t="str">
        <f t="shared" si="149"/>
        <v/>
      </c>
      <c r="K568" s="47"/>
      <c r="L568" s="3" t="str">
        <f t="shared" si="150"/>
        <v/>
      </c>
      <c r="M568" s="47"/>
      <c r="N568" s="3" t="str">
        <f t="shared" si="151"/>
        <v/>
      </c>
      <c r="O568" s="47"/>
      <c r="P568" s="3" t="str">
        <f t="shared" si="152"/>
        <v/>
      </c>
      <c r="Q568" s="47"/>
      <c r="R568" s="3" t="str">
        <f t="shared" si="153"/>
        <v/>
      </c>
      <c r="S568" s="47"/>
      <c r="T568" s="1" t="str">
        <f t="shared" si="154"/>
        <v/>
      </c>
      <c r="U568" s="47"/>
      <c r="V568" s="1" t="str">
        <f t="shared" si="155"/>
        <v/>
      </c>
      <c r="W568" s="47"/>
      <c r="X568" s="1" t="str">
        <f t="shared" si="156"/>
        <v/>
      </c>
      <c r="Y568" s="47"/>
      <c r="Z568" s="1" t="str">
        <f t="shared" si="157"/>
        <v/>
      </c>
      <c r="AA568" s="47"/>
      <c r="AB568" s="1" t="str">
        <f t="shared" si="158"/>
        <v/>
      </c>
      <c r="AC568" s="47"/>
      <c r="AD568" s="1" t="str">
        <f t="shared" si="159"/>
        <v/>
      </c>
      <c r="AE568" s="47"/>
      <c r="AF568" s="1" t="str">
        <f t="shared" si="160"/>
        <v/>
      </c>
      <c r="AG568" s="47"/>
    </row>
    <row r="569" spans="1:33">
      <c r="A569">
        <f t="shared" si="144"/>
        <v>0</v>
      </c>
      <c r="B569" s="2" t="str">
        <f t="shared" si="161"/>
        <v/>
      </c>
      <c r="C569" s="4" t="str">
        <f t="shared" si="145"/>
        <v/>
      </c>
      <c r="D569" s="3" t="str">
        <f t="shared" si="146"/>
        <v/>
      </c>
      <c r="E569" s="47"/>
      <c r="F569" s="3" t="str">
        <f t="shared" si="147"/>
        <v/>
      </c>
      <c r="G569" s="47"/>
      <c r="H569" s="3" t="str">
        <f t="shared" si="148"/>
        <v/>
      </c>
      <c r="I569" s="47"/>
      <c r="J569" s="3" t="str">
        <f t="shared" si="149"/>
        <v/>
      </c>
      <c r="K569" s="47"/>
      <c r="L569" s="3" t="str">
        <f t="shared" si="150"/>
        <v/>
      </c>
      <c r="M569" s="47"/>
      <c r="N569" s="3" t="str">
        <f t="shared" si="151"/>
        <v/>
      </c>
      <c r="O569" s="47"/>
      <c r="P569" s="3" t="str">
        <f t="shared" si="152"/>
        <v/>
      </c>
      <c r="Q569" s="47"/>
      <c r="R569" s="3" t="str">
        <f t="shared" si="153"/>
        <v/>
      </c>
      <c r="S569" s="47"/>
      <c r="T569" s="1" t="str">
        <f t="shared" si="154"/>
        <v/>
      </c>
      <c r="U569" s="47"/>
      <c r="V569" s="1" t="str">
        <f t="shared" si="155"/>
        <v/>
      </c>
      <c r="W569" s="47"/>
      <c r="X569" s="1" t="str">
        <f t="shared" si="156"/>
        <v/>
      </c>
      <c r="Y569" s="47"/>
      <c r="Z569" s="1" t="str">
        <f t="shared" si="157"/>
        <v/>
      </c>
      <c r="AA569" s="47"/>
      <c r="AB569" s="1" t="str">
        <f t="shared" si="158"/>
        <v/>
      </c>
      <c r="AC569" s="47"/>
      <c r="AD569" s="1" t="str">
        <f t="shared" si="159"/>
        <v/>
      </c>
      <c r="AE569" s="47"/>
      <c r="AF569" s="1" t="str">
        <f t="shared" si="160"/>
        <v/>
      </c>
      <c r="AG569" s="47"/>
    </row>
    <row r="570" spans="1:33">
      <c r="A570">
        <f t="shared" si="144"/>
        <v>0</v>
      </c>
      <c r="B570" s="2" t="str">
        <f t="shared" si="161"/>
        <v/>
      </c>
      <c r="C570" s="4" t="str">
        <f t="shared" si="145"/>
        <v/>
      </c>
      <c r="D570" s="3" t="str">
        <f t="shared" si="146"/>
        <v/>
      </c>
      <c r="E570" s="47"/>
      <c r="F570" s="3" t="str">
        <f t="shared" si="147"/>
        <v/>
      </c>
      <c r="G570" s="47"/>
      <c r="H570" s="3" t="str">
        <f t="shared" si="148"/>
        <v/>
      </c>
      <c r="I570" s="47"/>
      <c r="J570" s="3" t="str">
        <f t="shared" si="149"/>
        <v/>
      </c>
      <c r="K570" s="47"/>
      <c r="L570" s="3" t="str">
        <f t="shared" si="150"/>
        <v/>
      </c>
      <c r="M570" s="47"/>
      <c r="N570" s="3" t="str">
        <f t="shared" si="151"/>
        <v/>
      </c>
      <c r="O570" s="47"/>
      <c r="P570" s="3" t="str">
        <f t="shared" si="152"/>
        <v/>
      </c>
      <c r="Q570" s="47"/>
      <c r="R570" s="3" t="str">
        <f t="shared" si="153"/>
        <v/>
      </c>
      <c r="S570" s="47"/>
      <c r="T570" s="1" t="str">
        <f t="shared" si="154"/>
        <v/>
      </c>
      <c r="U570" s="47"/>
      <c r="V570" s="1" t="str">
        <f t="shared" si="155"/>
        <v/>
      </c>
      <c r="W570" s="47"/>
      <c r="X570" s="1" t="str">
        <f t="shared" si="156"/>
        <v/>
      </c>
      <c r="Y570" s="47"/>
      <c r="Z570" s="1" t="str">
        <f t="shared" si="157"/>
        <v/>
      </c>
      <c r="AA570" s="47"/>
      <c r="AB570" s="1" t="str">
        <f t="shared" si="158"/>
        <v/>
      </c>
      <c r="AC570" s="47"/>
      <c r="AD570" s="1" t="str">
        <f t="shared" si="159"/>
        <v/>
      </c>
      <c r="AE570" s="47"/>
      <c r="AF570" s="1" t="str">
        <f t="shared" si="160"/>
        <v/>
      </c>
      <c r="AG570" s="47"/>
    </row>
    <row r="571" spans="1:33">
      <c r="A571">
        <f t="shared" si="144"/>
        <v>0</v>
      </c>
      <c r="B571" s="2" t="str">
        <f t="shared" si="161"/>
        <v/>
      </c>
      <c r="C571" s="4" t="str">
        <f t="shared" si="145"/>
        <v/>
      </c>
      <c r="D571" s="3" t="str">
        <f t="shared" si="146"/>
        <v/>
      </c>
      <c r="E571" s="47"/>
      <c r="F571" s="3" t="str">
        <f t="shared" si="147"/>
        <v/>
      </c>
      <c r="G571" s="47"/>
      <c r="H571" s="3" t="str">
        <f t="shared" si="148"/>
        <v/>
      </c>
      <c r="I571" s="47"/>
      <c r="J571" s="3" t="str">
        <f t="shared" si="149"/>
        <v/>
      </c>
      <c r="K571" s="47"/>
      <c r="L571" s="3" t="str">
        <f t="shared" si="150"/>
        <v/>
      </c>
      <c r="M571" s="47"/>
      <c r="N571" s="3" t="str">
        <f t="shared" si="151"/>
        <v/>
      </c>
      <c r="O571" s="47"/>
      <c r="P571" s="3" t="str">
        <f t="shared" si="152"/>
        <v/>
      </c>
      <c r="Q571" s="47"/>
      <c r="R571" s="3" t="str">
        <f t="shared" si="153"/>
        <v/>
      </c>
      <c r="S571" s="47"/>
      <c r="T571" s="1" t="str">
        <f t="shared" si="154"/>
        <v/>
      </c>
      <c r="U571" s="47"/>
      <c r="V571" s="1" t="str">
        <f t="shared" si="155"/>
        <v/>
      </c>
      <c r="W571" s="47"/>
      <c r="X571" s="1" t="str">
        <f t="shared" si="156"/>
        <v/>
      </c>
      <c r="Y571" s="47"/>
      <c r="Z571" s="1" t="str">
        <f t="shared" si="157"/>
        <v/>
      </c>
      <c r="AA571" s="47"/>
      <c r="AB571" s="1" t="str">
        <f t="shared" si="158"/>
        <v/>
      </c>
      <c r="AC571" s="47"/>
      <c r="AD571" s="1" t="str">
        <f t="shared" si="159"/>
        <v/>
      </c>
      <c r="AE571" s="47"/>
      <c r="AF571" s="1" t="str">
        <f t="shared" si="160"/>
        <v/>
      </c>
      <c r="AG571" s="47"/>
    </row>
    <row r="572" spans="1:33">
      <c r="A572">
        <f t="shared" si="144"/>
        <v>0</v>
      </c>
      <c r="B572" s="2" t="str">
        <f t="shared" si="161"/>
        <v/>
      </c>
      <c r="C572" s="4" t="str">
        <f t="shared" si="145"/>
        <v/>
      </c>
      <c r="D572" s="3" t="str">
        <f t="shared" si="146"/>
        <v/>
      </c>
      <c r="E572" s="47"/>
      <c r="F572" s="3" t="str">
        <f t="shared" si="147"/>
        <v/>
      </c>
      <c r="G572" s="47"/>
      <c r="H572" s="3" t="str">
        <f t="shared" si="148"/>
        <v/>
      </c>
      <c r="I572" s="47"/>
      <c r="J572" s="3" t="str">
        <f t="shared" si="149"/>
        <v/>
      </c>
      <c r="K572" s="47"/>
      <c r="L572" s="3" t="str">
        <f t="shared" si="150"/>
        <v/>
      </c>
      <c r="M572" s="47"/>
      <c r="N572" s="3" t="str">
        <f t="shared" si="151"/>
        <v/>
      </c>
      <c r="O572" s="47"/>
      <c r="P572" s="3" t="str">
        <f t="shared" si="152"/>
        <v/>
      </c>
      <c r="Q572" s="47"/>
      <c r="R572" s="3" t="str">
        <f t="shared" si="153"/>
        <v/>
      </c>
      <c r="S572" s="47"/>
      <c r="T572" s="1" t="str">
        <f t="shared" si="154"/>
        <v/>
      </c>
      <c r="U572" s="47"/>
      <c r="V572" s="1" t="str">
        <f t="shared" si="155"/>
        <v/>
      </c>
      <c r="W572" s="47"/>
      <c r="X572" s="1" t="str">
        <f t="shared" si="156"/>
        <v/>
      </c>
      <c r="Y572" s="47"/>
      <c r="Z572" s="1" t="str">
        <f t="shared" si="157"/>
        <v/>
      </c>
      <c r="AA572" s="47"/>
      <c r="AB572" s="1" t="str">
        <f t="shared" si="158"/>
        <v/>
      </c>
      <c r="AC572" s="47"/>
      <c r="AD572" s="1" t="str">
        <f t="shared" si="159"/>
        <v/>
      </c>
      <c r="AE572" s="47"/>
      <c r="AF572" s="1" t="str">
        <f t="shared" si="160"/>
        <v/>
      </c>
      <c r="AG572" s="47"/>
    </row>
    <row r="573" spans="1:33">
      <c r="A573">
        <f t="shared" si="144"/>
        <v>0</v>
      </c>
      <c r="B573" s="2" t="str">
        <f t="shared" si="161"/>
        <v/>
      </c>
      <c r="C573" s="4" t="str">
        <f t="shared" si="145"/>
        <v/>
      </c>
      <c r="D573" s="3" t="str">
        <f t="shared" si="146"/>
        <v/>
      </c>
      <c r="E573" s="47"/>
      <c r="F573" s="3" t="str">
        <f t="shared" si="147"/>
        <v/>
      </c>
      <c r="G573" s="47"/>
      <c r="H573" s="3" t="str">
        <f t="shared" si="148"/>
        <v/>
      </c>
      <c r="I573" s="47"/>
      <c r="J573" s="3" t="str">
        <f t="shared" si="149"/>
        <v/>
      </c>
      <c r="K573" s="47"/>
      <c r="L573" s="3" t="str">
        <f t="shared" si="150"/>
        <v/>
      </c>
      <c r="M573" s="47"/>
      <c r="N573" s="3" t="str">
        <f t="shared" si="151"/>
        <v/>
      </c>
      <c r="O573" s="47"/>
      <c r="P573" s="3" t="str">
        <f t="shared" si="152"/>
        <v/>
      </c>
      <c r="Q573" s="47"/>
      <c r="R573" s="3" t="str">
        <f t="shared" si="153"/>
        <v/>
      </c>
      <c r="S573" s="47"/>
      <c r="T573" s="1" t="str">
        <f t="shared" si="154"/>
        <v/>
      </c>
      <c r="U573" s="47"/>
      <c r="V573" s="1" t="str">
        <f t="shared" si="155"/>
        <v/>
      </c>
      <c r="W573" s="47"/>
      <c r="X573" s="1" t="str">
        <f t="shared" si="156"/>
        <v/>
      </c>
      <c r="Y573" s="47"/>
      <c r="Z573" s="1" t="str">
        <f t="shared" si="157"/>
        <v/>
      </c>
      <c r="AA573" s="47"/>
      <c r="AB573" s="1" t="str">
        <f t="shared" si="158"/>
        <v/>
      </c>
      <c r="AC573" s="47"/>
      <c r="AD573" s="1" t="str">
        <f t="shared" si="159"/>
        <v/>
      </c>
      <c r="AE573" s="47"/>
      <c r="AF573" s="1" t="str">
        <f t="shared" si="160"/>
        <v/>
      </c>
      <c r="AG573" s="47"/>
    </row>
    <row r="574" spans="1:33">
      <c r="A574">
        <f t="shared" si="144"/>
        <v>0</v>
      </c>
      <c r="B574" s="2" t="str">
        <f t="shared" si="161"/>
        <v/>
      </c>
      <c r="C574" s="4" t="str">
        <f t="shared" si="145"/>
        <v/>
      </c>
      <c r="D574" s="3" t="str">
        <f t="shared" si="146"/>
        <v/>
      </c>
      <c r="E574" s="47"/>
      <c r="F574" s="3" t="str">
        <f t="shared" si="147"/>
        <v/>
      </c>
      <c r="G574" s="47"/>
      <c r="H574" s="3" t="str">
        <f t="shared" si="148"/>
        <v/>
      </c>
      <c r="I574" s="47"/>
      <c r="J574" s="3" t="str">
        <f t="shared" si="149"/>
        <v/>
      </c>
      <c r="K574" s="47"/>
      <c r="L574" s="3" t="str">
        <f t="shared" si="150"/>
        <v/>
      </c>
      <c r="M574" s="47"/>
      <c r="N574" s="3" t="str">
        <f t="shared" si="151"/>
        <v/>
      </c>
      <c r="O574" s="47"/>
      <c r="P574" s="3" t="str">
        <f t="shared" si="152"/>
        <v/>
      </c>
      <c r="Q574" s="47"/>
      <c r="R574" s="3" t="str">
        <f t="shared" si="153"/>
        <v/>
      </c>
      <c r="S574" s="47"/>
      <c r="T574" s="1" t="str">
        <f t="shared" si="154"/>
        <v/>
      </c>
      <c r="U574" s="47"/>
      <c r="V574" s="1" t="str">
        <f t="shared" si="155"/>
        <v/>
      </c>
      <c r="W574" s="47"/>
      <c r="X574" s="1" t="str">
        <f t="shared" si="156"/>
        <v/>
      </c>
      <c r="Y574" s="47"/>
      <c r="Z574" s="1" t="str">
        <f t="shared" si="157"/>
        <v/>
      </c>
      <c r="AA574" s="47"/>
      <c r="AB574" s="1" t="str">
        <f t="shared" si="158"/>
        <v/>
      </c>
      <c r="AC574" s="47"/>
      <c r="AD574" s="1" t="str">
        <f t="shared" si="159"/>
        <v/>
      </c>
      <c r="AE574" s="47"/>
      <c r="AF574" s="1" t="str">
        <f t="shared" si="160"/>
        <v/>
      </c>
      <c r="AG574" s="47"/>
    </row>
    <row r="575" spans="1:33">
      <c r="A575">
        <f t="shared" si="144"/>
        <v>0</v>
      </c>
      <c r="B575" s="2" t="str">
        <f t="shared" si="161"/>
        <v/>
      </c>
      <c r="C575" s="4" t="str">
        <f t="shared" si="145"/>
        <v/>
      </c>
      <c r="D575" s="3" t="str">
        <f t="shared" si="146"/>
        <v/>
      </c>
      <c r="E575" s="47"/>
      <c r="F575" s="3" t="str">
        <f t="shared" si="147"/>
        <v/>
      </c>
      <c r="G575" s="47"/>
      <c r="H575" s="3" t="str">
        <f t="shared" si="148"/>
        <v/>
      </c>
      <c r="I575" s="47"/>
      <c r="J575" s="3" t="str">
        <f t="shared" si="149"/>
        <v/>
      </c>
      <c r="K575" s="47"/>
      <c r="L575" s="3" t="str">
        <f t="shared" si="150"/>
        <v/>
      </c>
      <c r="M575" s="47"/>
      <c r="N575" s="3" t="str">
        <f t="shared" si="151"/>
        <v/>
      </c>
      <c r="O575" s="47"/>
      <c r="P575" s="3" t="str">
        <f t="shared" si="152"/>
        <v/>
      </c>
      <c r="Q575" s="47"/>
      <c r="R575" s="3" t="str">
        <f t="shared" si="153"/>
        <v/>
      </c>
      <c r="S575" s="47"/>
      <c r="T575" s="1" t="str">
        <f t="shared" si="154"/>
        <v/>
      </c>
      <c r="U575" s="47"/>
      <c r="V575" s="1" t="str">
        <f t="shared" si="155"/>
        <v/>
      </c>
      <c r="W575" s="47"/>
      <c r="X575" s="1" t="str">
        <f t="shared" si="156"/>
        <v/>
      </c>
      <c r="Y575" s="47"/>
      <c r="Z575" s="1" t="str">
        <f t="shared" si="157"/>
        <v/>
      </c>
      <c r="AA575" s="47"/>
      <c r="AB575" s="1" t="str">
        <f t="shared" si="158"/>
        <v/>
      </c>
      <c r="AC575" s="47"/>
      <c r="AD575" s="1" t="str">
        <f t="shared" si="159"/>
        <v/>
      </c>
      <c r="AE575" s="47"/>
      <c r="AF575" s="1" t="str">
        <f t="shared" si="160"/>
        <v/>
      </c>
      <c r="AG575" s="47"/>
    </row>
    <row r="576" spans="1:33">
      <c r="A576">
        <f t="shared" si="144"/>
        <v>0</v>
      </c>
      <c r="B576" s="2" t="str">
        <f t="shared" si="161"/>
        <v/>
      </c>
      <c r="C576" s="4" t="str">
        <f t="shared" si="145"/>
        <v/>
      </c>
      <c r="D576" s="3" t="str">
        <f t="shared" si="146"/>
        <v/>
      </c>
      <c r="E576" s="47"/>
      <c r="F576" s="3" t="str">
        <f t="shared" si="147"/>
        <v/>
      </c>
      <c r="G576" s="47"/>
      <c r="H576" s="3" t="str">
        <f t="shared" si="148"/>
        <v/>
      </c>
      <c r="I576" s="47"/>
      <c r="J576" s="3" t="str">
        <f t="shared" si="149"/>
        <v/>
      </c>
      <c r="K576" s="47"/>
      <c r="L576" s="3" t="str">
        <f t="shared" si="150"/>
        <v/>
      </c>
      <c r="M576" s="47"/>
      <c r="N576" s="3" t="str">
        <f t="shared" si="151"/>
        <v/>
      </c>
      <c r="O576" s="47"/>
      <c r="P576" s="3" t="str">
        <f t="shared" si="152"/>
        <v/>
      </c>
      <c r="Q576" s="47"/>
      <c r="R576" s="3" t="str">
        <f t="shared" si="153"/>
        <v/>
      </c>
      <c r="S576" s="47"/>
      <c r="T576" s="1" t="str">
        <f t="shared" si="154"/>
        <v/>
      </c>
      <c r="U576" s="47"/>
      <c r="V576" s="1" t="str">
        <f t="shared" si="155"/>
        <v/>
      </c>
      <c r="W576" s="47"/>
      <c r="X576" s="1" t="str">
        <f t="shared" si="156"/>
        <v/>
      </c>
      <c r="Y576" s="47"/>
      <c r="Z576" s="1" t="str">
        <f t="shared" si="157"/>
        <v/>
      </c>
      <c r="AA576" s="47"/>
      <c r="AB576" s="1" t="str">
        <f t="shared" si="158"/>
        <v/>
      </c>
      <c r="AC576" s="47"/>
      <c r="AD576" s="1" t="str">
        <f t="shared" si="159"/>
        <v/>
      </c>
      <c r="AE576" s="47"/>
      <c r="AF576" s="1" t="str">
        <f t="shared" si="160"/>
        <v/>
      </c>
      <c r="AG576" s="47"/>
    </row>
    <row r="577" spans="1:33">
      <c r="A577">
        <f t="shared" si="144"/>
        <v>0</v>
      </c>
      <c r="B577" s="2" t="str">
        <f t="shared" si="161"/>
        <v/>
      </c>
      <c r="C577" s="4" t="str">
        <f t="shared" si="145"/>
        <v/>
      </c>
      <c r="D577" s="3" t="str">
        <f t="shared" si="146"/>
        <v/>
      </c>
      <c r="E577" s="47"/>
      <c r="F577" s="3" t="str">
        <f t="shared" si="147"/>
        <v/>
      </c>
      <c r="G577" s="47"/>
      <c r="H577" s="3" t="str">
        <f t="shared" si="148"/>
        <v/>
      </c>
      <c r="I577" s="47"/>
      <c r="J577" s="3" t="str">
        <f t="shared" si="149"/>
        <v/>
      </c>
      <c r="K577" s="47"/>
      <c r="L577" s="3" t="str">
        <f t="shared" si="150"/>
        <v/>
      </c>
      <c r="M577" s="47"/>
      <c r="N577" s="3" t="str">
        <f t="shared" si="151"/>
        <v/>
      </c>
      <c r="O577" s="47"/>
      <c r="P577" s="3" t="str">
        <f t="shared" si="152"/>
        <v/>
      </c>
      <c r="Q577" s="47"/>
      <c r="R577" s="3" t="str">
        <f t="shared" si="153"/>
        <v/>
      </c>
      <c r="S577" s="47"/>
      <c r="T577" s="1" t="str">
        <f t="shared" si="154"/>
        <v/>
      </c>
      <c r="U577" s="47"/>
      <c r="V577" s="1" t="str">
        <f t="shared" si="155"/>
        <v/>
      </c>
      <c r="W577" s="47"/>
      <c r="X577" s="1" t="str">
        <f t="shared" si="156"/>
        <v/>
      </c>
      <c r="Y577" s="47"/>
      <c r="Z577" s="1" t="str">
        <f t="shared" si="157"/>
        <v/>
      </c>
      <c r="AA577" s="47"/>
      <c r="AB577" s="1" t="str">
        <f t="shared" si="158"/>
        <v/>
      </c>
      <c r="AC577" s="47"/>
      <c r="AD577" s="1" t="str">
        <f t="shared" si="159"/>
        <v/>
      </c>
      <c r="AE577" s="47"/>
      <c r="AF577" s="1" t="str">
        <f t="shared" si="160"/>
        <v/>
      </c>
      <c r="AG577" s="47"/>
    </row>
    <row r="578" spans="1:33">
      <c r="A578">
        <f t="shared" si="144"/>
        <v>0</v>
      </c>
      <c r="B578" s="2" t="str">
        <f t="shared" si="161"/>
        <v/>
      </c>
      <c r="C578" s="4" t="str">
        <f t="shared" si="145"/>
        <v/>
      </c>
      <c r="D578" s="3" t="str">
        <f t="shared" si="146"/>
        <v/>
      </c>
      <c r="E578" s="47"/>
      <c r="F578" s="3" t="str">
        <f t="shared" si="147"/>
        <v/>
      </c>
      <c r="G578" s="47"/>
      <c r="H578" s="3" t="str">
        <f t="shared" si="148"/>
        <v/>
      </c>
      <c r="I578" s="47"/>
      <c r="J578" s="3" t="str">
        <f t="shared" si="149"/>
        <v/>
      </c>
      <c r="K578" s="47"/>
      <c r="L578" s="3" t="str">
        <f t="shared" si="150"/>
        <v/>
      </c>
      <c r="M578" s="47"/>
      <c r="N578" s="3" t="str">
        <f t="shared" si="151"/>
        <v/>
      </c>
      <c r="O578" s="47"/>
      <c r="P578" s="3" t="str">
        <f t="shared" si="152"/>
        <v/>
      </c>
      <c r="Q578" s="47"/>
      <c r="R578" s="3" t="str">
        <f t="shared" si="153"/>
        <v/>
      </c>
      <c r="S578" s="47"/>
      <c r="T578" s="1" t="str">
        <f t="shared" si="154"/>
        <v/>
      </c>
      <c r="U578" s="47"/>
      <c r="V578" s="1" t="str">
        <f t="shared" si="155"/>
        <v/>
      </c>
      <c r="W578" s="47"/>
      <c r="X578" s="1" t="str">
        <f t="shared" si="156"/>
        <v/>
      </c>
      <c r="Y578" s="47"/>
      <c r="Z578" s="1" t="str">
        <f t="shared" si="157"/>
        <v/>
      </c>
      <c r="AA578" s="47"/>
      <c r="AB578" s="1" t="str">
        <f t="shared" si="158"/>
        <v/>
      </c>
      <c r="AC578" s="47"/>
      <c r="AD578" s="1" t="str">
        <f t="shared" si="159"/>
        <v/>
      </c>
      <c r="AE578" s="47"/>
      <c r="AF578" s="1" t="str">
        <f t="shared" si="160"/>
        <v/>
      </c>
      <c r="AG578" s="47"/>
    </row>
    <row r="579" spans="1:33">
      <c r="A579">
        <f t="shared" si="144"/>
        <v>0</v>
      </c>
      <c r="B579" s="2" t="str">
        <f t="shared" si="161"/>
        <v/>
      </c>
      <c r="C579" s="4" t="str">
        <f t="shared" si="145"/>
        <v/>
      </c>
      <c r="D579" s="3" t="str">
        <f t="shared" si="146"/>
        <v/>
      </c>
      <c r="E579" s="47"/>
      <c r="F579" s="3" t="str">
        <f t="shared" si="147"/>
        <v/>
      </c>
      <c r="G579" s="47"/>
      <c r="H579" s="3" t="str">
        <f t="shared" si="148"/>
        <v/>
      </c>
      <c r="I579" s="47"/>
      <c r="J579" s="3" t="str">
        <f t="shared" si="149"/>
        <v/>
      </c>
      <c r="K579" s="47"/>
      <c r="L579" s="3" t="str">
        <f t="shared" si="150"/>
        <v/>
      </c>
      <c r="M579" s="47"/>
      <c r="N579" s="3" t="str">
        <f t="shared" si="151"/>
        <v/>
      </c>
      <c r="O579" s="47"/>
      <c r="P579" s="3" t="str">
        <f t="shared" si="152"/>
        <v/>
      </c>
      <c r="Q579" s="47"/>
      <c r="R579" s="3" t="str">
        <f t="shared" si="153"/>
        <v/>
      </c>
      <c r="S579" s="47"/>
      <c r="T579" s="1" t="str">
        <f t="shared" si="154"/>
        <v/>
      </c>
      <c r="U579" s="47"/>
      <c r="V579" s="1" t="str">
        <f t="shared" si="155"/>
        <v/>
      </c>
      <c r="W579" s="47"/>
      <c r="X579" s="1" t="str">
        <f t="shared" si="156"/>
        <v/>
      </c>
      <c r="Y579" s="47"/>
      <c r="Z579" s="1" t="str">
        <f t="shared" si="157"/>
        <v/>
      </c>
      <c r="AA579" s="47"/>
      <c r="AB579" s="1" t="str">
        <f t="shared" si="158"/>
        <v/>
      </c>
      <c r="AC579" s="47"/>
      <c r="AD579" s="1" t="str">
        <f t="shared" si="159"/>
        <v/>
      </c>
      <c r="AE579" s="47"/>
      <c r="AF579" s="1" t="str">
        <f t="shared" si="160"/>
        <v/>
      </c>
      <c r="AG579" s="47"/>
    </row>
    <row r="580" spans="1:33">
      <c r="A580">
        <f t="shared" si="144"/>
        <v>0</v>
      </c>
      <c r="B580" s="2" t="str">
        <f t="shared" si="161"/>
        <v/>
      </c>
      <c r="C580" s="4" t="str">
        <f t="shared" si="145"/>
        <v/>
      </c>
      <c r="D580" s="3" t="str">
        <f t="shared" si="146"/>
        <v/>
      </c>
      <c r="E580" s="47"/>
      <c r="F580" s="3" t="str">
        <f t="shared" si="147"/>
        <v/>
      </c>
      <c r="G580" s="47"/>
      <c r="H580" s="3" t="str">
        <f t="shared" si="148"/>
        <v/>
      </c>
      <c r="I580" s="47"/>
      <c r="J580" s="3" t="str">
        <f t="shared" si="149"/>
        <v/>
      </c>
      <c r="K580" s="47"/>
      <c r="L580" s="3" t="str">
        <f t="shared" si="150"/>
        <v/>
      </c>
      <c r="M580" s="47"/>
      <c r="N580" s="3" t="str">
        <f t="shared" si="151"/>
        <v/>
      </c>
      <c r="O580" s="47"/>
      <c r="P580" s="3" t="str">
        <f t="shared" si="152"/>
        <v/>
      </c>
      <c r="Q580" s="47"/>
      <c r="R580" s="3" t="str">
        <f t="shared" si="153"/>
        <v/>
      </c>
      <c r="S580" s="47"/>
      <c r="T580" s="1" t="str">
        <f t="shared" si="154"/>
        <v/>
      </c>
      <c r="U580" s="47"/>
      <c r="V580" s="1" t="str">
        <f t="shared" si="155"/>
        <v/>
      </c>
      <c r="W580" s="47"/>
      <c r="X580" s="1" t="str">
        <f t="shared" si="156"/>
        <v/>
      </c>
      <c r="Y580" s="47"/>
      <c r="Z580" s="1" t="str">
        <f t="shared" si="157"/>
        <v/>
      </c>
      <c r="AA580" s="47"/>
      <c r="AB580" s="1" t="str">
        <f t="shared" si="158"/>
        <v/>
      </c>
      <c r="AC580" s="47"/>
      <c r="AD580" s="1" t="str">
        <f t="shared" si="159"/>
        <v/>
      </c>
      <c r="AE580" s="47"/>
      <c r="AF580" s="1" t="str">
        <f t="shared" si="160"/>
        <v/>
      </c>
      <c r="AG580" s="47"/>
    </row>
    <row r="581" spans="1:33">
      <c r="A581">
        <f t="shared" si="144"/>
        <v>0</v>
      </c>
      <c r="B581" s="2" t="str">
        <f t="shared" si="161"/>
        <v/>
      </c>
      <c r="C581" s="4" t="str">
        <f t="shared" si="145"/>
        <v/>
      </c>
      <c r="D581" s="3" t="str">
        <f t="shared" si="146"/>
        <v/>
      </c>
      <c r="E581" s="47"/>
      <c r="F581" s="3" t="str">
        <f t="shared" si="147"/>
        <v/>
      </c>
      <c r="G581" s="47"/>
      <c r="H581" s="3" t="str">
        <f t="shared" si="148"/>
        <v/>
      </c>
      <c r="I581" s="47"/>
      <c r="J581" s="3" t="str">
        <f t="shared" si="149"/>
        <v/>
      </c>
      <c r="K581" s="47"/>
      <c r="L581" s="3" t="str">
        <f t="shared" si="150"/>
        <v/>
      </c>
      <c r="M581" s="47"/>
      <c r="N581" s="3" t="str">
        <f t="shared" si="151"/>
        <v/>
      </c>
      <c r="O581" s="47"/>
      <c r="P581" s="3" t="str">
        <f t="shared" si="152"/>
        <v/>
      </c>
      <c r="Q581" s="47"/>
      <c r="R581" s="3" t="str">
        <f t="shared" si="153"/>
        <v/>
      </c>
      <c r="S581" s="47"/>
      <c r="T581" s="1" t="str">
        <f t="shared" si="154"/>
        <v/>
      </c>
      <c r="U581" s="47"/>
      <c r="V581" s="1" t="str">
        <f t="shared" si="155"/>
        <v/>
      </c>
      <c r="W581" s="47"/>
      <c r="X581" s="1" t="str">
        <f t="shared" si="156"/>
        <v/>
      </c>
      <c r="Y581" s="47"/>
      <c r="Z581" s="1" t="str">
        <f t="shared" si="157"/>
        <v/>
      </c>
      <c r="AA581" s="47"/>
      <c r="AB581" s="1" t="str">
        <f t="shared" si="158"/>
        <v/>
      </c>
      <c r="AC581" s="47"/>
      <c r="AD581" s="1" t="str">
        <f t="shared" si="159"/>
        <v/>
      </c>
      <c r="AE581" s="47"/>
      <c r="AF581" s="1" t="str">
        <f t="shared" si="160"/>
        <v/>
      </c>
      <c r="AG581" s="47"/>
    </row>
    <row r="582" spans="1:33">
      <c r="A582">
        <f t="shared" si="144"/>
        <v>0</v>
      </c>
      <c r="B582" s="2" t="str">
        <f t="shared" si="161"/>
        <v/>
      </c>
      <c r="C582" s="4" t="str">
        <f t="shared" si="145"/>
        <v/>
      </c>
      <c r="D582" s="3" t="str">
        <f t="shared" si="146"/>
        <v/>
      </c>
      <c r="E582" s="47"/>
      <c r="F582" s="3" t="str">
        <f t="shared" si="147"/>
        <v/>
      </c>
      <c r="G582" s="47"/>
      <c r="H582" s="3" t="str">
        <f t="shared" si="148"/>
        <v/>
      </c>
      <c r="I582" s="47"/>
      <c r="J582" s="3" t="str">
        <f t="shared" si="149"/>
        <v/>
      </c>
      <c r="K582" s="47"/>
      <c r="L582" s="3" t="str">
        <f t="shared" si="150"/>
        <v/>
      </c>
      <c r="M582" s="47"/>
      <c r="N582" s="3" t="str">
        <f t="shared" si="151"/>
        <v/>
      </c>
      <c r="O582" s="47"/>
      <c r="P582" s="3" t="str">
        <f t="shared" si="152"/>
        <v/>
      </c>
      <c r="Q582" s="47"/>
      <c r="R582" s="3" t="str">
        <f t="shared" si="153"/>
        <v/>
      </c>
      <c r="S582" s="47"/>
      <c r="T582" s="1" t="str">
        <f t="shared" si="154"/>
        <v/>
      </c>
      <c r="U582" s="47"/>
      <c r="V582" s="1" t="str">
        <f t="shared" si="155"/>
        <v/>
      </c>
      <c r="W582" s="47"/>
      <c r="X582" s="1" t="str">
        <f t="shared" si="156"/>
        <v/>
      </c>
      <c r="Y582" s="47"/>
      <c r="Z582" s="1" t="str">
        <f t="shared" si="157"/>
        <v/>
      </c>
      <c r="AA582" s="47"/>
      <c r="AB582" s="1" t="str">
        <f t="shared" si="158"/>
        <v/>
      </c>
      <c r="AC582" s="47"/>
      <c r="AD582" s="1" t="str">
        <f t="shared" si="159"/>
        <v/>
      </c>
      <c r="AE582" s="47"/>
      <c r="AF582" s="1" t="str">
        <f t="shared" si="160"/>
        <v/>
      </c>
      <c r="AG582" s="47"/>
    </row>
    <row r="583" spans="1:33">
      <c r="A583">
        <f t="shared" ref="A583:A646" si="162">$C$1</f>
        <v>0</v>
      </c>
      <c r="B583" s="2" t="str">
        <f t="shared" si="161"/>
        <v/>
      </c>
      <c r="C583" s="4" t="str">
        <f t="shared" si="145"/>
        <v/>
      </c>
      <c r="D583" s="3" t="str">
        <f t="shared" si="146"/>
        <v/>
      </c>
      <c r="E583" s="47"/>
      <c r="F583" s="3" t="str">
        <f t="shared" si="147"/>
        <v/>
      </c>
      <c r="G583" s="47"/>
      <c r="H583" s="3" t="str">
        <f t="shared" si="148"/>
        <v/>
      </c>
      <c r="I583" s="47"/>
      <c r="J583" s="3" t="str">
        <f t="shared" si="149"/>
        <v/>
      </c>
      <c r="K583" s="47"/>
      <c r="L583" s="3" t="str">
        <f t="shared" si="150"/>
        <v/>
      </c>
      <c r="M583" s="47"/>
      <c r="N583" s="3" t="str">
        <f t="shared" si="151"/>
        <v/>
      </c>
      <c r="O583" s="47"/>
      <c r="P583" s="3" t="str">
        <f t="shared" si="152"/>
        <v/>
      </c>
      <c r="Q583" s="47"/>
      <c r="R583" s="3" t="str">
        <f t="shared" si="153"/>
        <v/>
      </c>
      <c r="S583" s="47"/>
      <c r="T583" s="1" t="str">
        <f t="shared" si="154"/>
        <v/>
      </c>
      <c r="U583" s="47"/>
      <c r="V583" s="1" t="str">
        <f t="shared" si="155"/>
        <v/>
      </c>
      <c r="W583" s="47"/>
      <c r="X583" s="1" t="str">
        <f t="shared" si="156"/>
        <v/>
      </c>
      <c r="Y583" s="47"/>
      <c r="Z583" s="1" t="str">
        <f t="shared" si="157"/>
        <v/>
      </c>
      <c r="AA583" s="47"/>
      <c r="AB583" s="1" t="str">
        <f t="shared" si="158"/>
        <v/>
      </c>
      <c r="AC583" s="47"/>
      <c r="AD583" s="1" t="str">
        <f t="shared" si="159"/>
        <v/>
      </c>
      <c r="AE583" s="47"/>
      <c r="AF583" s="1" t="str">
        <f t="shared" si="160"/>
        <v/>
      </c>
      <c r="AG583" s="47"/>
    </row>
    <row r="584" spans="1:33">
      <c r="A584">
        <f t="shared" si="162"/>
        <v>0</v>
      </c>
      <c r="B584" s="2" t="str">
        <f t="shared" si="161"/>
        <v/>
      </c>
      <c r="C584" s="4" t="str">
        <f t="shared" ref="C584:C647" si="163">TEXT(B584,"AAA")</f>
        <v/>
      </c>
      <c r="D584" s="3" t="str">
        <f t="shared" ref="D584:D647" si="164">IF(NOT(AND($F$3&lt;=B584,B584&lt;=$F$4)),"",$F$2&amp;"")</f>
        <v/>
      </c>
      <c r="E584" s="47"/>
      <c r="F584" s="3" t="str">
        <f t="shared" ref="F584:F647" si="165">IF(NOT(AND($G$3&lt;=B584,B584&lt;=$G$4)),"",$G$2&amp;"")</f>
        <v/>
      </c>
      <c r="G584" s="47"/>
      <c r="H584" s="3" t="str">
        <f t="shared" ref="H584:H647" si="166">IF(NOT(AND($H$3&lt;=B584,B584&lt;=$H$4)),"",$H$2&amp;"")</f>
        <v/>
      </c>
      <c r="I584" s="47"/>
      <c r="J584" s="3" t="str">
        <f t="shared" ref="J584:J647" si="167">IF(NOT(AND($I$3&lt;=B584,B584&lt;=$I$4)),"",$I$2&amp;"")</f>
        <v/>
      </c>
      <c r="K584" s="47"/>
      <c r="L584" s="3" t="str">
        <f t="shared" ref="L584:L647" si="168">IF(NOT(AND($J$3&lt;=B584,B584&lt;=$J$4)),"",$J$2&amp;"")</f>
        <v/>
      </c>
      <c r="M584" s="47"/>
      <c r="N584" s="3" t="str">
        <f t="shared" ref="N584:N647" si="169">IF(NOT(AND($K$3&lt;=B584,B584&lt;=$K$4)),"",$K$2&amp;"")</f>
        <v/>
      </c>
      <c r="O584" s="47"/>
      <c r="P584" s="3" t="str">
        <f t="shared" ref="P584:P647" si="170">IF(NOT(AND($L$3&lt;=B584,B584&lt;=$L$4)),"",$L$2&amp;"")</f>
        <v/>
      </c>
      <c r="Q584" s="47"/>
      <c r="R584" s="3" t="str">
        <f t="shared" ref="R584:R647" si="171">IF(NOT(AND($M$3&lt;=B584,B584&lt;=$M$4)),"",$M$2&amp;"")</f>
        <v/>
      </c>
      <c r="S584" s="47"/>
      <c r="T584" s="1" t="str">
        <f t="shared" ref="T584:T647" si="172">IF(NOT(AND($N$3&lt;=B584,B584&lt;=$N$4)),"",$N$2&amp;"")</f>
        <v/>
      </c>
      <c r="U584" s="47"/>
      <c r="V584" s="1" t="str">
        <f t="shared" ref="V584:V647" si="173">IF(NOT(AND($O$3&lt;=B584,B584&lt;=$O$4)),"",$O$2&amp;"")</f>
        <v/>
      </c>
      <c r="W584" s="47"/>
      <c r="X584" s="1" t="str">
        <f t="shared" ref="X584:X647" si="174">IF(NOT(AND($P$3&lt;=B584,B584&lt;=$P$4)),"",$P$2&amp;"")</f>
        <v/>
      </c>
      <c r="Y584" s="47"/>
      <c r="Z584" s="1" t="str">
        <f t="shared" ref="Z584:Z647" si="175">IF(NOT(AND($Q$3&lt;=B584,B584&lt;=$Q$4)),"",$Q$2&amp;"")</f>
        <v/>
      </c>
      <c r="AA584" s="47"/>
      <c r="AB584" s="1" t="str">
        <f t="shared" ref="AB584:AB647" si="176">IF(NOT(AND($R$3&lt;=B584,B584&lt;=$R$4)),"",$R$2&amp;"")</f>
        <v/>
      </c>
      <c r="AC584" s="47"/>
      <c r="AD584" s="1" t="str">
        <f t="shared" ref="AD584:AD647" si="177">IF(NOT(AND($S$3&lt;=B584,B584&lt;=$S$4)),"",$S$2&amp;"")</f>
        <v/>
      </c>
      <c r="AE584" s="47"/>
      <c r="AF584" s="1" t="str">
        <f t="shared" ref="AF584:AF647" si="178">IF(NOT(AND($T$3&lt;=B584,B584&lt;=$T$4)),"",$T$2&amp;"")</f>
        <v/>
      </c>
      <c r="AG584" s="47"/>
    </row>
    <row r="585" spans="1:33">
      <c r="A585">
        <f t="shared" si="162"/>
        <v>0</v>
      </c>
      <c r="B585" s="2" t="str">
        <f t="shared" ref="B585:B648" si="179">IFERROR(IF(B584+1&gt;$C$3,"",B584+1),"")</f>
        <v/>
      </c>
      <c r="C585" s="4" t="str">
        <f t="shared" si="163"/>
        <v/>
      </c>
      <c r="D585" s="3" t="str">
        <f t="shared" si="164"/>
        <v/>
      </c>
      <c r="E585" s="47"/>
      <c r="F585" s="3" t="str">
        <f t="shared" si="165"/>
        <v/>
      </c>
      <c r="G585" s="47"/>
      <c r="H585" s="3" t="str">
        <f t="shared" si="166"/>
        <v/>
      </c>
      <c r="I585" s="47"/>
      <c r="J585" s="3" t="str">
        <f t="shared" si="167"/>
        <v/>
      </c>
      <c r="K585" s="47"/>
      <c r="L585" s="3" t="str">
        <f t="shared" si="168"/>
        <v/>
      </c>
      <c r="M585" s="47"/>
      <c r="N585" s="3" t="str">
        <f t="shared" si="169"/>
        <v/>
      </c>
      <c r="O585" s="47"/>
      <c r="P585" s="3" t="str">
        <f t="shared" si="170"/>
        <v/>
      </c>
      <c r="Q585" s="47"/>
      <c r="R585" s="3" t="str">
        <f t="shared" si="171"/>
        <v/>
      </c>
      <c r="S585" s="47"/>
      <c r="T585" s="1" t="str">
        <f t="shared" si="172"/>
        <v/>
      </c>
      <c r="U585" s="47"/>
      <c r="V585" s="1" t="str">
        <f t="shared" si="173"/>
        <v/>
      </c>
      <c r="W585" s="47"/>
      <c r="X585" s="1" t="str">
        <f t="shared" si="174"/>
        <v/>
      </c>
      <c r="Y585" s="47"/>
      <c r="Z585" s="1" t="str">
        <f t="shared" si="175"/>
        <v/>
      </c>
      <c r="AA585" s="47"/>
      <c r="AB585" s="1" t="str">
        <f t="shared" si="176"/>
        <v/>
      </c>
      <c r="AC585" s="47"/>
      <c r="AD585" s="1" t="str">
        <f t="shared" si="177"/>
        <v/>
      </c>
      <c r="AE585" s="47"/>
      <c r="AF585" s="1" t="str">
        <f t="shared" si="178"/>
        <v/>
      </c>
      <c r="AG585" s="47"/>
    </row>
    <row r="586" spans="1:33">
      <c r="A586">
        <f t="shared" si="162"/>
        <v>0</v>
      </c>
      <c r="B586" s="2" t="str">
        <f t="shared" si="179"/>
        <v/>
      </c>
      <c r="C586" s="4" t="str">
        <f t="shared" si="163"/>
        <v/>
      </c>
      <c r="D586" s="3" t="str">
        <f t="shared" si="164"/>
        <v/>
      </c>
      <c r="E586" s="47"/>
      <c r="F586" s="3" t="str">
        <f t="shared" si="165"/>
        <v/>
      </c>
      <c r="G586" s="47"/>
      <c r="H586" s="3" t="str">
        <f t="shared" si="166"/>
        <v/>
      </c>
      <c r="I586" s="47"/>
      <c r="J586" s="3" t="str">
        <f t="shared" si="167"/>
        <v/>
      </c>
      <c r="K586" s="47"/>
      <c r="L586" s="3" t="str">
        <f t="shared" si="168"/>
        <v/>
      </c>
      <c r="M586" s="47"/>
      <c r="N586" s="3" t="str">
        <f t="shared" si="169"/>
        <v/>
      </c>
      <c r="O586" s="47"/>
      <c r="P586" s="3" t="str">
        <f t="shared" si="170"/>
        <v/>
      </c>
      <c r="Q586" s="47"/>
      <c r="R586" s="3" t="str">
        <f t="shared" si="171"/>
        <v/>
      </c>
      <c r="S586" s="47"/>
      <c r="T586" s="1" t="str">
        <f t="shared" si="172"/>
        <v/>
      </c>
      <c r="U586" s="47"/>
      <c r="V586" s="1" t="str">
        <f t="shared" si="173"/>
        <v/>
      </c>
      <c r="W586" s="47"/>
      <c r="X586" s="1" t="str">
        <f t="shared" si="174"/>
        <v/>
      </c>
      <c r="Y586" s="47"/>
      <c r="Z586" s="1" t="str">
        <f t="shared" si="175"/>
        <v/>
      </c>
      <c r="AA586" s="47"/>
      <c r="AB586" s="1" t="str">
        <f t="shared" si="176"/>
        <v/>
      </c>
      <c r="AC586" s="47"/>
      <c r="AD586" s="1" t="str">
        <f t="shared" si="177"/>
        <v/>
      </c>
      <c r="AE586" s="47"/>
      <c r="AF586" s="1" t="str">
        <f t="shared" si="178"/>
        <v/>
      </c>
      <c r="AG586" s="47"/>
    </row>
    <row r="587" spans="1:33">
      <c r="A587">
        <f t="shared" si="162"/>
        <v>0</v>
      </c>
      <c r="B587" s="2" t="str">
        <f t="shared" si="179"/>
        <v/>
      </c>
      <c r="C587" s="4" t="str">
        <f t="shared" si="163"/>
        <v/>
      </c>
      <c r="D587" s="3" t="str">
        <f t="shared" si="164"/>
        <v/>
      </c>
      <c r="E587" s="47"/>
      <c r="F587" s="3" t="str">
        <f t="shared" si="165"/>
        <v/>
      </c>
      <c r="G587" s="47"/>
      <c r="H587" s="3" t="str">
        <f t="shared" si="166"/>
        <v/>
      </c>
      <c r="I587" s="47"/>
      <c r="J587" s="3" t="str">
        <f t="shared" si="167"/>
        <v/>
      </c>
      <c r="K587" s="47"/>
      <c r="L587" s="3" t="str">
        <f t="shared" si="168"/>
        <v/>
      </c>
      <c r="M587" s="47"/>
      <c r="N587" s="3" t="str">
        <f t="shared" si="169"/>
        <v/>
      </c>
      <c r="O587" s="47"/>
      <c r="P587" s="3" t="str">
        <f t="shared" si="170"/>
        <v/>
      </c>
      <c r="Q587" s="47"/>
      <c r="R587" s="3" t="str">
        <f t="shared" si="171"/>
        <v/>
      </c>
      <c r="S587" s="47"/>
      <c r="T587" s="1" t="str">
        <f t="shared" si="172"/>
        <v/>
      </c>
      <c r="U587" s="47"/>
      <c r="V587" s="1" t="str">
        <f t="shared" si="173"/>
        <v/>
      </c>
      <c r="W587" s="47"/>
      <c r="X587" s="1" t="str">
        <f t="shared" si="174"/>
        <v/>
      </c>
      <c r="Y587" s="47"/>
      <c r="Z587" s="1" t="str">
        <f t="shared" si="175"/>
        <v/>
      </c>
      <c r="AA587" s="47"/>
      <c r="AB587" s="1" t="str">
        <f t="shared" si="176"/>
        <v/>
      </c>
      <c r="AC587" s="47"/>
      <c r="AD587" s="1" t="str">
        <f t="shared" si="177"/>
        <v/>
      </c>
      <c r="AE587" s="47"/>
      <c r="AF587" s="1" t="str">
        <f t="shared" si="178"/>
        <v/>
      </c>
      <c r="AG587" s="47"/>
    </row>
    <row r="588" spans="1:33">
      <c r="A588">
        <f t="shared" si="162"/>
        <v>0</v>
      </c>
      <c r="B588" s="2" t="str">
        <f t="shared" si="179"/>
        <v/>
      </c>
      <c r="C588" s="4" t="str">
        <f t="shared" si="163"/>
        <v/>
      </c>
      <c r="D588" s="3" t="str">
        <f t="shared" si="164"/>
        <v/>
      </c>
      <c r="E588" s="47"/>
      <c r="F588" s="3" t="str">
        <f t="shared" si="165"/>
        <v/>
      </c>
      <c r="G588" s="47"/>
      <c r="H588" s="3" t="str">
        <f t="shared" si="166"/>
        <v/>
      </c>
      <c r="I588" s="47"/>
      <c r="J588" s="3" t="str">
        <f t="shared" si="167"/>
        <v/>
      </c>
      <c r="K588" s="47"/>
      <c r="L588" s="3" t="str">
        <f t="shared" si="168"/>
        <v/>
      </c>
      <c r="M588" s="47"/>
      <c r="N588" s="3" t="str">
        <f t="shared" si="169"/>
        <v/>
      </c>
      <c r="O588" s="47"/>
      <c r="P588" s="3" t="str">
        <f t="shared" si="170"/>
        <v/>
      </c>
      <c r="Q588" s="47"/>
      <c r="R588" s="3" t="str">
        <f t="shared" si="171"/>
        <v/>
      </c>
      <c r="S588" s="47"/>
      <c r="T588" s="1" t="str">
        <f t="shared" si="172"/>
        <v/>
      </c>
      <c r="U588" s="47"/>
      <c r="V588" s="1" t="str">
        <f t="shared" si="173"/>
        <v/>
      </c>
      <c r="W588" s="47"/>
      <c r="X588" s="1" t="str">
        <f t="shared" si="174"/>
        <v/>
      </c>
      <c r="Y588" s="47"/>
      <c r="Z588" s="1" t="str">
        <f t="shared" si="175"/>
        <v/>
      </c>
      <c r="AA588" s="47"/>
      <c r="AB588" s="1" t="str">
        <f t="shared" si="176"/>
        <v/>
      </c>
      <c r="AC588" s="47"/>
      <c r="AD588" s="1" t="str">
        <f t="shared" si="177"/>
        <v/>
      </c>
      <c r="AE588" s="47"/>
      <c r="AF588" s="1" t="str">
        <f t="shared" si="178"/>
        <v/>
      </c>
      <c r="AG588" s="47"/>
    </row>
    <row r="589" spans="1:33">
      <c r="A589">
        <f t="shared" si="162"/>
        <v>0</v>
      </c>
      <c r="B589" s="2" t="str">
        <f t="shared" si="179"/>
        <v/>
      </c>
      <c r="C589" s="4" t="str">
        <f t="shared" si="163"/>
        <v/>
      </c>
      <c r="D589" s="3" t="str">
        <f t="shared" si="164"/>
        <v/>
      </c>
      <c r="E589" s="47"/>
      <c r="F589" s="3" t="str">
        <f t="shared" si="165"/>
        <v/>
      </c>
      <c r="G589" s="47"/>
      <c r="H589" s="3" t="str">
        <f t="shared" si="166"/>
        <v/>
      </c>
      <c r="I589" s="47"/>
      <c r="J589" s="3" t="str">
        <f t="shared" si="167"/>
        <v/>
      </c>
      <c r="K589" s="47"/>
      <c r="L589" s="3" t="str">
        <f t="shared" si="168"/>
        <v/>
      </c>
      <c r="M589" s="47"/>
      <c r="N589" s="3" t="str">
        <f t="shared" si="169"/>
        <v/>
      </c>
      <c r="O589" s="47"/>
      <c r="P589" s="3" t="str">
        <f t="shared" si="170"/>
        <v/>
      </c>
      <c r="Q589" s="47"/>
      <c r="R589" s="3" t="str">
        <f t="shared" si="171"/>
        <v/>
      </c>
      <c r="S589" s="47"/>
      <c r="T589" s="1" t="str">
        <f t="shared" si="172"/>
        <v/>
      </c>
      <c r="U589" s="47"/>
      <c r="V589" s="1" t="str">
        <f t="shared" si="173"/>
        <v/>
      </c>
      <c r="W589" s="47"/>
      <c r="X589" s="1" t="str">
        <f t="shared" si="174"/>
        <v/>
      </c>
      <c r="Y589" s="47"/>
      <c r="Z589" s="1" t="str">
        <f t="shared" si="175"/>
        <v/>
      </c>
      <c r="AA589" s="47"/>
      <c r="AB589" s="1" t="str">
        <f t="shared" si="176"/>
        <v/>
      </c>
      <c r="AC589" s="47"/>
      <c r="AD589" s="1" t="str">
        <f t="shared" si="177"/>
        <v/>
      </c>
      <c r="AE589" s="47"/>
      <c r="AF589" s="1" t="str">
        <f t="shared" si="178"/>
        <v/>
      </c>
      <c r="AG589" s="47"/>
    </row>
    <row r="590" spans="1:33">
      <c r="A590">
        <f t="shared" si="162"/>
        <v>0</v>
      </c>
      <c r="B590" s="2" t="str">
        <f t="shared" si="179"/>
        <v/>
      </c>
      <c r="C590" s="4" t="str">
        <f t="shared" si="163"/>
        <v/>
      </c>
      <c r="D590" s="3" t="str">
        <f t="shared" si="164"/>
        <v/>
      </c>
      <c r="E590" s="47"/>
      <c r="F590" s="3" t="str">
        <f t="shared" si="165"/>
        <v/>
      </c>
      <c r="G590" s="47"/>
      <c r="H590" s="3" t="str">
        <f t="shared" si="166"/>
        <v/>
      </c>
      <c r="I590" s="47"/>
      <c r="J590" s="3" t="str">
        <f t="shared" si="167"/>
        <v/>
      </c>
      <c r="K590" s="47"/>
      <c r="L590" s="3" t="str">
        <f t="shared" si="168"/>
        <v/>
      </c>
      <c r="M590" s="47"/>
      <c r="N590" s="3" t="str">
        <f t="shared" si="169"/>
        <v/>
      </c>
      <c r="O590" s="47"/>
      <c r="P590" s="3" t="str">
        <f t="shared" si="170"/>
        <v/>
      </c>
      <c r="Q590" s="47"/>
      <c r="R590" s="3" t="str">
        <f t="shared" si="171"/>
        <v/>
      </c>
      <c r="S590" s="47"/>
      <c r="T590" s="1" t="str">
        <f t="shared" si="172"/>
        <v/>
      </c>
      <c r="U590" s="47"/>
      <c r="V590" s="1" t="str">
        <f t="shared" si="173"/>
        <v/>
      </c>
      <c r="W590" s="47"/>
      <c r="X590" s="1" t="str">
        <f t="shared" si="174"/>
        <v/>
      </c>
      <c r="Y590" s="47"/>
      <c r="Z590" s="1" t="str">
        <f t="shared" si="175"/>
        <v/>
      </c>
      <c r="AA590" s="47"/>
      <c r="AB590" s="1" t="str">
        <f t="shared" si="176"/>
        <v/>
      </c>
      <c r="AC590" s="47"/>
      <c r="AD590" s="1" t="str">
        <f t="shared" si="177"/>
        <v/>
      </c>
      <c r="AE590" s="47"/>
      <c r="AF590" s="1" t="str">
        <f t="shared" si="178"/>
        <v/>
      </c>
      <c r="AG590" s="47"/>
    </row>
    <row r="591" spans="1:33">
      <c r="A591">
        <f t="shared" si="162"/>
        <v>0</v>
      </c>
      <c r="B591" s="2" t="str">
        <f t="shared" si="179"/>
        <v/>
      </c>
      <c r="C591" s="4" t="str">
        <f t="shared" si="163"/>
        <v/>
      </c>
      <c r="D591" s="3" t="str">
        <f t="shared" si="164"/>
        <v/>
      </c>
      <c r="E591" s="47"/>
      <c r="F591" s="3" t="str">
        <f t="shared" si="165"/>
        <v/>
      </c>
      <c r="G591" s="47"/>
      <c r="H591" s="3" t="str">
        <f t="shared" si="166"/>
        <v/>
      </c>
      <c r="I591" s="47"/>
      <c r="J591" s="3" t="str">
        <f t="shared" si="167"/>
        <v/>
      </c>
      <c r="K591" s="47"/>
      <c r="L591" s="3" t="str">
        <f t="shared" si="168"/>
        <v/>
      </c>
      <c r="M591" s="47"/>
      <c r="N591" s="3" t="str">
        <f t="shared" si="169"/>
        <v/>
      </c>
      <c r="O591" s="47"/>
      <c r="P591" s="3" t="str">
        <f t="shared" si="170"/>
        <v/>
      </c>
      <c r="Q591" s="47"/>
      <c r="R591" s="3" t="str">
        <f t="shared" si="171"/>
        <v/>
      </c>
      <c r="S591" s="47"/>
      <c r="T591" s="1" t="str">
        <f t="shared" si="172"/>
        <v/>
      </c>
      <c r="U591" s="47"/>
      <c r="V591" s="1" t="str">
        <f t="shared" si="173"/>
        <v/>
      </c>
      <c r="W591" s="47"/>
      <c r="X591" s="1" t="str">
        <f t="shared" si="174"/>
        <v/>
      </c>
      <c r="Y591" s="47"/>
      <c r="Z591" s="1" t="str">
        <f t="shared" si="175"/>
        <v/>
      </c>
      <c r="AA591" s="47"/>
      <c r="AB591" s="1" t="str">
        <f t="shared" si="176"/>
        <v/>
      </c>
      <c r="AC591" s="47"/>
      <c r="AD591" s="1" t="str">
        <f t="shared" si="177"/>
        <v/>
      </c>
      <c r="AE591" s="47"/>
      <c r="AF591" s="1" t="str">
        <f t="shared" si="178"/>
        <v/>
      </c>
      <c r="AG591" s="47"/>
    </row>
    <row r="592" spans="1:33">
      <c r="A592">
        <f t="shared" si="162"/>
        <v>0</v>
      </c>
      <c r="B592" s="2" t="str">
        <f t="shared" si="179"/>
        <v/>
      </c>
      <c r="C592" s="4" t="str">
        <f t="shared" si="163"/>
        <v/>
      </c>
      <c r="D592" s="3" t="str">
        <f t="shared" si="164"/>
        <v/>
      </c>
      <c r="E592" s="47"/>
      <c r="F592" s="3" t="str">
        <f t="shared" si="165"/>
        <v/>
      </c>
      <c r="G592" s="47"/>
      <c r="H592" s="3" t="str">
        <f t="shared" si="166"/>
        <v/>
      </c>
      <c r="I592" s="47"/>
      <c r="J592" s="3" t="str">
        <f t="shared" si="167"/>
        <v/>
      </c>
      <c r="K592" s="47"/>
      <c r="L592" s="3" t="str">
        <f t="shared" si="168"/>
        <v/>
      </c>
      <c r="M592" s="47"/>
      <c r="N592" s="3" t="str">
        <f t="shared" si="169"/>
        <v/>
      </c>
      <c r="O592" s="47"/>
      <c r="P592" s="3" t="str">
        <f t="shared" si="170"/>
        <v/>
      </c>
      <c r="Q592" s="47"/>
      <c r="R592" s="3" t="str">
        <f t="shared" si="171"/>
        <v/>
      </c>
      <c r="S592" s="47"/>
      <c r="T592" s="1" t="str">
        <f t="shared" si="172"/>
        <v/>
      </c>
      <c r="U592" s="47"/>
      <c r="V592" s="1" t="str">
        <f t="shared" si="173"/>
        <v/>
      </c>
      <c r="W592" s="47"/>
      <c r="X592" s="1" t="str">
        <f t="shared" si="174"/>
        <v/>
      </c>
      <c r="Y592" s="47"/>
      <c r="Z592" s="1" t="str">
        <f t="shared" si="175"/>
        <v/>
      </c>
      <c r="AA592" s="47"/>
      <c r="AB592" s="1" t="str">
        <f t="shared" si="176"/>
        <v/>
      </c>
      <c r="AC592" s="47"/>
      <c r="AD592" s="1" t="str">
        <f t="shared" si="177"/>
        <v/>
      </c>
      <c r="AE592" s="47"/>
      <c r="AF592" s="1" t="str">
        <f t="shared" si="178"/>
        <v/>
      </c>
      <c r="AG592" s="47"/>
    </row>
    <row r="593" spans="1:33">
      <c r="A593">
        <f t="shared" si="162"/>
        <v>0</v>
      </c>
      <c r="B593" s="2" t="str">
        <f t="shared" si="179"/>
        <v/>
      </c>
      <c r="C593" s="4" t="str">
        <f t="shared" si="163"/>
        <v/>
      </c>
      <c r="D593" s="3" t="str">
        <f t="shared" si="164"/>
        <v/>
      </c>
      <c r="E593" s="47"/>
      <c r="F593" s="3" t="str">
        <f t="shared" si="165"/>
        <v/>
      </c>
      <c r="G593" s="47"/>
      <c r="H593" s="3" t="str">
        <f t="shared" si="166"/>
        <v/>
      </c>
      <c r="I593" s="47"/>
      <c r="J593" s="3" t="str">
        <f t="shared" si="167"/>
        <v/>
      </c>
      <c r="K593" s="47"/>
      <c r="L593" s="3" t="str">
        <f t="shared" si="168"/>
        <v/>
      </c>
      <c r="M593" s="47"/>
      <c r="N593" s="3" t="str">
        <f t="shared" si="169"/>
        <v/>
      </c>
      <c r="O593" s="47"/>
      <c r="P593" s="3" t="str">
        <f t="shared" si="170"/>
        <v/>
      </c>
      <c r="Q593" s="47"/>
      <c r="R593" s="3" t="str">
        <f t="shared" si="171"/>
        <v/>
      </c>
      <c r="S593" s="47"/>
      <c r="T593" s="1" t="str">
        <f t="shared" si="172"/>
        <v/>
      </c>
      <c r="U593" s="47"/>
      <c r="V593" s="1" t="str">
        <f t="shared" si="173"/>
        <v/>
      </c>
      <c r="W593" s="47"/>
      <c r="X593" s="1" t="str">
        <f t="shared" si="174"/>
        <v/>
      </c>
      <c r="Y593" s="47"/>
      <c r="Z593" s="1" t="str">
        <f t="shared" si="175"/>
        <v/>
      </c>
      <c r="AA593" s="47"/>
      <c r="AB593" s="1" t="str">
        <f t="shared" si="176"/>
        <v/>
      </c>
      <c r="AC593" s="47"/>
      <c r="AD593" s="1" t="str">
        <f t="shared" si="177"/>
        <v/>
      </c>
      <c r="AE593" s="47"/>
      <c r="AF593" s="1" t="str">
        <f t="shared" si="178"/>
        <v/>
      </c>
      <c r="AG593" s="47"/>
    </row>
    <row r="594" spans="1:33">
      <c r="A594">
        <f t="shared" si="162"/>
        <v>0</v>
      </c>
      <c r="B594" s="2" t="str">
        <f t="shared" si="179"/>
        <v/>
      </c>
      <c r="C594" s="4" t="str">
        <f t="shared" si="163"/>
        <v/>
      </c>
      <c r="D594" s="3" t="str">
        <f t="shared" si="164"/>
        <v/>
      </c>
      <c r="E594" s="47"/>
      <c r="F594" s="3" t="str">
        <f t="shared" si="165"/>
        <v/>
      </c>
      <c r="G594" s="47"/>
      <c r="H594" s="3" t="str">
        <f t="shared" si="166"/>
        <v/>
      </c>
      <c r="I594" s="47"/>
      <c r="J594" s="3" t="str">
        <f t="shared" si="167"/>
        <v/>
      </c>
      <c r="K594" s="47"/>
      <c r="L594" s="3" t="str">
        <f t="shared" si="168"/>
        <v/>
      </c>
      <c r="M594" s="47"/>
      <c r="N594" s="3" t="str">
        <f t="shared" si="169"/>
        <v/>
      </c>
      <c r="O594" s="47"/>
      <c r="P594" s="3" t="str">
        <f t="shared" si="170"/>
        <v/>
      </c>
      <c r="Q594" s="47"/>
      <c r="R594" s="3" t="str">
        <f t="shared" si="171"/>
        <v/>
      </c>
      <c r="S594" s="47"/>
      <c r="T594" s="1" t="str">
        <f t="shared" si="172"/>
        <v/>
      </c>
      <c r="U594" s="47"/>
      <c r="V594" s="1" t="str">
        <f t="shared" si="173"/>
        <v/>
      </c>
      <c r="W594" s="47"/>
      <c r="X594" s="1" t="str">
        <f t="shared" si="174"/>
        <v/>
      </c>
      <c r="Y594" s="47"/>
      <c r="Z594" s="1" t="str">
        <f t="shared" si="175"/>
        <v/>
      </c>
      <c r="AA594" s="47"/>
      <c r="AB594" s="1" t="str">
        <f t="shared" si="176"/>
        <v/>
      </c>
      <c r="AC594" s="47"/>
      <c r="AD594" s="1" t="str">
        <f t="shared" si="177"/>
        <v/>
      </c>
      <c r="AE594" s="47"/>
      <c r="AF594" s="1" t="str">
        <f t="shared" si="178"/>
        <v/>
      </c>
      <c r="AG594" s="47"/>
    </row>
    <row r="595" spans="1:33">
      <c r="A595">
        <f t="shared" si="162"/>
        <v>0</v>
      </c>
      <c r="B595" s="2" t="str">
        <f t="shared" si="179"/>
        <v/>
      </c>
      <c r="C595" s="4" t="str">
        <f t="shared" si="163"/>
        <v/>
      </c>
      <c r="D595" s="3" t="str">
        <f t="shared" si="164"/>
        <v/>
      </c>
      <c r="E595" s="47"/>
      <c r="F595" s="3" t="str">
        <f t="shared" si="165"/>
        <v/>
      </c>
      <c r="G595" s="47"/>
      <c r="H595" s="3" t="str">
        <f t="shared" si="166"/>
        <v/>
      </c>
      <c r="I595" s="47"/>
      <c r="J595" s="3" t="str">
        <f t="shared" si="167"/>
        <v/>
      </c>
      <c r="K595" s="47"/>
      <c r="L595" s="3" t="str">
        <f t="shared" si="168"/>
        <v/>
      </c>
      <c r="M595" s="47"/>
      <c r="N595" s="3" t="str">
        <f t="shared" si="169"/>
        <v/>
      </c>
      <c r="O595" s="47"/>
      <c r="P595" s="3" t="str">
        <f t="shared" si="170"/>
        <v/>
      </c>
      <c r="Q595" s="47"/>
      <c r="R595" s="3" t="str">
        <f t="shared" si="171"/>
        <v/>
      </c>
      <c r="S595" s="47"/>
      <c r="T595" s="1" t="str">
        <f t="shared" si="172"/>
        <v/>
      </c>
      <c r="U595" s="47"/>
      <c r="V595" s="1" t="str">
        <f t="shared" si="173"/>
        <v/>
      </c>
      <c r="W595" s="47"/>
      <c r="X595" s="1" t="str">
        <f t="shared" si="174"/>
        <v/>
      </c>
      <c r="Y595" s="47"/>
      <c r="Z595" s="1" t="str">
        <f t="shared" si="175"/>
        <v/>
      </c>
      <c r="AA595" s="47"/>
      <c r="AB595" s="1" t="str">
        <f t="shared" si="176"/>
        <v/>
      </c>
      <c r="AC595" s="47"/>
      <c r="AD595" s="1" t="str">
        <f t="shared" si="177"/>
        <v/>
      </c>
      <c r="AE595" s="47"/>
      <c r="AF595" s="1" t="str">
        <f t="shared" si="178"/>
        <v/>
      </c>
      <c r="AG595" s="47"/>
    </row>
    <row r="596" spans="1:33">
      <c r="A596">
        <f t="shared" si="162"/>
        <v>0</v>
      </c>
      <c r="B596" s="2" t="str">
        <f t="shared" si="179"/>
        <v/>
      </c>
      <c r="C596" s="4" t="str">
        <f t="shared" si="163"/>
        <v/>
      </c>
      <c r="D596" s="3" t="str">
        <f t="shared" si="164"/>
        <v/>
      </c>
      <c r="E596" s="47"/>
      <c r="F596" s="3" t="str">
        <f t="shared" si="165"/>
        <v/>
      </c>
      <c r="G596" s="47"/>
      <c r="H596" s="3" t="str">
        <f t="shared" si="166"/>
        <v/>
      </c>
      <c r="I596" s="47"/>
      <c r="J596" s="3" t="str">
        <f t="shared" si="167"/>
        <v/>
      </c>
      <c r="K596" s="47"/>
      <c r="L596" s="3" t="str">
        <f t="shared" si="168"/>
        <v/>
      </c>
      <c r="M596" s="47"/>
      <c r="N596" s="3" t="str">
        <f t="shared" si="169"/>
        <v/>
      </c>
      <c r="O596" s="47"/>
      <c r="P596" s="3" t="str">
        <f t="shared" si="170"/>
        <v/>
      </c>
      <c r="Q596" s="47"/>
      <c r="R596" s="3" t="str">
        <f t="shared" si="171"/>
        <v/>
      </c>
      <c r="S596" s="47"/>
      <c r="T596" s="1" t="str">
        <f t="shared" si="172"/>
        <v/>
      </c>
      <c r="U596" s="47"/>
      <c r="V596" s="1" t="str">
        <f t="shared" si="173"/>
        <v/>
      </c>
      <c r="W596" s="47"/>
      <c r="X596" s="1" t="str">
        <f t="shared" si="174"/>
        <v/>
      </c>
      <c r="Y596" s="47"/>
      <c r="Z596" s="1" t="str">
        <f t="shared" si="175"/>
        <v/>
      </c>
      <c r="AA596" s="47"/>
      <c r="AB596" s="1" t="str">
        <f t="shared" si="176"/>
        <v/>
      </c>
      <c r="AC596" s="47"/>
      <c r="AD596" s="1" t="str">
        <f t="shared" si="177"/>
        <v/>
      </c>
      <c r="AE596" s="47"/>
      <c r="AF596" s="1" t="str">
        <f t="shared" si="178"/>
        <v/>
      </c>
      <c r="AG596" s="47"/>
    </row>
    <row r="597" spans="1:33">
      <c r="A597">
        <f t="shared" si="162"/>
        <v>0</v>
      </c>
      <c r="B597" s="2" t="str">
        <f t="shared" si="179"/>
        <v/>
      </c>
      <c r="C597" s="4" t="str">
        <f t="shared" si="163"/>
        <v/>
      </c>
      <c r="D597" s="3" t="str">
        <f t="shared" si="164"/>
        <v/>
      </c>
      <c r="E597" s="47"/>
      <c r="F597" s="3" t="str">
        <f t="shared" si="165"/>
        <v/>
      </c>
      <c r="G597" s="47"/>
      <c r="H597" s="3" t="str">
        <f t="shared" si="166"/>
        <v/>
      </c>
      <c r="I597" s="47"/>
      <c r="J597" s="3" t="str">
        <f t="shared" si="167"/>
        <v/>
      </c>
      <c r="K597" s="47"/>
      <c r="L597" s="3" t="str">
        <f t="shared" si="168"/>
        <v/>
      </c>
      <c r="M597" s="47"/>
      <c r="N597" s="3" t="str">
        <f t="shared" si="169"/>
        <v/>
      </c>
      <c r="O597" s="47"/>
      <c r="P597" s="3" t="str">
        <f t="shared" si="170"/>
        <v/>
      </c>
      <c r="Q597" s="47"/>
      <c r="R597" s="3" t="str">
        <f t="shared" si="171"/>
        <v/>
      </c>
      <c r="S597" s="47"/>
      <c r="T597" s="1" t="str">
        <f t="shared" si="172"/>
        <v/>
      </c>
      <c r="U597" s="47"/>
      <c r="V597" s="1" t="str">
        <f t="shared" si="173"/>
        <v/>
      </c>
      <c r="W597" s="47"/>
      <c r="X597" s="1" t="str">
        <f t="shared" si="174"/>
        <v/>
      </c>
      <c r="Y597" s="47"/>
      <c r="Z597" s="1" t="str">
        <f t="shared" si="175"/>
        <v/>
      </c>
      <c r="AA597" s="47"/>
      <c r="AB597" s="1" t="str">
        <f t="shared" si="176"/>
        <v/>
      </c>
      <c r="AC597" s="47"/>
      <c r="AD597" s="1" t="str">
        <f t="shared" si="177"/>
        <v/>
      </c>
      <c r="AE597" s="47"/>
      <c r="AF597" s="1" t="str">
        <f t="shared" si="178"/>
        <v/>
      </c>
      <c r="AG597" s="47"/>
    </row>
    <row r="598" spans="1:33">
      <c r="A598">
        <f t="shared" si="162"/>
        <v>0</v>
      </c>
      <c r="B598" s="2" t="str">
        <f t="shared" si="179"/>
        <v/>
      </c>
      <c r="C598" s="4" t="str">
        <f t="shared" si="163"/>
        <v/>
      </c>
      <c r="D598" s="3" t="str">
        <f t="shared" si="164"/>
        <v/>
      </c>
      <c r="E598" s="47"/>
      <c r="F598" s="3" t="str">
        <f t="shared" si="165"/>
        <v/>
      </c>
      <c r="G598" s="47"/>
      <c r="H598" s="3" t="str">
        <f t="shared" si="166"/>
        <v/>
      </c>
      <c r="I598" s="47"/>
      <c r="J598" s="3" t="str">
        <f t="shared" si="167"/>
        <v/>
      </c>
      <c r="K598" s="47"/>
      <c r="L598" s="3" t="str">
        <f t="shared" si="168"/>
        <v/>
      </c>
      <c r="M598" s="47"/>
      <c r="N598" s="3" t="str">
        <f t="shared" si="169"/>
        <v/>
      </c>
      <c r="O598" s="47"/>
      <c r="P598" s="3" t="str">
        <f t="shared" si="170"/>
        <v/>
      </c>
      <c r="Q598" s="47"/>
      <c r="R598" s="3" t="str">
        <f t="shared" si="171"/>
        <v/>
      </c>
      <c r="S598" s="47"/>
      <c r="T598" s="1" t="str">
        <f t="shared" si="172"/>
        <v/>
      </c>
      <c r="U598" s="47"/>
      <c r="V598" s="1" t="str">
        <f t="shared" si="173"/>
        <v/>
      </c>
      <c r="W598" s="47"/>
      <c r="X598" s="1" t="str">
        <f t="shared" si="174"/>
        <v/>
      </c>
      <c r="Y598" s="47"/>
      <c r="Z598" s="1" t="str">
        <f t="shared" si="175"/>
        <v/>
      </c>
      <c r="AA598" s="47"/>
      <c r="AB598" s="1" t="str">
        <f t="shared" si="176"/>
        <v/>
      </c>
      <c r="AC598" s="47"/>
      <c r="AD598" s="1" t="str">
        <f t="shared" si="177"/>
        <v/>
      </c>
      <c r="AE598" s="47"/>
      <c r="AF598" s="1" t="str">
        <f t="shared" si="178"/>
        <v/>
      </c>
      <c r="AG598" s="47"/>
    </row>
    <row r="599" spans="1:33">
      <c r="A599">
        <f t="shared" si="162"/>
        <v>0</v>
      </c>
      <c r="B599" s="2" t="str">
        <f t="shared" si="179"/>
        <v/>
      </c>
      <c r="C599" s="4" t="str">
        <f t="shared" si="163"/>
        <v/>
      </c>
      <c r="D599" s="3" t="str">
        <f t="shared" si="164"/>
        <v/>
      </c>
      <c r="E599" s="47"/>
      <c r="F599" s="3" t="str">
        <f t="shared" si="165"/>
        <v/>
      </c>
      <c r="G599" s="47"/>
      <c r="H599" s="3" t="str">
        <f t="shared" si="166"/>
        <v/>
      </c>
      <c r="I599" s="47"/>
      <c r="J599" s="3" t="str">
        <f t="shared" si="167"/>
        <v/>
      </c>
      <c r="K599" s="47"/>
      <c r="L599" s="3" t="str">
        <f t="shared" si="168"/>
        <v/>
      </c>
      <c r="M599" s="47"/>
      <c r="N599" s="3" t="str">
        <f t="shared" si="169"/>
        <v/>
      </c>
      <c r="O599" s="47"/>
      <c r="P599" s="3" t="str">
        <f t="shared" si="170"/>
        <v/>
      </c>
      <c r="Q599" s="47"/>
      <c r="R599" s="3" t="str">
        <f t="shared" si="171"/>
        <v/>
      </c>
      <c r="S599" s="47"/>
      <c r="T599" s="1" t="str">
        <f t="shared" si="172"/>
        <v/>
      </c>
      <c r="U599" s="47"/>
      <c r="V599" s="1" t="str">
        <f t="shared" si="173"/>
        <v/>
      </c>
      <c r="W599" s="47"/>
      <c r="X599" s="1" t="str">
        <f t="shared" si="174"/>
        <v/>
      </c>
      <c r="Y599" s="47"/>
      <c r="Z599" s="1" t="str">
        <f t="shared" si="175"/>
        <v/>
      </c>
      <c r="AA599" s="47"/>
      <c r="AB599" s="1" t="str">
        <f t="shared" si="176"/>
        <v/>
      </c>
      <c r="AC599" s="47"/>
      <c r="AD599" s="1" t="str">
        <f t="shared" si="177"/>
        <v/>
      </c>
      <c r="AE599" s="47"/>
      <c r="AF599" s="1" t="str">
        <f t="shared" si="178"/>
        <v/>
      </c>
      <c r="AG599" s="47"/>
    </row>
    <row r="600" spans="1:33">
      <c r="A600">
        <f t="shared" si="162"/>
        <v>0</v>
      </c>
      <c r="B600" s="2" t="str">
        <f t="shared" si="179"/>
        <v/>
      </c>
      <c r="C600" s="4" t="str">
        <f t="shared" si="163"/>
        <v/>
      </c>
      <c r="D600" s="3" t="str">
        <f t="shared" si="164"/>
        <v/>
      </c>
      <c r="E600" s="47"/>
      <c r="F600" s="3" t="str">
        <f t="shared" si="165"/>
        <v/>
      </c>
      <c r="G600" s="47"/>
      <c r="H600" s="3" t="str">
        <f t="shared" si="166"/>
        <v/>
      </c>
      <c r="I600" s="47"/>
      <c r="J600" s="3" t="str">
        <f t="shared" si="167"/>
        <v/>
      </c>
      <c r="K600" s="47"/>
      <c r="L600" s="3" t="str">
        <f t="shared" si="168"/>
        <v/>
      </c>
      <c r="M600" s="47"/>
      <c r="N600" s="3" t="str">
        <f t="shared" si="169"/>
        <v/>
      </c>
      <c r="O600" s="47"/>
      <c r="P600" s="3" t="str">
        <f t="shared" si="170"/>
        <v/>
      </c>
      <c r="Q600" s="47"/>
      <c r="R600" s="3" t="str">
        <f t="shared" si="171"/>
        <v/>
      </c>
      <c r="S600" s="47"/>
      <c r="T600" s="1" t="str">
        <f t="shared" si="172"/>
        <v/>
      </c>
      <c r="U600" s="47"/>
      <c r="V600" s="1" t="str">
        <f t="shared" si="173"/>
        <v/>
      </c>
      <c r="W600" s="47"/>
      <c r="X600" s="1" t="str">
        <f t="shared" si="174"/>
        <v/>
      </c>
      <c r="Y600" s="47"/>
      <c r="Z600" s="1" t="str">
        <f t="shared" si="175"/>
        <v/>
      </c>
      <c r="AA600" s="47"/>
      <c r="AB600" s="1" t="str">
        <f t="shared" si="176"/>
        <v/>
      </c>
      <c r="AC600" s="47"/>
      <c r="AD600" s="1" t="str">
        <f t="shared" si="177"/>
        <v/>
      </c>
      <c r="AE600" s="47"/>
      <c r="AF600" s="1" t="str">
        <f t="shared" si="178"/>
        <v/>
      </c>
      <c r="AG600" s="47"/>
    </row>
    <row r="601" spans="1:33">
      <c r="A601">
        <f t="shared" si="162"/>
        <v>0</v>
      </c>
      <c r="B601" s="2" t="str">
        <f t="shared" si="179"/>
        <v/>
      </c>
      <c r="C601" s="4" t="str">
        <f t="shared" si="163"/>
        <v/>
      </c>
      <c r="D601" s="3" t="str">
        <f t="shared" si="164"/>
        <v/>
      </c>
      <c r="E601" s="47"/>
      <c r="F601" s="3" t="str">
        <f t="shared" si="165"/>
        <v/>
      </c>
      <c r="G601" s="47"/>
      <c r="H601" s="3" t="str">
        <f t="shared" si="166"/>
        <v/>
      </c>
      <c r="I601" s="47"/>
      <c r="J601" s="3" t="str">
        <f t="shared" si="167"/>
        <v/>
      </c>
      <c r="K601" s="47"/>
      <c r="L601" s="3" t="str">
        <f t="shared" si="168"/>
        <v/>
      </c>
      <c r="M601" s="47"/>
      <c r="N601" s="3" t="str">
        <f t="shared" si="169"/>
        <v/>
      </c>
      <c r="O601" s="47"/>
      <c r="P601" s="3" t="str">
        <f t="shared" si="170"/>
        <v/>
      </c>
      <c r="Q601" s="47"/>
      <c r="R601" s="3" t="str">
        <f t="shared" si="171"/>
        <v/>
      </c>
      <c r="S601" s="47"/>
      <c r="T601" s="1" t="str">
        <f t="shared" si="172"/>
        <v/>
      </c>
      <c r="U601" s="47"/>
      <c r="V601" s="1" t="str">
        <f t="shared" si="173"/>
        <v/>
      </c>
      <c r="W601" s="47"/>
      <c r="X601" s="1" t="str">
        <f t="shared" si="174"/>
        <v/>
      </c>
      <c r="Y601" s="47"/>
      <c r="Z601" s="1" t="str">
        <f t="shared" si="175"/>
        <v/>
      </c>
      <c r="AA601" s="47"/>
      <c r="AB601" s="1" t="str">
        <f t="shared" si="176"/>
        <v/>
      </c>
      <c r="AC601" s="47"/>
      <c r="AD601" s="1" t="str">
        <f t="shared" si="177"/>
        <v/>
      </c>
      <c r="AE601" s="47"/>
      <c r="AF601" s="1" t="str">
        <f t="shared" si="178"/>
        <v/>
      </c>
      <c r="AG601" s="47"/>
    </row>
    <row r="602" spans="1:33">
      <c r="A602">
        <f t="shared" si="162"/>
        <v>0</v>
      </c>
      <c r="B602" s="2" t="str">
        <f t="shared" si="179"/>
        <v/>
      </c>
      <c r="C602" s="4" t="str">
        <f t="shared" si="163"/>
        <v/>
      </c>
      <c r="D602" s="3" t="str">
        <f t="shared" si="164"/>
        <v/>
      </c>
      <c r="E602" s="47"/>
      <c r="F602" s="3" t="str">
        <f t="shared" si="165"/>
        <v/>
      </c>
      <c r="G602" s="47"/>
      <c r="H602" s="3" t="str">
        <f t="shared" si="166"/>
        <v/>
      </c>
      <c r="I602" s="47"/>
      <c r="J602" s="3" t="str">
        <f t="shared" si="167"/>
        <v/>
      </c>
      <c r="K602" s="47"/>
      <c r="L602" s="3" t="str">
        <f t="shared" si="168"/>
        <v/>
      </c>
      <c r="M602" s="47"/>
      <c r="N602" s="3" t="str">
        <f t="shared" si="169"/>
        <v/>
      </c>
      <c r="O602" s="47"/>
      <c r="P602" s="3" t="str">
        <f t="shared" si="170"/>
        <v/>
      </c>
      <c r="Q602" s="47"/>
      <c r="R602" s="3" t="str">
        <f t="shared" si="171"/>
        <v/>
      </c>
      <c r="S602" s="47"/>
      <c r="T602" s="1" t="str">
        <f t="shared" si="172"/>
        <v/>
      </c>
      <c r="U602" s="47"/>
      <c r="V602" s="1" t="str">
        <f t="shared" si="173"/>
        <v/>
      </c>
      <c r="W602" s="47"/>
      <c r="X602" s="1" t="str">
        <f t="shared" si="174"/>
        <v/>
      </c>
      <c r="Y602" s="47"/>
      <c r="Z602" s="1" t="str">
        <f t="shared" si="175"/>
        <v/>
      </c>
      <c r="AA602" s="47"/>
      <c r="AB602" s="1" t="str">
        <f t="shared" si="176"/>
        <v/>
      </c>
      <c r="AC602" s="47"/>
      <c r="AD602" s="1" t="str">
        <f t="shared" si="177"/>
        <v/>
      </c>
      <c r="AE602" s="47"/>
      <c r="AF602" s="1" t="str">
        <f t="shared" si="178"/>
        <v/>
      </c>
      <c r="AG602" s="47"/>
    </row>
    <row r="603" spans="1:33">
      <c r="A603">
        <f t="shared" si="162"/>
        <v>0</v>
      </c>
      <c r="B603" s="2" t="str">
        <f t="shared" si="179"/>
        <v/>
      </c>
      <c r="C603" s="4" t="str">
        <f t="shared" si="163"/>
        <v/>
      </c>
      <c r="D603" s="3" t="str">
        <f t="shared" si="164"/>
        <v/>
      </c>
      <c r="E603" s="47"/>
      <c r="F603" s="3" t="str">
        <f t="shared" si="165"/>
        <v/>
      </c>
      <c r="G603" s="47"/>
      <c r="H603" s="3" t="str">
        <f t="shared" si="166"/>
        <v/>
      </c>
      <c r="I603" s="47"/>
      <c r="J603" s="3" t="str">
        <f t="shared" si="167"/>
        <v/>
      </c>
      <c r="K603" s="47"/>
      <c r="L603" s="3" t="str">
        <f t="shared" si="168"/>
        <v/>
      </c>
      <c r="M603" s="47"/>
      <c r="N603" s="3" t="str">
        <f t="shared" si="169"/>
        <v/>
      </c>
      <c r="O603" s="47"/>
      <c r="P603" s="3" t="str">
        <f t="shared" si="170"/>
        <v/>
      </c>
      <c r="Q603" s="47"/>
      <c r="R603" s="3" t="str">
        <f t="shared" si="171"/>
        <v/>
      </c>
      <c r="S603" s="47"/>
      <c r="T603" s="1" t="str">
        <f t="shared" si="172"/>
        <v/>
      </c>
      <c r="U603" s="47"/>
      <c r="V603" s="1" t="str">
        <f t="shared" si="173"/>
        <v/>
      </c>
      <c r="W603" s="47"/>
      <c r="X603" s="1" t="str">
        <f t="shared" si="174"/>
        <v/>
      </c>
      <c r="Y603" s="47"/>
      <c r="Z603" s="1" t="str">
        <f t="shared" si="175"/>
        <v/>
      </c>
      <c r="AA603" s="47"/>
      <c r="AB603" s="1" t="str">
        <f t="shared" si="176"/>
        <v/>
      </c>
      <c r="AC603" s="47"/>
      <c r="AD603" s="1" t="str">
        <f t="shared" si="177"/>
        <v/>
      </c>
      <c r="AE603" s="47"/>
      <c r="AF603" s="1" t="str">
        <f t="shared" si="178"/>
        <v/>
      </c>
      <c r="AG603" s="47"/>
    </row>
    <row r="604" spans="1:33">
      <c r="A604">
        <f t="shared" si="162"/>
        <v>0</v>
      </c>
      <c r="B604" s="2" t="str">
        <f t="shared" si="179"/>
        <v/>
      </c>
      <c r="C604" s="4" t="str">
        <f t="shared" si="163"/>
        <v/>
      </c>
      <c r="D604" s="3" t="str">
        <f t="shared" si="164"/>
        <v/>
      </c>
      <c r="E604" s="47"/>
      <c r="F604" s="3" t="str">
        <f t="shared" si="165"/>
        <v/>
      </c>
      <c r="G604" s="47"/>
      <c r="H604" s="3" t="str">
        <f t="shared" si="166"/>
        <v/>
      </c>
      <c r="I604" s="47"/>
      <c r="J604" s="3" t="str">
        <f t="shared" si="167"/>
        <v/>
      </c>
      <c r="K604" s="47"/>
      <c r="L604" s="3" t="str">
        <f t="shared" si="168"/>
        <v/>
      </c>
      <c r="M604" s="47"/>
      <c r="N604" s="3" t="str">
        <f t="shared" si="169"/>
        <v/>
      </c>
      <c r="O604" s="47"/>
      <c r="P604" s="3" t="str">
        <f t="shared" si="170"/>
        <v/>
      </c>
      <c r="Q604" s="47"/>
      <c r="R604" s="3" t="str">
        <f t="shared" si="171"/>
        <v/>
      </c>
      <c r="S604" s="47"/>
      <c r="T604" s="1" t="str">
        <f t="shared" si="172"/>
        <v/>
      </c>
      <c r="U604" s="47"/>
      <c r="V604" s="1" t="str">
        <f t="shared" si="173"/>
        <v/>
      </c>
      <c r="W604" s="47"/>
      <c r="X604" s="1" t="str">
        <f t="shared" si="174"/>
        <v/>
      </c>
      <c r="Y604" s="47"/>
      <c r="Z604" s="1" t="str">
        <f t="shared" si="175"/>
        <v/>
      </c>
      <c r="AA604" s="47"/>
      <c r="AB604" s="1" t="str">
        <f t="shared" si="176"/>
        <v/>
      </c>
      <c r="AC604" s="47"/>
      <c r="AD604" s="1" t="str">
        <f t="shared" si="177"/>
        <v/>
      </c>
      <c r="AE604" s="47"/>
      <c r="AF604" s="1" t="str">
        <f t="shared" si="178"/>
        <v/>
      </c>
      <c r="AG604" s="47"/>
    </row>
    <row r="605" spans="1:33">
      <c r="A605">
        <f t="shared" si="162"/>
        <v>0</v>
      </c>
      <c r="B605" s="2" t="str">
        <f t="shared" si="179"/>
        <v/>
      </c>
      <c r="C605" s="4" t="str">
        <f t="shared" si="163"/>
        <v/>
      </c>
      <c r="D605" s="3" t="str">
        <f t="shared" si="164"/>
        <v/>
      </c>
      <c r="E605" s="47"/>
      <c r="F605" s="3" t="str">
        <f t="shared" si="165"/>
        <v/>
      </c>
      <c r="G605" s="47"/>
      <c r="H605" s="3" t="str">
        <f t="shared" si="166"/>
        <v/>
      </c>
      <c r="I605" s="47"/>
      <c r="J605" s="3" t="str">
        <f t="shared" si="167"/>
        <v/>
      </c>
      <c r="K605" s="47"/>
      <c r="L605" s="3" t="str">
        <f t="shared" si="168"/>
        <v/>
      </c>
      <c r="M605" s="47"/>
      <c r="N605" s="3" t="str">
        <f t="shared" si="169"/>
        <v/>
      </c>
      <c r="O605" s="47"/>
      <c r="P605" s="3" t="str">
        <f t="shared" si="170"/>
        <v/>
      </c>
      <c r="Q605" s="47"/>
      <c r="R605" s="3" t="str">
        <f t="shared" si="171"/>
        <v/>
      </c>
      <c r="S605" s="47"/>
      <c r="T605" s="1" t="str">
        <f t="shared" si="172"/>
        <v/>
      </c>
      <c r="U605" s="47"/>
      <c r="V605" s="1" t="str">
        <f t="shared" si="173"/>
        <v/>
      </c>
      <c r="W605" s="47"/>
      <c r="X605" s="1" t="str">
        <f t="shared" si="174"/>
        <v/>
      </c>
      <c r="Y605" s="47"/>
      <c r="Z605" s="1" t="str">
        <f t="shared" si="175"/>
        <v/>
      </c>
      <c r="AA605" s="47"/>
      <c r="AB605" s="1" t="str">
        <f t="shared" si="176"/>
        <v/>
      </c>
      <c r="AC605" s="47"/>
      <c r="AD605" s="1" t="str">
        <f t="shared" si="177"/>
        <v/>
      </c>
      <c r="AE605" s="47"/>
      <c r="AF605" s="1" t="str">
        <f t="shared" si="178"/>
        <v/>
      </c>
      <c r="AG605" s="47"/>
    </row>
    <row r="606" spans="1:33">
      <c r="A606">
        <f t="shared" si="162"/>
        <v>0</v>
      </c>
      <c r="B606" s="2" t="str">
        <f t="shared" si="179"/>
        <v/>
      </c>
      <c r="C606" s="4" t="str">
        <f t="shared" si="163"/>
        <v/>
      </c>
      <c r="D606" s="3" t="str">
        <f t="shared" si="164"/>
        <v/>
      </c>
      <c r="E606" s="47"/>
      <c r="F606" s="3" t="str">
        <f t="shared" si="165"/>
        <v/>
      </c>
      <c r="G606" s="47"/>
      <c r="H606" s="3" t="str">
        <f t="shared" si="166"/>
        <v/>
      </c>
      <c r="I606" s="47"/>
      <c r="J606" s="3" t="str">
        <f t="shared" si="167"/>
        <v/>
      </c>
      <c r="K606" s="47"/>
      <c r="L606" s="3" t="str">
        <f t="shared" si="168"/>
        <v/>
      </c>
      <c r="M606" s="47"/>
      <c r="N606" s="3" t="str">
        <f t="shared" si="169"/>
        <v/>
      </c>
      <c r="O606" s="47"/>
      <c r="P606" s="3" t="str">
        <f t="shared" si="170"/>
        <v/>
      </c>
      <c r="Q606" s="47"/>
      <c r="R606" s="3" t="str">
        <f t="shared" si="171"/>
        <v/>
      </c>
      <c r="S606" s="47"/>
      <c r="T606" s="1" t="str">
        <f t="shared" si="172"/>
        <v/>
      </c>
      <c r="U606" s="47"/>
      <c r="V606" s="1" t="str">
        <f t="shared" si="173"/>
        <v/>
      </c>
      <c r="W606" s="47"/>
      <c r="X606" s="1" t="str">
        <f t="shared" si="174"/>
        <v/>
      </c>
      <c r="Y606" s="47"/>
      <c r="Z606" s="1" t="str">
        <f t="shared" si="175"/>
        <v/>
      </c>
      <c r="AA606" s="47"/>
      <c r="AB606" s="1" t="str">
        <f t="shared" si="176"/>
        <v/>
      </c>
      <c r="AC606" s="47"/>
      <c r="AD606" s="1" t="str">
        <f t="shared" si="177"/>
        <v/>
      </c>
      <c r="AE606" s="47"/>
      <c r="AF606" s="1" t="str">
        <f t="shared" si="178"/>
        <v/>
      </c>
      <c r="AG606" s="47"/>
    </row>
    <row r="607" spans="1:33">
      <c r="A607">
        <f t="shared" si="162"/>
        <v>0</v>
      </c>
      <c r="B607" s="2" t="str">
        <f t="shared" si="179"/>
        <v/>
      </c>
      <c r="C607" s="4" t="str">
        <f t="shared" si="163"/>
        <v/>
      </c>
      <c r="D607" s="3" t="str">
        <f t="shared" si="164"/>
        <v/>
      </c>
      <c r="E607" s="47"/>
      <c r="F607" s="3" t="str">
        <f t="shared" si="165"/>
        <v/>
      </c>
      <c r="G607" s="47"/>
      <c r="H607" s="3" t="str">
        <f t="shared" si="166"/>
        <v/>
      </c>
      <c r="I607" s="47"/>
      <c r="J607" s="3" t="str">
        <f t="shared" si="167"/>
        <v/>
      </c>
      <c r="K607" s="47"/>
      <c r="L607" s="3" t="str">
        <f t="shared" si="168"/>
        <v/>
      </c>
      <c r="M607" s="47"/>
      <c r="N607" s="3" t="str">
        <f t="shared" si="169"/>
        <v/>
      </c>
      <c r="O607" s="47"/>
      <c r="P607" s="3" t="str">
        <f t="shared" si="170"/>
        <v/>
      </c>
      <c r="Q607" s="47"/>
      <c r="R607" s="3" t="str">
        <f t="shared" si="171"/>
        <v/>
      </c>
      <c r="S607" s="47"/>
      <c r="T607" s="1" t="str">
        <f t="shared" si="172"/>
        <v/>
      </c>
      <c r="U607" s="47"/>
      <c r="V607" s="1" t="str">
        <f t="shared" si="173"/>
        <v/>
      </c>
      <c r="W607" s="47"/>
      <c r="X607" s="1" t="str">
        <f t="shared" si="174"/>
        <v/>
      </c>
      <c r="Y607" s="47"/>
      <c r="Z607" s="1" t="str">
        <f t="shared" si="175"/>
        <v/>
      </c>
      <c r="AA607" s="47"/>
      <c r="AB607" s="1" t="str">
        <f t="shared" si="176"/>
        <v/>
      </c>
      <c r="AC607" s="47"/>
      <c r="AD607" s="1" t="str">
        <f t="shared" si="177"/>
        <v/>
      </c>
      <c r="AE607" s="47"/>
      <c r="AF607" s="1" t="str">
        <f t="shared" si="178"/>
        <v/>
      </c>
      <c r="AG607" s="47"/>
    </row>
    <row r="608" spans="1:33">
      <c r="A608">
        <f t="shared" si="162"/>
        <v>0</v>
      </c>
      <c r="B608" s="2" t="str">
        <f t="shared" si="179"/>
        <v/>
      </c>
      <c r="C608" s="4" t="str">
        <f t="shared" si="163"/>
        <v/>
      </c>
      <c r="D608" s="3" t="str">
        <f t="shared" si="164"/>
        <v/>
      </c>
      <c r="E608" s="47"/>
      <c r="F608" s="3" t="str">
        <f t="shared" si="165"/>
        <v/>
      </c>
      <c r="G608" s="47"/>
      <c r="H608" s="3" t="str">
        <f t="shared" si="166"/>
        <v/>
      </c>
      <c r="I608" s="47"/>
      <c r="J608" s="3" t="str">
        <f t="shared" si="167"/>
        <v/>
      </c>
      <c r="K608" s="47"/>
      <c r="L608" s="3" t="str">
        <f t="shared" si="168"/>
        <v/>
      </c>
      <c r="M608" s="47"/>
      <c r="N608" s="3" t="str">
        <f t="shared" si="169"/>
        <v/>
      </c>
      <c r="O608" s="47"/>
      <c r="P608" s="3" t="str">
        <f t="shared" si="170"/>
        <v/>
      </c>
      <c r="Q608" s="47"/>
      <c r="R608" s="3" t="str">
        <f t="shared" si="171"/>
        <v/>
      </c>
      <c r="S608" s="47"/>
      <c r="T608" s="1" t="str">
        <f t="shared" si="172"/>
        <v/>
      </c>
      <c r="U608" s="47"/>
      <c r="V608" s="1" t="str">
        <f t="shared" si="173"/>
        <v/>
      </c>
      <c r="W608" s="47"/>
      <c r="X608" s="1" t="str">
        <f t="shared" si="174"/>
        <v/>
      </c>
      <c r="Y608" s="47"/>
      <c r="Z608" s="1" t="str">
        <f t="shared" si="175"/>
        <v/>
      </c>
      <c r="AA608" s="47"/>
      <c r="AB608" s="1" t="str">
        <f t="shared" si="176"/>
        <v/>
      </c>
      <c r="AC608" s="47"/>
      <c r="AD608" s="1" t="str">
        <f t="shared" si="177"/>
        <v/>
      </c>
      <c r="AE608" s="47"/>
      <c r="AF608" s="1" t="str">
        <f t="shared" si="178"/>
        <v/>
      </c>
      <c r="AG608" s="47"/>
    </row>
    <row r="609" spans="1:33">
      <c r="A609">
        <f t="shared" si="162"/>
        <v>0</v>
      </c>
      <c r="B609" s="2" t="str">
        <f t="shared" si="179"/>
        <v/>
      </c>
      <c r="C609" s="4" t="str">
        <f t="shared" si="163"/>
        <v/>
      </c>
      <c r="D609" s="3" t="str">
        <f t="shared" si="164"/>
        <v/>
      </c>
      <c r="E609" s="47"/>
      <c r="F609" s="3" t="str">
        <f t="shared" si="165"/>
        <v/>
      </c>
      <c r="G609" s="47"/>
      <c r="H609" s="3" t="str">
        <f t="shared" si="166"/>
        <v/>
      </c>
      <c r="I609" s="47"/>
      <c r="J609" s="3" t="str">
        <f t="shared" si="167"/>
        <v/>
      </c>
      <c r="K609" s="47"/>
      <c r="L609" s="3" t="str">
        <f t="shared" si="168"/>
        <v/>
      </c>
      <c r="M609" s="47"/>
      <c r="N609" s="3" t="str">
        <f t="shared" si="169"/>
        <v/>
      </c>
      <c r="O609" s="47"/>
      <c r="P609" s="3" t="str">
        <f t="shared" si="170"/>
        <v/>
      </c>
      <c r="Q609" s="47"/>
      <c r="R609" s="3" t="str">
        <f t="shared" si="171"/>
        <v/>
      </c>
      <c r="S609" s="47"/>
      <c r="T609" s="1" t="str">
        <f t="shared" si="172"/>
        <v/>
      </c>
      <c r="U609" s="47"/>
      <c r="V609" s="1" t="str">
        <f t="shared" si="173"/>
        <v/>
      </c>
      <c r="W609" s="47"/>
      <c r="X609" s="1" t="str">
        <f t="shared" si="174"/>
        <v/>
      </c>
      <c r="Y609" s="47"/>
      <c r="Z609" s="1" t="str">
        <f t="shared" si="175"/>
        <v/>
      </c>
      <c r="AA609" s="47"/>
      <c r="AB609" s="1" t="str">
        <f t="shared" si="176"/>
        <v/>
      </c>
      <c r="AC609" s="47"/>
      <c r="AD609" s="1" t="str">
        <f t="shared" si="177"/>
        <v/>
      </c>
      <c r="AE609" s="47"/>
      <c r="AF609" s="1" t="str">
        <f t="shared" si="178"/>
        <v/>
      </c>
      <c r="AG609" s="47"/>
    </row>
    <row r="610" spans="1:33">
      <c r="A610">
        <f t="shared" si="162"/>
        <v>0</v>
      </c>
      <c r="B610" s="2" t="str">
        <f t="shared" si="179"/>
        <v/>
      </c>
      <c r="C610" s="4" t="str">
        <f t="shared" si="163"/>
        <v/>
      </c>
      <c r="D610" s="3" t="str">
        <f t="shared" si="164"/>
        <v/>
      </c>
      <c r="E610" s="47"/>
      <c r="F610" s="3" t="str">
        <f t="shared" si="165"/>
        <v/>
      </c>
      <c r="G610" s="47"/>
      <c r="H610" s="3" t="str">
        <f t="shared" si="166"/>
        <v/>
      </c>
      <c r="I610" s="47"/>
      <c r="J610" s="3" t="str">
        <f t="shared" si="167"/>
        <v/>
      </c>
      <c r="K610" s="47"/>
      <c r="L610" s="3" t="str">
        <f t="shared" si="168"/>
        <v/>
      </c>
      <c r="M610" s="47"/>
      <c r="N610" s="3" t="str">
        <f t="shared" si="169"/>
        <v/>
      </c>
      <c r="O610" s="47"/>
      <c r="P610" s="3" t="str">
        <f t="shared" si="170"/>
        <v/>
      </c>
      <c r="Q610" s="47"/>
      <c r="R610" s="3" t="str">
        <f t="shared" si="171"/>
        <v/>
      </c>
      <c r="S610" s="47"/>
      <c r="T610" s="1" t="str">
        <f t="shared" si="172"/>
        <v/>
      </c>
      <c r="U610" s="47"/>
      <c r="V610" s="1" t="str">
        <f t="shared" si="173"/>
        <v/>
      </c>
      <c r="W610" s="47"/>
      <c r="X610" s="1" t="str">
        <f t="shared" si="174"/>
        <v/>
      </c>
      <c r="Y610" s="47"/>
      <c r="Z610" s="1" t="str">
        <f t="shared" si="175"/>
        <v/>
      </c>
      <c r="AA610" s="47"/>
      <c r="AB610" s="1" t="str">
        <f t="shared" si="176"/>
        <v/>
      </c>
      <c r="AC610" s="47"/>
      <c r="AD610" s="1" t="str">
        <f t="shared" si="177"/>
        <v/>
      </c>
      <c r="AE610" s="47"/>
      <c r="AF610" s="1" t="str">
        <f t="shared" si="178"/>
        <v/>
      </c>
      <c r="AG610" s="47"/>
    </row>
    <row r="611" spans="1:33">
      <c r="A611">
        <f t="shared" si="162"/>
        <v>0</v>
      </c>
      <c r="B611" s="2" t="str">
        <f t="shared" si="179"/>
        <v/>
      </c>
      <c r="C611" s="4" t="str">
        <f t="shared" si="163"/>
        <v/>
      </c>
      <c r="D611" s="3" t="str">
        <f t="shared" si="164"/>
        <v/>
      </c>
      <c r="E611" s="47"/>
      <c r="F611" s="3" t="str">
        <f t="shared" si="165"/>
        <v/>
      </c>
      <c r="G611" s="47"/>
      <c r="H611" s="3" t="str">
        <f t="shared" si="166"/>
        <v/>
      </c>
      <c r="I611" s="47"/>
      <c r="J611" s="3" t="str">
        <f t="shared" si="167"/>
        <v/>
      </c>
      <c r="K611" s="47"/>
      <c r="L611" s="3" t="str">
        <f t="shared" si="168"/>
        <v/>
      </c>
      <c r="M611" s="47"/>
      <c r="N611" s="3" t="str">
        <f t="shared" si="169"/>
        <v/>
      </c>
      <c r="O611" s="47"/>
      <c r="P611" s="3" t="str">
        <f t="shared" si="170"/>
        <v/>
      </c>
      <c r="Q611" s="47"/>
      <c r="R611" s="3" t="str">
        <f t="shared" si="171"/>
        <v/>
      </c>
      <c r="S611" s="47"/>
      <c r="T611" s="1" t="str">
        <f t="shared" si="172"/>
        <v/>
      </c>
      <c r="U611" s="47"/>
      <c r="V611" s="1" t="str">
        <f t="shared" si="173"/>
        <v/>
      </c>
      <c r="W611" s="47"/>
      <c r="X611" s="1" t="str">
        <f t="shared" si="174"/>
        <v/>
      </c>
      <c r="Y611" s="47"/>
      <c r="Z611" s="1" t="str">
        <f t="shared" si="175"/>
        <v/>
      </c>
      <c r="AA611" s="47"/>
      <c r="AB611" s="1" t="str">
        <f t="shared" si="176"/>
        <v/>
      </c>
      <c r="AC611" s="47"/>
      <c r="AD611" s="1" t="str">
        <f t="shared" si="177"/>
        <v/>
      </c>
      <c r="AE611" s="47"/>
      <c r="AF611" s="1" t="str">
        <f t="shared" si="178"/>
        <v/>
      </c>
      <c r="AG611" s="47"/>
    </row>
    <row r="612" spans="1:33">
      <c r="A612">
        <f t="shared" si="162"/>
        <v>0</v>
      </c>
      <c r="B612" s="2" t="str">
        <f t="shared" si="179"/>
        <v/>
      </c>
      <c r="C612" s="4" t="str">
        <f t="shared" si="163"/>
        <v/>
      </c>
      <c r="D612" s="3" t="str">
        <f t="shared" si="164"/>
        <v/>
      </c>
      <c r="E612" s="47"/>
      <c r="F612" s="3" t="str">
        <f t="shared" si="165"/>
        <v/>
      </c>
      <c r="G612" s="47"/>
      <c r="H612" s="3" t="str">
        <f t="shared" si="166"/>
        <v/>
      </c>
      <c r="I612" s="47"/>
      <c r="J612" s="3" t="str">
        <f t="shared" si="167"/>
        <v/>
      </c>
      <c r="K612" s="47"/>
      <c r="L612" s="3" t="str">
        <f t="shared" si="168"/>
        <v/>
      </c>
      <c r="M612" s="47"/>
      <c r="N612" s="3" t="str">
        <f t="shared" si="169"/>
        <v/>
      </c>
      <c r="O612" s="47"/>
      <c r="P612" s="3" t="str">
        <f t="shared" si="170"/>
        <v/>
      </c>
      <c r="Q612" s="47"/>
      <c r="R612" s="3" t="str">
        <f t="shared" si="171"/>
        <v/>
      </c>
      <c r="S612" s="47"/>
      <c r="T612" s="1" t="str">
        <f t="shared" si="172"/>
        <v/>
      </c>
      <c r="U612" s="47"/>
      <c r="V612" s="1" t="str">
        <f t="shared" si="173"/>
        <v/>
      </c>
      <c r="W612" s="47"/>
      <c r="X612" s="1" t="str">
        <f t="shared" si="174"/>
        <v/>
      </c>
      <c r="Y612" s="47"/>
      <c r="Z612" s="1" t="str">
        <f t="shared" si="175"/>
        <v/>
      </c>
      <c r="AA612" s="47"/>
      <c r="AB612" s="1" t="str">
        <f t="shared" si="176"/>
        <v/>
      </c>
      <c r="AC612" s="47"/>
      <c r="AD612" s="1" t="str">
        <f t="shared" si="177"/>
        <v/>
      </c>
      <c r="AE612" s="47"/>
      <c r="AF612" s="1" t="str">
        <f t="shared" si="178"/>
        <v/>
      </c>
      <c r="AG612" s="47"/>
    </row>
    <row r="613" spans="1:33">
      <c r="A613">
        <f t="shared" si="162"/>
        <v>0</v>
      </c>
      <c r="B613" s="2" t="str">
        <f t="shared" si="179"/>
        <v/>
      </c>
      <c r="C613" s="4" t="str">
        <f t="shared" si="163"/>
        <v/>
      </c>
      <c r="D613" s="3" t="str">
        <f t="shared" si="164"/>
        <v/>
      </c>
      <c r="E613" s="47"/>
      <c r="F613" s="3" t="str">
        <f t="shared" si="165"/>
        <v/>
      </c>
      <c r="G613" s="47"/>
      <c r="H613" s="3" t="str">
        <f t="shared" si="166"/>
        <v/>
      </c>
      <c r="I613" s="47"/>
      <c r="J613" s="3" t="str">
        <f t="shared" si="167"/>
        <v/>
      </c>
      <c r="K613" s="47"/>
      <c r="L613" s="3" t="str">
        <f t="shared" si="168"/>
        <v/>
      </c>
      <c r="M613" s="47"/>
      <c r="N613" s="3" t="str">
        <f t="shared" si="169"/>
        <v/>
      </c>
      <c r="O613" s="47"/>
      <c r="P613" s="3" t="str">
        <f t="shared" si="170"/>
        <v/>
      </c>
      <c r="Q613" s="47"/>
      <c r="R613" s="3" t="str">
        <f t="shared" si="171"/>
        <v/>
      </c>
      <c r="S613" s="47"/>
      <c r="T613" s="1" t="str">
        <f t="shared" si="172"/>
        <v/>
      </c>
      <c r="U613" s="47"/>
      <c r="V613" s="1" t="str">
        <f t="shared" si="173"/>
        <v/>
      </c>
      <c r="W613" s="47"/>
      <c r="X613" s="1" t="str">
        <f t="shared" si="174"/>
        <v/>
      </c>
      <c r="Y613" s="47"/>
      <c r="Z613" s="1" t="str">
        <f t="shared" si="175"/>
        <v/>
      </c>
      <c r="AA613" s="47"/>
      <c r="AB613" s="1" t="str">
        <f t="shared" si="176"/>
        <v/>
      </c>
      <c r="AC613" s="47"/>
      <c r="AD613" s="1" t="str">
        <f t="shared" si="177"/>
        <v/>
      </c>
      <c r="AE613" s="47"/>
      <c r="AF613" s="1" t="str">
        <f t="shared" si="178"/>
        <v/>
      </c>
      <c r="AG613" s="47"/>
    </row>
    <row r="614" spans="1:33">
      <c r="A614">
        <f t="shared" si="162"/>
        <v>0</v>
      </c>
      <c r="B614" s="2" t="str">
        <f t="shared" si="179"/>
        <v/>
      </c>
      <c r="C614" s="4" t="str">
        <f t="shared" si="163"/>
        <v/>
      </c>
      <c r="D614" s="3" t="str">
        <f t="shared" si="164"/>
        <v/>
      </c>
      <c r="E614" s="47"/>
      <c r="F614" s="3" t="str">
        <f t="shared" si="165"/>
        <v/>
      </c>
      <c r="G614" s="47"/>
      <c r="H614" s="3" t="str">
        <f t="shared" si="166"/>
        <v/>
      </c>
      <c r="I614" s="47"/>
      <c r="J614" s="3" t="str">
        <f t="shared" si="167"/>
        <v/>
      </c>
      <c r="K614" s="47"/>
      <c r="L614" s="3" t="str">
        <f t="shared" si="168"/>
        <v/>
      </c>
      <c r="M614" s="47"/>
      <c r="N614" s="3" t="str">
        <f t="shared" si="169"/>
        <v/>
      </c>
      <c r="O614" s="47"/>
      <c r="P614" s="3" t="str">
        <f t="shared" si="170"/>
        <v/>
      </c>
      <c r="Q614" s="47"/>
      <c r="R614" s="3" t="str">
        <f t="shared" si="171"/>
        <v/>
      </c>
      <c r="S614" s="47"/>
      <c r="T614" s="1" t="str">
        <f t="shared" si="172"/>
        <v/>
      </c>
      <c r="U614" s="47"/>
      <c r="V614" s="1" t="str">
        <f t="shared" si="173"/>
        <v/>
      </c>
      <c r="W614" s="47"/>
      <c r="X614" s="1" t="str">
        <f t="shared" si="174"/>
        <v/>
      </c>
      <c r="Y614" s="47"/>
      <c r="Z614" s="1" t="str">
        <f t="shared" si="175"/>
        <v/>
      </c>
      <c r="AA614" s="47"/>
      <c r="AB614" s="1" t="str">
        <f t="shared" si="176"/>
        <v/>
      </c>
      <c r="AC614" s="47"/>
      <c r="AD614" s="1" t="str">
        <f t="shared" si="177"/>
        <v/>
      </c>
      <c r="AE614" s="47"/>
      <c r="AF614" s="1" t="str">
        <f t="shared" si="178"/>
        <v/>
      </c>
      <c r="AG614" s="47"/>
    </row>
    <row r="615" spans="1:33">
      <c r="A615">
        <f t="shared" si="162"/>
        <v>0</v>
      </c>
      <c r="B615" s="2" t="str">
        <f t="shared" si="179"/>
        <v/>
      </c>
      <c r="C615" s="4" t="str">
        <f t="shared" si="163"/>
        <v/>
      </c>
      <c r="D615" s="3" t="str">
        <f t="shared" si="164"/>
        <v/>
      </c>
      <c r="E615" s="47"/>
      <c r="F615" s="3" t="str">
        <f t="shared" si="165"/>
        <v/>
      </c>
      <c r="G615" s="47"/>
      <c r="H615" s="3" t="str">
        <f t="shared" si="166"/>
        <v/>
      </c>
      <c r="I615" s="47"/>
      <c r="J615" s="3" t="str">
        <f t="shared" si="167"/>
        <v/>
      </c>
      <c r="K615" s="47"/>
      <c r="L615" s="3" t="str">
        <f t="shared" si="168"/>
        <v/>
      </c>
      <c r="M615" s="47"/>
      <c r="N615" s="3" t="str">
        <f t="shared" si="169"/>
        <v/>
      </c>
      <c r="O615" s="47"/>
      <c r="P615" s="3" t="str">
        <f t="shared" si="170"/>
        <v/>
      </c>
      <c r="Q615" s="47"/>
      <c r="R615" s="3" t="str">
        <f t="shared" si="171"/>
        <v/>
      </c>
      <c r="S615" s="47"/>
      <c r="T615" s="1" t="str">
        <f t="shared" si="172"/>
        <v/>
      </c>
      <c r="U615" s="47"/>
      <c r="V615" s="1" t="str">
        <f t="shared" si="173"/>
        <v/>
      </c>
      <c r="W615" s="47"/>
      <c r="X615" s="1" t="str">
        <f t="shared" si="174"/>
        <v/>
      </c>
      <c r="Y615" s="47"/>
      <c r="Z615" s="1" t="str">
        <f t="shared" si="175"/>
        <v/>
      </c>
      <c r="AA615" s="47"/>
      <c r="AB615" s="1" t="str">
        <f t="shared" si="176"/>
        <v/>
      </c>
      <c r="AC615" s="47"/>
      <c r="AD615" s="1" t="str">
        <f t="shared" si="177"/>
        <v/>
      </c>
      <c r="AE615" s="47"/>
      <c r="AF615" s="1" t="str">
        <f t="shared" si="178"/>
        <v/>
      </c>
      <c r="AG615" s="47"/>
    </row>
    <row r="616" spans="1:33">
      <c r="A616">
        <f t="shared" si="162"/>
        <v>0</v>
      </c>
      <c r="B616" s="2" t="str">
        <f t="shared" si="179"/>
        <v/>
      </c>
      <c r="C616" s="4" t="str">
        <f t="shared" si="163"/>
        <v/>
      </c>
      <c r="D616" s="3" t="str">
        <f t="shared" si="164"/>
        <v/>
      </c>
      <c r="E616" s="47"/>
      <c r="F616" s="3" t="str">
        <f t="shared" si="165"/>
        <v/>
      </c>
      <c r="G616" s="47"/>
      <c r="H616" s="3" t="str">
        <f t="shared" si="166"/>
        <v/>
      </c>
      <c r="I616" s="47"/>
      <c r="J616" s="3" t="str">
        <f t="shared" si="167"/>
        <v/>
      </c>
      <c r="K616" s="47"/>
      <c r="L616" s="3" t="str">
        <f t="shared" si="168"/>
        <v/>
      </c>
      <c r="M616" s="47"/>
      <c r="N616" s="3" t="str">
        <f t="shared" si="169"/>
        <v/>
      </c>
      <c r="O616" s="47"/>
      <c r="P616" s="3" t="str">
        <f t="shared" si="170"/>
        <v/>
      </c>
      <c r="Q616" s="47"/>
      <c r="R616" s="3" t="str">
        <f t="shared" si="171"/>
        <v/>
      </c>
      <c r="S616" s="47"/>
      <c r="T616" s="1" t="str">
        <f t="shared" si="172"/>
        <v/>
      </c>
      <c r="U616" s="47"/>
      <c r="V616" s="1" t="str">
        <f t="shared" si="173"/>
        <v/>
      </c>
      <c r="W616" s="47"/>
      <c r="X616" s="1" t="str">
        <f t="shared" si="174"/>
        <v/>
      </c>
      <c r="Y616" s="47"/>
      <c r="Z616" s="1" t="str">
        <f t="shared" si="175"/>
        <v/>
      </c>
      <c r="AA616" s="47"/>
      <c r="AB616" s="1" t="str">
        <f t="shared" si="176"/>
        <v/>
      </c>
      <c r="AC616" s="47"/>
      <c r="AD616" s="1" t="str">
        <f t="shared" si="177"/>
        <v/>
      </c>
      <c r="AE616" s="47"/>
      <c r="AF616" s="1" t="str">
        <f t="shared" si="178"/>
        <v/>
      </c>
      <c r="AG616" s="47"/>
    </row>
    <row r="617" spans="1:33">
      <c r="A617">
        <f t="shared" si="162"/>
        <v>0</v>
      </c>
      <c r="B617" s="2" t="str">
        <f t="shared" si="179"/>
        <v/>
      </c>
      <c r="C617" s="4" t="str">
        <f t="shared" si="163"/>
        <v/>
      </c>
      <c r="D617" s="3" t="str">
        <f t="shared" si="164"/>
        <v/>
      </c>
      <c r="E617" s="47"/>
      <c r="F617" s="3" t="str">
        <f t="shared" si="165"/>
        <v/>
      </c>
      <c r="G617" s="47"/>
      <c r="H617" s="3" t="str">
        <f t="shared" si="166"/>
        <v/>
      </c>
      <c r="I617" s="47"/>
      <c r="J617" s="3" t="str">
        <f t="shared" si="167"/>
        <v/>
      </c>
      <c r="K617" s="47"/>
      <c r="L617" s="3" t="str">
        <f t="shared" si="168"/>
        <v/>
      </c>
      <c r="M617" s="47"/>
      <c r="N617" s="3" t="str">
        <f t="shared" si="169"/>
        <v/>
      </c>
      <c r="O617" s="47"/>
      <c r="P617" s="3" t="str">
        <f t="shared" si="170"/>
        <v/>
      </c>
      <c r="Q617" s="47"/>
      <c r="R617" s="3" t="str">
        <f t="shared" si="171"/>
        <v/>
      </c>
      <c r="S617" s="47"/>
      <c r="T617" s="1" t="str">
        <f t="shared" si="172"/>
        <v/>
      </c>
      <c r="U617" s="47"/>
      <c r="V617" s="1" t="str">
        <f t="shared" si="173"/>
        <v/>
      </c>
      <c r="W617" s="47"/>
      <c r="X617" s="1" t="str">
        <f t="shared" si="174"/>
        <v/>
      </c>
      <c r="Y617" s="47"/>
      <c r="Z617" s="1" t="str">
        <f t="shared" si="175"/>
        <v/>
      </c>
      <c r="AA617" s="47"/>
      <c r="AB617" s="1" t="str">
        <f t="shared" si="176"/>
        <v/>
      </c>
      <c r="AC617" s="47"/>
      <c r="AD617" s="1" t="str">
        <f t="shared" si="177"/>
        <v/>
      </c>
      <c r="AE617" s="47"/>
      <c r="AF617" s="1" t="str">
        <f t="shared" si="178"/>
        <v/>
      </c>
      <c r="AG617" s="47"/>
    </row>
    <row r="618" spans="1:33">
      <c r="A618">
        <f t="shared" si="162"/>
        <v>0</v>
      </c>
      <c r="B618" s="2" t="str">
        <f t="shared" si="179"/>
        <v/>
      </c>
      <c r="C618" s="4" t="str">
        <f t="shared" si="163"/>
        <v/>
      </c>
      <c r="D618" s="3" t="str">
        <f t="shared" si="164"/>
        <v/>
      </c>
      <c r="E618" s="47"/>
      <c r="F618" s="3" t="str">
        <f t="shared" si="165"/>
        <v/>
      </c>
      <c r="G618" s="47"/>
      <c r="H618" s="3" t="str">
        <f t="shared" si="166"/>
        <v/>
      </c>
      <c r="I618" s="47"/>
      <c r="J618" s="3" t="str">
        <f t="shared" si="167"/>
        <v/>
      </c>
      <c r="K618" s="47"/>
      <c r="L618" s="3" t="str">
        <f t="shared" si="168"/>
        <v/>
      </c>
      <c r="M618" s="47"/>
      <c r="N618" s="3" t="str">
        <f t="shared" si="169"/>
        <v/>
      </c>
      <c r="O618" s="47"/>
      <c r="P618" s="3" t="str">
        <f t="shared" si="170"/>
        <v/>
      </c>
      <c r="Q618" s="47"/>
      <c r="R618" s="3" t="str">
        <f t="shared" si="171"/>
        <v/>
      </c>
      <c r="S618" s="47"/>
      <c r="T618" s="1" t="str">
        <f t="shared" si="172"/>
        <v/>
      </c>
      <c r="U618" s="47"/>
      <c r="V618" s="1" t="str">
        <f t="shared" si="173"/>
        <v/>
      </c>
      <c r="W618" s="47"/>
      <c r="X618" s="1" t="str">
        <f t="shared" si="174"/>
        <v/>
      </c>
      <c r="Y618" s="47"/>
      <c r="Z618" s="1" t="str">
        <f t="shared" si="175"/>
        <v/>
      </c>
      <c r="AA618" s="47"/>
      <c r="AB618" s="1" t="str">
        <f t="shared" si="176"/>
        <v/>
      </c>
      <c r="AC618" s="47"/>
      <c r="AD618" s="1" t="str">
        <f t="shared" si="177"/>
        <v/>
      </c>
      <c r="AE618" s="47"/>
      <c r="AF618" s="1" t="str">
        <f t="shared" si="178"/>
        <v/>
      </c>
      <c r="AG618" s="47"/>
    </row>
    <row r="619" spans="1:33">
      <c r="A619">
        <f t="shared" si="162"/>
        <v>0</v>
      </c>
      <c r="B619" s="2" t="str">
        <f t="shared" si="179"/>
        <v/>
      </c>
      <c r="C619" s="4" t="str">
        <f t="shared" si="163"/>
        <v/>
      </c>
      <c r="D619" s="3" t="str">
        <f t="shared" si="164"/>
        <v/>
      </c>
      <c r="E619" s="47"/>
      <c r="F619" s="3" t="str">
        <f t="shared" si="165"/>
        <v/>
      </c>
      <c r="G619" s="47"/>
      <c r="H619" s="3" t="str">
        <f t="shared" si="166"/>
        <v/>
      </c>
      <c r="I619" s="47"/>
      <c r="J619" s="3" t="str">
        <f t="shared" si="167"/>
        <v/>
      </c>
      <c r="K619" s="47"/>
      <c r="L619" s="3" t="str">
        <f t="shared" si="168"/>
        <v/>
      </c>
      <c r="M619" s="47"/>
      <c r="N619" s="3" t="str">
        <f t="shared" si="169"/>
        <v/>
      </c>
      <c r="O619" s="47"/>
      <c r="P619" s="3" t="str">
        <f t="shared" si="170"/>
        <v/>
      </c>
      <c r="Q619" s="47"/>
      <c r="R619" s="3" t="str">
        <f t="shared" si="171"/>
        <v/>
      </c>
      <c r="S619" s="47"/>
      <c r="T619" s="1" t="str">
        <f t="shared" si="172"/>
        <v/>
      </c>
      <c r="U619" s="47"/>
      <c r="V619" s="1" t="str">
        <f t="shared" si="173"/>
        <v/>
      </c>
      <c r="W619" s="47"/>
      <c r="X619" s="1" t="str">
        <f t="shared" si="174"/>
        <v/>
      </c>
      <c r="Y619" s="47"/>
      <c r="Z619" s="1" t="str">
        <f t="shared" si="175"/>
        <v/>
      </c>
      <c r="AA619" s="47"/>
      <c r="AB619" s="1" t="str">
        <f t="shared" si="176"/>
        <v/>
      </c>
      <c r="AC619" s="47"/>
      <c r="AD619" s="1" t="str">
        <f t="shared" si="177"/>
        <v/>
      </c>
      <c r="AE619" s="47"/>
      <c r="AF619" s="1" t="str">
        <f t="shared" si="178"/>
        <v/>
      </c>
      <c r="AG619" s="47"/>
    </row>
    <row r="620" spans="1:33">
      <c r="A620">
        <f t="shared" si="162"/>
        <v>0</v>
      </c>
      <c r="B620" s="2" t="str">
        <f t="shared" si="179"/>
        <v/>
      </c>
      <c r="C620" s="4" t="str">
        <f t="shared" si="163"/>
        <v/>
      </c>
      <c r="D620" s="3" t="str">
        <f t="shared" si="164"/>
        <v/>
      </c>
      <c r="E620" s="47"/>
      <c r="F620" s="3" t="str">
        <f t="shared" si="165"/>
        <v/>
      </c>
      <c r="G620" s="47"/>
      <c r="H620" s="3" t="str">
        <f t="shared" si="166"/>
        <v/>
      </c>
      <c r="I620" s="47"/>
      <c r="J620" s="3" t="str">
        <f t="shared" si="167"/>
        <v/>
      </c>
      <c r="K620" s="47"/>
      <c r="L620" s="3" t="str">
        <f t="shared" si="168"/>
        <v/>
      </c>
      <c r="M620" s="47"/>
      <c r="N620" s="3" t="str">
        <f t="shared" si="169"/>
        <v/>
      </c>
      <c r="O620" s="47"/>
      <c r="P620" s="3" t="str">
        <f t="shared" si="170"/>
        <v/>
      </c>
      <c r="Q620" s="47"/>
      <c r="R620" s="3" t="str">
        <f t="shared" si="171"/>
        <v/>
      </c>
      <c r="S620" s="47"/>
      <c r="T620" s="1" t="str">
        <f t="shared" si="172"/>
        <v/>
      </c>
      <c r="U620" s="47"/>
      <c r="V620" s="1" t="str">
        <f t="shared" si="173"/>
        <v/>
      </c>
      <c r="W620" s="47"/>
      <c r="X620" s="1" t="str">
        <f t="shared" si="174"/>
        <v/>
      </c>
      <c r="Y620" s="47"/>
      <c r="Z620" s="1" t="str">
        <f t="shared" si="175"/>
        <v/>
      </c>
      <c r="AA620" s="47"/>
      <c r="AB620" s="1" t="str">
        <f t="shared" si="176"/>
        <v/>
      </c>
      <c r="AC620" s="47"/>
      <c r="AD620" s="1" t="str">
        <f t="shared" si="177"/>
        <v/>
      </c>
      <c r="AE620" s="47"/>
      <c r="AF620" s="1" t="str">
        <f t="shared" si="178"/>
        <v/>
      </c>
      <c r="AG620" s="47"/>
    </row>
    <row r="621" spans="1:33">
      <c r="A621">
        <f t="shared" si="162"/>
        <v>0</v>
      </c>
      <c r="B621" s="2" t="str">
        <f t="shared" si="179"/>
        <v/>
      </c>
      <c r="C621" s="4" t="str">
        <f t="shared" si="163"/>
        <v/>
      </c>
      <c r="D621" s="3" t="str">
        <f t="shared" si="164"/>
        <v/>
      </c>
      <c r="E621" s="47"/>
      <c r="F621" s="3" t="str">
        <f t="shared" si="165"/>
        <v/>
      </c>
      <c r="G621" s="47"/>
      <c r="H621" s="3" t="str">
        <f t="shared" si="166"/>
        <v/>
      </c>
      <c r="I621" s="47"/>
      <c r="J621" s="3" t="str">
        <f t="shared" si="167"/>
        <v/>
      </c>
      <c r="K621" s="47"/>
      <c r="L621" s="3" t="str">
        <f t="shared" si="168"/>
        <v/>
      </c>
      <c r="M621" s="47"/>
      <c r="N621" s="3" t="str">
        <f t="shared" si="169"/>
        <v/>
      </c>
      <c r="O621" s="47"/>
      <c r="P621" s="3" t="str">
        <f t="shared" si="170"/>
        <v/>
      </c>
      <c r="Q621" s="47"/>
      <c r="R621" s="3" t="str">
        <f t="shared" si="171"/>
        <v/>
      </c>
      <c r="S621" s="47"/>
      <c r="T621" s="1" t="str">
        <f t="shared" si="172"/>
        <v/>
      </c>
      <c r="U621" s="47"/>
      <c r="V621" s="1" t="str">
        <f t="shared" si="173"/>
        <v/>
      </c>
      <c r="W621" s="47"/>
      <c r="X621" s="1" t="str">
        <f t="shared" si="174"/>
        <v/>
      </c>
      <c r="Y621" s="47"/>
      <c r="Z621" s="1" t="str">
        <f t="shared" si="175"/>
        <v/>
      </c>
      <c r="AA621" s="47"/>
      <c r="AB621" s="1" t="str">
        <f t="shared" si="176"/>
        <v/>
      </c>
      <c r="AC621" s="47"/>
      <c r="AD621" s="1" t="str">
        <f t="shared" si="177"/>
        <v/>
      </c>
      <c r="AE621" s="47"/>
      <c r="AF621" s="1" t="str">
        <f t="shared" si="178"/>
        <v/>
      </c>
      <c r="AG621" s="47"/>
    </row>
    <row r="622" spans="1:33">
      <c r="A622">
        <f t="shared" si="162"/>
        <v>0</v>
      </c>
      <c r="B622" s="2" t="str">
        <f t="shared" si="179"/>
        <v/>
      </c>
      <c r="C622" s="4" t="str">
        <f t="shared" si="163"/>
        <v/>
      </c>
      <c r="D622" s="3" t="str">
        <f t="shared" si="164"/>
        <v/>
      </c>
      <c r="E622" s="47"/>
      <c r="F622" s="3" t="str">
        <f t="shared" si="165"/>
        <v/>
      </c>
      <c r="G622" s="47"/>
      <c r="H622" s="3" t="str">
        <f t="shared" si="166"/>
        <v/>
      </c>
      <c r="I622" s="47"/>
      <c r="J622" s="3" t="str">
        <f t="shared" si="167"/>
        <v/>
      </c>
      <c r="K622" s="47"/>
      <c r="L622" s="3" t="str">
        <f t="shared" si="168"/>
        <v/>
      </c>
      <c r="M622" s="47"/>
      <c r="N622" s="3" t="str">
        <f t="shared" si="169"/>
        <v/>
      </c>
      <c r="O622" s="47"/>
      <c r="P622" s="3" t="str">
        <f t="shared" si="170"/>
        <v/>
      </c>
      <c r="Q622" s="47"/>
      <c r="R622" s="3" t="str">
        <f t="shared" si="171"/>
        <v/>
      </c>
      <c r="S622" s="47"/>
      <c r="T622" s="1" t="str">
        <f t="shared" si="172"/>
        <v/>
      </c>
      <c r="U622" s="47"/>
      <c r="V622" s="1" t="str">
        <f t="shared" si="173"/>
        <v/>
      </c>
      <c r="W622" s="47"/>
      <c r="X622" s="1" t="str">
        <f t="shared" si="174"/>
        <v/>
      </c>
      <c r="Y622" s="47"/>
      <c r="Z622" s="1" t="str">
        <f t="shared" si="175"/>
        <v/>
      </c>
      <c r="AA622" s="47"/>
      <c r="AB622" s="1" t="str">
        <f t="shared" si="176"/>
        <v/>
      </c>
      <c r="AC622" s="47"/>
      <c r="AD622" s="1" t="str">
        <f t="shared" si="177"/>
        <v/>
      </c>
      <c r="AE622" s="47"/>
      <c r="AF622" s="1" t="str">
        <f t="shared" si="178"/>
        <v/>
      </c>
      <c r="AG622" s="47"/>
    </row>
    <row r="623" spans="1:33">
      <c r="A623">
        <f t="shared" si="162"/>
        <v>0</v>
      </c>
      <c r="B623" s="2" t="str">
        <f t="shared" si="179"/>
        <v/>
      </c>
      <c r="C623" s="4" t="str">
        <f t="shared" si="163"/>
        <v/>
      </c>
      <c r="D623" s="3" t="str">
        <f t="shared" si="164"/>
        <v/>
      </c>
      <c r="E623" s="47"/>
      <c r="F623" s="3" t="str">
        <f t="shared" si="165"/>
        <v/>
      </c>
      <c r="G623" s="47"/>
      <c r="H623" s="3" t="str">
        <f t="shared" si="166"/>
        <v/>
      </c>
      <c r="I623" s="47"/>
      <c r="J623" s="3" t="str">
        <f t="shared" si="167"/>
        <v/>
      </c>
      <c r="K623" s="47"/>
      <c r="L623" s="3" t="str">
        <f t="shared" si="168"/>
        <v/>
      </c>
      <c r="M623" s="47"/>
      <c r="N623" s="3" t="str">
        <f t="shared" si="169"/>
        <v/>
      </c>
      <c r="O623" s="47"/>
      <c r="P623" s="3" t="str">
        <f t="shared" si="170"/>
        <v/>
      </c>
      <c r="Q623" s="47"/>
      <c r="R623" s="3" t="str">
        <f t="shared" si="171"/>
        <v/>
      </c>
      <c r="S623" s="47"/>
      <c r="T623" s="1" t="str">
        <f t="shared" si="172"/>
        <v/>
      </c>
      <c r="U623" s="47"/>
      <c r="V623" s="1" t="str">
        <f t="shared" si="173"/>
        <v/>
      </c>
      <c r="W623" s="47"/>
      <c r="X623" s="1" t="str">
        <f t="shared" si="174"/>
        <v/>
      </c>
      <c r="Y623" s="47"/>
      <c r="Z623" s="1" t="str">
        <f t="shared" si="175"/>
        <v/>
      </c>
      <c r="AA623" s="47"/>
      <c r="AB623" s="1" t="str">
        <f t="shared" si="176"/>
        <v/>
      </c>
      <c r="AC623" s="47"/>
      <c r="AD623" s="1" t="str">
        <f t="shared" si="177"/>
        <v/>
      </c>
      <c r="AE623" s="47"/>
      <c r="AF623" s="1" t="str">
        <f t="shared" si="178"/>
        <v/>
      </c>
      <c r="AG623" s="47"/>
    </row>
    <row r="624" spans="1:33">
      <c r="A624">
        <f t="shared" si="162"/>
        <v>0</v>
      </c>
      <c r="B624" s="2" t="str">
        <f t="shared" si="179"/>
        <v/>
      </c>
      <c r="C624" s="4" t="str">
        <f t="shared" si="163"/>
        <v/>
      </c>
      <c r="D624" s="3" t="str">
        <f t="shared" si="164"/>
        <v/>
      </c>
      <c r="E624" s="47"/>
      <c r="F624" s="3" t="str">
        <f t="shared" si="165"/>
        <v/>
      </c>
      <c r="G624" s="47"/>
      <c r="H624" s="3" t="str">
        <f t="shared" si="166"/>
        <v/>
      </c>
      <c r="I624" s="47"/>
      <c r="J624" s="3" t="str">
        <f t="shared" si="167"/>
        <v/>
      </c>
      <c r="K624" s="47"/>
      <c r="L624" s="3" t="str">
        <f t="shared" si="168"/>
        <v/>
      </c>
      <c r="M624" s="47"/>
      <c r="N624" s="3" t="str">
        <f t="shared" si="169"/>
        <v/>
      </c>
      <c r="O624" s="47"/>
      <c r="P624" s="3" t="str">
        <f t="shared" si="170"/>
        <v/>
      </c>
      <c r="Q624" s="47"/>
      <c r="R624" s="3" t="str">
        <f t="shared" si="171"/>
        <v/>
      </c>
      <c r="S624" s="47"/>
      <c r="T624" s="1" t="str">
        <f t="shared" si="172"/>
        <v/>
      </c>
      <c r="U624" s="47"/>
      <c r="V624" s="1" t="str">
        <f t="shared" si="173"/>
        <v/>
      </c>
      <c r="W624" s="47"/>
      <c r="X624" s="1" t="str">
        <f t="shared" si="174"/>
        <v/>
      </c>
      <c r="Y624" s="47"/>
      <c r="Z624" s="1" t="str">
        <f t="shared" si="175"/>
        <v/>
      </c>
      <c r="AA624" s="47"/>
      <c r="AB624" s="1" t="str">
        <f t="shared" si="176"/>
        <v/>
      </c>
      <c r="AC624" s="47"/>
      <c r="AD624" s="1" t="str">
        <f t="shared" si="177"/>
        <v/>
      </c>
      <c r="AE624" s="47"/>
      <c r="AF624" s="1" t="str">
        <f t="shared" si="178"/>
        <v/>
      </c>
      <c r="AG624" s="47"/>
    </row>
    <row r="625" spans="1:33">
      <c r="A625">
        <f t="shared" si="162"/>
        <v>0</v>
      </c>
      <c r="B625" s="2" t="str">
        <f t="shared" si="179"/>
        <v/>
      </c>
      <c r="C625" s="4" t="str">
        <f t="shared" si="163"/>
        <v/>
      </c>
      <c r="D625" s="3" t="str">
        <f t="shared" si="164"/>
        <v/>
      </c>
      <c r="E625" s="47"/>
      <c r="F625" s="3" t="str">
        <f t="shared" si="165"/>
        <v/>
      </c>
      <c r="G625" s="47"/>
      <c r="H625" s="3" t="str">
        <f t="shared" si="166"/>
        <v/>
      </c>
      <c r="I625" s="47"/>
      <c r="J625" s="3" t="str">
        <f t="shared" si="167"/>
        <v/>
      </c>
      <c r="K625" s="47"/>
      <c r="L625" s="3" t="str">
        <f t="shared" si="168"/>
        <v/>
      </c>
      <c r="M625" s="47"/>
      <c r="N625" s="3" t="str">
        <f t="shared" si="169"/>
        <v/>
      </c>
      <c r="O625" s="47"/>
      <c r="P625" s="3" t="str">
        <f t="shared" si="170"/>
        <v/>
      </c>
      <c r="Q625" s="47"/>
      <c r="R625" s="3" t="str">
        <f t="shared" si="171"/>
        <v/>
      </c>
      <c r="S625" s="47"/>
      <c r="T625" s="1" t="str">
        <f t="shared" si="172"/>
        <v/>
      </c>
      <c r="U625" s="47"/>
      <c r="V625" s="1" t="str">
        <f t="shared" si="173"/>
        <v/>
      </c>
      <c r="W625" s="47"/>
      <c r="X625" s="1" t="str">
        <f t="shared" si="174"/>
        <v/>
      </c>
      <c r="Y625" s="47"/>
      <c r="Z625" s="1" t="str">
        <f t="shared" si="175"/>
        <v/>
      </c>
      <c r="AA625" s="47"/>
      <c r="AB625" s="1" t="str">
        <f t="shared" si="176"/>
        <v/>
      </c>
      <c r="AC625" s="47"/>
      <c r="AD625" s="1" t="str">
        <f t="shared" si="177"/>
        <v/>
      </c>
      <c r="AE625" s="47"/>
      <c r="AF625" s="1" t="str">
        <f t="shared" si="178"/>
        <v/>
      </c>
      <c r="AG625" s="47"/>
    </row>
    <row r="626" spans="1:33">
      <c r="A626">
        <f t="shared" si="162"/>
        <v>0</v>
      </c>
      <c r="B626" s="2" t="str">
        <f t="shared" si="179"/>
        <v/>
      </c>
      <c r="C626" s="4" t="str">
        <f t="shared" si="163"/>
        <v/>
      </c>
      <c r="D626" s="3" t="str">
        <f t="shared" si="164"/>
        <v/>
      </c>
      <c r="E626" s="47"/>
      <c r="F626" s="3" t="str">
        <f t="shared" si="165"/>
        <v/>
      </c>
      <c r="G626" s="47"/>
      <c r="H626" s="3" t="str">
        <f t="shared" si="166"/>
        <v/>
      </c>
      <c r="I626" s="47"/>
      <c r="J626" s="3" t="str">
        <f t="shared" si="167"/>
        <v/>
      </c>
      <c r="K626" s="47"/>
      <c r="L626" s="3" t="str">
        <f t="shared" si="168"/>
        <v/>
      </c>
      <c r="M626" s="47"/>
      <c r="N626" s="3" t="str">
        <f t="shared" si="169"/>
        <v/>
      </c>
      <c r="O626" s="47"/>
      <c r="P626" s="3" t="str">
        <f t="shared" si="170"/>
        <v/>
      </c>
      <c r="Q626" s="47"/>
      <c r="R626" s="3" t="str">
        <f t="shared" si="171"/>
        <v/>
      </c>
      <c r="S626" s="47"/>
      <c r="T626" s="1" t="str">
        <f t="shared" si="172"/>
        <v/>
      </c>
      <c r="U626" s="47"/>
      <c r="V626" s="1" t="str">
        <f t="shared" si="173"/>
        <v/>
      </c>
      <c r="W626" s="47"/>
      <c r="X626" s="1" t="str">
        <f t="shared" si="174"/>
        <v/>
      </c>
      <c r="Y626" s="47"/>
      <c r="Z626" s="1" t="str">
        <f t="shared" si="175"/>
        <v/>
      </c>
      <c r="AA626" s="47"/>
      <c r="AB626" s="1" t="str">
        <f t="shared" si="176"/>
        <v/>
      </c>
      <c r="AC626" s="47"/>
      <c r="AD626" s="1" t="str">
        <f t="shared" si="177"/>
        <v/>
      </c>
      <c r="AE626" s="47"/>
      <c r="AF626" s="1" t="str">
        <f t="shared" si="178"/>
        <v/>
      </c>
      <c r="AG626" s="47"/>
    </row>
    <row r="627" spans="1:33">
      <c r="A627">
        <f t="shared" si="162"/>
        <v>0</v>
      </c>
      <c r="B627" s="2" t="str">
        <f t="shared" si="179"/>
        <v/>
      </c>
      <c r="C627" s="4" t="str">
        <f t="shared" si="163"/>
        <v/>
      </c>
      <c r="D627" s="3" t="str">
        <f t="shared" si="164"/>
        <v/>
      </c>
      <c r="E627" s="47"/>
      <c r="F627" s="3" t="str">
        <f t="shared" si="165"/>
        <v/>
      </c>
      <c r="G627" s="47"/>
      <c r="H627" s="3" t="str">
        <f t="shared" si="166"/>
        <v/>
      </c>
      <c r="I627" s="47"/>
      <c r="J627" s="3" t="str">
        <f t="shared" si="167"/>
        <v/>
      </c>
      <c r="K627" s="47"/>
      <c r="L627" s="3" t="str">
        <f t="shared" si="168"/>
        <v/>
      </c>
      <c r="M627" s="47"/>
      <c r="N627" s="3" t="str">
        <f t="shared" si="169"/>
        <v/>
      </c>
      <c r="O627" s="47"/>
      <c r="P627" s="3" t="str">
        <f t="shared" si="170"/>
        <v/>
      </c>
      <c r="Q627" s="47"/>
      <c r="R627" s="3" t="str">
        <f t="shared" si="171"/>
        <v/>
      </c>
      <c r="S627" s="47"/>
      <c r="T627" s="1" t="str">
        <f t="shared" si="172"/>
        <v/>
      </c>
      <c r="U627" s="47"/>
      <c r="V627" s="1" t="str">
        <f t="shared" si="173"/>
        <v/>
      </c>
      <c r="W627" s="47"/>
      <c r="X627" s="1" t="str">
        <f t="shared" si="174"/>
        <v/>
      </c>
      <c r="Y627" s="47"/>
      <c r="Z627" s="1" t="str">
        <f t="shared" si="175"/>
        <v/>
      </c>
      <c r="AA627" s="47"/>
      <c r="AB627" s="1" t="str">
        <f t="shared" si="176"/>
        <v/>
      </c>
      <c r="AC627" s="47"/>
      <c r="AD627" s="1" t="str">
        <f t="shared" si="177"/>
        <v/>
      </c>
      <c r="AE627" s="47"/>
      <c r="AF627" s="1" t="str">
        <f t="shared" si="178"/>
        <v/>
      </c>
      <c r="AG627" s="47"/>
    </row>
    <row r="628" spans="1:33">
      <c r="A628">
        <f t="shared" si="162"/>
        <v>0</v>
      </c>
      <c r="B628" s="2" t="str">
        <f t="shared" si="179"/>
        <v/>
      </c>
      <c r="C628" s="4" t="str">
        <f t="shared" si="163"/>
        <v/>
      </c>
      <c r="D628" s="3" t="str">
        <f t="shared" si="164"/>
        <v/>
      </c>
      <c r="E628" s="47"/>
      <c r="F628" s="3" t="str">
        <f t="shared" si="165"/>
        <v/>
      </c>
      <c r="G628" s="47"/>
      <c r="H628" s="3" t="str">
        <f t="shared" si="166"/>
        <v/>
      </c>
      <c r="I628" s="47"/>
      <c r="J628" s="3" t="str">
        <f t="shared" si="167"/>
        <v/>
      </c>
      <c r="K628" s="47"/>
      <c r="L628" s="3" t="str">
        <f t="shared" si="168"/>
        <v/>
      </c>
      <c r="M628" s="47"/>
      <c r="N628" s="3" t="str">
        <f t="shared" si="169"/>
        <v/>
      </c>
      <c r="O628" s="47"/>
      <c r="P628" s="3" t="str">
        <f t="shared" si="170"/>
        <v/>
      </c>
      <c r="Q628" s="47"/>
      <c r="R628" s="3" t="str">
        <f t="shared" si="171"/>
        <v/>
      </c>
      <c r="S628" s="47"/>
      <c r="T628" s="1" t="str">
        <f t="shared" si="172"/>
        <v/>
      </c>
      <c r="U628" s="47"/>
      <c r="V628" s="1" t="str">
        <f t="shared" si="173"/>
        <v/>
      </c>
      <c r="W628" s="47"/>
      <c r="X628" s="1" t="str">
        <f t="shared" si="174"/>
        <v/>
      </c>
      <c r="Y628" s="47"/>
      <c r="Z628" s="1" t="str">
        <f t="shared" si="175"/>
        <v/>
      </c>
      <c r="AA628" s="47"/>
      <c r="AB628" s="1" t="str">
        <f t="shared" si="176"/>
        <v/>
      </c>
      <c r="AC628" s="47"/>
      <c r="AD628" s="1" t="str">
        <f t="shared" si="177"/>
        <v/>
      </c>
      <c r="AE628" s="47"/>
      <c r="AF628" s="1" t="str">
        <f t="shared" si="178"/>
        <v/>
      </c>
      <c r="AG628" s="47"/>
    </row>
    <row r="629" spans="1:33">
      <c r="A629">
        <f t="shared" si="162"/>
        <v>0</v>
      </c>
      <c r="B629" s="2" t="str">
        <f t="shared" si="179"/>
        <v/>
      </c>
      <c r="C629" s="4" t="str">
        <f t="shared" si="163"/>
        <v/>
      </c>
      <c r="D629" s="3" t="str">
        <f t="shared" si="164"/>
        <v/>
      </c>
      <c r="E629" s="47"/>
      <c r="F629" s="3" t="str">
        <f t="shared" si="165"/>
        <v/>
      </c>
      <c r="G629" s="47"/>
      <c r="H629" s="3" t="str">
        <f t="shared" si="166"/>
        <v/>
      </c>
      <c r="I629" s="47"/>
      <c r="J629" s="3" t="str">
        <f t="shared" si="167"/>
        <v/>
      </c>
      <c r="K629" s="47"/>
      <c r="L629" s="3" t="str">
        <f t="shared" si="168"/>
        <v/>
      </c>
      <c r="M629" s="47"/>
      <c r="N629" s="3" t="str">
        <f t="shared" si="169"/>
        <v/>
      </c>
      <c r="O629" s="47"/>
      <c r="P629" s="3" t="str">
        <f t="shared" si="170"/>
        <v/>
      </c>
      <c r="Q629" s="47"/>
      <c r="R629" s="3" t="str">
        <f t="shared" si="171"/>
        <v/>
      </c>
      <c r="S629" s="47"/>
      <c r="T629" s="1" t="str">
        <f t="shared" si="172"/>
        <v/>
      </c>
      <c r="U629" s="47"/>
      <c r="V629" s="1" t="str">
        <f t="shared" si="173"/>
        <v/>
      </c>
      <c r="W629" s="47"/>
      <c r="X629" s="1" t="str">
        <f t="shared" si="174"/>
        <v/>
      </c>
      <c r="Y629" s="47"/>
      <c r="Z629" s="1" t="str">
        <f t="shared" si="175"/>
        <v/>
      </c>
      <c r="AA629" s="47"/>
      <c r="AB629" s="1" t="str">
        <f t="shared" si="176"/>
        <v/>
      </c>
      <c r="AC629" s="47"/>
      <c r="AD629" s="1" t="str">
        <f t="shared" si="177"/>
        <v/>
      </c>
      <c r="AE629" s="47"/>
      <c r="AF629" s="1" t="str">
        <f t="shared" si="178"/>
        <v/>
      </c>
      <c r="AG629" s="47"/>
    </row>
    <row r="630" spans="1:33">
      <c r="A630">
        <f t="shared" si="162"/>
        <v>0</v>
      </c>
      <c r="B630" s="2" t="str">
        <f t="shared" si="179"/>
        <v/>
      </c>
      <c r="C630" s="4" t="str">
        <f t="shared" si="163"/>
        <v/>
      </c>
      <c r="D630" s="3" t="str">
        <f t="shared" si="164"/>
        <v/>
      </c>
      <c r="E630" s="47"/>
      <c r="F630" s="3" t="str">
        <f t="shared" si="165"/>
        <v/>
      </c>
      <c r="G630" s="47"/>
      <c r="H630" s="3" t="str">
        <f t="shared" si="166"/>
        <v/>
      </c>
      <c r="I630" s="47"/>
      <c r="J630" s="3" t="str">
        <f t="shared" si="167"/>
        <v/>
      </c>
      <c r="K630" s="47"/>
      <c r="L630" s="3" t="str">
        <f t="shared" si="168"/>
        <v/>
      </c>
      <c r="M630" s="47"/>
      <c r="N630" s="3" t="str">
        <f t="shared" si="169"/>
        <v/>
      </c>
      <c r="O630" s="47"/>
      <c r="P630" s="3" t="str">
        <f t="shared" si="170"/>
        <v/>
      </c>
      <c r="Q630" s="47"/>
      <c r="R630" s="3" t="str">
        <f t="shared" si="171"/>
        <v/>
      </c>
      <c r="S630" s="47"/>
      <c r="T630" s="1" t="str">
        <f t="shared" si="172"/>
        <v/>
      </c>
      <c r="U630" s="47"/>
      <c r="V630" s="1" t="str">
        <f t="shared" si="173"/>
        <v/>
      </c>
      <c r="W630" s="47"/>
      <c r="X630" s="1" t="str">
        <f t="shared" si="174"/>
        <v/>
      </c>
      <c r="Y630" s="47"/>
      <c r="Z630" s="1" t="str">
        <f t="shared" si="175"/>
        <v/>
      </c>
      <c r="AA630" s="47"/>
      <c r="AB630" s="1" t="str">
        <f t="shared" si="176"/>
        <v/>
      </c>
      <c r="AC630" s="47"/>
      <c r="AD630" s="1" t="str">
        <f t="shared" si="177"/>
        <v/>
      </c>
      <c r="AE630" s="47"/>
      <c r="AF630" s="1" t="str">
        <f t="shared" si="178"/>
        <v/>
      </c>
      <c r="AG630" s="47"/>
    </row>
    <row r="631" spans="1:33">
      <c r="A631">
        <f t="shared" si="162"/>
        <v>0</v>
      </c>
      <c r="B631" s="2" t="str">
        <f t="shared" si="179"/>
        <v/>
      </c>
      <c r="C631" s="4" t="str">
        <f t="shared" si="163"/>
        <v/>
      </c>
      <c r="D631" s="3" t="str">
        <f t="shared" si="164"/>
        <v/>
      </c>
      <c r="E631" s="47"/>
      <c r="F631" s="3" t="str">
        <f t="shared" si="165"/>
        <v/>
      </c>
      <c r="G631" s="47"/>
      <c r="H631" s="3" t="str">
        <f t="shared" si="166"/>
        <v/>
      </c>
      <c r="I631" s="47"/>
      <c r="J631" s="3" t="str">
        <f t="shared" si="167"/>
        <v/>
      </c>
      <c r="K631" s="47"/>
      <c r="L631" s="3" t="str">
        <f t="shared" si="168"/>
        <v/>
      </c>
      <c r="M631" s="47"/>
      <c r="N631" s="3" t="str">
        <f t="shared" si="169"/>
        <v/>
      </c>
      <c r="O631" s="47"/>
      <c r="P631" s="3" t="str">
        <f t="shared" si="170"/>
        <v/>
      </c>
      <c r="Q631" s="47"/>
      <c r="R631" s="3" t="str">
        <f t="shared" si="171"/>
        <v/>
      </c>
      <c r="S631" s="47"/>
      <c r="T631" s="1" t="str">
        <f t="shared" si="172"/>
        <v/>
      </c>
      <c r="U631" s="47"/>
      <c r="V631" s="1" t="str">
        <f t="shared" si="173"/>
        <v/>
      </c>
      <c r="W631" s="47"/>
      <c r="X631" s="1" t="str">
        <f t="shared" si="174"/>
        <v/>
      </c>
      <c r="Y631" s="47"/>
      <c r="Z631" s="1" t="str">
        <f t="shared" si="175"/>
        <v/>
      </c>
      <c r="AA631" s="47"/>
      <c r="AB631" s="1" t="str">
        <f t="shared" si="176"/>
        <v/>
      </c>
      <c r="AC631" s="47"/>
      <c r="AD631" s="1" t="str">
        <f t="shared" si="177"/>
        <v/>
      </c>
      <c r="AE631" s="47"/>
      <c r="AF631" s="1" t="str">
        <f t="shared" si="178"/>
        <v/>
      </c>
      <c r="AG631" s="47"/>
    </row>
    <row r="632" spans="1:33">
      <c r="A632">
        <f t="shared" si="162"/>
        <v>0</v>
      </c>
      <c r="B632" s="2" t="str">
        <f t="shared" si="179"/>
        <v/>
      </c>
      <c r="C632" s="4" t="str">
        <f t="shared" si="163"/>
        <v/>
      </c>
      <c r="D632" s="3" t="str">
        <f t="shared" si="164"/>
        <v/>
      </c>
      <c r="E632" s="47"/>
      <c r="F632" s="3" t="str">
        <f t="shared" si="165"/>
        <v/>
      </c>
      <c r="G632" s="47"/>
      <c r="H632" s="3" t="str">
        <f t="shared" si="166"/>
        <v/>
      </c>
      <c r="I632" s="47"/>
      <c r="J632" s="3" t="str">
        <f t="shared" si="167"/>
        <v/>
      </c>
      <c r="K632" s="47"/>
      <c r="L632" s="3" t="str">
        <f t="shared" si="168"/>
        <v/>
      </c>
      <c r="M632" s="47"/>
      <c r="N632" s="3" t="str">
        <f t="shared" si="169"/>
        <v/>
      </c>
      <c r="O632" s="47"/>
      <c r="P632" s="3" t="str">
        <f t="shared" si="170"/>
        <v/>
      </c>
      <c r="Q632" s="47"/>
      <c r="R632" s="3" t="str">
        <f t="shared" si="171"/>
        <v/>
      </c>
      <c r="S632" s="47"/>
      <c r="T632" s="1" t="str">
        <f t="shared" si="172"/>
        <v/>
      </c>
      <c r="U632" s="47"/>
      <c r="V632" s="1" t="str">
        <f t="shared" si="173"/>
        <v/>
      </c>
      <c r="W632" s="47"/>
      <c r="X632" s="1" t="str">
        <f t="shared" si="174"/>
        <v/>
      </c>
      <c r="Y632" s="47"/>
      <c r="Z632" s="1" t="str">
        <f t="shared" si="175"/>
        <v/>
      </c>
      <c r="AA632" s="47"/>
      <c r="AB632" s="1" t="str">
        <f t="shared" si="176"/>
        <v/>
      </c>
      <c r="AC632" s="47"/>
      <c r="AD632" s="1" t="str">
        <f t="shared" si="177"/>
        <v/>
      </c>
      <c r="AE632" s="47"/>
      <c r="AF632" s="1" t="str">
        <f t="shared" si="178"/>
        <v/>
      </c>
      <c r="AG632" s="47"/>
    </row>
    <row r="633" spans="1:33">
      <c r="A633">
        <f t="shared" si="162"/>
        <v>0</v>
      </c>
      <c r="B633" s="2" t="str">
        <f t="shared" si="179"/>
        <v/>
      </c>
      <c r="C633" s="4" t="str">
        <f t="shared" si="163"/>
        <v/>
      </c>
      <c r="D633" s="3" t="str">
        <f t="shared" si="164"/>
        <v/>
      </c>
      <c r="E633" s="47"/>
      <c r="F633" s="3" t="str">
        <f t="shared" si="165"/>
        <v/>
      </c>
      <c r="G633" s="47"/>
      <c r="H633" s="3" t="str">
        <f t="shared" si="166"/>
        <v/>
      </c>
      <c r="I633" s="47"/>
      <c r="J633" s="3" t="str">
        <f t="shared" si="167"/>
        <v/>
      </c>
      <c r="K633" s="47"/>
      <c r="L633" s="3" t="str">
        <f t="shared" si="168"/>
        <v/>
      </c>
      <c r="M633" s="47"/>
      <c r="N633" s="3" t="str">
        <f t="shared" si="169"/>
        <v/>
      </c>
      <c r="O633" s="47"/>
      <c r="P633" s="3" t="str">
        <f t="shared" si="170"/>
        <v/>
      </c>
      <c r="Q633" s="47"/>
      <c r="R633" s="3" t="str">
        <f t="shared" si="171"/>
        <v/>
      </c>
      <c r="S633" s="47"/>
      <c r="T633" s="1" t="str">
        <f t="shared" si="172"/>
        <v/>
      </c>
      <c r="U633" s="47"/>
      <c r="V633" s="1" t="str">
        <f t="shared" si="173"/>
        <v/>
      </c>
      <c r="W633" s="47"/>
      <c r="X633" s="1" t="str">
        <f t="shared" si="174"/>
        <v/>
      </c>
      <c r="Y633" s="47"/>
      <c r="Z633" s="1" t="str">
        <f t="shared" si="175"/>
        <v/>
      </c>
      <c r="AA633" s="47"/>
      <c r="AB633" s="1" t="str">
        <f t="shared" si="176"/>
        <v/>
      </c>
      <c r="AC633" s="47"/>
      <c r="AD633" s="1" t="str">
        <f t="shared" si="177"/>
        <v/>
      </c>
      <c r="AE633" s="47"/>
      <c r="AF633" s="1" t="str">
        <f t="shared" si="178"/>
        <v/>
      </c>
      <c r="AG633" s="47"/>
    </row>
    <row r="634" spans="1:33">
      <c r="A634">
        <f t="shared" si="162"/>
        <v>0</v>
      </c>
      <c r="B634" s="2" t="str">
        <f t="shared" si="179"/>
        <v/>
      </c>
      <c r="C634" s="4" t="str">
        <f t="shared" si="163"/>
        <v/>
      </c>
      <c r="D634" s="3" t="str">
        <f t="shared" si="164"/>
        <v/>
      </c>
      <c r="E634" s="47"/>
      <c r="F634" s="3" t="str">
        <f t="shared" si="165"/>
        <v/>
      </c>
      <c r="G634" s="47"/>
      <c r="H634" s="3" t="str">
        <f t="shared" si="166"/>
        <v/>
      </c>
      <c r="I634" s="47"/>
      <c r="J634" s="3" t="str">
        <f t="shared" si="167"/>
        <v/>
      </c>
      <c r="K634" s="47"/>
      <c r="L634" s="3" t="str">
        <f t="shared" si="168"/>
        <v/>
      </c>
      <c r="M634" s="47"/>
      <c r="N634" s="3" t="str">
        <f t="shared" si="169"/>
        <v/>
      </c>
      <c r="O634" s="47"/>
      <c r="P634" s="3" t="str">
        <f t="shared" si="170"/>
        <v/>
      </c>
      <c r="Q634" s="47"/>
      <c r="R634" s="3" t="str">
        <f t="shared" si="171"/>
        <v/>
      </c>
      <c r="S634" s="47"/>
      <c r="T634" s="1" t="str">
        <f t="shared" si="172"/>
        <v/>
      </c>
      <c r="U634" s="47"/>
      <c r="V634" s="1" t="str">
        <f t="shared" si="173"/>
        <v/>
      </c>
      <c r="W634" s="47"/>
      <c r="X634" s="1" t="str">
        <f t="shared" si="174"/>
        <v/>
      </c>
      <c r="Y634" s="47"/>
      <c r="Z634" s="1" t="str">
        <f t="shared" si="175"/>
        <v/>
      </c>
      <c r="AA634" s="47"/>
      <c r="AB634" s="1" t="str">
        <f t="shared" si="176"/>
        <v/>
      </c>
      <c r="AC634" s="47"/>
      <c r="AD634" s="1" t="str">
        <f t="shared" si="177"/>
        <v/>
      </c>
      <c r="AE634" s="47"/>
      <c r="AF634" s="1" t="str">
        <f t="shared" si="178"/>
        <v/>
      </c>
      <c r="AG634" s="47"/>
    </row>
    <row r="635" spans="1:33">
      <c r="A635">
        <f t="shared" si="162"/>
        <v>0</v>
      </c>
      <c r="B635" s="2" t="str">
        <f t="shared" si="179"/>
        <v/>
      </c>
      <c r="C635" s="4" t="str">
        <f t="shared" si="163"/>
        <v/>
      </c>
      <c r="D635" s="3" t="str">
        <f t="shared" si="164"/>
        <v/>
      </c>
      <c r="E635" s="47"/>
      <c r="F635" s="3" t="str">
        <f t="shared" si="165"/>
        <v/>
      </c>
      <c r="G635" s="47"/>
      <c r="H635" s="3" t="str">
        <f t="shared" si="166"/>
        <v/>
      </c>
      <c r="I635" s="47"/>
      <c r="J635" s="3" t="str">
        <f t="shared" si="167"/>
        <v/>
      </c>
      <c r="K635" s="47"/>
      <c r="L635" s="3" t="str">
        <f t="shared" si="168"/>
        <v/>
      </c>
      <c r="M635" s="47"/>
      <c r="N635" s="3" t="str">
        <f t="shared" si="169"/>
        <v/>
      </c>
      <c r="O635" s="47"/>
      <c r="P635" s="3" t="str">
        <f t="shared" si="170"/>
        <v/>
      </c>
      <c r="Q635" s="47"/>
      <c r="R635" s="3" t="str">
        <f t="shared" si="171"/>
        <v/>
      </c>
      <c r="S635" s="47"/>
      <c r="T635" s="1" t="str">
        <f t="shared" si="172"/>
        <v/>
      </c>
      <c r="U635" s="47"/>
      <c r="V635" s="1" t="str">
        <f t="shared" si="173"/>
        <v/>
      </c>
      <c r="W635" s="47"/>
      <c r="X635" s="1" t="str">
        <f t="shared" si="174"/>
        <v/>
      </c>
      <c r="Y635" s="47"/>
      <c r="Z635" s="1" t="str">
        <f t="shared" si="175"/>
        <v/>
      </c>
      <c r="AA635" s="47"/>
      <c r="AB635" s="1" t="str">
        <f t="shared" si="176"/>
        <v/>
      </c>
      <c r="AC635" s="47"/>
      <c r="AD635" s="1" t="str">
        <f t="shared" si="177"/>
        <v/>
      </c>
      <c r="AE635" s="47"/>
      <c r="AF635" s="1" t="str">
        <f t="shared" si="178"/>
        <v/>
      </c>
      <c r="AG635" s="47"/>
    </row>
    <row r="636" spans="1:33">
      <c r="A636">
        <f t="shared" si="162"/>
        <v>0</v>
      </c>
      <c r="B636" s="2" t="str">
        <f t="shared" si="179"/>
        <v/>
      </c>
      <c r="C636" s="4" t="str">
        <f t="shared" si="163"/>
        <v/>
      </c>
      <c r="D636" s="3" t="str">
        <f t="shared" si="164"/>
        <v/>
      </c>
      <c r="E636" s="47"/>
      <c r="F636" s="3" t="str">
        <f t="shared" si="165"/>
        <v/>
      </c>
      <c r="G636" s="47"/>
      <c r="H636" s="3" t="str">
        <f t="shared" si="166"/>
        <v/>
      </c>
      <c r="I636" s="47"/>
      <c r="J636" s="3" t="str">
        <f t="shared" si="167"/>
        <v/>
      </c>
      <c r="K636" s="47"/>
      <c r="L636" s="3" t="str">
        <f t="shared" si="168"/>
        <v/>
      </c>
      <c r="M636" s="47"/>
      <c r="N636" s="3" t="str">
        <f t="shared" si="169"/>
        <v/>
      </c>
      <c r="O636" s="47"/>
      <c r="P636" s="3" t="str">
        <f t="shared" si="170"/>
        <v/>
      </c>
      <c r="Q636" s="47"/>
      <c r="R636" s="3" t="str">
        <f t="shared" si="171"/>
        <v/>
      </c>
      <c r="S636" s="47"/>
      <c r="T636" s="1" t="str">
        <f t="shared" si="172"/>
        <v/>
      </c>
      <c r="U636" s="47"/>
      <c r="V636" s="1" t="str">
        <f t="shared" si="173"/>
        <v/>
      </c>
      <c r="W636" s="47"/>
      <c r="X636" s="1" t="str">
        <f t="shared" si="174"/>
        <v/>
      </c>
      <c r="Y636" s="47"/>
      <c r="Z636" s="1" t="str">
        <f t="shared" si="175"/>
        <v/>
      </c>
      <c r="AA636" s="47"/>
      <c r="AB636" s="1" t="str">
        <f t="shared" si="176"/>
        <v/>
      </c>
      <c r="AC636" s="47"/>
      <c r="AD636" s="1" t="str">
        <f t="shared" si="177"/>
        <v/>
      </c>
      <c r="AE636" s="47"/>
      <c r="AF636" s="1" t="str">
        <f t="shared" si="178"/>
        <v/>
      </c>
      <c r="AG636" s="47"/>
    </row>
    <row r="637" spans="1:33">
      <c r="A637">
        <f t="shared" si="162"/>
        <v>0</v>
      </c>
      <c r="B637" s="2" t="str">
        <f t="shared" si="179"/>
        <v/>
      </c>
      <c r="C637" s="4" t="str">
        <f t="shared" si="163"/>
        <v/>
      </c>
      <c r="D637" s="3" t="str">
        <f t="shared" si="164"/>
        <v/>
      </c>
      <c r="E637" s="47"/>
      <c r="F637" s="3" t="str">
        <f t="shared" si="165"/>
        <v/>
      </c>
      <c r="G637" s="47"/>
      <c r="H637" s="3" t="str">
        <f t="shared" si="166"/>
        <v/>
      </c>
      <c r="I637" s="47"/>
      <c r="J637" s="3" t="str">
        <f t="shared" si="167"/>
        <v/>
      </c>
      <c r="K637" s="47"/>
      <c r="L637" s="3" t="str">
        <f t="shared" si="168"/>
        <v/>
      </c>
      <c r="M637" s="47"/>
      <c r="N637" s="3" t="str">
        <f t="shared" si="169"/>
        <v/>
      </c>
      <c r="O637" s="47"/>
      <c r="P637" s="3" t="str">
        <f t="shared" si="170"/>
        <v/>
      </c>
      <c r="Q637" s="47"/>
      <c r="R637" s="3" t="str">
        <f t="shared" si="171"/>
        <v/>
      </c>
      <c r="S637" s="47"/>
      <c r="T637" s="1" t="str">
        <f t="shared" si="172"/>
        <v/>
      </c>
      <c r="U637" s="47"/>
      <c r="V637" s="1" t="str">
        <f t="shared" si="173"/>
        <v/>
      </c>
      <c r="W637" s="47"/>
      <c r="X637" s="1" t="str">
        <f t="shared" si="174"/>
        <v/>
      </c>
      <c r="Y637" s="47"/>
      <c r="Z637" s="1" t="str">
        <f t="shared" si="175"/>
        <v/>
      </c>
      <c r="AA637" s="47"/>
      <c r="AB637" s="1" t="str">
        <f t="shared" si="176"/>
        <v/>
      </c>
      <c r="AC637" s="47"/>
      <c r="AD637" s="1" t="str">
        <f t="shared" si="177"/>
        <v/>
      </c>
      <c r="AE637" s="47"/>
      <c r="AF637" s="1" t="str">
        <f t="shared" si="178"/>
        <v/>
      </c>
      <c r="AG637" s="47"/>
    </row>
    <row r="638" spans="1:33">
      <c r="A638">
        <f t="shared" si="162"/>
        <v>0</v>
      </c>
      <c r="B638" s="2" t="str">
        <f t="shared" si="179"/>
        <v/>
      </c>
      <c r="C638" s="4" t="str">
        <f t="shared" si="163"/>
        <v/>
      </c>
      <c r="D638" s="3" t="str">
        <f t="shared" si="164"/>
        <v/>
      </c>
      <c r="E638" s="47"/>
      <c r="F638" s="3" t="str">
        <f t="shared" si="165"/>
        <v/>
      </c>
      <c r="G638" s="47"/>
      <c r="H638" s="3" t="str">
        <f t="shared" si="166"/>
        <v/>
      </c>
      <c r="I638" s="47"/>
      <c r="J638" s="3" t="str">
        <f t="shared" si="167"/>
        <v/>
      </c>
      <c r="K638" s="47"/>
      <c r="L638" s="3" t="str">
        <f t="shared" si="168"/>
        <v/>
      </c>
      <c r="M638" s="47"/>
      <c r="N638" s="3" t="str">
        <f t="shared" si="169"/>
        <v/>
      </c>
      <c r="O638" s="47"/>
      <c r="P638" s="3" t="str">
        <f t="shared" si="170"/>
        <v/>
      </c>
      <c r="Q638" s="47"/>
      <c r="R638" s="3" t="str">
        <f t="shared" si="171"/>
        <v/>
      </c>
      <c r="S638" s="47"/>
      <c r="T638" s="1" t="str">
        <f t="shared" si="172"/>
        <v/>
      </c>
      <c r="U638" s="47"/>
      <c r="V638" s="1" t="str">
        <f t="shared" si="173"/>
        <v/>
      </c>
      <c r="W638" s="47"/>
      <c r="X638" s="1" t="str">
        <f t="shared" si="174"/>
        <v/>
      </c>
      <c r="Y638" s="47"/>
      <c r="Z638" s="1" t="str">
        <f t="shared" si="175"/>
        <v/>
      </c>
      <c r="AA638" s="47"/>
      <c r="AB638" s="1" t="str">
        <f t="shared" si="176"/>
        <v/>
      </c>
      <c r="AC638" s="47"/>
      <c r="AD638" s="1" t="str">
        <f t="shared" si="177"/>
        <v/>
      </c>
      <c r="AE638" s="47"/>
      <c r="AF638" s="1" t="str">
        <f t="shared" si="178"/>
        <v/>
      </c>
      <c r="AG638" s="47"/>
    </row>
    <row r="639" spans="1:33">
      <c r="A639">
        <f t="shared" si="162"/>
        <v>0</v>
      </c>
      <c r="B639" s="2" t="str">
        <f t="shared" si="179"/>
        <v/>
      </c>
      <c r="C639" s="4" t="str">
        <f t="shared" si="163"/>
        <v/>
      </c>
      <c r="D639" s="3" t="str">
        <f t="shared" si="164"/>
        <v/>
      </c>
      <c r="E639" s="47"/>
      <c r="F639" s="3" t="str">
        <f t="shared" si="165"/>
        <v/>
      </c>
      <c r="G639" s="47"/>
      <c r="H639" s="3" t="str">
        <f t="shared" si="166"/>
        <v/>
      </c>
      <c r="I639" s="47"/>
      <c r="J639" s="3" t="str">
        <f t="shared" si="167"/>
        <v/>
      </c>
      <c r="K639" s="47"/>
      <c r="L639" s="3" t="str">
        <f t="shared" si="168"/>
        <v/>
      </c>
      <c r="M639" s="47"/>
      <c r="N639" s="3" t="str">
        <f t="shared" si="169"/>
        <v/>
      </c>
      <c r="O639" s="47"/>
      <c r="P639" s="3" t="str">
        <f t="shared" si="170"/>
        <v/>
      </c>
      <c r="Q639" s="47"/>
      <c r="R639" s="3" t="str">
        <f t="shared" si="171"/>
        <v/>
      </c>
      <c r="S639" s="47"/>
      <c r="T639" s="1" t="str">
        <f t="shared" si="172"/>
        <v/>
      </c>
      <c r="U639" s="47"/>
      <c r="V639" s="1" t="str">
        <f t="shared" si="173"/>
        <v/>
      </c>
      <c r="W639" s="47"/>
      <c r="X639" s="1" t="str">
        <f t="shared" si="174"/>
        <v/>
      </c>
      <c r="Y639" s="47"/>
      <c r="Z639" s="1" t="str">
        <f t="shared" si="175"/>
        <v/>
      </c>
      <c r="AA639" s="47"/>
      <c r="AB639" s="1" t="str">
        <f t="shared" si="176"/>
        <v/>
      </c>
      <c r="AC639" s="47"/>
      <c r="AD639" s="1" t="str">
        <f t="shared" si="177"/>
        <v/>
      </c>
      <c r="AE639" s="47"/>
      <c r="AF639" s="1" t="str">
        <f t="shared" si="178"/>
        <v/>
      </c>
      <c r="AG639" s="47"/>
    </row>
    <row r="640" spans="1:33">
      <c r="A640">
        <f t="shared" si="162"/>
        <v>0</v>
      </c>
      <c r="B640" s="2" t="str">
        <f t="shared" si="179"/>
        <v/>
      </c>
      <c r="C640" s="4" t="str">
        <f t="shared" si="163"/>
        <v/>
      </c>
      <c r="D640" s="3" t="str">
        <f t="shared" si="164"/>
        <v/>
      </c>
      <c r="E640" s="47"/>
      <c r="F640" s="3" t="str">
        <f t="shared" si="165"/>
        <v/>
      </c>
      <c r="G640" s="47"/>
      <c r="H640" s="3" t="str">
        <f t="shared" si="166"/>
        <v/>
      </c>
      <c r="I640" s="47"/>
      <c r="J640" s="3" t="str">
        <f t="shared" si="167"/>
        <v/>
      </c>
      <c r="K640" s="47"/>
      <c r="L640" s="3" t="str">
        <f t="shared" si="168"/>
        <v/>
      </c>
      <c r="M640" s="47"/>
      <c r="N640" s="3" t="str">
        <f t="shared" si="169"/>
        <v/>
      </c>
      <c r="O640" s="47"/>
      <c r="P640" s="3" t="str">
        <f t="shared" si="170"/>
        <v/>
      </c>
      <c r="Q640" s="47"/>
      <c r="R640" s="3" t="str">
        <f t="shared" si="171"/>
        <v/>
      </c>
      <c r="S640" s="47"/>
      <c r="T640" s="1" t="str">
        <f t="shared" si="172"/>
        <v/>
      </c>
      <c r="U640" s="47"/>
      <c r="V640" s="1" t="str">
        <f t="shared" si="173"/>
        <v/>
      </c>
      <c r="W640" s="47"/>
      <c r="X640" s="1" t="str">
        <f t="shared" si="174"/>
        <v/>
      </c>
      <c r="Y640" s="47"/>
      <c r="Z640" s="1" t="str">
        <f t="shared" si="175"/>
        <v/>
      </c>
      <c r="AA640" s="47"/>
      <c r="AB640" s="1" t="str">
        <f t="shared" si="176"/>
        <v/>
      </c>
      <c r="AC640" s="47"/>
      <c r="AD640" s="1" t="str">
        <f t="shared" si="177"/>
        <v/>
      </c>
      <c r="AE640" s="47"/>
      <c r="AF640" s="1" t="str">
        <f t="shared" si="178"/>
        <v/>
      </c>
      <c r="AG640" s="47"/>
    </row>
    <row r="641" spans="1:33">
      <c r="A641">
        <f t="shared" si="162"/>
        <v>0</v>
      </c>
      <c r="B641" s="2" t="str">
        <f t="shared" si="179"/>
        <v/>
      </c>
      <c r="C641" s="4" t="str">
        <f t="shared" si="163"/>
        <v/>
      </c>
      <c r="D641" s="3" t="str">
        <f t="shared" si="164"/>
        <v/>
      </c>
      <c r="E641" s="47"/>
      <c r="F641" s="3" t="str">
        <f t="shared" si="165"/>
        <v/>
      </c>
      <c r="G641" s="47"/>
      <c r="H641" s="3" t="str">
        <f t="shared" si="166"/>
        <v/>
      </c>
      <c r="I641" s="47"/>
      <c r="J641" s="3" t="str">
        <f t="shared" si="167"/>
        <v/>
      </c>
      <c r="K641" s="47"/>
      <c r="L641" s="3" t="str">
        <f t="shared" si="168"/>
        <v/>
      </c>
      <c r="M641" s="47"/>
      <c r="N641" s="3" t="str">
        <f t="shared" si="169"/>
        <v/>
      </c>
      <c r="O641" s="47"/>
      <c r="P641" s="3" t="str">
        <f t="shared" si="170"/>
        <v/>
      </c>
      <c r="Q641" s="47"/>
      <c r="R641" s="3" t="str">
        <f t="shared" si="171"/>
        <v/>
      </c>
      <c r="S641" s="47"/>
      <c r="T641" s="1" t="str">
        <f t="shared" si="172"/>
        <v/>
      </c>
      <c r="U641" s="47"/>
      <c r="V641" s="1" t="str">
        <f t="shared" si="173"/>
        <v/>
      </c>
      <c r="W641" s="47"/>
      <c r="X641" s="1" t="str">
        <f t="shared" si="174"/>
        <v/>
      </c>
      <c r="Y641" s="47"/>
      <c r="Z641" s="1" t="str">
        <f t="shared" si="175"/>
        <v/>
      </c>
      <c r="AA641" s="47"/>
      <c r="AB641" s="1" t="str">
        <f t="shared" si="176"/>
        <v/>
      </c>
      <c r="AC641" s="47"/>
      <c r="AD641" s="1" t="str">
        <f t="shared" si="177"/>
        <v/>
      </c>
      <c r="AE641" s="47"/>
      <c r="AF641" s="1" t="str">
        <f t="shared" si="178"/>
        <v/>
      </c>
      <c r="AG641" s="47"/>
    </row>
    <row r="642" spans="1:33">
      <c r="A642">
        <f t="shared" si="162"/>
        <v>0</v>
      </c>
      <c r="B642" s="2" t="str">
        <f t="shared" si="179"/>
        <v/>
      </c>
      <c r="C642" s="4" t="str">
        <f t="shared" si="163"/>
        <v/>
      </c>
      <c r="D642" s="3" t="str">
        <f t="shared" si="164"/>
        <v/>
      </c>
      <c r="E642" s="47"/>
      <c r="F642" s="3" t="str">
        <f t="shared" si="165"/>
        <v/>
      </c>
      <c r="G642" s="47"/>
      <c r="H642" s="3" t="str">
        <f t="shared" si="166"/>
        <v/>
      </c>
      <c r="I642" s="47"/>
      <c r="J642" s="3" t="str">
        <f t="shared" si="167"/>
        <v/>
      </c>
      <c r="K642" s="47"/>
      <c r="L642" s="3" t="str">
        <f t="shared" si="168"/>
        <v/>
      </c>
      <c r="M642" s="47"/>
      <c r="N642" s="3" t="str">
        <f t="shared" si="169"/>
        <v/>
      </c>
      <c r="O642" s="47"/>
      <c r="P642" s="3" t="str">
        <f t="shared" si="170"/>
        <v/>
      </c>
      <c r="Q642" s="47"/>
      <c r="R642" s="3" t="str">
        <f t="shared" si="171"/>
        <v/>
      </c>
      <c r="S642" s="47"/>
      <c r="T642" s="1" t="str">
        <f t="shared" si="172"/>
        <v/>
      </c>
      <c r="U642" s="47"/>
      <c r="V642" s="1" t="str">
        <f t="shared" si="173"/>
        <v/>
      </c>
      <c r="W642" s="47"/>
      <c r="X642" s="1" t="str">
        <f t="shared" si="174"/>
        <v/>
      </c>
      <c r="Y642" s="47"/>
      <c r="Z642" s="1" t="str">
        <f t="shared" si="175"/>
        <v/>
      </c>
      <c r="AA642" s="47"/>
      <c r="AB642" s="1" t="str">
        <f t="shared" si="176"/>
        <v/>
      </c>
      <c r="AC642" s="47"/>
      <c r="AD642" s="1" t="str">
        <f t="shared" si="177"/>
        <v/>
      </c>
      <c r="AE642" s="47"/>
      <c r="AF642" s="1" t="str">
        <f t="shared" si="178"/>
        <v/>
      </c>
      <c r="AG642" s="47"/>
    </row>
    <row r="643" spans="1:33">
      <c r="A643">
        <f t="shared" si="162"/>
        <v>0</v>
      </c>
      <c r="B643" s="2" t="str">
        <f t="shared" si="179"/>
        <v/>
      </c>
      <c r="C643" s="4" t="str">
        <f t="shared" si="163"/>
        <v/>
      </c>
      <c r="D643" s="3" t="str">
        <f t="shared" si="164"/>
        <v/>
      </c>
      <c r="E643" s="47"/>
      <c r="F643" s="3" t="str">
        <f t="shared" si="165"/>
        <v/>
      </c>
      <c r="G643" s="47"/>
      <c r="H643" s="3" t="str">
        <f t="shared" si="166"/>
        <v/>
      </c>
      <c r="I643" s="47"/>
      <c r="J643" s="3" t="str">
        <f t="shared" si="167"/>
        <v/>
      </c>
      <c r="K643" s="47"/>
      <c r="L643" s="3" t="str">
        <f t="shared" si="168"/>
        <v/>
      </c>
      <c r="M643" s="47"/>
      <c r="N643" s="3" t="str">
        <f t="shared" si="169"/>
        <v/>
      </c>
      <c r="O643" s="47"/>
      <c r="P643" s="3" t="str">
        <f t="shared" si="170"/>
        <v/>
      </c>
      <c r="Q643" s="47"/>
      <c r="R643" s="3" t="str">
        <f t="shared" si="171"/>
        <v/>
      </c>
      <c r="S643" s="47"/>
      <c r="T643" s="1" t="str">
        <f t="shared" si="172"/>
        <v/>
      </c>
      <c r="U643" s="47"/>
      <c r="V643" s="1" t="str">
        <f t="shared" si="173"/>
        <v/>
      </c>
      <c r="W643" s="47"/>
      <c r="X643" s="1" t="str">
        <f t="shared" si="174"/>
        <v/>
      </c>
      <c r="Y643" s="47"/>
      <c r="Z643" s="1" t="str">
        <f t="shared" si="175"/>
        <v/>
      </c>
      <c r="AA643" s="47"/>
      <c r="AB643" s="1" t="str">
        <f t="shared" si="176"/>
        <v/>
      </c>
      <c r="AC643" s="47"/>
      <c r="AD643" s="1" t="str">
        <f t="shared" si="177"/>
        <v/>
      </c>
      <c r="AE643" s="47"/>
      <c r="AF643" s="1" t="str">
        <f t="shared" si="178"/>
        <v/>
      </c>
      <c r="AG643" s="47"/>
    </row>
    <row r="644" spans="1:33">
      <c r="A644">
        <f t="shared" si="162"/>
        <v>0</v>
      </c>
      <c r="B644" s="2" t="str">
        <f t="shared" si="179"/>
        <v/>
      </c>
      <c r="C644" s="4" t="str">
        <f t="shared" si="163"/>
        <v/>
      </c>
      <c r="D644" s="3" t="str">
        <f t="shared" si="164"/>
        <v/>
      </c>
      <c r="E644" s="47"/>
      <c r="F644" s="3" t="str">
        <f t="shared" si="165"/>
        <v/>
      </c>
      <c r="G644" s="47"/>
      <c r="H644" s="3" t="str">
        <f t="shared" si="166"/>
        <v/>
      </c>
      <c r="I644" s="47"/>
      <c r="J644" s="3" t="str">
        <f t="shared" si="167"/>
        <v/>
      </c>
      <c r="K644" s="47"/>
      <c r="L644" s="3" t="str">
        <f t="shared" si="168"/>
        <v/>
      </c>
      <c r="M644" s="47"/>
      <c r="N644" s="3" t="str">
        <f t="shared" si="169"/>
        <v/>
      </c>
      <c r="O644" s="47"/>
      <c r="P644" s="3" t="str">
        <f t="shared" si="170"/>
        <v/>
      </c>
      <c r="Q644" s="47"/>
      <c r="R644" s="3" t="str">
        <f t="shared" si="171"/>
        <v/>
      </c>
      <c r="S644" s="47"/>
      <c r="T644" s="1" t="str">
        <f t="shared" si="172"/>
        <v/>
      </c>
      <c r="U644" s="47"/>
      <c r="V644" s="1" t="str">
        <f t="shared" si="173"/>
        <v/>
      </c>
      <c r="W644" s="47"/>
      <c r="X644" s="1" t="str">
        <f t="shared" si="174"/>
        <v/>
      </c>
      <c r="Y644" s="47"/>
      <c r="Z644" s="1" t="str">
        <f t="shared" si="175"/>
        <v/>
      </c>
      <c r="AA644" s="47"/>
      <c r="AB644" s="1" t="str">
        <f t="shared" si="176"/>
        <v/>
      </c>
      <c r="AC644" s="47"/>
      <c r="AD644" s="1" t="str">
        <f t="shared" si="177"/>
        <v/>
      </c>
      <c r="AE644" s="47"/>
      <c r="AF644" s="1" t="str">
        <f t="shared" si="178"/>
        <v/>
      </c>
      <c r="AG644" s="47"/>
    </row>
    <row r="645" spans="1:33">
      <c r="A645">
        <f t="shared" si="162"/>
        <v>0</v>
      </c>
      <c r="B645" s="2" t="str">
        <f t="shared" si="179"/>
        <v/>
      </c>
      <c r="C645" s="4" t="str">
        <f t="shared" si="163"/>
        <v/>
      </c>
      <c r="D645" s="3" t="str">
        <f t="shared" si="164"/>
        <v/>
      </c>
      <c r="E645" s="47"/>
      <c r="F645" s="3" t="str">
        <f t="shared" si="165"/>
        <v/>
      </c>
      <c r="G645" s="47"/>
      <c r="H645" s="3" t="str">
        <f t="shared" si="166"/>
        <v/>
      </c>
      <c r="I645" s="47"/>
      <c r="J645" s="3" t="str">
        <f t="shared" si="167"/>
        <v/>
      </c>
      <c r="K645" s="47"/>
      <c r="L645" s="3" t="str">
        <f t="shared" si="168"/>
        <v/>
      </c>
      <c r="M645" s="47"/>
      <c r="N645" s="3" t="str">
        <f t="shared" si="169"/>
        <v/>
      </c>
      <c r="O645" s="47"/>
      <c r="P645" s="3" t="str">
        <f t="shared" si="170"/>
        <v/>
      </c>
      <c r="Q645" s="47"/>
      <c r="R645" s="3" t="str">
        <f t="shared" si="171"/>
        <v/>
      </c>
      <c r="S645" s="47"/>
      <c r="T645" s="1" t="str">
        <f t="shared" si="172"/>
        <v/>
      </c>
      <c r="U645" s="47"/>
      <c r="V645" s="1" t="str">
        <f t="shared" si="173"/>
        <v/>
      </c>
      <c r="W645" s="47"/>
      <c r="X645" s="1" t="str">
        <f t="shared" si="174"/>
        <v/>
      </c>
      <c r="Y645" s="47"/>
      <c r="Z645" s="1" t="str">
        <f t="shared" si="175"/>
        <v/>
      </c>
      <c r="AA645" s="47"/>
      <c r="AB645" s="1" t="str">
        <f t="shared" si="176"/>
        <v/>
      </c>
      <c r="AC645" s="47"/>
      <c r="AD645" s="1" t="str">
        <f t="shared" si="177"/>
        <v/>
      </c>
      <c r="AE645" s="47"/>
      <c r="AF645" s="1" t="str">
        <f t="shared" si="178"/>
        <v/>
      </c>
      <c r="AG645" s="47"/>
    </row>
    <row r="646" spans="1:33">
      <c r="A646">
        <f t="shared" si="162"/>
        <v>0</v>
      </c>
      <c r="B646" s="2" t="str">
        <f t="shared" si="179"/>
        <v/>
      </c>
      <c r="C646" s="4" t="str">
        <f t="shared" si="163"/>
        <v/>
      </c>
      <c r="D646" s="3" t="str">
        <f t="shared" si="164"/>
        <v/>
      </c>
      <c r="E646" s="47"/>
      <c r="F646" s="3" t="str">
        <f t="shared" si="165"/>
        <v/>
      </c>
      <c r="G646" s="47"/>
      <c r="H646" s="3" t="str">
        <f t="shared" si="166"/>
        <v/>
      </c>
      <c r="I646" s="47"/>
      <c r="J646" s="3" t="str">
        <f t="shared" si="167"/>
        <v/>
      </c>
      <c r="K646" s="47"/>
      <c r="L646" s="3" t="str">
        <f t="shared" si="168"/>
        <v/>
      </c>
      <c r="M646" s="47"/>
      <c r="N646" s="3" t="str">
        <f t="shared" si="169"/>
        <v/>
      </c>
      <c r="O646" s="47"/>
      <c r="P646" s="3" t="str">
        <f t="shared" si="170"/>
        <v/>
      </c>
      <c r="Q646" s="47"/>
      <c r="R646" s="3" t="str">
        <f t="shared" si="171"/>
        <v/>
      </c>
      <c r="S646" s="47"/>
      <c r="T646" s="1" t="str">
        <f t="shared" si="172"/>
        <v/>
      </c>
      <c r="U646" s="47"/>
      <c r="V646" s="1" t="str">
        <f t="shared" si="173"/>
        <v/>
      </c>
      <c r="W646" s="47"/>
      <c r="X646" s="1" t="str">
        <f t="shared" si="174"/>
        <v/>
      </c>
      <c r="Y646" s="47"/>
      <c r="Z646" s="1" t="str">
        <f t="shared" si="175"/>
        <v/>
      </c>
      <c r="AA646" s="47"/>
      <c r="AB646" s="1" t="str">
        <f t="shared" si="176"/>
        <v/>
      </c>
      <c r="AC646" s="47"/>
      <c r="AD646" s="1" t="str">
        <f t="shared" si="177"/>
        <v/>
      </c>
      <c r="AE646" s="47"/>
      <c r="AF646" s="1" t="str">
        <f t="shared" si="178"/>
        <v/>
      </c>
      <c r="AG646" s="47"/>
    </row>
    <row r="647" spans="1:33">
      <c r="A647">
        <f t="shared" ref="A647:A710" si="180">$C$1</f>
        <v>0</v>
      </c>
      <c r="B647" s="2" t="str">
        <f t="shared" si="179"/>
        <v/>
      </c>
      <c r="C647" s="4" t="str">
        <f t="shared" si="163"/>
        <v/>
      </c>
      <c r="D647" s="3" t="str">
        <f t="shared" si="164"/>
        <v/>
      </c>
      <c r="E647" s="47"/>
      <c r="F647" s="3" t="str">
        <f t="shared" si="165"/>
        <v/>
      </c>
      <c r="G647" s="47"/>
      <c r="H647" s="3" t="str">
        <f t="shared" si="166"/>
        <v/>
      </c>
      <c r="I647" s="47"/>
      <c r="J647" s="3" t="str">
        <f t="shared" si="167"/>
        <v/>
      </c>
      <c r="K647" s="47"/>
      <c r="L647" s="3" t="str">
        <f t="shared" si="168"/>
        <v/>
      </c>
      <c r="M647" s="47"/>
      <c r="N647" s="3" t="str">
        <f t="shared" si="169"/>
        <v/>
      </c>
      <c r="O647" s="47"/>
      <c r="P647" s="3" t="str">
        <f t="shared" si="170"/>
        <v/>
      </c>
      <c r="Q647" s="47"/>
      <c r="R647" s="3" t="str">
        <f t="shared" si="171"/>
        <v/>
      </c>
      <c r="S647" s="47"/>
      <c r="T647" s="1" t="str">
        <f t="shared" si="172"/>
        <v/>
      </c>
      <c r="U647" s="47"/>
      <c r="V647" s="1" t="str">
        <f t="shared" si="173"/>
        <v/>
      </c>
      <c r="W647" s="47"/>
      <c r="X647" s="1" t="str">
        <f t="shared" si="174"/>
        <v/>
      </c>
      <c r="Y647" s="47"/>
      <c r="Z647" s="1" t="str">
        <f t="shared" si="175"/>
        <v/>
      </c>
      <c r="AA647" s="47"/>
      <c r="AB647" s="1" t="str">
        <f t="shared" si="176"/>
        <v/>
      </c>
      <c r="AC647" s="47"/>
      <c r="AD647" s="1" t="str">
        <f t="shared" si="177"/>
        <v/>
      </c>
      <c r="AE647" s="47"/>
      <c r="AF647" s="1" t="str">
        <f t="shared" si="178"/>
        <v/>
      </c>
      <c r="AG647" s="47"/>
    </row>
    <row r="648" spans="1:33">
      <c r="A648">
        <f t="shared" si="180"/>
        <v>0</v>
      </c>
      <c r="B648" s="2" t="str">
        <f t="shared" si="179"/>
        <v/>
      </c>
      <c r="C648" s="4" t="str">
        <f t="shared" ref="C648:C711" si="181">TEXT(B648,"AAA")</f>
        <v/>
      </c>
      <c r="D648" s="3" t="str">
        <f t="shared" ref="D648:D711" si="182">IF(NOT(AND($F$3&lt;=B648,B648&lt;=$F$4)),"",$F$2&amp;"")</f>
        <v/>
      </c>
      <c r="E648" s="47"/>
      <c r="F648" s="3" t="str">
        <f t="shared" ref="F648:F711" si="183">IF(NOT(AND($G$3&lt;=B648,B648&lt;=$G$4)),"",$G$2&amp;"")</f>
        <v/>
      </c>
      <c r="G648" s="47"/>
      <c r="H648" s="3" t="str">
        <f t="shared" ref="H648:H711" si="184">IF(NOT(AND($H$3&lt;=B648,B648&lt;=$H$4)),"",$H$2&amp;"")</f>
        <v/>
      </c>
      <c r="I648" s="47"/>
      <c r="J648" s="3" t="str">
        <f t="shared" ref="J648:J711" si="185">IF(NOT(AND($I$3&lt;=B648,B648&lt;=$I$4)),"",$I$2&amp;"")</f>
        <v/>
      </c>
      <c r="K648" s="47"/>
      <c r="L648" s="3" t="str">
        <f t="shared" ref="L648:L711" si="186">IF(NOT(AND($J$3&lt;=B648,B648&lt;=$J$4)),"",$J$2&amp;"")</f>
        <v/>
      </c>
      <c r="M648" s="47"/>
      <c r="N648" s="3" t="str">
        <f t="shared" ref="N648:N711" si="187">IF(NOT(AND($K$3&lt;=B648,B648&lt;=$K$4)),"",$K$2&amp;"")</f>
        <v/>
      </c>
      <c r="O648" s="47"/>
      <c r="P648" s="3" t="str">
        <f t="shared" ref="P648:P711" si="188">IF(NOT(AND($L$3&lt;=B648,B648&lt;=$L$4)),"",$L$2&amp;"")</f>
        <v/>
      </c>
      <c r="Q648" s="47"/>
      <c r="R648" s="3" t="str">
        <f t="shared" ref="R648:R711" si="189">IF(NOT(AND($M$3&lt;=B648,B648&lt;=$M$4)),"",$M$2&amp;"")</f>
        <v/>
      </c>
      <c r="S648" s="47"/>
      <c r="T648" s="1" t="str">
        <f t="shared" ref="T648:T711" si="190">IF(NOT(AND($N$3&lt;=B648,B648&lt;=$N$4)),"",$N$2&amp;"")</f>
        <v/>
      </c>
      <c r="U648" s="47"/>
      <c r="V648" s="1" t="str">
        <f t="shared" ref="V648:V711" si="191">IF(NOT(AND($O$3&lt;=B648,B648&lt;=$O$4)),"",$O$2&amp;"")</f>
        <v/>
      </c>
      <c r="W648" s="47"/>
      <c r="X648" s="1" t="str">
        <f t="shared" ref="X648:X711" si="192">IF(NOT(AND($P$3&lt;=B648,B648&lt;=$P$4)),"",$P$2&amp;"")</f>
        <v/>
      </c>
      <c r="Y648" s="47"/>
      <c r="Z648" s="1" t="str">
        <f t="shared" ref="Z648:Z711" si="193">IF(NOT(AND($Q$3&lt;=B648,B648&lt;=$Q$4)),"",$Q$2&amp;"")</f>
        <v/>
      </c>
      <c r="AA648" s="47"/>
      <c r="AB648" s="1" t="str">
        <f t="shared" ref="AB648:AB711" si="194">IF(NOT(AND($R$3&lt;=B648,B648&lt;=$R$4)),"",$R$2&amp;"")</f>
        <v/>
      </c>
      <c r="AC648" s="47"/>
      <c r="AD648" s="1" t="str">
        <f t="shared" ref="AD648:AD711" si="195">IF(NOT(AND($S$3&lt;=B648,B648&lt;=$S$4)),"",$S$2&amp;"")</f>
        <v/>
      </c>
      <c r="AE648" s="47"/>
      <c r="AF648" s="1" t="str">
        <f t="shared" ref="AF648:AF711" si="196">IF(NOT(AND($T$3&lt;=B648,B648&lt;=$T$4)),"",$T$2&amp;"")</f>
        <v/>
      </c>
      <c r="AG648" s="47"/>
    </row>
    <row r="649" spans="1:33">
      <c r="A649">
        <f t="shared" si="180"/>
        <v>0</v>
      </c>
      <c r="B649" s="2" t="str">
        <f t="shared" ref="B649:B712" si="197">IFERROR(IF(B648+1&gt;$C$3,"",B648+1),"")</f>
        <v/>
      </c>
      <c r="C649" s="4" t="str">
        <f t="shared" si="181"/>
        <v/>
      </c>
      <c r="D649" s="3" t="str">
        <f t="shared" si="182"/>
        <v/>
      </c>
      <c r="E649" s="47"/>
      <c r="F649" s="3" t="str">
        <f t="shared" si="183"/>
        <v/>
      </c>
      <c r="G649" s="47"/>
      <c r="H649" s="3" t="str">
        <f t="shared" si="184"/>
        <v/>
      </c>
      <c r="I649" s="47"/>
      <c r="J649" s="3" t="str">
        <f t="shared" si="185"/>
        <v/>
      </c>
      <c r="K649" s="47"/>
      <c r="L649" s="3" t="str">
        <f t="shared" si="186"/>
        <v/>
      </c>
      <c r="M649" s="47"/>
      <c r="N649" s="3" t="str">
        <f t="shared" si="187"/>
        <v/>
      </c>
      <c r="O649" s="47"/>
      <c r="P649" s="3" t="str">
        <f t="shared" si="188"/>
        <v/>
      </c>
      <c r="Q649" s="47"/>
      <c r="R649" s="3" t="str">
        <f t="shared" si="189"/>
        <v/>
      </c>
      <c r="S649" s="47"/>
      <c r="T649" s="1" t="str">
        <f t="shared" si="190"/>
        <v/>
      </c>
      <c r="U649" s="47"/>
      <c r="V649" s="1" t="str">
        <f t="shared" si="191"/>
        <v/>
      </c>
      <c r="W649" s="47"/>
      <c r="X649" s="1" t="str">
        <f t="shared" si="192"/>
        <v/>
      </c>
      <c r="Y649" s="47"/>
      <c r="Z649" s="1" t="str">
        <f t="shared" si="193"/>
        <v/>
      </c>
      <c r="AA649" s="47"/>
      <c r="AB649" s="1" t="str">
        <f t="shared" si="194"/>
        <v/>
      </c>
      <c r="AC649" s="47"/>
      <c r="AD649" s="1" t="str">
        <f t="shared" si="195"/>
        <v/>
      </c>
      <c r="AE649" s="47"/>
      <c r="AF649" s="1" t="str">
        <f t="shared" si="196"/>
        <v/>
      </c>
      <c r="AG649" s="47"/>
    </row>
    <row r="650" spans="1:33">
      <c r="A650">
        <f t="shared" si="180"/>
        <v>0</v>
      </c>
      <c r="B650" s="2" t="str">
        <f t="shared" si="197"/>
        <v/>
      </c>
      <c r="C650" s="4" t="str">
        <f t="shared" si="181"/>
        <v/>
      </c>
      <c r="D650" s="3" t="str">
        <f t="shared" si="182"/>
        <v/>
      </c>
      <c r="E650" s="47"/>
      <c r="F650" s="3" t="str">
        <f t="shared" si="183"/>
        <v/>
      </c>
      <c r="G650" s="47"/>
      <c r="H650" s="3" t="str">
        <f t="shared" si="184"/>
        <v/>
      </c>
      <c r="I650" s="47"/>
      <c r="J650" s="3" t="str">
        <f t="shared" si="185"/>
        <v/>
      </c>
      <c r="K650" s="47"/>
      <c r="L650" s="3" t="str">
        <f t="shared" si="186"/>
        <v/>
      </c>
      <c r="M650" s="47"/>
      <c r="N650" s="3" t="str">
        <f t="shared" si="187"/>
        <v/>
      </c>
      <c r="O650" s="47"/>
      <c r="P650" s="3" t="str">
        <f t="shared" si="188"/>
        <v/>
      </c>
      <c r="Q650" s="47"/>
      <c r="R650" s="3" t="str">
        <f t="shared" si="189"/>
        <v/>
      </c>
      <c r="S650" s="47"/>
      <c r="T650" s="1" t="str">
        <f t="shared" si="190"/>
        <v/>
      </c>
      <c r="U650" s="47"/>
      <c r="V650" s="1" t="str">
        <f t="shared" si="191"/>
        <v/>
      </c>
      <c r="W650" s="47"/>
      <c r="X650" s="1" t="str">
        <f t="shared" si="192"/>
        <v/>
      </c>
      <c r="Y650" s="47"/>
      <c r="Z650" s="1" t="str">
        <f t="shared" si="193"/>
        <v/>
      </c>
      <c r="AA650" s="47"/>
      <c r="AB650" s="1" t="str">
        <f t="shared" si="194"/>
        <v/>
      </c>
      <c r="AC650" s="47"/>
      <c r="AD650" s="1" t="str">
        <f t="shared" si="195"/>
        <v/>
      </c>
      <c r="AE650" s="47"/>
      <c r="AF650" s="1" t="str">
        <f t="shared" si="196"/>
        <v/>
      </c>
      <c r="AG650" s="47"/>
    </row>
    <row r="651" spans="1:33">
      <c r="A651">
        <f t="shared" si="180"/>
        <v>0</v>
      </c>
      <c r="B651" s="2" t="str">
        <f t="shared" si="197"/>
        <v/>
      </c>
      <c r="C651" s="4" t="str">
        <f t="shared" si="181"/>
        <v/>
      </c>
      <c r="D651" s="3" t="str">
        <f t="shared" si="182"/>
        <v/>
      </c>
      <c r="E651" s="47"/>
      <c r="F651" s="3" t="str">
        <f t="shared" si="183"/>
        <v/>
      </c>
      <c r="G651" s="47"/>
      <c r="H651" s="3" t="str">
        <f t="shared" si="184"/>
        <v/>
      </c>
      <c r="I651" s="47"/>
      <c r="J651" s="3" t="str">
        <f t="shared" si="185"/>
        <v/>
      </c>
      <c r="K651" s="47"/>
      <c r="L651" s="3" t="str">
        <f t="shared" si="186"/>
        <v/>
      </c>
      <c r="M651" s="47"/>
      <c r="N651" s="3" t="str">
        <f t="shared" si="187"/>
        <v/>
      </c>
      <c r="O651" s="47"/>
      <c r="P651" s="3" t="str">
        <f t="shared" si="188"/>
        <v/>
      </c>
      <c r="Q651" s="47"/>
      <c r="R651" s="3" t="str">
        <f t="shared" si="189"/>
        <v/>
      </c>
      <c r="S651" s="47"/>
      <c r="T651" s="1" t="str">
        <f t="shared" si="190"/>
        <v/>
      </c>
      <c r="U651" s="47"/>
      <c r="V651" s="1" t="str">
        <f t="shared" si="191"/>
        <v/>
      </c>
      <c r="W651" s="47"/>
      <c r="X651" s="1" t="str">
        <f t="shared" si="192"/>
        <v/>
      </c>
      <c r="Y651" s="47"/>
      <c r="Z651" s="1" t="str">
        <f t="shared" si="193"/>
        <v/>
      </c>
      <c r="AA651" s="47"/>
      <c r="AB651" s="1" t="str">
        <f t="shared" si="194"/>
        <v/>
      </c>
      <c r="AC651" s="47"/>
      <c r="AD651" s="1" t="str">
        <f t="shared" si="195"/>
        <v/>
      </c>
      <c r="AE651" s="47"/>
      <c r="AF651" s="1" t="str">
        <f t="shared" si="196"/>
        <v/>
      </c>
      <c r="AG651" s="47"/>
    </row>
    <row r="652" spans="1:33">
      <c r="A652">
        <f t="shared" si="180"/>
        <v>0</v>
      </c>
      <c r="B652" s="2" t="str">
        <f t="shared" si="197"/>
        <v/>
      </c>
      <c r="C652" s="4" t="str">
        <f t="shared" si="181"/>
        <v/>
      </c>
      <c r="D652" s="3" t="str">
        <f t="shared" si="182"/>
        <v/>
      </c>
      <c r="E652" s="47"/>
      <c r="F652" s="3" t="str">
        <f t="shared" si="183"/>
        <v/>
      </c>
      <c r="G652" s="47"/>
      <c r="H652" s="3" t="str">
        <f t="shared" si="184"/>
        <v/>
      </c>
      <c r="I652" s="47"/>
      <c r="J652" s="3" t="str">
        <f t="shared" si="185"/>
        <v/>
      </c>
      <c r="K652" s="47"/>
      <c r="L652" s="3" t="str">
        <f t="shared" si="186"/>
        <v/>
      </c>
      <c r="M652" s="47"/>
      <c r="N652" s="3" t="str">
        <f t="shared" si="187"/>
        <v/>
      </c>
      <c r="O652" s="47"/>
      <c r="P652" s="3" t="str">
        <f t="shared" si="188"/>
        <v/>
      </c>
      <c r="Q652" s="47"/>
      <c r="R652" s="3" t="str">
        <f t="shared" si="189"/>
        <v/>
      </c>
      <c r="S652" s="47"/>
      <c r="T652" s="1" t="str">
        <f t="shared" si="190"/>
        <v/>
      </c>
      <c r="U652" s="47"/>
      <c r="V652" s="1" t="str">
        <f t="shared" si="191"/>
        <v/>
      </c>
      <c r="W652" s="47"/>
      <c r="X652" s="1" t="str">
        <f t="shared" si="192"/>
        <v/>
      </c>
      <c r="Y652" s="47"/>
      <c r="Z652" s="1" t="str">
        <f t="shared" si="193"/>
        <v/>
      </c>
      <c r="AA652" s="47"/>
      <c r="AB652" s="1" t="str">
        <f t="shared" si="194"/>
        <v/>
      </c>
      <c r="AC652" s="47"/>
      <c r="AD652" s="1" t="str">
        <f t="shared" si="195"/>
        <v/>
      </c>
      <c r="AE652" s="47"/>
      <c r="AF652" s="1" t="str">
        <f t="shared" si="196"/>
        <v/>
      </c>
      <c r="AG652" s="47"/>
    </row>
    <row r="653" spans="1:33">
      <c r="A653">
        <f t="shared" si="180"/>
        <v>0</v>
      </c>
      <c r="B653" s="2" t="str">
        <f t="shared" si="197"/>
        <v/>
      </c>
      <c r="C653" s="4" t="str">
        <f t="shared" si="181"/>
        <v/>
      </c>
      <c r="D653" s="3" t="str">
        <f t="shared" si="182"/>
        <v/>
      </c>
      <c r="E653" s="47"/>
      <c r="F653" s="3" t="str">
        <f t="shared" si="183"/>
        <v/>
      </c>
      <c r="G653" s="47"/>
      <c r="H653" s="3" t="str">
        <f t="shared" si="184"/>
        <v/>
      </c>
      <c r="I653" s="47"/>
      <c r="J653" s="3" t="str">
        <f t="shared" si="185"/>
        <v/>
      </c>
      <c r="K653" s="47"/>
      <c r="L653" s="3" t="str">
        <f t="shared" si="186"/>
        <v/>
      </c>
      <c r="M653" s="47"/>
      <c r="N653" s="3" t="str">
        <f t="shared" si="187"/>
        <v/>
      </c>
      <c r="O653" s="47"/>
      <c r="P653" s="3" t="str">
        <f t="shared" si="188"/>
        <v/>
      </c>
      <c r="Q653" s="47"/>
      <c r="R653" s="3" t="str">
        <f t="shared" si="189"/>
        <v/>
      </c>
      <c r="S653" s="47"/>
      <c r="T653" s="1" t="str">
        <f t="shared" si="190"/>
        <v/>
      </c>
      <c r="U653" s="47"/>
      <c r="V653" s="1" t="str">
        <f t="shared" si="191"/>
        <v/>
      </c>
      <c r="W653" s="47"/>
      <c r="X653" s="1" t="str">
        <f t="shared" si="192"/>
        <v/>
      </c>
      <c r="Y653" s="47"/>
      <c r="Z653" s="1" t="str">
        <f t="shared" si="193"/>
        <v/>
      </c>
      <c r="AA653" s="47"/>
      <c r="AB653" s="1" t="str">
        <f t="shared" si="194"/>
        <v/>
      </c>
      <c r="AC653" s="47"/>
      <c r="AD653" s="1" t="str">
        <f t="shared" si="195"/>
        <v/>
      </c>
      <c r="AE653" s="47"/>
      <c r="AF653" s="1" t="str">
        <f t="shared" si="196"/>
        <v/>
      </c>
      <c r="AG653" s="47"/>
    </row>
    <row r="654" spans="1:33">
      <c r="A654">
        <f t="shared" si="180"/>
        <v>0</v>
      </c>
      <c r="B654" s="2" t="str">
        <f t="shared" si="197"/>
        <v/>
      </c>
      <c r="C654" s="4" t="str">
        <f t="shared" si="181"/>
        <v/>
      </c>
      <c r="D654" s="3" t="str">
        <f t="shared" si="182"/>
        <v/>
      </c>
      <c r="E654" s="47"/>
      <c r="F654" s="3" t="str">
        <f t="shared" si="183"/>
        <v/>
      </c>
      <c r="G654" s="47"/>
      <c r="H654" s="3" t="str">
        <f t="shared" si="184"/>
        <v/>
      </c>
      <c r="I654" s="47"/>
      <c r="J654" s="3" t="str">
        <f t="shared" si="185"/>
        <v/>
      </c>
      <c r="K654" s="47"/>
      <c r="L654" s="3" t="str">
        <f t="shared" si="186"/>
        <v/>
      </c>
      <c r="M654" s="47"/>
      <c r="N654" s="3" t="str">
        <f t="shared" si="187"/>
        <v/>
      </c>
      <c r="O654" s="47"/>
      <c r="P654" s="3" t="str">
        <f t="shared" si="188"/>
        <v/>
      </c>
      <c r="Q654" s="47"/>
      <c r="R654" s="3" t="str">
        <f t="shared" si="189"/>
        <v/>
      </c>
      <c r="S654" s="47"/>
      <c r="T654" s="1" t="str">
        <f t="shared" si="190"/>
        <v/>
      </c>
      <c r="U654" s="47"/>
      <c r="V654" s="1" t="str">
        <f t="shared" si="191"/>
        <v/>
      </c>
      <c r="W654" s="47"/>
      <c r="X654" s="1" t="str">
        <f t="shared" si="192"/>
        <v/>
      </c>
      <c r="Y654" s="47"/>
      <c r="Z654" s="1" t="str">
        <f t="shared" si="193"/>
        <v/>
      </c>
      <c r="AA654" s="47"/>
      <c r="AB654" s="1" t="str">
        <f t="shared" si="194"/>
        <v/>
      </c>
      <c r="AC654" s="47"/>
      <c r="AD654" s="1" t="str">
        <f t="shared" si="195"/>
        <v/>
      </c>
      <c r="AE654" s="47"/>
      <c r="AF654" s="1" t="str">
        <f t="shared" si="196"/>
        <v/>
      </c>
      <c r="AG654" s="47"/>
    </row>
    <row r="655" spans="1:33">
      <c r="A655">
        <f t="shared" si="180"/>
        <v>0</v>
      </c>
      <c r="B655" s="2" t="str">
        <f t="shared" si="197"/>
        <v/>
      </c>
      <c r="C655" s="4" t="str">
        <f t="shared" si="181"/>
        <v/>
      </c>
      <c r="D655" s="3" t="str">
        <f t="shared" si="182"/>
        <v/>
      </c>
      <c r="E655" s="47"/>
      <c r="F655" s="3" t="str">
        <f t="shared" si="183"/>
        <v/>
      </c>
      <c r="G655" s="47"/>
      <c r="H655" s="3" t="str">
        <f t="shared" si="184"/>
        <v/>
      </c>
      <c r="I655" s="47"/>
      <c r="J655" s="3" t="str">
        <f t="shared" si="185"/>
        <v/>
      </c>
      <c r="K655" s="47"/>
      <c r="L655" s="3" t="str">
        <f t="shared" si="186"/>
        <v/>
      </c>
      <c r="M655" s="47"/>
      <c r="N655" s="3" t="str">
        <f t="shared" si="187"/>
        <v/>
      </c>
      <c r="O655" s="47"/>
      <c r="P655" s="3" t="str">
        <f t="shared" si="188"/>
        <v/>
      </c>
      <c r="Q655" s="47"/>
      <c r="R655" s="3" t="str">
        <f t="shared" si="189"/>
        <v/>
      </c>
      <c r="S655" s="47"/>
      <c r="T655" s="1" t="str">
        <f t="shared" si="190"/>
        <v/>
      </c>
      <c r="U655" s="47"/>
      <c r="V655" s="1" t="str">
        <f t="shared" si="191"/>
        <v/>
      </c>
      <c r="W655" s="47"/>
      <c r="X655" s="1" t="str">
        <f t="shared" si="192"/>
        <v/>
      </c>
      <c r="Y655" s="47"/>
      <c r="Z655" s="1" t="str">
        <f t="shared" si="193"/>
        <v/>
      </c>
      <c r="AA655" s="47"/>
      <c r="AB655" s="1" t="str">
        <f t="shared" si="194"/>
        <v/>
      </c>
      <c r="AC655" s="47"/>
      <c r="AD655" s="1" t="str">
        <f t="shared" si="195"/>
        <v/>
      </c>
      <c r="AE655" s="47"/>
      <c r="AF655" s="1" t="str">
        <f t="shared" si="196"/>
        <v/>
      </c>
      <c r="AG655" s="47"/>
    </row>
    <row r="656" spans="1:33">
      <c r="A656">
        <f t="shared" si="180"/>
        <v>0</v>
      </c>
      <c r="B656" s="2" t="str">
        <f t="shared" si="197"/>
        <v/>
      </c>
      <c r="C656" s="4" t="str">
        <f t="shared" si="181"/>
        <v/>
      </c>
      <c r="D656" s="3" t="str">
        <f t="shared" si="182"/>
        <v/>
      </c>
      <c r="E656" s="47"/>
      <c r="F656" s="3" t="str">
        <f t="shared" si="183"/>
        <v/>
      </c>
      <c r="G656" s="47"/>
      <c r="H656" s="3" t="str">
        <f t="shared" si="184"/>
        <v/>
      </c>
      <c r="I656" s="47"/>
      <c r="J656" s="3" t="str">
        <f t="shared" si="185"/>
        <v/>
      </c>
      <c r="K656" s="47"/>
      <c r="L656" s="3" t="str">
        <f t="shared" si="186"/>
        <v/>
      </c>
      <c r="M656" s="47"/>
      <c r="N656" s="3" t="str">
        <f t="shared" si="187"/>
        <v/>
      </c>
      <c r="O656" s="47"/>
      <c r="P656" s="3" t="str">
        <f t="shared" si="188"/>
        <v/>
      </c>
      <c r="Q656" s="47"/>
      <c r="R656" s="3" t="str">
        <f t="shared" si="189"/>
        <v/>
      </c>
      <c r="S656" s="47"/>
      <c r="T656" s="1" t="str">
        <f t="shared" si="190"/>
        <v/>
      </c>
      <c r="U656" s="47"/>
      <c r="V656" s="1" t="str">
        <f t="shared" si="191"/>
        <v/>
      </c>
      <c r="W656" s="47"/>
      <c r="X656" s="1" t="str">
        <f t="shared" si="192"/>
        <v/>
      </c>
      <c r="Y656" s="47"/>
      <c r="Z656" s="1" t="str">
        <f t="shared" si="193"/>
        <v/>
      </c>
      <c r="AA656" s="47"/>
      <c r="AB656" s="1" t="str">
        <f t="shared" si="194"/>
        <v/>
      </c>
      <c r="AC656" s="47"/>
      <c r="AD656" s="1" t="str">
        <f t="shared" si="195"/>
        <v/>
      </c>
      <c r="AE656" s="47"/>
      <c r="AF656" s="1" t="str">
        <f t="shared" si="196"/>
        <v/>
      </c>
      <c r="AG656" s="47"/>
    </row>
    <row r="657" spans="1:33">
      <c r="A657">
        <f t="shared" si="180"/>
        <v>0</v>
      </c>
      <c r="B657" s="2" t="str">
        <f t="shared" si="197"/>
        <v/>
      </c>
      <c r="C657" s="4" t="str">
        <f t="shared" si="181"/>
        <v/>
      </c>
      <c r="D657" s="3" t="str">
        <f t="shared" si="182"/>
        <v/>
      </c>
      <c r="E657" s="47"/>
      <c r="F657" s="3" t="str">
        <f t="shared" si="183"/>
        <v/>
      </c>
      <c r="G657" s="47"/>
      <c r="H657" s="3" t="str">
        <f t="shared" si="184"/>
        <v/>
      </c>
      <c r="I657" s="47"/>
      <c r="J657" s="3" t="str">
        <f t="shared" si="185"/>
        <v/>
      </c>
      <c r="K657" s="47"/>
      <c r="L657" s="3" t="str">
        <f t="shared" si="186"/>
        <v/>
      </c>
      <c r="M657" s="47"/>
      <c r="N657" s="3" t="str">
        <f t="shared" si="187"/>
        <v/>
      </c>
      <c r="O657" s="47"/>
      <c r="P657" s="3" t="str">
        <f t="shared" si="188"/>
        <v/>
      </c>
      <c r="Q657" s="47"/>
      <c r="R657" s="3" t="str">
        <f t="shared" si="189"/>
        <v/>
      </c>
      <c r="S657" s="47"/>
      <c r="T657" s="1" t="str">
        <f t="shared" si="190"/>
        <v/>
      </c>
      <c r="U657" s="47"/>
      <c r="V657" s="1" t="str">
        <f t="shared" si="191"/>
        <v/>
      </c>
      <c r="W657" s="47"/>
      <c r="X657" s="1" t="str">
        <f t="shared" si="192"/>
        <v/>
      </c>
      <c r="Y657" s="47"/>
      <c r="Z657" s="1" t="str">
        <f t="shared" si="193"/>
        <v/>
      </c>
      <c r="AA657" s="47"/>
      <c r="AB657" s="1" t="str">
        <f t="shared" si="194"/>
        <v/>
      </c>
      <c r="AC657" s="47"/>
      <c r="AD657" s="1" t="str">
        <f t="shared" si="195"/>
        <v/>
      </c>
      <c r="AE657" s="47"/>
      <c r="AF657" s="1" t="str">
        <f t="shared" si="196"/>
        <v/>
      </c>
      <c r="AG657" s="47"/>
    </row>
    <row r="658" spans="1:33">
      <c r="A658">
        <f t="shared" si="180"/>
        <v>0</v>
      </c>
      <c r="B658" s="2" t="str">
        <f t="shared" si="197"/>
        <v/>
      </c>
      <c r="C658" s="4" t="str">
        <f t="shared" si="181"/>
        <v/>
      </c>
      <c r="D658" s="3" t="str">
        <f t="shared" si="182"/>
        <v/>
      </c>
      <c r="E658" s="47"/>
      <c r="F658" s="3" t="str">
        <f t="shared" si="183"/>
        <v/>
      </c>
      <c r="G658" s="47"/>
      <c r="H658" s="3" t="str">
        <f t="shared" si="184"/>
        <v/>
      </c>
      <c r="I658" s="47"/>
      <c r="J658" s="3" t="str">
        <f t="shared" si="185"/>
        <v/>
      </c>
      <c r="K658" s="47"/>
      <c r="L658" s="3" t="str">
        <f t="shared" si="186"/>
        <v/>
      </c>
      <c r="M658" s="47"/>
      <c r="N658" s="3" t="str">
        <f t="shared" si="187"/>
        <v/>
      </c>
      <c r="O658" s="47"/>
      <c r="P658" s="3" t="str">
        <f t="shared" si="188"/>
        <v/>
      </c>
      <c r="Q658" s="47"/>
      <c r="R658" s="3" t="str">
        <f t="shared" si="189"/>
        <v/>
      </c>
      <c r="S658" s="47"/>
      <c r="T658" s="1" t="str">
        <f t="shared" si="190"/>
        <v/>
      </c>
      <c r="U658" s="47"/>
      <c r="V658" s="1" t="str">
        <f t="shared" si="191"/>
        <v/>
      </c>
      <c r="W658" s="47"/>
      <c r="X658" s="1" t="str">
        <f t="shared" si="192"/>
        <v/>
      </c>
      <c r="Y658" s="47"/>
      <c r="Z658" s="1" t="str">
        <f t="shared" si="193"/>
        <v/>
      </c>
      <c r="AA658" s="47"/>
      <c r="AB658" s="1" t="str">
        <f t="shared" si="194"/>
        <v/>
      </c>
      <c r="AC658" s="47"/>
      <c r="AD658" s="1" t="str">
        <f t="shared" si="195"/>
        <v/>
      </c>
      <c r="AE658" s="47"/>
      <c r="AF658" s="1" t="str">
        <f t="shared" si="196"/>
        <v/>
      </c>
      <c r="AG658" s="47"/>
    </row>
    <row r="659" spans="1:33">
      <c r="A659">
        <f t="shared" si="180"/>
        <v>0</v>
      </c>
      <c r="B659" s="2" t="str">
        <f t="shared" si="197"/>
        <v/>
      </c>
      <c r="C659" s="4" t="str">
        <f t="shared" si="181"/>
        <v/>
      </c>
      <c r="D659" s="3" t="str">
        <f t="shared" si="182"/>
        <v/>
      </c>
      <c r="E659" s="47"/>
      <c r="F659" s="3" t="str">
        <f t="shared" si="183"/>
        <v/>
      </c>
      <c r="G659" s="47"/>
      <c r="H659" s="3" t="str">
        <f t="shared" si="184"/>
        <v/>
      </c>
      <c r="I659" s="47"/>
      <c r="J659" s="3" t="str">
        <f t="shared" si="185"/>
        <v/>
      </c>
      <c r="K659" s="47"/>
      <c r="L659" s="3" t="str">
        <f t="shared" si="186"/>
        <v/>
      </c>
      <c r="M659" s="47"/>
      <c r="N659" s="3" t="str">
        <f t="shared" si="187"/>
        <v/>
      </c>
      <c r="O659" s="47"/>
      <c r="P659" s="3" t="str">
        <f t="shared" si="188"/>
        <v/>
      </c>
      <c r="Q659" s="47"/>
      <c r="R659" s="3" t="str">
        <f t="shared" si="189"/>
        <v/>
      </c>
      <c r="S659" s="47"/>
      <c r="T659" s="1" t="str">
        <f t="shared" si="190"/>
        <v/>
      </c>
      <c r="U659" s="47"/>
      <c r="V659" s="1" t="str">
        <f t="shared" si="191"/>
        <v/>
      </c>
      <c r="W659" s="47"/>
      <c r="X659" s="1" t="str">
        <f t="shared" si="192"/>
        <v/>
      </c>
      <c r="Y659" s="47"/>
      <c r="Z659" s="1" t="str">
        <f t="shared" si="193"/>
        <v/>
      </c>
      <c r="AA659" s="47"/>
      <c r="AB659" s="1" t="str">
        <f t="shared" si="194"/>
        <v/>
      </c>
      <c r="AC659" s="47"/>
      <c r="AD659" s="1" t="str">
        <f t="shared" si="195"/>
        <v/>
      </c>
      <c r="AE659" s="47"/>
      <c r="AF659" s="1" t="str">
        <f t="shared" si="196"/>
        <v/>
      </c>
      <c r="AG659" s="47"/>
    </row>
    <row r="660" spans="1:33">
      <c r="A660">
        <f t="shared" si="180"/>
        <v>0</v>
      </c>
      <c r="B660" s="2" t="str">
        <f t="shared" si="197"/>
        <v/>
      </c>
      <c r="C660" s="4" t="str">
        <f t="shared" si="181"/>
        <v/>
      </c>
      <c r="D660" s="3" t="str">
        <f t="shared" si="182"/>
        <v/>
      </c>
      <c r="E660" s="47"/>
      <c r="F660" s="3" t="str">
        <f t="shared" si="183"/>
        <v/>
      </c>
      <c r="G660" s="47"/>
      <c r="H660" s="3" t="str">
        <f t="shared" si="184"/>
        <v/>
      </c>
      <c r="I660" s="47"/>
      <c r="J660" s="3" t="str">
        <f t="shared" si="185"/>
        <v/>
      </c>
      <c r="K660" s="47"/>
      <c r="L660" s="3" t="str">
        <f t="shared" si="186"/>
        <v/>
      </c>
      <c r="M660" s="47"/>
      <c r="N660" s="3" t="str">
        <f t="shared" si="187"/>
        <v/>
      </c>
      <c r="O660" s="47"/>
      <c r="P660" s="3" t="str">
        <f t="shared" si="188"/>
        <v/>
      </c>
      <c r="Q660" s="47"/>
      <c r="R660" s="3" t="str">
        <f t="shared" si="189"/>
        <v/>
      </c>
      <c r="S660" s="47"/>
      <c r="T660" s="1" t="str">
        <f t="shared" si="190"/>
        <v/>
      </c>
      <c r="U660" s="47"/>
      <c r="V660" s="1" t="str">
        <f t="shared" si="191"/>
        <v/>
      </c>
      <c r="W660" s="47"/>
      <c r="X660" s="1" t="str">
        <f t="shared" si="192"/>
        <v/>
      </c>
      <c r="Y660" s="47"/>
      <c r="Z660" s="1" t="str">
        <f t="shared" si="193"/>
        <v/>
      </c>
      <c r="AA660" s="47"/>
      <c r="AB660" s="1" t="str">
        <f t="shared" si="194"/>
        <v/>
      </c>
      <c r="AC660" s="47"/>
      <c r="AD660" s="1" t="str">
        <f t="shared" si="195"/>
        <v/>
      </c>
      <c r="AE660" s="47"/>
      <c r="AF660" s="1" t="str">
        <f t="shared" si="196"/>
        <v/>
      </c>
      <c r="AG660" s="47"/>
    </row>
    <row r="661" spans="1:33">
      <c r="A661">
        <f t="shared" si="180"/>
        <v>0</v>
      </c>
      <c r="B661" s="2" t="str">
        <f t="shared" si="197"/>
        <v/>
      </c>
      <c r="C661" s="4" t="str">
        <f t="shared" si="181"/>
        <v/>
      </c>
      <c r="D661" s="3" t="str">
        <f t="shared" si="182"/>
        <v/>
      </c>
      <c r="E661" s="47"/>
      <c r="F661" s="3" t="str">
        <f t="shared" si="183"/>
        <v/>
      </c>
      <c r="G661" s="47"/>
      <c r="H661" s="3" t="str">
        <f t="shared" si="184"/>
        <v/>
      </c>
      <c r="I661" s="47"/>
      <c r="J661" s="3" t="str">
        <f t="shared" si="185"/>
        <v/>
      </c>
      <c r="K661" s="47"/>
      <c r="L661" s="3" t="str">
        <f t="shared" si="186"/>
        <v/>
      </c>
      <c r="M661" s="47"/>
      <c r="N661" s="3" t="str">
        <f t="shared" si="187"/>
        <v/>
      </c>
      <c r="O661" s="47"/>
      <c r="P661" s="3" t="str">
        <f t="shared" si="188"/>
        <v/>
      </c>
      <c r="Q661" s="47"/>
      <c r="R661" s="3" t="str">
        <f t="shared" si="189"/>
        <v/>
      </c>
      <c r="S661" s="47"/>
      <c r="T661" s="1" t="str">
        <f t="shared" si="190"/>
        <v/>
      </c>
      <c r="U661" s="47"/>
      <c r="V661" s="1" t="str">
        <f t="shared" si="191"/>
        <v/>
      </c>
      <c r="W661" s="47"/>
      <c r="X661" s="1" t="str">
        <f t="shared" si="192"/>
        <v/>
      </c>
      <c r="Y661" s="47"/>
      <c r="Z661" s="1" t="str">
        <f t="shared" si="193"/>
        <v/>
      </c>
      <c r="AA661" s="47"/>
      <c r="AB661" s="1" t="str">
        <f t="shared" si="194"/>
        <v/>
      </c>
      <c r="AC661" s="47"/>
      <c r="AD661" s="1" t="str">
        <f t="shared" si="195"/>
        <v/>
      </c>
      <c r="AE661" s="47"/>
      <c r="AF661" s="1" t="str">
        <f t="shared" si="196"/>
        <v/>
      </c>
      <c r="AG661" s="47"/>
    </row>
    <row r="662" spans="1:33">
      <c r="A662">
        <f t="shared" si="180"/>
        <v>0</v>
      </c>
      <c r="B662" s="2" t="str">
        <f t="shared" si="197"/>
        <v/>
      </c>
      <c r="C662" s="4" t="str">
        <f t="shared" si="181"/>
        <v/>
      </c>
      <c r="D662" s="3" t="str">
        <f t="shared" si="182"/>
        <v/>
      </c>
      <c r="E662" s="47"/>
      <c r="F662" s="3" t="str">
        <f t="shared" si="183"/>
        <v/>
      </c>
      <c r="G662" s="47"/>
      <c r="H662" s="3" t="str">
        <f t="shared" si="184"/>
        <v/>
      </c>
      <c r="I662" s="47"/>
      <c r="J662" s="3" t="str">
        <f t="shared" si="185"/>
        <v/>
      </c>
      <c r="K662" s="47"/>
      <c r="L662" s="3" t="str">
        <f t="shared" si="186"/>
        <v/>
      </c>
      <c r="M662" s="47"/>
      <c r="N662" s="3" t="str">
        <f t="shared" si="187"/>
        <v/>
      </c>
      <c r="O662" s="47"/>
      <c r="P662" s="3" t="str">
        <f t="shared" si="188"/>
        <v/>
      </c>
      <c r="Q662" s="47"/>
      <c r="R662" s="3" t="str">
        <f t="shared" si="189"/>
        <v/>
      </c>
      <c r="S662" s="47"/>
      <c r="T662" s="1" t="str">
        <f t="shared" si="190"/>
        <v/>
      </c>
      <c r="U662" s="47"/>
      <c r="V662" s="1" t="str">
        <f t="shared" si="191"/>
        <v/>
      </c>
      <c r="W662" s="47"/>
      <c r="X662" s="1" t="str">
        <f t="shared" si="192"/>
        <v/>
      </c>
      <c r="Y662" s="47"/>
      <c r="Z662" s="1" t="str">
        <f t="shared" si="193"/>
        <v/>
      </c>
      <c r="AA662" s="47"/>
      <c r="AB662" s="1" t="str">
        <f t="shared" si="194"/>
        <v/>
      </c>
      <c r="AC662" s="47"/>
      <c r="AD662" s="1" t="str">
        <f t="shared" si="195"/>
        <v/>
      </c>
      <c r="AE662" s="47"/>
      <c r="AF662" s="1" t="str">
        <f t="shared" si="196"/>
        <v/>
      </c>
      <c r="AG662" s="47"/>
    </row>
    <row r="663" spans="1:33">
      <c r="A663">
        <f t="shared" si="180"/>
        <v>0</v>
      </c>
      <c r="B663" s="2" t="str">
        <f t="shared" si="197"/>
        <v/>
      </c>
      <c r="C663" s="4" t="str">
        <f t="shared" si="181"/>
        <v/>
      </c>
      <c r="D663" s="3" t="str">
        <f t="shared" si="182"/>
        <v/>
      </c>
      <c r="E663" s="47"/>
      <c r="F663" s="3" t="str">
        <f t="shared" si="183"/>
        <v/>
      </c>
      <c r="G663" s="47"/>
      <c r="H663" s="3" t="str">
        <f t="shared" si="184"/>
        <v/>
      </c>
      <c r="I663" s="47"/>
      <c r="J663" s="3" t="str">
        <f t="shared" si="185"/>
        <v/>
      </c>
      <c r="K663" s="47"/>
      <c r="L663" s="3" t="str">
        <f t="shared" si="186"/>
        <v/>
      </c>
      <c r="M663" s="47"/>
      <c r="N663" s="3" t="str">
        <f t="shared" si="187"/>
        <v/>
      </c>
      <c r="O663" s="47"/>
      <c r="P663" s="3" t="str">
        <f t="shared" si="188"/>
        <v/>
      </c>
      <c r="Q663" s="47"/>
      <c r="R663" s="3" t="str">
        <f t="shared" si="189"/>
        <v/>
      </c>
      <c r="S663" s="47"/>
      <c r="T663" s="1" t="str">
        <f t="shared" si="190"/>
        <v/>
      </c>
      <c r="U663" s="47"/>
      <c r="V663" s="1" t="str">
        <f t="shared" si="191"/>
        <v/>
      </c>
      <c r="W663" s="47"/>
      <c r="X663" s="1" t="str">
        <f t="shared" si="192"/>
        <v/>
      </c>
      <c r="Y663" s="47"/>
      <c r="Z663" s="1" t="str">
        <f t="shared" si="193"/>
        <v/>
      </c>
      <c r="AA663" s="47"/>
      <c r="AB663" s="1" t="str">
        <f t="shared" si="194"/>
        <v/>
      </c>
      <c r="AC663" s="47"/>
      <c r="AD663" s="1" t="str">
        <f t="shared" si="195"/>
        <v/>
      </c>
      <c r="AE663" s="47"/>
      <c r="AF663" s="1" t="str">
        <f t="shared" si="196"/>
        <v/>
      </c>
      <c r="AG663" s="47"/>
    </row>
    <row r="664" spans="1:33">
      <c r="A664">
        <f t="shared" si="180"/>
        <v>0</v>
      </c>
      <c r="B664" s="2" t="str">
        <f t="shared" si="197"/>
        <v/>
      </c>
      <c r="C664" s="4" t="str">
        <f t="shared" si="181"/>
        <v/>
      </c>
      <c r="D664" s="3" t="str">
        <f t="shared" si="182"/>
        <v/>
      </c>
      <c r="E664" s="47"/>
      <c r="F664" s="3" t="str">
        <f t="shared" si="183"/>
        <v/>
      </c>
      <c r="G664" s="47"/>
      <c r="H664" s="3" t="str">
        <f t="shared" si="184"/>
        <v/>
      </c>
      <c r="I664" s="47"/>
      <c r="J664" s="3" t="str">
        <f t="shared" si="185"/>
        <v/>
      </c>
      <c r="K664" s="47"/>
      <c r="L664" s="3" t="str">
        <f t="shared" si="186"/>
        <v/>
      </c>
      <c r="M664" s="47"/>
      <c r="N664" s="3" t="str">
        <f t="shared" si="187"/>
        <v/>
      </c>
      <c r="O664" s="47"/>
      <c r="P664" s="3" t="str">
        <f t="shared" si="188"/>
        <v/>
      </c>
      <c r="Q664" s="47"/>
      <c r="R664" s="3" t="str">
        <f t="shared" si="189"/>
        <v/>
      </c>
      <c r="S664" s="47"/>
      <c r="T664" s="1" t="str">
        <f t="shared" si="190"/>
        <v/>
      </c>
      <c r="U664" s="47"/>
      <c r="V664" s="1" t="str">
        <f t="shared" si="191"/>
        <v/>
      </c>
      <c r="W664" s="47"/>
      <c r="X664" s="1" t="str">
        <f t="shared" si="192"/>
        <v/>
      </c>
      <c r="Y664" s="47"/>
      <c r="Z664" s="1" t="str">
        <f t="shared" si="193"/>
        <v/>
      </c>
      <c r="AA664" s="47"/>
      <c r="AB664" s="1" t="str">
        <f t="shared" si="194"/>
        <v/>
      </c>
      <c r="AC664" s="47"/>
      <c r="AD664" s="1" t="str">
        <f t="shared" si="195"/>
        <v/>
      </c>
      <c r="AE664" s="47"/>
      <c r="AF664" s="1" t="str">
        <f t="shared" si="196"/>
        <v/>
      </c>
      <c r="AG664" s="47"/>
    </row>
    <row r="665" spans="1:33">
      <c r="A665">
        <f t="shared" si="180"/>
        <v>0</v>
      </c>
      <c r="B665" s="2" t="str">
        <f t="shared" si="197"/>
        <v/>
      </c>
      <c r="C665" s="4" t="str">
        <f t="shared" si="181"/>
        <v/>
      </c>
      <c r="D665" s="3" t="str">
        <f t="shared" si="182"/>
        <v/>
      </c>
      <c r="E665" s="47"/>
      <c r="F665" s="3" t="str">
        <f t="shared" si="183"/>
        <v/>
      </c>
      <c r="G665" s="47"/>
      <c r="H665" s="3" t="str">
        <f t="shared" si="184"/>
        <v/>
      </c>
      <c r="I665" s="47"/>
      <c r="J665" s="3" t="str">
        <f t="shared" si="185"/>
        <v/>
      </c>
      <c r="K665" s="47"/>
      <c r="L665" s="3" t="str">
        <f t="shared" si="186"/>
        <v/>
      </c>
      <c r="M665" s="47"/>
      <c r="N665" s="3" t="str">
        <f t="shared" si="187"/>
        <v/>
      </c>
      <c r="O665" s="47"/>
      <c r="P665" s="3" t="str">
        <f t="shared" si="188"/>
        <v/>
      </c>
      <c r="Q665" s="47"/>
      <c r="R665" s="3" t="str">
        <f t="shared" si="189"/>
        <v/>
      </c>
      <c r="S665" s="47"/>
      <c r="T665" s="1" t="str">
        <f t="shared" si="190"/>
        <v/>
      </c>
      <c r="U665" s="47"/>
      <c r="V665" s="1" t="str">
        <f t="shared" si="191"/>
        <v/>
      </c>
      <c r="W665" s="47"/>
      <c r="X665" s="1" t="str">
        <f t="shared" si="192"/>
        <v/>
      </c>
      <c r="Y665" s="47"/>
      <c r="Z665" s="1" t="str">
        <f t="shared" si="193"/>
        <v/>
      </c>
      <c r="AA665" s="47"/>
      <c r="AB665" s="1" t="str">
        <f t="shared" si="194"/>
        <v/>
      </c>
      <c r="AC665" s="47"/>
      <c r="AD665" s="1" t="str">
        <f t="shared" si="195"/>
        <v/>
      </c>
      <c r="AE665" s="47"/>
      <c r="AF665" s="1" t="str">
        <f t="shared" si="196"/>
        <v/>
      </c>
      <c r="AG665" s="47"/>
    </row>
    <row r="666" spans="1:33">
      <c r="A666">
        <f t="shared" si="180"/>
        <v>0</v>
      </c>
      <c r="B666" s="2" t="str">
        <f t="shared" si="197"/>
        <v/>
      </c>
      <c r="C666" s="4" t="str">
        <f t="shared" si="181"/>
        <v/>
      </c>
      <c r="D666" s="3" t="str">
        <f t="shared" si="182"/>
        <v/>
      </c>
      <c r="E666" s="47"/>
      <c r="F666" s="3" t="str">
        <f t="shared" si="183"/>
        <v/>
      </c>
      <c r="G666" s="47"/>
      <c r="H666" s="3" t="str">
        <f t="shared" si="184"/>
        <v/>
      </c>
      <c r="I666" s="47"/>
      <c r="J666" s="3" t="str">
        <f t="shared" si="185"/>
        <v/>
      </c>
      <c r="K666" s="47"/>
      <c r="L666" s="3" t="str">
        <f t="shared" si="186"/>
        <v/>
      </c>
      <c r="M666" s="47"/>
      <c r="N666" s="3" t="str">
        <f t="shared" si="187"/>
        <v/>
      </c>
      <c r="O666" s="47"/>
      <c r="P666" s="3" t="str">
        <f t="shared" si="188"/>
        <v/>
      </c>
      <c r="Q666" s="47"/>
      <c r="R666" s="3" t="str">
        <f t="shared" si="189"/>
        <v/>
      </c>
      <c r="S666" s="47"/>
      <c r="T666" s="1" t="str">
        <f t="shared" si="190"/>
        <v/>
      </c>
      <c r="U666" s="47"/>
      <c r="V666" s="1" t="str">
        <f t="shared" si="191"/>
        <v/>
      </c>
      <c r="W666" s="47"/>
      <c r="X666" s="1" t="str">
        <f t="shared" si="192"/>
        <v/>
      </c>
      <c r="Y666" s="47"/>
      <c r="Z666" s="1" t="str">
        <f t="shared" si="193"/>
        <v/>
      </c>
      <c r="AA666" s="47"/>
      <c r="AB666" s="1" t="str">
        <f t="shared" si="194"/>
        <v/>
      </c>
      <c r="AC666" s="47"/>
      <c r="AD666" s="1" t="str">
        <f t="shared" si="195"/>
        <v/>
      </c>
      <c r="AE666" s="47"/>
      <c r="AF666" s="1" t="str">
        <f t="shared" si="196"/>
        <v/>
      </c>
      <c r="AG666" s="47"/>
    </row>
    <row r="667" spans="1:33">
      <c r="A667">
        <f t="shared" si="180"/>
        <v>0</v>
      </c>
      <c r="B667" s="2" t="str">
        <f t="shared" si="197"/>
        <v/>
      </c>
      <c r="C667" s="4" t="str">
        <f t="shared" si="181"/>
        <v/>
      </c>
      <c r="D667" s="3" t="str">
        <f t="shared" si="182"/>
        <v/>
      </c>
      <c r="E667" s="47"/>
      <c r="F667" s="3" t="str">
        <f t="shared" si="183"/>
        <v/>
      </c>
      <c r="G667" s="47"/>
      <c r="H667" s="3" t="str">
        <f t="shared" si="184"/>
        <v/>
      </c>
      <c r="I667" s="47"/>
      <c r="J667" s="3" t="str">
        <f t="shared" si="185"/>
        <v/>
      </c>
      <c r="K667" s="47"/>
      <c r="L667" s="3" t="str">
        <f t="shared" si="186"/>
        <v/>
      </c>
      <c r="M667" s="47"/>
      <c r="N667" s="3" t="str">
        <f t="shared" si="187"/>
        <v/>
      </c>
      <c r="O667" s="47"/>
      <c r="P667" s="3" t="str">
        <f t="shared" si="188"/>
        <v/>
      </c>
      <c r="Q667" s="47"/>
      <c r="R667" s="3" t="str">
        <f t="shared" si="189"/>
        <v/>
      </c>
      <c r="S667" s="47"/>
      <c r="T667" s="1" t="str">
        <f t="shared" si="190"/>
        <v/>
      </c>
      <c r="U667" s="47"/>
      <c r="V667" s="1" t="str">
        <f t="shared" si="191"/>
        <v/>
      </c>
      <c r="W667" s="47"/>
      <c r="X667" s="1" t="str">
        <f t="shared" si="192"/>
        <v/>
      </c>
      <c r="Y667" s="47"/>
      <c r="Z667" s="1" t="str">
        <f t="shared" si="193"/>
        <v/>
      </c>
      <c r="AA667" s="47"/>
      <c r="AB667" s="1" t="str">
        <f t="shared" si="194"/>
        <v/>
      </c>
      <c r="AC667" s="47"/>
      <c r="AD667" s="1" t="str">
        <f t="shared" si="195"/>
        <v/>
      </c>
      <c r="AE667" s="47"/>
      <c r="AF667" s="1" t="str">
        <f t="shared" si="196"/>
        <v/>
      </c>
      <c r="AG667" s="47"/>
    </row>
    <row r="668" spans="1:33">
      <c r="A668">
        <f t="shared" si="180"/>
        <v>0</v>
      </c>
      <c r="B668" s="2" t="str">
        <f t="shared" si="197"/>
        <v/>
      </c>
      <c r="C668" s="4" t="str">
        <f t="shared" si="181"/>
        <v/>
      </c>
      <c r="D668" s="3" t="str">
        <f t="shared" si="182"/>
        <v/>
      </c>
      <c r="E668" s="47"/>
      <c r="F668" s="3" t="str">
        <f t="shared" si="183"/>
        <v/>
      </c>
      <c r="G668" s="47"/>
      <c r="H668" s="3" t="str">
        <f t="shared" si="184"/>
        <v/>
      </c>
      <c r="I668" s="47"/>
      <c r="J668" s="3" t="str">
        <f t="shared" si="185"/>
        <v/>
      </c>
      <c r="K668" s="47"/>
      <c r="L668" s="3" t="str">
        <f t="shared" si="186"/>
        <v/>
      </c>
      <c r="M668" s="47"/>
      <c r="N668" s="3" t="str">
        <f t="shared" si="187"/>
        <v/>
      </c>
      <c r="O668" s="47"/>
      <c r="P668" s="3" t="str">
        <f t="shared" si="188"/>
        <v/>
      </c>
      <c r="Q668" s="47"/>
      <c r="R668" s="3" t="str">
        <f t="shared" si="189"/>
        <v/>
      </c>
      <c r="S668" s="47"/>
      <c r="T668" s="1" t="str">
        <f t="shared" si="190"/>
        <v/>
      </c>
      <c r="U668" s="47"/>
      <c r="V668" s="1" t="str">
        <f t="shared" si="191"/>
        <v/>
      </c>
      <c r="W668" s="47"/>
      <c r="X668" s="1" t="str">
        <f t="shared" si="192"/>
        <v/>
      </c>
      <c r="Y668" s="47"/>
      <c r="Z668" s="1" t="str">
        <f t="shared" si="193"/>
        <v/>
      </c>
      <c r="AA668" s="47"/>
      <c r="AB668" s="1" t="str">
        <f t="shared" si="194"/>
        <v/>
      </c>
      <c r="AC668" s="47"/>
      <c r="AD668" s="1" t="str">
        <f t="shared" si="195"/>
        <v/>
      </c>
      <c r="AE668" s="47"/>
      <c r="AF668" s="1" t="str">
        <f t="shared" si="196"/>
        <v/>
      </c>
      <c r="AG668" s="47"/>
    </row>
    <row r="669" spans="1:33">
      <c r="A669">
        <f t="shared" si="180"/>
        <v>0</v>
      </c>
      <c r="B669" s="2" t="str">
        <f t="shared" si="197"/>
        <v/>
      </c>
      <c r="C669" s="4" t="str">
        <f t="shared" si="181"/>
        <v/>
      </c>
      <c r="D669" s="3" t="str">
        <f t="shared" si="182"/>
        <v/>
      </c>
      <c r="E669" s="47"/>
      <c r="F669" s="3" t="str">
        <f t="shared" si="183"/>
        <v/>
      </c>
      <c r="G669" s="47"/>
      <c r="H669" s="3" t="str">
        <f t="shared" si="184"/>
        <v/>
      </c>
      <c r="I669" s="47"/>
      <c r="J669" s="3" t="str">
        <f t="shared" si="185"/>
        <v/>
      </c>
      <c r="K669" s="47"/>
      <c r="L669" s="3" t="str">
        <f t="shared" si="186"/>
        <v/>
      </c>
      <c r="M669" s="47"/>
      <c r="N669" s="3" t="str">
        <f t="shared" si="187"/>
        <v/>
      </c>
      <c r="O669" s="47"/>
      <c r="P669" s="3" t="str">
        <f t="shared" si="188"/>
        <v/>
      </c>
      <c r="Q669" s="47"/>
      <c r="R669" s="3" t="str">
        <f t="shared" si="189"/>
        <v/>
      </c>
      <c r="S669" s="47"/>
      <c r="T669" s="1" t="str">
        <f t="shared" si="190"/>
        <v/>
      </c>
      <c r="U669" s="47"/>
      <c r="V669" s="1" t="str">
        <f t="shared" si="191"/>
        <v/>
      </c>
      <c r="W669" s="47"/>
      <c r="X669" s="1" t="str">
        <f t="shared" si="192"/>
        <v/>
      </c>
      <c r="Y669" s="47"/>
      <c r="Z669" s="1" t="str">
        <f t="shared" si="193"/>
        <v/>
      </c>
      <c r="AA669" s="47"/>
      <c r="AB669" s="1" t="str">
        <f t="shared" si="194"/>
        <v/>
      </c>
      <c r="AC669" s="47"/>
      <c r="AD669" s="1" t="str">
        <f t="shared" si="195"/>
        <v/>
      </c>
      <c r="AE669" s="47"/>
      <c r="AF669" s="1" t="str">
        <f t="shared" si="196"/>
        <v/>
      </c>
      <c r="AG669" s="47"/>
    </row>
    <row r="670" spans="1:33">
      <c r="A670">
        <f t="shared" si="180"/>
        <v>0</v>
      </c>
      <c r="B670" s="2" t="str">
        <f t="shared" si="197"/>
        <v/>
      </c>
      <c r="C670" s="4" t="str">
        <f t="shared" si="181"/>
        <v/>
      </c>
      <c r="D670" s="3" t="str">
        <f t="shared" si="182"/>
        <v/>
      </c>
      <c r="E670" s="47"/>
      <c r="F670" s="3" t="str">
        <f t="shared" si="183"/>
        <v/>
      </c>
      <c r="G670" s="47"/>
      <c r="H670" s="3" t="str">
        <f t="shared" si="184"/>
        <v/>
      </c>
      <c r="I670" s="47"/>
      <c r="J670" s="3" t="str">
        <f t="shared" si="185"/>
        <v/>
      </c>
      <c r="K670" s="47"/>
      <c r="L670" s="3" t="str">
        <f t="shared" si="186"/>
        <v/>
      </c>
      <c r="M670" s="47"/>
      <c r="N670" s="3" t="str">
        <f t="shared" si="187"/>
        <v/>
      </c>
      <c r="O670" s="47"/>
      <c r="P670" s="3" t="str">
        <f t="shared" si="188"/>
        <v/>
      </c>
      <c r="Q670" s="47"/>
      <c r="R670" s="3" t="str">
        <f t="shared" si="189"/>
        <v/>
      </c>
      <c r="S670" s="47"/>
      <c r="T670" s="1" t="str">
        <f t="shared" si="190"/>
        <v/>
      </c>
      <c r="U670" s="47"/>
      <c r="V670" s="1" t="str">
        <f t="shared" si="191"/>
        <v/>
      </c>
      <c r="W670" s="47"/>
      <c r="X670" s="1" t="str">
        <f t="shared" si="192"/>
        <v/>
      </c>
      <c r="Y670" s="47"/>
      <c r="Z670" s="1" t="str">
        <f t="shared" si="193"/>
        <v/>
      </c>
      <c r="AA670" s="47"/>
      <c r="AB670" s="1" t="str">
        <f t="shared" si="194"/>
        <v/>
      </c>
      <c r="AC670" s="47"/>
      <c r="AD670" s="1" t="str">
        <f t="shared" si="195"/>
        <v/>
      </c>
      <c r="AE670" s="47"/>
      <c r="AF670" s="1" t="str">
        <f t="shared" si="196"/>
        <v/>
      </c>
      <c r="AG670" s="47"/>
    </row>
    <row r="671" spans="1:33">
      <c r="A671">
        <f t="shared" si="180"/>
        <v>0</v>
      </c>
      <c r="B671" s="2" t="str">
        <f t="shared" si="197"/>
        <v/>
      </c>
      <c r="C671" s="4" t="str">
        <f t="shared" si="181"/>
        <v/>
      </c>
      <c r="D671" s="3" t="str">
        <f t="shared" si="182"/>
        <v/>
      </c>
      <c r="E671" s="47"/>
      <c r="F671" s="3" t="str">
        <f t="shared" si="183"/>
        <v/>
      </c>
      <c r="G671" s="47"/>
      <c r="H671" s="3" t="str">
        <f t="shared" si="184"/>
        <v/>
      </c>
      <c r="I671" s="47"/>
      <c r="J671" s="3" t="str">
        <f t="shared" si="185"/>
        <v/>
      </c>
      <c r="K671" s="47"/>
      <c r="L671" s="3" t="str">
        <f t="shared" si="186"/>
        <v/>
      </c>
      <c r="M671" s="47"/>
      <c r="N671" s="3" t="str">
        <f t="shared" si="187"/>
        <v/>
      </c>
      <c r="O671" s="47"/>
      <c r="P671" s="3" t="str">
        <f t="shared" si="188"/>
        <v/>
      </c>
      <c r="Q671" s="47"/>
      <c r="R671" s="3" t="str">
        <f t="shared" si="189"/>
        <v/>
      </c>
      <c r="S671" s="47"/>
      <c r="T671" s="1" t="str">
        <f t="shared" si="190"/>
        <v/>
      </c>
      <c r="U671" s="47"/>
      <c r="V671" s="1" t="str">
        <f t="shared" si="191"/>
        <v/>
      </c>
      <c r="W671" s="47"/>
      <c r="X671" s="1" t="str">
        <f t="shared" si="192"/>
        <v/>
      </c>
      <c r="Y671" s="47"/>
      <c r="Z671" s="1" t="str">
        <f t="shared" si="193"/>
        <v/>
      </c>
      <c r="AA671" s="47"/>
      <c r="AB671" s="1" t="str">
        <f t="shared" si="194"/>
        <v/>
      </c>
      <c r="AC671" s="47"/>
      <c r="AD671" s="1" t="str">
        <f t="shared" si="195"/>
        <v/>
      </c>
      <c r="AE671" s="47"/>
      <c r="AF671" s="1" t="str">
        <f t="shared" si="196"/>
        <v/>
      </c>
      <c r="AG671" s="47"/>
    </row>
    <row r="672" spans="1:33">
      <c r="A672">
        <f t="shared" si="180"/>
        <v>0</v>
      </c>
      <c r="B672" s="2" t="str">
        <f t="shared" si="197"/>
        <v/>
      </c>
      <c r="C672" s="4" t="str">
        <f t="shared" si="181"/>
        <v/>
      </c>
      <c r="D672" s="3" t="str">
        <f t="shared" si="182"/>
        <v/>
      </c>
      <c r="E672" s="47"/>
      <c r="F672" s="3" t="str">
        <f t="shared" si="183"/>
        <v/>
      </c>
      <c r="G672" s="47"/>
      <c r="H672" s="3" t="str">
        <f t="shared" si="184"/>
        <v/>
      </c>
      <c r="I672" s="47"/>
      <c r="J672" s="3" t="str">
        <f t="shared" si="185"/>
        <v/>
      </c>
      <c r="K672" s="47"/>
      <c r="L672" s="3" t="str">
        <f t="shared" si="186"/>
        <v/>
      </c>
      <c r="M672" s="47"/>
      <c r="N672" s="3" t="str">
        <f t="shared" si="187"/>
        <v/>
      </c>
      <c r="O672" s="47"/>
      <c r="P672" s="3" t="str">
        <f t="shared" si="188"/>
        <v/>
      </c>
      <c r="Q672" s="47"/>
      <c r="R672" s="3" t="str">
        <f t="shared" si="189"/>
        <v/>
      </c>
      <c r="S672" s="47"/>
      <c r="T672" s="1" t="str">
        <f t="shared" si="190"/>
        <v/>
      </c>
      <c r="U672" s="47"/>
      <c r="V672" s="1" t="str">
        <f t="shared" si="191"/>
        <v/>
      </c>
      <c r="W672" s="47"/>
      <c r="X672" s="1" t="str">
        <f t="shared" si="192"/>
        <v/>
      </c>
      <c r="Y672" s="47"/>
      <c r="Z672" s="1" t="str">
        <f t="shared" si="193"/>
        <v/>
      </c>
      <c r="AA672" s="47"/>
      <c r="AB672" s="1" t="str">
        <f t="shared" si="194"/>
        <v/>
      </c>
      <c r="AC672" s="47"/>
      <c r="AD672" s="1" t="str">
        <f t="shared" si="195"/>
        <v/>
      </c>
      <c r="AE672" s="47"/>
      <c r="AF672" s="1" t="str">
        <f t="shared" si="196"/>
        <v/>
      </c>
      <c r="AG672" s="47"/>
    </row>
    <row r="673" spans="1:33">
      <c r="A673">
        <f t="shared" si="180"/>
        <v>0</v>
      </c>
      <c r="B673" s="2" t="str">
        <f t="shared" si="197"/>
        <v/>
      </c>
      <c r="C673" s="4" t="str">
        <f t="shared" si="181"/>
        <v/>
      </c>
      <c r="D673" s="3" t="str">
        <f t="shared" si="182"/>
        <v/>
      </c>
      <c r="E673" s="47"/>
      <c r="F673" s="3" t="str">
        <f t="shared" si="183"/>
        <v/>
      </c>
      <c r="G673" s="47"/>
      <c r="H673" s="3" t="str">
        <f t="shared" si="184"/>
        <v/>
      </c>
      <c r="I673" s="47"/>
      <c r="J673" s="3" t="str">
        <f t="shared" si="185"/>
        <v/>
      </c>
      <c r="K673" s="47"/>
      <c r="L673" s="3" t="str">
        <f t="shared" si="186"/>
        <v/>
      </c>
      <c r="M673" s="47"/>
      <c r="N673" s="3" t="str">
        <f t="shared" si="187"/>
        <v/>
      </c>
      <c r="O673" s="47"/>
      <c r="P673" s="3" t="str">
        <f t="shared" si="188"/>
        <v/>
      </c>
      <c r="Q673" s="47"/>
      <c r="R673" s="3" t="str">
        <f t="shared" si="189"/>
        <v/>
      </c>
      <c r="S673" s="47"/>
      <c r="T673" s="1" t="str">
        <f t="shared" si="190"/>
        <v/>
      </c>
      <c r="U673" s="47"/>
      <c r="V673" s="1" t="str">
        <f t="shared" si="191"/>
        <v/>
      </c>
      <c r="W673" s="47"/>
      <c r="X673" s="1" t="str">
        <f t="shared" si="192"/>
        <v/>
      </c>
      <c r="Y673" s="47"/>
      <c r="Z673" s="1" t="str">
        <f t="shared" si="193"/>
        <v/>
      </c>
      <c r="AA673" s="47"/>
      <c r="AB673" s="1" t="str">
        <f t="shared" si="194"/>
        <v/>
      </c>
      <c r="AC673" s="47"/>
      <c r="AD673" s="1" t="str">
        <f t="shared" si="195"/>
        <v/>
      </c>
      <c r="AE673" s="47"/>
      <c r="AF673" s="1" t="str">
        <f t="shared" si="196"/>
        <v/>
      </c>
      <c r="AG673" s="47"/>
    </row>
    <row r="674" spans="1:33">
      <c r="A674">
        <f t="shared" si="180"/>
        <v>0</v>
      </c>
      <c r="B674" s="2" t="str">
        <f t="shared" si="197"/>
        <v/>
      </c>
      <c r="C674" s="4" t="str">
        <f t="shared" si="181"/>
        <v/>
      </c>
      <c r="D674" s="3" t="str">
        <f t="shared" si="182"/>
        <v/>
      </c>
      <c r="E674" s="47"/>
      <c r="F674" s="3" t="str">
        <f t="shared" si="183"/>
        <v/>
      </c>
      <c r="G674" s="47"/>
      <c r="H674" s="3" t="str">
        <f t="shared" si="184"/>
        <v/>
      </c>
      <c r="I674" s="47"/>
      <c r="J674" s="3" t="str">
        <f t="shared" si="185"/>
        <v/>
      </c>
      <c r="K674" s="47"/>
      <c r="L674" s="3" t="str">
        <f t="shared" si="186"/>
        <v/>
      </c>
      <c r="M674" s="47"/>
      <c r="N674" s="3" t="str">
        <f t="shared" si="187"/>
        <v/>
      </c>
      <c r="O674" s="47"/>
      <c r="P674" s="3" t="str">
        <f t="shared" si="188"/>
        <v/>
      </c>
      <c r="Q674" s="47"/>
      <c r="R674" s="3" t="str">
        <f t="shared" si="189"/>
        <v/>
      </c>
      <c r="S674" s="47"/>
      <c r="T674" s="1" t="str">
        <f t="shared" si="190"/>
        <v/>
      </c>
      <c r="U674" s="47"/>
      <c r="V674" s="1" t="str">
        <f t="shared" si="191"/>
        <v/>
      </c>
      <c r="W674" s="47"/>
      <c r="X674" s="1" t="str">
        <f t="shared" si="192"/>
        <v/>
      </c>
      <c r="Y674" s="47"/>
      <c r="Z674" s="1" t="str">
        <f t="shared" si="193"/>
        <v/>
      </c>
      <c r="AA674" s="47"/>
      <c r="AB674" s="1" t="str">
        <f t="shared" si="194"/>
        <v/>
      </c>
      <c r="AC674" s="47"/>
      <c r="AD674" s="1" t="str">
        <f t="shared" si="195"/>
        <v/>
      </c>
      <c r="AE674" s="47"/>
      <c r="AF674" s="1" t="str">
        <f t="shared" si="196"/>
        <v/>
      </c>
      <c r="AG674" s="47"/>
    </row>
    <row r="675" spans="1:33">
      <c r="A675">
        <f t="shared" si="180"/>
        <v>0</v>
      </c>
      <c r="B675" s="2" t="str">
        <f t="shared" si="197"/>
        <v/>
      </c>
      <c r="C675" s="4" t="str">
        <f t="shared" si="181"/>
        <v/>
      </c>
      <c r="D675" s="3" t="str">
        <f t="shared" si="182"/>
        <v/>
      </c>
      <c r="E675" s="47"/>
      <c r="F675" s="3" t="str">
        <f t="shared" si="183"/>
        <v/>
      </c>
      <c r="G675" s="47"/>
      <c r="H675" s="3" t="str">
        <f t="shared" si="184"/>
        <v/>
      </c>
      <c r="I675" s="47"/>
      <c r="J675" s="3" t="str">
        <f t="shared" si="185"/>
        <v/>
      </c>
      <c r="K675" s="47"/>
      <c r="L675" s="3" t="str">
        <f t="shared" si="186"/>
        <v/>
      </c>
      <c r="M675" s="47"/>
      <c r="N675" s="3" t="str">
        <f t="shared" si="187"/>
        <v/>
      </c>
      <c r="O675" s="47"/>
      <c r="P675" s="3" t="str">
        <f t="shared" si="188"/>
        <v/>
      </c>
      <c r="Q675" s="47"/>
      <c r="R675" s="3" t="str">
        <f t="shared" si="189"/>
        <v/>
      </c>
      <c r="S675" s="47"/>
      <c r="T675" s="1" t="str">
        <f t="shared" si="190"/>
        <v/>
      </c>
      <c r="U675" s="47"/>
      <c r="V675" s="1" t="str">
        <f t="shared" si="191"/>
        <v/>
      </c>
      <c r="W675" s="47"/>
      <c r="X675" s="1" t="str">
        <f t="shared" si="192"/>
        <v/>
      </c>
      <c r="Y675" s="47"/>
      <c r="Z675" s="1" t="str">
        <f t="shared" si="193"/>
        <v/>
      </c>
      <c r="AA675" s="47"/>
      <c r="AB675" s="1" t="str">
        <f t="shared" si="194"/>
        <v/>
      </c>
      <c r="AC675" s="47"/>
      <c r="AD675" s="1" t="str">
        <f t="shared" si="195"/>
        <v/>
      </c>
      <c r="AE675" s="47"/>
      <c r="AF675" s="1" t="str">
        <f t="shared" si="196"/>
        <v/>
      </c>
      <c r="AG675" s="47"/>
    </row>
    <row r="676" spans="1:33">
      <c r="A676">
        <f t="shared" si="180"/>
        <v>0</v>
      </c>
      <c r="B676" s="2" t="str">
        <f t="shared" si="197"/>
        <v/>
      </c>
      <c r="C676" s="4" t="str">
        <f t="shared" si="181"/>
        <v/>
      </c>
      <c r="D676" s="3" t="str">
        <f t="shared" si="182"/>
        <v/>
      </c>
      <c r="E676" s="47"/>
      <c r="F676" s="3" t="str">
        <f t="shared" si="183"/>
        <v/>
      </c>
      <c r="G676" s="47"/>
      <c r="H676" s="3" t="str">
        <f t="shared" si="184"/>
        <v/>
      </c>
      <c r="I676" s="47"/>
      <c r="J676" s="3" t="str">
        <f t="shared" si="185"/>
        <v/>
      </c>
      <c r="K676" s="47"/>
      <c r="L676" s="3" t="str">
        <f t="shared" si="186"/>
        <v/>
      </c>
      <c r="M676" s="47"/>
      <c r="N676" s="3" t="str">
        <f t="shared" si="187"/>
        <v/>
      </c>
      <c r="O676" s="47"/>
      <c r="P676" s="3" t="str">
        <f t="shared" si="188"/>
        <v/>
      </c>
      <c r="Q676" s="47"/>
      <c r="R676" s="3" t="str">
        <f t="shared" si="189"/>
        <v/>
      </c>
      <c r="S676" s="47"/>
      <c r="T676" s="1" t="str">
        <f t="shared" si="190"/>
        <v/>
      </c>
      <c r="U676" s="47"/>
      <c r="V676" s="1" t="str">
        <f t="shared" si="191"/>
        <v/>
      </c>
      <c r="W676" s="47"/>
      <c r="X676" s="1" t="str">
        <f t="shared" si="192"/>
        <v/>
      </c>
      <c r="Y676" s="47"/>
      <c r="Z676" s="1" t="str">
        <f t="shared" si="193"/>
        <v/>
      </c>
      <c r="AA676" s="47"/>
      <c r="AB676" s="1" t="str">
        <f t="shared" si="194"/>
        <v/>
      </c>
      <c r="AC676" s="47"/>
      <c r="AD676" s="1" t="str">
        <f t="shared" si="195"/>
        <v/>
      </c>
      <c r="AE676" s="47"/>
      <c r="AF676" s="1" t="str">
        <f t="shared" si="196"/>
        <v/>
      </c>
      <c r="AG676" s="47"/>
    </row>
    <row r="677" spans="1:33">
      <c r="A677">
        <f t="shared" si="180"/>
        <v>0</v>
      </c>
      <c r="B677" s="2" t="str">
        <f t="shared" si="197"/>
        <v/>
      </c>
      <c r="C677" s="4" t="str">
        <f t="shared" si="181"/>
        <v/>
      </c>
      <c r="D677" s="3" t="str">
        <f t="shared" si="182"/>
        <v/>
      </c>
      <c r="E677" s="47"/>
      <c r="F677" s="3" t="str">
        <f t="shared" si="183"/>
        <v/>
      </c>
      <c r="G677" s="47"/>
      <c r="H677" s="3" t="str">
        <f t="shared" si="184"/>
        <v/>
      </c>
      <c r="I677" s="47"/>
      <c r="J677" s="3" t="str">
        <f t="shared" si="185"/>
        <v/>
      </c>
      <c r="K677" s="47"/>
      <c r="L677" s="3" t="str">
        <f t="shared" si="186"/>
        <v/>
      </c>
      <c r="M677" s="47"/>
      <c r="N677" s="3" t="str">
        <f t="shared" si="187"/>
        <v/>
      </c>
      <c r="O677" s="47"/>
      <c r="P677" s="3" t="str">
        <f t="shared" si="188"/>
        <v/>
      </c>
      <c r="Q677" s="47"/>
      <c r="R677" s="3" t="str">
        <f t="shared" si="189"/>
        <v/>
      </c>
      <c r="S677" s="47"/>
      <c r="T677" s="1" t="str">
        <f t="shared" si="190"/>
        <v/>
      </c>
      <c r="U677" s="47"/>
      <c r="V677" s="1" t="str">
        <f t="shared" si="191"/>
        <v/>
      </c>
      <c r="W677" s="47"/>
      <c r="X677" s="1" t="str">
        <f t="shared" si="192"/>
        <v/>
      </c>
      <c r="Y677" s="47"/>
      <c r="Z677" s="1" t="str">
        <f t="shared" si="193"/>
        <v/>
      </c>
      <c r="AA677" s="47"/>
      <c r="AB677" s="1" t="str">
        <f t="shared" si="194"/>
        <v/>
      </c>
      <c r="AC677" s="47"/>
      <c r="AD677" s="1" t="str">
        <f t="shared" si="195"/>
        <v/>
      </c>
      <c r="AE677" s="47"/>
      <c r="AF677" s="1" t="str">
        <f t="shared" si="196"/>
        <v/>
      </c>
      <c r="AG677" s="47"/>
    </row>
    <row r="678" spans="1:33">
      <c r="A678">
        <f t="shared" si="180"/>
        <v>0</v>
      </c>
      <c r="B678" s="2" t="str">
        <f t="shared" si="197"/>
        <v/>
      </c>
      <c r="C678" s="4" t="str">
        <f t="shared" si="181"/>
        <v/>
      </c>
      <c r="D678" s="3" t="str">
        <f t="shared" si="182"/>
        <v/>
      </c>
      <c r="E678" s="47"/>
      <c r="F678" s="3" t="str">
        <f t="shared" si="183"/>
        <v/>
      </c>
      <c r="G678" s="47"/>
      <c r="H678" s="3" t="str">
        <f t="shared" si="184"/>
        <v/>
      </c>
      <c r="I678" s="47"/>
      <c r="J678" s="3" t="str">
        <f t="shared" si="185"/>
        <v/>
      </c>
      <c r="K678" s="47"/>
      <c r="L678" s="3" t="str">
        <f t="shared" si="186"/>
        <v/>
      </c>
      <c r="M678" s="47"/>
      <c r="N678" s="3" t="str">
        <f t="shared" si="187"/>
        <v/>
      </c>
      <c r="O678" s="47"/>
      <c r="P678" s="3" t="str">
        <f t="shared" si="188"/>
        <v/>
      </c>
      <c r="Q678" s="47"/>
      <c r="R678" s="3" t="str">
        <f t="shared" si="189"/>
        <v/>
      </c>
      <c r="S678" s="47"/>
      <c r="T678" s="1" t="str">
        <f t="shared" si="190"/>
        <v/>
      </c>
      <c r="U678" s="47"/>
      <c r="V678" s="1" t="str">
        <f t="shared" si="191"/>
        <v/>
      </c>
      <c r="W678" s="47"/>
      <c r="X678" s="1" t="str">
        <f t="shared" si="192"/>
        <v/>
      </c>
      <c r="Y678" s="47"/>
      <c r="Z678" s="1" t="str">
        <f t="shared" si="193"/>
        <v/>
      </c>
      <c r="AA678" s="47"/>
      <c r="AB678" s="1" t="str">
        <f t="shared" si="194"/>
        <v/>
      </c>
      <c r="AC678" s="47"/>
      <c r="AD678" s="1" t="str">
        <f t="shared" si="195"/>
        <v/>
      </c>
      <c r="AE678" s="47"/>
      <c r="AF678" s="1" t="str">
        <f t="shared" si="196"/>
        <v/>
      </c>
      <c r="AG678" s="47"/>
    </row>
    <row r="679" spans="1:33">
      <c r="A679">
        <f t="shared" si="180"/>
        <v>0</v>
      </c>
      <c r="B679" s="2" t="str">
        <f t="shared" si="197"/>
        <v/>
      </c>
      <c r="C679" s="4" t="str">
        <f t="shared" si="181"/>
        <v/>
      </c>
      <c r="D679" s="3" t="str">
        <f t="shared" si="182"/>
        <v/>
      </c>
      <c r="E679" s="47"/>
      <c r="F679" s="3" t="str">
        <f t="shared" si="183"/>
        <v/>
      </c>
      <c r="G679" s="47"/>
      <c r="H679" s="3" t="str">
        <f t="shared" si="184"/>
        <v/>
      </c>
      <c r="I679" s="47"/>
      <c r="J679" s="3" t="str">
        <f t="shared" si="185"/>
        <v/>
      </c>
      <c r="K679" s="47"/>
      <c r="L679" s="3" t="str">
        <f t="shared" si="186"/>
        <v/>
      </c>
      <c r="M679" s="47"/>
      <c r="N679" s="3" t="str">
        <f t="shared" si="187"/>
        <v/>
      </c>
      <c r="O679" s="47"/>
      <c r="P679" s="3" t="str">
        <f t="shared" si="188"/>
        <v/>
      </c>
      <c r="Q679" s="47"/>
      <c r="R679" s="3" t="str">
        <f t="shared" si="189"/>
        <v/>
      </c>
      <c r="S679" s="47"/>
      <c r="T679" s="1" t="str">
        <f t="shared" si="190"/>
        <v/>
      </c>
      <c r="U679" s="47"/>
      <c r="V679" s="1" t="str">
        <f t="shared" si="191"/>
        <v/>
      </c>
      <c r="W679" s="47"/>
      <c r="X679" s="1" t="str">
        <f t="shared" si="192"/>
        <v/>
      </c>
      <c r="Y679" s="47"/>
      <c r="Z679" s="1" t="str">
        <f t="shared" si="193"/>
        <v/>
      </c>
      <c r="AA679" s="47"/>
      <c r="AB679" s="1" t="str">
        <f t="shared" si="194"/>
        <v/>
      </c>
      <c r="AC679" s="47"/>
      <c r="AD679" s="1" t="str">
        <f t="shared" si="195"/>
        <v/>
      </c>
      <c r="AE679" s="47"/>
      <c r="AF679" s="1" t="str">
        <f t="shared" si="196"/>
        <v/>
      </c>
      <c r="AG679" s="47"/>
    </row>
    <row r="680" spans="1:33">
      <c r="A680">
        <f t="shared" si="180"/>
        <v>0</v>
      </c>
      <c r="B680" s="2" t="str">
        <f t="shared" si="197"/>
        <v/>
      </c>
      <c r="C680" s="4" t="str">
        <f t="shared" si="181"/>
        <v/>
      </c>
      <c r="D680" s="3" t="str">
        <f t="shared" si="182"/>
        <v/>
      </c>
      <c r="E680" s="47"/>
      <c r="F680" s="3" t="str">
        <f t="shared" si="183"/>
        <v/>
      </c>
      <c r="G680" s="47"/>
      <c r="H680" s="3" t="str">
        <f t="shared" si="184"/>
        <v/>
      </c>
      <c r="I680" s="47"/>
      <c r="J680" s="3" t="str">
        <f t="shared" si="185"/>
        <v/>
      </c>
      <c r="K680" s="47"/>
      <c r="L680" s="3" t="str">
        <f t="shared" si="186"/>
        <v/>
      </c>
      <c r="M680" s="47"/>
      <c r="N680" s="3" t="str">
        <f t="shared" si="187"/>
        <v/>
      </c>
      <c r="O680" s="47"/>
      <c r="P680" s="3" t="str">
        <f t="shared" si="188"/>
        <v/>
      </c>
      <c r="Q680" s="47"/>
      <c r="R680" s="3" t="str">
        <f t="shared" si="189"/>
        <v/>
      </c>
      <c r="S680" s="47"/>
      <c r="T680" s="1" t="str">
        <f t="shared" si="190"/>
        <v/>
      </c>
      <c r="U680" s="47"/>
      <c r="V680" s="1" t="str">
        <f t="shared" si="191"/>
        <v/>
      </c>
      <c r="W680" s="47"/>
      <c r="X680" s="1" t="str">
        <f t="shared" si="192"/>
        <v/>
      </c>
      <c r="Y680" s="47"/>
      <c r="Z680" s="1" t="str">
        <f t="shared" si="193"/>
        <v/>
      </c>
      <c r="AA680" s="47"/>
      <c r="AB680" s="1" t="str">
        <f t="shared" si="194"/>
        <v/>
      </c>
      <c r="AC680" s="47"/>
      <c r="AD680" s="1" t="str">
        <f t="shared" si="195"/>
        <v/>
      </c>
      <c r="AE680" s="47"/>
      <c r="AF680" s="1" t="str">
        <f t="shared" si="196"/>
        <v/>
      </c>
      <c r="AG680" s="47"/>
    </row>
    <row r="681" spans="1:33">
      <c r="A681">
        <f t="shared" si="180"/>
        <v>0</v>
      </c>
      <c r="B681" s="2" t="str">
        <f t="shared" si="197"/>
        <v/>
      </c>
      <c r="C681" s="4" t="str">
        <f t="shared" si="181"/>
        <v/>
      </c>
      <c r="D681" s="3" t="str">
        <f t="shared" si="182"/>
        <v/>
      </c>
      <c r="E681" s="47"/>
      <c r="F681" s="3" t="str">
        <f t="shared" si="183"/>
        <v/>
      </c>
      <c r="G681" s="47"/>
      <c r="H681" s="3" t="str">
        <f t="shared" si="184"/>
        <v/>
      </c>
      <c r="I681" s="47"/>
      <c r="J681" s="3" t="str">
        <f t="shared" si="185"/>
        <v/>
      </c>
      <c r="K681" s="47"/>
      <c r="L681" s="3" t="str">
        <f t="shared" si="186"/>
        <v/>
      </c>
      <c r="M681" s="47"/>
      <c r="N681" s="3" t="str">
        <f t="shared" si="187"/>
        <v/>
      </c>
      <c r="O681" s="47"/>
      <c r="P681" s="3" t="str">
        <f t="shared" si="188"/>
        <v/>
      </c>
      <c r="Q681" s="47"/>
      <c r="R681" s="3" t="str">
        <f t="shared" si="189"/>
        <v/>
      </c>
      <c r="S681" s="47"/>
      <c r="T681" s="1" t="str">
        <f t="shared" si="190"/>
        <v/>
      </c>
      <c r="U681" s="47"/>
      <c r="V681" s="1" t="str">
        <f t="shared" si="191"/>
        <v/>
      </c>
      <c r="W681" s="47"/>
      <c r="X681" s="1" t="str">
        <f t="shared" si="192"/>
        <v/>
      </c>
      <c r="Y681" s="47"/>
      <c r="Z681" s="1" t="str">
        <f t="shared" si="193"/>
        <v/>
      </c>
      <c r="AA681" s="47"/>
      <c r="AB681" s="1" t="str">
        <f t="shared" si="194"/>
        <v/>
      </c>
      <c r="AC681" s="47"/>
      <c r="AD681" s="1" t="str">
        <f t="shared" si="195"/>
        <v/>
      </c>
      <c r="AE681" s="47"/>
      <c r="AF681" s="1" t="str">
        <f t="shared" si="196"/>
        <v/>
      </c>
      <c r="AG681" s="47"/>
    </row>
    <row r="682" spans="1:33">
      <c r="A682">
        <f t="shared" si="180"/>
        <v>0</v>
      </c>
      <c r="B682" s="2" t="str">
        <f t="shared" si="197"/>
        <v/>
      </c>
      <c r="C682" s="4" t="str">
        <f t="shared" si="181"/>
        <v/>
      </c>
      <c r="D682" s="3" t="str">
        <f t="shared" si="182"/>
        <v/>
      </c>
      <c r="E682" s="47"/>
      <c r="F682" s="3" t="str">
        <f t="shared" si="183"/>
        <v/>
      </c>
      <c r="G682" s="47"/>
      <c r="H682" s="3" t="str">
        <f t="shared" si="184"/>
        <v/>
      </c>
      <c r="I682" s="47"/>
      <c r="J682" s="3" t="str">
        <f t="shared" si="185"/>
        <v/>
      </c>
      <c r="K682" s="47"/>
      <c r="L682" s="3" t="str">
        <f t="shared" si="186"/>
        <v/>
      </c>
      <c r="M682" s="47"/>
      <c r="N682" s="3" t="str">
        <f t="shared" si="187"/>
        <v/>
      </c>
      <c r="O682" s="47"/>
      <c r="P682" s="3" t="str">
        <f t="shared" si="188"/>
        <v/>
      </c>
      <c r="Q682" s="47"/>
      <c r="R682" s="3" t="str">
        <f t="shared" si="189"/>
        <v/>
      </c>
      <c r="S682" s="47"/>
      <c r="T682" s="1" t="str">
        <f t="shared" si="190"/>
        <v/>
      </c>
      <c r="U682" s="47"/>
      <c r="V682" s="1" t="str">
        <f t="shared" si="191"/>
        <v/>
      </c>
      <c r="W682" s="47"/>
      <c r="X682" s="1" t="str">
        <f t="shared" si="192"/>
        <v/>
      </c>
      <c r="Y682" s="47"/>
      <c r="Z682" s="1" t="str">
        <f t="shared" si="193"/>
        <v/>
      </c>
      <c r="AA682" s="47"/>
      <c r="AB682" s="1" t="str">
        <f t="shared" si="194"/>
        <v/>
      </c>
      <c r="AC682" s="47"/>
      <c r="AD682" s="1" t="str">
        <f t="shared" si="195"/>
        <v/>
      </c>
      <c r="AE682" s="47"/>
      <c r="AF682" s="1" t="str">
        <f t="shared" si="196"/>
        <v/>
      </c>
      <c r="AG682" s="47"/>
    </row>
    <row r="683" spans="1:33">
      <c r="A683">
        <f t="shared" si="180"/>
        <v>0</v>
      </c>
      <c r="B683" s="2" t="str">
        <f t="shared" si="197"/>
        <v/>
      </c>
      <c r="C683" s="4" t="str">
        <f t="shared" si="181"/>
        <v/>
      </c>
      <c r="D683" s="3" t="str">
        <f t="shared" si="182"/>
        <v/>
      </c>
      <c r="E683" s="47"/>
      <c r="F683" s="3" t="str">
        <f t="shared" si="183"/>
        <v/>
      </c>
      <c r="G683" s="47"/>
      <c r="H683" s="3" t="str">
        <f t="shared" si="184"/>
        <v/>
      </c>
      <c r="I683" s="47"/>
      <c r="J683" s="3" t="str">
        <f t="shared" si="185"/>
        <v/>
      </c>
      <c r="K683" s="47"/>
      <c r="L683" s="3" t="str">
        <f t="shared" si="186"/>
        <v/>
      </c>
      <c r="M683" s="47"/>
      <c r="N683" s="3" t="str">
        <f t="shared" si="187"/>
        <v/>
      </c>
      <c r="O683" s="47"/>
      <c r="P683" s="3" t="str">
        <f t="shared" si="188"/>
        <v/>
      </c>
      <c r="Q683" s="47"/>
      <c r="R683" s="3" t="str">
        <f t="shared" si="189"/>
        <v/>
      </c>
      <c r="S683" s="47"/>
      <c r="T683" s="1" t="str">
        <f t="shared" si="190"/>
        <v/>
      </c>
      <c r="U683" s="47"/>
      <c r="V683" s="1" t="str">
        <f t="shared" si="191"/>
        <v/>
      </c>
      <c r="W683" s="47"/>
      <c r="X683" s="1" t="str">
        <f t="shared" si="192"/>
        <v/>
      </c>
      <c r="Y683" s="47"/>
      <c r="Z683" s="1" t="str">
        <f t="shared" si="193"/>
        <v/>
      </c>
      <c r="AA683" s="47"/>
      <c r="AB683" s="1" t="str">
        <f t="shared" si="194"/>
        <v/>
      </c>
      <c r="AC683" s="47"/>
      <c r="AD683" s="1" t="str">
        <f t="shared" si="195"/>
        <v/>
      </c>
      <c r="AE683" s="47"/>
      <c r="AF683" s="1" t="str">
        <f t="shared" si="196"/>
        <v/>
      </c>
      <c r="AG683" s="47"/>
    </row>
    <row r="684" spans="1:33">
      <c r="A684">
        <f t="shared" si="180"/>
        <v>0</v>
      </c>
      <c r="B684" s="2" t="str">
        <f t="shared" si="197"/>
        <v/>
      </c>
      <c r="C684" s="4" t="str">
        <f t="shared" si="181"/>
        <v/>
      </c>
      <c r="D684" s="3" t="str">
        <f t="shared" si="182"/>
        <v/>
      </c>
      <c r="E684" s="47"/>
      <c r="F684" s="3" t="str">
        <f t="shared" si="183"/>
        <v/>
      </c>
      <c r="G684" s="47"/>
      <c r="H684" s="3" t="str">
        <f t="shared" si="184"/>
        <v/>
      </c>
      <c r="I684" s="47"/>
      <c r="J684" s="3" t="str">
        <f t="shared" si="185"/>
        <v/>
      </c>
      <c r="K684" s="47"/>
      <c r="L684" s="3" t="str">
        <f t="shared" si="186"/>
        <v/>
      </c>
      <c r="M684" s="47"/>
      <c r="N684" s="3" t="str">
        <f t="shared" si="187"/>
        <v/>
      </c>
      <c r="O684" s="47"/>
      <c r="P684" s="3" t="str">
        <f t="shared" si="188"/>
        <v/>
      </c>
      <c r="Q684" s="47"/>
      <c r="R684" s="3" t="str">
        <f t="shared" si="189"/>
        <v/>
      </c>
      <c r="S684" s="47"/>
      <c r="T684" s="1" t="str">
        <f t="shared" si="190"/>
        <v/>
      </c>
      <c r="U684" s="47"/>
      <c r="V684" s="1" t="str">
        <f t="shared" si="191"/>
        <v/>
      </c>
      <c r="W684" s="47"/>
      <c r="X684" s="1" t="str">
        <f t="shared" si="192"/>
        <v/>
      </c>
      <c r="Y684" s="47"/>
      <c r="Z684" s="1" t="str">
        <f t="shared" si="193"/>
        <v/>
      </c>
      <c r="AA684" s="47"/>
      <c r="AB684" s="1" t="str">
        <f t="shared" si="194"/>
        <v/>
      </c>
      <c r="AC684" s="47"/>
      <c r="AD684" s="1" t="str">
        <f t="shared" si="195"/>
        <v/>
      </c>
      <c r="AE684" s="47"/>
      <c r="AF684" s="1" t="str">
        <f t="shared" si="196"/>
        <v/>
      </c>
      <c r="AG684" s="47"/>
    </row>
    <row r="685" spans="1:33">
      <c r="A685">
        <f t="shared" si="180"/>
        <v>0</v>
      </c>
      <c r="B685" s="2" t="str">
        <f t="shared" si="197"/>
        <v/>
      </c>
      <c r="C685" s="4" t="str">
        <f t="shared" si="181"/>
        <v/>
      </c>
      <c r="D685" s="3" t="str">
        <f t="shared" si="182"/>
        <v/>
      </c>
      <c r="E685" s="47"/>
      <c r="F685" s="3" t="str">
        <f t="shared" si="183"/>
        <v/>
      </c>
      <c r="G685" s="47"/>
      <c r="H685" s="3" t="str">
        <f t="shared" si="184"/>
        <v/>
      </c>
      <c r="I685" s="47"/>
      <c r="J685" s="3" t="str">
        <f t="shared" si="185"/>
        <v/>
      </c>
      <c r="K685" s="47"/>
      <c r="L685" s="3" t="str">
        <f t="shared" si="186"/>
        <v/>
      </c>
      <c r="M685" s="47"/>
      <c r="N685" s="3" t="str">
        <f t="shared" si="187"/>
        <v/>
      </c>
      <c r="O685" s="47"/>
      <c r="P685" s="3" t="str">
        <f t="shared" si="188"/>
        <v/>
      </c>
      <c r="Q685" s="47"/>
      <c r="R685" s="3" t="str">
        <f t="shared" si="189"/>
        <v/>
      </c>
      <c r="S685" s="47"/>
      <c r="T685" s="1" t="str">
        <f t="shared" si="190"/>
        <v/>
      </c>
      <c r="U685" s="47"/>
      <c r="V685" s="1" t="str">
        <f t="shared" si="191"/>
        <v/>
      </c>
      <c r="W685" s="47"/>
      <c r="X685" s="1" t="str">
        <f t="shared" si="192"/>
        <v/>
      </c>
      <c r="Y685" s="47"/>
      <c r="Z685" s="1" t="str">
        <f t="shared" si="193"/>
        <v/>
      </c>
      <c r="AA685" s="47"/>
      <c r="AB685" s="1" t="str">
        <f t="shared" si="194"/>
        <v/>
      </c>
      <c r="AC685" s="47"/>
      <c r="AD685" s="1" t="str">
        <f t="shared" si="195"/>
        <v/>
      </c>
      <c r="AE685" s="47"/>
      <c r="AF685" s="1" t="str">
        <f t="shared" si="196"/>
        <v/>
      </c>
      <c r="AG685" s="47"/>
    </row>
    <row r="686" spans="1:33">
      <c r="A686">
        <f t="shared" si="180"/>
        <v>0</v>
      </c>
      <c r="B686" s="2" t="str">
        <f t="shared" si="197"/>
        <v/>
      </c>
      <c r="C686" s="4" t="str">
        <f t="shared" si="181"/>
        <v/>
      </c>
      <c r="D686" s="3" t="str">
        <f t="shared" si="182"/>
        <v/>
      </c>
      <c r="E686" s="47"/>
      <c r="F686" s="3" t="str">
        <f t="shared" si="183"/>
        <v/>
      </c>
      <c r="G686" s="47"/>
      <c r="H686" s="3" t="str">
        <f t="shared" si="184"/>
        <v/>
      </c>
      <c r="I686" s="47"/>
      <c r="J686" s="3" t="str">
        <f t="shared" si="185"/>
        <v/>
      </c>
      <c r="K686" s="47"/>
      <c r="L686" s="3" t="str">
        <f t="shared" si="186"/>
        <v/>
      </c>
      <c r="M686" s="47"/>
      <c r="N686" s="3" t="str">
        <f t="shared" si="187"/>
        <v/>
      </c>
      <c r="O686" s="47"/>
      <c r="P686" s="3" t="str">
        <f t="shared" si="188"/>
        <v/>
      </c>
      <c r="Q686" s="47"/>
      <c r="R686" s="3" t="str">
        <f t="shared" si="189"/>
        <v/>
      </c>
      <c r="S686" s="47"/>
      <c r="T686" s="1" t="str">
        <f t="shared" si="190"/>
        <v/>
      </c>
      <c r="U686" s="47"/>
      <c r="V686" s="1" t="str">
        <f t="shared" si="191"/>
        <v/>
      </c>
      <c r="W686" s="47"/>
      <c r="X686" s="1" t="str">
        <f t="shared" si="192"/>
        <v/>
      </c>
      <c r="Y686" s="47"/>
      <c r="Z686" s="1" t="str">
        <f t="shared" si="193"/>
        <v/>
      </c>
      <c r="AA686" s="47"/>
      <c r="AB686" s="1" t="str">
        <f t="shared" si="194"/>
        <v/>
      </c>
      <c r="AC686" s="47"/>
      <c r="AD686" s="1" t="str">
        <f t="shared" si="195"/>
        <v/>
      </c>
      <c r="AE686" s="47"/>
      <c r="AF686" s="1" t="str">
        <f t="shared" si="196"/>
        <v/>
      </c>
      <c r="AG686" s="47"/>
    </row>
    <row r="687" spans="1:33">
      <c r="A687">
        <f t="shared" si="180"/>
        <v>0</v>
      </c>
      <c r="B687" s="2" t="str">
        <f t="shared" si="197"/>
        <v/>
      </c>
      <c r="C687" s="4" t="str">
        <f t="shared" si="181"/>
        <v/>
      </c>
      <c r="D687" s="3" t="str">
        <f t="shared" si="182"/>
        <v/>
      </c>
      <c r="E687" s="47"/>
      <c r="F687" s="3" t="str">
        <f t="shared" si="183"/>
        <v/>
      </c>
      <c r="G687" s="47"/>
      <c r="H687" s="3" t="str">
        <f t="shared" si="184"/>
        <v/>
      </c>
      <c r="I687" s="47"/>
      <c r="J687" s="3" t="str">
        <f t="shared" si="185"/>
        <v/>
      </c>
      <c r="K687" s="47"/>
      <c r="L687" s="3" t="str">
        <f t="shared" si="186"/>
        <v/>
      </c>
      <c r="M687" s="47"/>
      <c r="N687" s="3" t="str">
        <f t="shared" si="187"/>
        <v/>
      </c>
      <c r="O687" s="47"/>
      <c r="P687" s="3" t="str">
        <f t="shared" si="188"/>
        <v/>
      </c>
      <c r="Q687" s="47"/>
      <c r="R687" s="3" t="str">
        <f t="shared" si="189"/>
        <v/>
      </c>
      <c r="S687" s="47"/>
      <c r="T687" s="1" t="str">
        <f t="shared" si="190"/>
        <v/>
      </c>
      <c r="U687" s="47"/>
      <c r="V687" s="1" t="str">
        <f t="shared" si="191"/>
        <v/>
      </c>
      <c r="W687" s="47"/>
      <c r="X687" s="1" t="str">
        <f t="shared" si="192"/>
        <v/>
      </c>
      <c r="Y687" s="47"/>
      <c r="Z687" s="1" t="str">
        <f t="shared" si="193"/>
        <v/>
      </c>
      <c r="AA687" s="47"/>
      <c r="AB687" s="1" t="str">
        <f t="shared" si="194"/>
        <v/>
      </c>
      <c r="AC687" s="47"/>
      <c r="AD687" s="1" t="str">
        <f t="shared" si="195"/>
        <v/>
      </c>
      <c r="AE687" s="47"/>
      <c r="AF687" s="1" t="str">
        <f t="shared" si="196"/>
        <v/>
      </c>
      <c r="AG687" s="47"/>
    </row>
    <row r="688" spans="1:33">
      <c r="A688">
        <f t="shared" si="180"/>
        <v>0</v>
      </c>
      <c r="B688" s="2" t="str">
        <f t="shared" si="197"/>
        <v/>
      </c>
      <c r="C688" s="4" t="str">
        <f t="shared" si="181"/>
        <v/>
      </c>
      <c r="D688" s="3" t="str">
        <f t="shared" si="182"/>
        <v/>
      </c>
      <c r="E688" s="47"/>
      <c r="F688" s="3" t="str">
        <f t="shared" si="183"/>
        <v/>
      </c>
      <c r="G688" s="47"/>
      <c r="H688" s="3" t="str">
        <f t="shared" si="184"/>
        <v/>
      </c>
      <c r="I688" s="47"/>
      <c r="J688" s="3" t="str">
        <f t="shared" si="185"/>
        <v/>
      </c>
      <c r="K688" s="47"/>
      <c r="L688" s="3" t="str">
        <f t="shared" si="186"/>
        <v/>
      </c>
      <c r="M688" s="47"/>
      <c r="N688" s="3" t="str">
        <f t="shared" si="187"/>
        <v/>
      </c>
      <c r="O688" s="47"/>
      <c r="P688" s="3" t="str">
        <f t="shared" si="188"/>
        <v/>
      </c>
      <c r="Q688" s="47"/>
      <c r="R688" s="3" t="str">
        <f t="shared" si="189"/>
        <v/>
      </c>
      <c r="S688" s="47"/>
      <c r="T688" s="1" t="str">
        <f t="shared" si="190"/>
        <v/>
      </c>
      <c r="U688" s="47"/>
      <c r="V688" s="1" t="str">
        <f t="shared" si="191"/>
        <v/>
      </c>
      <c r="W688" s="47"/>
      <c r="X688" s="1" t="str">
        <f t="shared" si="192"/>
        <v/>
      </c>
      <c r="Y688" s="47"/>
      <c r="Z688" s="1" t="str">
        <f t="shared" si="193"/>
        <v/>
      </c>
      <c r="AA688" s="47"/>
      <c r="AB688" s="1" t="str">
        <f t="shared" si="194"/>
        <v/>
      </c>
      <c r="AC688" s="47"/>
      <c r="AD688" s="1" t="str">
        <f t="shared" si="195"/>
        <v/>
      </c>
      <c r="AE688" s="47"/>
      <c r="AF688" s="1" t="str">
        <f t="shared" si="196"/>
        <v/>
      </c>
      <c r="AG688" s="47"/>
    </row>
    <row r="689" spans="1:33">
      <c r="A689">
        <f t="shared" si="180"/>
        <v>0</v>
      </c>
      <c r="B689" s="2" t="str">
        <f t="shared" si="197"/>
        <v/>
      </c>
      <c r="C689" s="4" t="str">
        <f t="shared" si="181"/>
        <v/>
      </c>
      <c r="D689" s="3" t="str">
        <f t="shared" si="182"/>
        <v/>
      </c>
      <c r="E689" s="47"/>
      <c r="F689" s="3" t="str">
        <f t="shared" si="183"/>
        <v/>
      </c>
      <c r="G689" s="47"/>
      <c r="H689" s="3" t="str">
        <f t="shared" si="184"/>
        <v/>
      </c>
      <c r="I689" s="47"/>
      <c r="J689" s="3" t="str">
        <f t="shared" si="185"/>
        <v/>
      </c>
      <c r="K689" s="47"/>
      <c r="L689" s="3" t="str">
        <f t="shared" si="186"/>
        <v/>
      </c>
      <c r="M689" s="47"/>
      <c r="N689" s="3" t="str">
        <f t="shared" si="187"/>
        <v/>
      </c>
      <c r="O689" s="47"/>
      <c r="P689" s="3" t="str">
        <f t="shared" si="188"/>
        <v/>
      </c>
      <c r="Q689" s="47"/>
      <c r="R689" s="3" t="str">
        <f t="shared" si="189"/>
        <v/>
      </c>
      <c r="S689" s="47"/>
      <c r="T689" s="1" t="str">
        <f t="shared" si="190"/>
        <v/>
      </c>
      <c r="U689" s="47"/>
      <c r="V689" s="1" t="str">
        <f t="shared" si="191"/>
        <v/>
      </c>
      <c r="W689" s="47"/>
      <c r="X689" s="1" t="str">
        <f t="shared" si="192"/>
        <v/>
      </c>
      <c r="Y689" s="47"/>
      <c r="Z689" s="1" t="str">
        <f t="shared" si="193"/>
        <v/>
      </c>
      <c r="AA689" s="47"/>
      <c r="AB689" s="1" t="str">
        <f t="shared" si="194"/>
        <v/>
      </c>
      <c r="AC689" s="47"/>
      <c r="AD689" s="1" t="str">
        <f t="shared" si="195"/>
        <v/>
      </c>
      <c r="AE689" s="47"/>
      <c r="AF689" s="1" t="str">
        <f t="shared" si="196"/>
        <v/>
      </c>
      <c r="AG689" s="47"/>
    </row>
    <row r="690" spans="1:33">
      <c r="A690">
        <f t="shared" si="180"/>
        <v>0</v>
      </c>
      <c r="B690" s="2" t="str">
        <f t="shared" si="197"/>
        <v/>
      </c>
      <c r="C690" s="4" t="str">
        <f t="shared" si="181"/>
        <v/>
      </c>
      <c r="D690" s="3" t="str">
        <f t="shared" si="182"/>
        <v/>
      </c>
      <c r="E690" s="47"/>
      <c r="F690" s="3" t="str">
        <f t="shared" si="183"/>
        <v/>
      </c>
      <c r="G690" s="47"/>
      <c r="H690" s="3" t="str">
        <f t="shared" si="184"/>
        <v/>
      </c>
      <c r="I690" s="47"/>
      <c r="J690" s="3" t="str">
        <f t="shared" si="185"/>
        <v/>
      </c>
      <c r="K690" s="47"/>
      <c r="L690" s="3" t="str">
        <f t="shared" si="186"/>
        <v/>
      </c>
      <c r="M690" s="47"/>
      <c r="N690" s="3" t="str">
        <f t="shared" si="187"/>
        <v/>
      </c>
      <c r="O690" s="47"/>
      <c r="P690" s="3" t="str">
        <f t="shared" si="188"/>
        <v/>
      </c>
      <c r="Q690" s="47"/>
      <c r="R690" s="3" t="str">
        <f t="shared" si="189"/>
        <v/>
      </c>
      <c r="S690" s="47"/>
      <c r="T690" s="1" t="str">
        <f t="shared" si="190"/>
        <v/>
      </c>
      <c r="U690" s="47"/>
      <c r="V690" s="1" t="str">
        <f t="shared" si="191"/>
        <v/>
      </c>
      <c r="W690" s="47"/>
      <c r="X690" s="1" t="str">
        <f t="shared" si="192"/>
        <v/>
      </c>
      <c r="Y690" s="47"/>
      <c r="Z690" s="1" t="str">
        <f t="shared" si="193"/>
        <v/>
      </c>
      <c r="AA690" s="47"/>
      <c r="AB690" s="1" t="str">
        <f t="shared" si="194"/>
        <v/>
      </c>
      <c r="AC690" s="47"/>
      <c r="AD690" s="1" t="str">
        <f t="shared" si="195"/>
        <v/>
      </c>
      <c r="AE690" s="47"/>
      <c r="AF690" s="1" t="str">
        <f t="shared" si="196"/>
        <v/>
      </c>
      <c r="AG690" s="47"/>
    </row>
    <row r="691" spans="1:33">
      <c r="A691">
        <f t="shared" si="180"/>
        <v>0</v>
      </c>
      <c r="B691" s="2" t="str">
        <f t="shared" si="197"/>
        <v/>
      </c>
      <c r="C691" s="4" t="str">
        <f t="shared" si="181"/>
        <v/>
      </c>
      <c r="D691" s="3" t="str">
        <f t="shared" si="182"/>
        <v/>
      </c>
      <c r="E691" s="47"/>
      <c r="F691" s="3" t="str">
        <f t="shared" si="183"/>
        <v/>
      </c>
      <c r="G691" s="47"/>
      <c r="H691" s="3" t="str">
        <f t="shared" si="184"/>
        <v/>
      </c>
      <c r="I691" s="47"/>
      <c r="J691" s="3" t="str">
        <f t="shared" si="185"/>
        <v/>
      </c>
      <c r="K691" s="47"/>
      <c r="L691" s="3" t="str">
        <f t="shared" si="186"/>
        <v/>
      </c>
      <c r="M691" s="47"/>
      <c r="N691" s="3" t="str">
        <f t="shared" si="187"/>
        <v/>
      </c>
      <c r="O691" s="47"/>
      <c r="P691" s="3" t="str">
        <f t="shared" si="188"/>
        <v/>
      </c>
      <c r="Q691" s="47"/>
      <c r="R691" s="3" t="str">
        <f t="shared" si="189"/>
        <v/>
      </c>
      <c r="S691" s="47"/>
      <c r="T691" s="1" t="str">
        <f t="shared" si="190"/>
        <v/>
      </c>
      <c r="U691" s="47"/>
      <c r="V691" s="1" t="str">
        <f t="shared" si="191"/>
        <v/>
      </c>
      <c r="W691" s="47"/>
      <c r="X691" s="1" t="str">
        <f t="shared" si="192"/>
        <v/>
      </c>
      <c r="Y691" s="47"/>
      <c r="Z691" s="1" t="str">
        <f t="shared" si="193"/>
        <v/>
      </c>
      <c r="AA691" s="47"/>
      <c r="AB691" s="1" t="str">
        <f t="shared" si="194"/>
        <v/>
      </c>
      <c r="AC691" s="47"/>
      <c r="AD691" s="1" t="str">
        <f t="shared" si="195"/>
        <v/>
      </c>
      <c r="AE691" s="47"/>
      <c r="AF691" s="1" t="str">
        <f t="shared" si="196"/>
        <v/>
      </c>
      <c r="AG691" s="47"/>
    </row>
    <row r="692" spans="1:33">
      <c r="A692">
        <f t="shared" si="180"/>
        <v>0</v>
      </c>
      <c r="B692" s="2" t="str">
        <f t="shared" si="197"/>
        <v/>
      </c>
      <c r="C692" s="4" t="str">
        <f t="shared" si="181"/>
        <v/>
      </c>
      <c r="D692" s="3" t="str">
        <f t="shared" si="182"/>
        <v/>
      </c>
      <c r="E692" s="47"/>
      <c r="F692" s="3" t="str">
        <f t="shared" si="183"/>
        <v/>
      </c>
      <c r="G692" s="47"/>
      <c r="H692" s="3" t="str">
        <f t="shared" si="184"/>
        <v/>
      </c>
      <c r="I692" s="47"/>
      <c r="J692" s="3" t="str">
        <f t="shared" si="185"/>
        <v/>
      </c>
      <c r="K692" s="47"/>
      <c r="L692" s="3" t="str">
        <f t="shared" si="186"/>
        <v/>
      </c>
      <c r="M692" s="47"/>
      <c r="N692" s="3" t="str">
        <f t="shared" si="187"/>
        <v/>
      </c>
      <c r="O692" s="47"/>
      <c r="P692" s="3" t="str">
        <f t="shared" si="188"/>
        <v/>
      </c>
      <c r="Q692" s="47"/>
      <c r="R692" s="3" t="str">
        <f t="shared" si="189"/>
        <v/>
      </c>
      <c r="S692" s="47"/>
      <c r="T692" s="1" t="str">
        <f t="shared" si="190"/>
        <v/>
      </c>
      <c r="U692" s="47"/>
      <c r="V692" s="1" t="str">
        <f t="shared" si="191"/>
        <v/>
      </c>
      <c r="W692" s="47"/>
      <c r="X692" s="1" t="str">
        <f t="shared" si="192"/>
        <v/>
      </c>
      <c r="Y692" s="47"/>
      <c r="Z692" s="1" t="str">
        <f t="shared" si="193"/>
        <v/>
      </c>
      <c r="AA692" s="47"/>
      <c r="AB692" s="1" t="str">
        <f t="shared" si="194"/>
        <v/>
      </c>
      <c r="AC692" s="47"/>
      <c r="AD692" s="1" t="str">
        <f t="shared" si="195"/>
        <v/>
      </c>
      <c r="AE692" s="47"/>
      <c r="AF692" s="1" t="str">
        <f t="shared" si="196"/>
        <v/>
      </c>
      <c r="AG692" s="47"/>
    </row>
    <row r="693" spans="1:33">
      <c r="A693">
        <f t="shared" si="180"/>
        <v>0</v>
      </c>
      <c r="B693" s="2" t="str">
        <f t="shared" si="197"/>
        <v/>
      </c>
      <c r="C693" s="4" t="str">
        <f t="shared" si="181"/>
        <v/>
      </c>
      <c r="D693" s="3" t="str">
        <f t="shared" si="182"/>
        <v/>
      </c>
      <c r="E693" s="47"/>
      <c r="F693" s="3" t="str">
        <f t="shared" si="183"/>
        <v/>
      </c>
      <c r="G693" s="47"/>
      <c r="H693" s="3" t="str">
        <f t="shared" si="184"/>
        <v/>
      </c>
      <c r="I693" s="47"/>
      <c r="J693" s="3" t="str">
        <f t="shared" si="185"/>
        <v/>
      </c>
      <c r="K693" s="47"/>
      <c r="L693" s="3" t="str">
        <f t="shared" si="186"/>
        <v/>
      </c>
      <c r="M693" s="47"/>
      <c r="N693" s="3" t="str">
        <f t="shared" si="187"/>
        <v/>
      </c>
      <c r="O693" s="47"/>
      <c r="P693" s="3" t="str">
        <f t="shared" si="188"/>
        <v/>
      </c>
      <c r="Q693" s="47"/>
      <c r="R693" s="3" t="str">
        <f t="shared" si="189"/>
        <v/>
      </c>
      <c r="S693" s="47"/>
      <c r="T693" s="1" t="str">
        <f t="shared" si="190"/>
        <v/>
      </c>
      <c r="U693" s="47"/>
      <c r="V693" s="1" t="str">
        <f t="shared" si="191"/>
        <v/>
      </c>
      <c r="W693" s="47"/>
      <c r="X693" s="1" t="str">
        <f t="shared" si="192"/>
        <v/>
      </c>
      <c r="Y693" s="47"/>
      <c r="Z693" s="1" t="str">
        <f t="shared" si="193"/>
        <v/>
      </c>
      <c r="AA693" s="47"/>
      <c r="AB693" s="1" t="str">
        <f t="shared" si="194"/>
        <v/>
      </c>
      <c r="AC693" s="47"/>
      <c r="AD693" s="1" t="str">
        <f t="shared" si="195"/>
        <v/>
      </c>
      <c r="AE693" s="47"/>
      <c r="AF693" s="1" t="str">
        <f t="shared" si="196"/>
        <v/>
      </c>
      <c r="AG693" s="47"/>
    </row>
    <row r="694" spans="1:33">
      <c r="A694">
        <f t="shared" si="180"/>
        <v>0</v>
      </c>
      <c r="B694" s="2" t="str">
        <f t="shared" si="197"/>
        <v/>
      </c>
      <c r="C694" s="4" t="str">
        <f t="shared" si="181"/>
        <v/>
      </c>
      <c r="D694" s="3" t="str">
        <f t="shared" si="182"/>
        <v/>
      </c>
      <c r="E694" s="47"/>
      <c r="F694" s="3" t="str">
        <f t="shared" si="183"/>
        <v/>
      </c>
      <c r="G694" s="47"/>
      <c r="H694" s="3" t="str">
        <f t="shared" si="184"/>
        <v/>
      </c>
      <c r="I694" s="47"/>
      <c r="J694" s="3" t="str">
        <f t="shared" si="185"/>
        <v/>
      </c>
      <c r="K694" s="47"/>
      <c r="L694" s="3" t="str">
        <f t="shared" si="186"/>
        <v/>
      </c>
      <c r="M694" s="47"/>
      <c r="N694" s="3" t="str">
        <f t="shared" si="187"/>
        <v/>
      </c>
      <c r="O694" s="47"/>
      <c r="P694" s="3" t="str">
        <f t="shared" si="188"/>
        <v/>
      </c>
      <c r="Q694" s="47"/>
      <c r="R694" s="3" t="str">
        <f t="shared" si="189"/>
        <v/>
      </c>
      <c r="S694" s="47"/>
      <c r="T694" s="1" t="str">
        <f t="shared" si="190"/>
        <v/>
      </c>
      <c r="U694" s="47"/>
      <c r="V694" s="1" t="str">
        <f t="shared" si="191"/>
        <v/>
      </c>
      <c r="W694" s="47"/>
      <c r="X694" s="1" t="str">
        <f t="shared" si="192"/>
        <v/>
      </c>
      <c r="Y694" s="47"/>
      <c r="Z694" s="1" t="str">
        <f t="shared" si="193"/>
        <v/>
      </c>
      <c r="AA694" s="47"/>
      <c r="AB694" s="1" t="str">
        <f t="shared" si="194"/>
        <v/>
      </c>
      <c r="AC694" s="47"/>
      <c r="AD694" s="1" t="str">
        <f t="shared" si="195"/>
        <v/>
      </c>
      <c r="AE694" s="47"/>
      <c r="AF694" s="1" t="str">
        <f t="shared" si="196"/>
        <v/>
      </c>
      <c r="AG694" s="47"/>
    </row>
    <row r="695" spans="1:33">
      <c r="A695">
        <f t="shared" si="180"/>
        <v>0</v>
      </c>
      <c r="B695" s="2" t="str">
        <f t="shared" si="197"/>
        <v/>
      </c>
      <c r="C695" s="4" t="str">
        <f t="shared" si="181"/>
        <v/>
      </c>
      <c r="D695" s="3" t="str">
        <f t="shared" si="182"/>
        <v/>
      </c>
      <c r="E695" s="47"/>
      <c r="F695" s="3" t="str">
        <f t="shared" si="183"/>
        <v/>
      </c>
      <c r="G695" s="47"/>
      <c r="H695" s="3" t="str">
        <f t="shared" si="184"/>
        <v/>
      </c>
      <c r="I695" s="47"/>
      <c r="J695" s="3" t="str">
        <f t="shared" si="185"/>
        <v/>
      </c>
      <c r="K695" s="47"/>
      <c r="L695" s="3" t="str">
        <f t="shared" si="186"/>
        <v/>
      </c>
      <c r="M695" s="47"/>
      <c r="N695" s="3" t="str">
        <f t="shared" si="187"/>
        <v/>
      </c>
      <c r="O695" s="47"/>
      <c r="P695" s="3" t="str">
        <f t="shared" si="188"/>
        <v/>
      </c>
      <c r="Q695" s="47"/>
      <c r="R695" s="3" t="str">
        <f t="shared" si="189"/>
        <v/>
      </c>
      <c r="S695" s="47"/>
      <c r="T695" s="1" t="str">
        <f t="shared" si="190"/>
        <v/>
      </c>
      <c r="U695" s="47"/>
      <c r="V695" s="1" t="str">
        <f t="shared" si="191"/>
        <v/>
      </c>
      <c r="W695" s="47"/>
      <c r="X695" s="1" t="str">
        <f t="shared" si="192"/>
        <v/>
      </c>
      <c r="Y695" s="47"/>
      <c r="Z695" s="1" t="str">
        <f t="shared" si="193"/>
        <v/>
      </c>
      <c r="AA695" s="47"/>
      <c r="AB695" s="1" t="str">
        <f t="shared" si="194"/>
        <v/>
      </c>
      <c r="AC695" s="47"/>
      <c r="AD695" s="1" t="str">
        <f t="shared" si="195"/>
        <v/>
      </c>
      <c r="AE695" s="47"/>
      <c r="AF695" s="1" t="str">
        <f t="shared" si="196"/>
        <v/>
      </c>
      <c r="AG695" s="47"/>
    </row>
    <row r="696" spans="1:33">
      <c r="A696">
        <f t="shared" si="180"/>
        <v>0</v>
      </c>
      <c r="B696" s="2" t="str">
        <f t="shared" si="197"/>
        <v/>
      </c>
      <c r="C696" s="4" t="str">
        <f t="shared" si="181"/>
        <v/>
      </c>
      <c r="D696" s="3" t="str">
        <f t="shared" si="182"/>
        <v/>
      </c>
      <c r="E696" s="47"/>
      <c r="F696" s="3" t="str">
        <f t="shared" si="183"/>
        <v/>
      </c>
      <c r="G696" s="47"/>
      <c r="H696" s="3" t="str">
        <f t="shared" si="184"/>
        <v/>
      </c>
      <c r="I696" s="47"/>
      <c r="J696" s="3" t="str">
        <f t="shared" si="185"/>
        <v/>
      </c>
      <c r="K696" s="47"/>
      <c r="L696" s="3" t="str">
        <f t="shared" si="186"/>
        <v/>
      </c>
      <c r="M696" s="47"/>
      <c r="N696" s="3" t="str">
        <f t="shared" si="187"/>
        <v/>
      </c>
      <c r="O696" s="47"/>
      <c r="P696" s="3" t="str">
        <f t="shared" si="188"/>
        <v/>
      </c>
      <c r="Q696" s="47"/>
      <c r="R696" s="3" t="str">
        <f t="shared" si="189"/>
        <v/>
      </c>
      <c r="S696" s="47"/>
      <c r="T696" s="1" t="str">
        <f t="shared" si="190"/>
        <v/>
      </c>
      <c r="U696" s="47"/>
      <c r="V696" s="1" t="str">
        <f t="shared" si="191"/>
        <v/>
      </c>
      <c r="W696" s="47"/>
      <c r="X696" s="1" t="str">
        <f t="shared" si="192"/>
        <v/>
      </c>
      <c r="Y696" s="47"/>
      <c r="Z696" s="1" t="str">
        <f t="shared" si="193"/>
        <v/>
      </c>
      <c r="AA696" s="47"/>
      <c r="AB696" s="1" t="str">
        <f t="shared" si="194"/>
        <v/>
      </c>
      <c r="AC696" s="47"/>
      <c r="AD696" s="1" t="str">
        <f t="shared" si="195"/>
        <v/>
      </c>
      <c r="AE696" s="47"/>
      <c r="AF696" s="1" t="str">
        <f t="shared" si="196"/>
        <v/>
      </c>
      <c r="AG696" s="47"/>
    </row>
    <row r="697" spans="1:33">
      <c r="A697">
        <f t="shared" si="180"/>
        <v>0</v>
      </c>
      <c r="B697" s="2" t="str">
        <f t="shared" si="197"/>
        <v/>
      </c>
      <c r="C697" s="4" t="str">
        <f t="shared" si="181"/>
        <v/>
      </c>
      <c r="D697" s="3" t="str">
        <f t="shared" si="182"/>
        <v/>
      </c>
      <c r="E697" s="47"/>
      <c r="F697" s="3" t="str">
        <f t="shared" si="183"/>
        <v/>
      </c>
      <c r="G697" s="47"/>
      <c r="H697" s="3" t="str">
        <f t="shared" si="184"/>
        <v/>
      </c>
      <c r="I697" s="47"/>
      <c r="J697" s="3" t="str">
        <f t="shared" si="185"/>
        <v/>
      </c>
      <c r="K697" s="47"/>
      <c r="L697" s="3" t="str">
        <f t="shared" si="186"/>
        <v/>
      </c>
      <c r="M697" s="47"/>
      <c r="N697" s="3" t="str">
        <f t="shared" si="187"/>
        <v/>
      </c>
      <c r="O697" s="47"/>
      <c r="P697" s="3" t="str">
        <f t="shared" si="188"/>
        <v/>
      </c>
      <c r="Q697" s="47"/>
      <c r="R697" s="3" t="str">
        <f t="shared" si="189"/>
        <v/>
      </c>
      <c r="S697" s="47"/>
      <c r="T697" s="1" t="str">
        <f t="shared" si="190"/>
        <v/>
      </c>
      <c r="U697" s="47"/>
      <c r="V697" s="1" t="str">
        <f t="shared" si="191"/>
        <v/>
      </c>
      <c r="W697" s="47"/>
      <c r="X697" s="1" t="str">
        <f t="shared" si="192"/>
        <v/>
      </c>
      <c r="Y697" s="47"/>
      <c r="Z697" s="1" t="str">
        <f t="shared" si="193"/>
        <v/>
      </c>
      <c r="AA697" s="47"/>
      <c r="AB697" s="1" t="str">
        <f t="shared" si="194"/>
        <v/>
      </c>
      <c r="AC697" s="47"/>
      <c r="AD697" s="1" t="str">
        <f t="shared" si="195"/>
        <v/>
      </c>
      <c r="AE697" s="47"/>
      <c r="AF697" s="1" t="str">
        <f t="shared" si="196"/>
        <v/>
      </c>
      <c r="AG697" s="47"/>
    </row>
    <row r="698" spans="1:33">
      <c r="A698">
        <f t="shared" si="180"/>
        <v>0</v>
      </c>
      <c r="B698" s="2" t="str">
        <f t="shared" si="197"/>
        <v/>
      </c>
      <c r="C698" s="4" t="str">
        <f t="shared" si="181"/>
        <v/>
      </c>
      <c r="D698" s="3" t="str">
        <f t="shared" si="182"/>
        <v/>
      </c>
      <c r="E698" s="47"/>
      <c r="F698" s="3" t="str">
        <f t="shared" si="183"/>
        <v/>
      </c>
      <c r="G698" s="47"/>
      <c r="H698" s="3" t="str">
        <f t="shared" si="184"/>
        <v/>
      </c>
      <c r="I698" s="47"/>
      <c r="J698" s="3" t="str">
        <f t="shared" si="185"/>
        <v/>
      </c>
      <c r="K698" s="47"/>
      <c r="L698" s="3" t="str">
        <f t="shared" si="186"/>
        <v/>
      </c>
      <c r="M698" s="47"/>
      <c r="N698" s="3" t="str">
        <f t="shared" si="187"/>
        <v/>
      </c>
      <c r="O698" s="47"/>
      <c r="P698" s="3" t="str">
        <f t="shared" si="188"/>
        <v/>
      </c>
      <c r="Q698" s="47"/>
      <c r="R698" s="3" t="str">
        <f t="shared" si="189"/>
        <v/>
      </c>
      <c r="S698" s="47"/>
      <c r="T698" s="1" t="str">
        <f t="shared" si="190"/>
        <v/>
      </c>
      <c r="U698" s="47"/>
      <c r="V698" s="1" t="str">
        <f t="shared" si="191"/>
        <v/>
      </c>
      <c r="W698" s="47"/>
      <c r="X698" s="1" t="str">
        <f t="shared" si="192"/>
        <v/>
      </c>
      <c r="Y698" s="47"/>
      <c r="Z698" s="1" t="str">
        <f t="shared" si="193"/>
        <v/>
      </c>
      <c r="AA698" s="47"/>
      <c r="AB698" s="1" t="str">
        <f t="shared" si="194"/>
        <v/>
      </c>
      <c r="AC698" s="47"/>
      <c r="AD698" s="1" t="str">
        <f t="shared" si="195"/>
        <v/>
      </c>
      <c r="AE698" s="47"/>
      <c r="AF698" s="1" t="str">
        <f t="shared" si="196"/>
        <v/>
      </c>
      <c r="AG698" s="47"/>
    </row>
    <row r="699" spans="1:33">
      <c r="A699">
        <f t="shared" si="180"/>
        <v>0</v>
      </c>
      <c r="B699" s="2" t="str">
        <f t="shared" si="197"/>
        <v/>
      </c>
      <c r="C699" s="4" t="str">
        <f t="shared" si="181"/>
        <v/>
      </c>
      <c r="D699" s="3" t="str">
        <f t="shared" si="182"/>
        <v/>
      </c>
      <c r="E699" s="47"/>
      <c r="F699" s="3" t="str">
        <f t="shared" si="183"/>
        <v/>
      </c>
      <c r="G699" s="47"/>
      <c r="H699" s="3" t="str">
        <f t="shared" si="184"/>
        <v/>
      </c>
      <c r="I699" s="47"/>
      <c r="J699" s="3" t="str">
        <f t="shared" si="185"/>
        <v/>
      </c>
      <c r="K699" s="47"/>
      <c r="L699" s="3" t="str">
        <f t="shared" si="186"/>
        <v/>
      </c>
      <c r="M699" s="47"/>
      <c r="N699" s="3" t="str">
        <f t="shared" si="187"/>
        <v/>
      </c>
      <c r="O699" s="47"/>
      <c r="P699" s="3" t="str">
        <f t="shared" si="188"/>
        <v/>
      </c>
      <c r="Q699" s="47"/>
      <c r="R699" s="3" t="str">
        <f t="shared" si="189"/>
        <v/>
      </c>
      <c r="S699" s="47"/>
      <c r="T699" s="1" t="str">
        <f t="shared" si="190"/>
        <v/>
      </c>
      <c r="U699" s="47"/>
      <c r="V699" s="1" t="str">
        <f t="shared" si="191"/>
        <v/>
      </c>
      <c r="W699" s="47"/>
      <c r="X699" s="1" t="str">
        <f t="shared" si="192"/>
        <v/>
      </c>
      <c r="Y699" s="47"/>
      <c r="Z699" s="1" t="str">
        <f t="shared" si="193"/>
        <v/>
      </c>
      <c r="AA699" s="47"/>
      <c r="AB699" s="1" t="str">
        <f t="shared" si="194"/>
        <v/>
      </c>
      <c r="AC699" s="47"/>
      <c r="AD699" s="1" t="str">
        <f t="shared" si="195"/>
        <v/>
      </c>
      <c r="AE699" s="47"/>
      <c r="AF699" s="1" t="str">
        <f t="shared" si="196"/>
        <v/>
      </c>
      <c r="AG699" s="47"/>
    </row>
    <row r="700" spans="1:33">
      <c r="A700">
        <f t="shared" si="180"/>
        <v>0</v>
      </c>
      <c r="B700" s="2" t="str">
        <f t="shared" si="197"/>
        <v/>
      </c>
      <c r="C700" s="4" t="str">
        <f t="shared" si="181"/>
        <v/>
      </c>
      <c r="D700" s="3" t="str">
        <f t="shared" si="182"/>
        <v/>
      </c>
      <c r="E700" s="47"/>
      <c r="F700" s="3" t="str">
        <f t="shared" si="183"/>
        <v/>
      </c>
      <c r="G700" s="47"/>
      <c r="H700" s="3" t="str">
        <f t="shared" si="184"/>
        <v/>
      </c>
      <c r="I700" s="47"/>
      <c r="J700" s="3" t="str">
        <f t="shared" si="185"/>
        <v/>
      </c>
      <c r="K700" s="47"/>
      <c r="L700" s="3" t="str">
        <f t="shared" si="186"/>
        <v/>
      </c>
      <c r="M700" s="47"/>
      <c r="N700" s="3" t="str">
        <f t="shared" si="187"/>
        <v/>
      </c>
      <c r="O700" s="47"/>
      <c r="P700" s="3" t="str">
        <f t="shared" si="188"/>
        <v/>
      </c>
      <c r="Q700" s="47"/>
      <c r="R700" s="3" t="str">
        <f t="shared" si="189"/>
        <v/>
      </c>
      <c r="S700" s="47"/>
      <c r="T700" s="1" t="str">
        <f t="shared" si="190"/>
        <v/>
      </c>
      <c r="U700" s="47"/>
      <c r="V700" s="1" t="str">
        <f t="shared" si="191"/>
        <v/>
      </c>
      <c r="W700" s="47"/>
      <c r="X700" s="1" t="str">
        <f t="shared" si="192"/>
        <v/>
      </c>
      <c r="Y700" s="47"/>
      <c r="Z700" s="1" t="str">
        <f t="shared" si="193"/>
        <v/>
      </c>
      <c r="AA700" s="47"/>
      <c r="AB700" s="1" t="str">
        <f t="shared" si="194"/>
        <v/>
      </c>
      <c r="AC700" s="47"/>
      <c r="AD700" s="1" t="str">
        <f t="shared" si="195"/>
        <v/>
      </c>
      <c r="AE700" s="47"/>
      <c r="AF700" s="1" t="str">
        <f t="shared" si="196"/>
        <v/>
      </c>
      <c r="AG700" s="47"/>
    </row>
    <row r="701" spans="1:33">
      <c r="A701">
        <f t="shared" si="180"/>
        <v>0</v>
      </c>
      <c r="B701" s="2" t="str">
        <f t="shared" si="197"/>
        <v/>
      </c>
      <c r="C701" s="4" t="str">
        <f t="shared" si="181"/>
        <v/>
      </c>
      <c r="D701" s="3" t="str">
        <f t="shared" si="182"/>
        <v/>
      </c>
      <c r="E701" s="47"/>
      <c r="F701" s="3" t="str">
        <f t="shared" si="183"/>
        <v/>
      </c>
      <c r="G701" s="47"/>
      <c r="H701" s="3" t="str">
        <f t="shared" si="184"/>
        <v/>
      </c>
      <c r="I701" s="47"/>
      <c r="J701" s="3" t="str">
        <f t="shared" si="185"/>
        <v/>
      </c>
      <c r="K701" s="47"/>
      <c r="L701" s="3" t="str">
        <f t="shared" si="186"/>
        <v/>
      </c>
      <c r="M701" s="47"/>
      <c r="N701" s="3" t="str">
        <f t="shared" si="187"/>
        <v/>
      </c>
      <c r="O701" s="47"/>
      <c r="P701" s="3" t="str">
        <f t="shared" si="188"/>
        <v/>
      </c>
      <c r="Q701" s="47"/>
      <c r="R701" s="3" t="str">
        <f t="shared" si="189"/>
        <v/>
      </c>
      <c r="S701" s="47"/>
      <c r="T701" s="1" t="str">
        <f t="shared" si="190"/>
        <v/>
      </c>
      <c r="U701" s="47"/>
      <c r="V701" s="1" t="str">
        <f t="shared" si="191"/>
        <v/>
      </c>
      <c r="W701" s="47"/>
      <c r="X701" s="1" t="str">
        <f t="shared" si="192"/>
        <v/>
      </c>
      <c r="Y701" s="47"/>
      <c r="Z701" s="1" t="str">
        <f t="shared" si="193"/>
        <v/>
      </c>
      <c r="AA701" s="47"/>
      <c r="AB701" s="1" t="str">
        <f t="shared" si="194"/>
        <v/>
      </c>
      <c r="AC701" s="47"/>
      <c r="AD701" s="1" t="str">
        <f t="shared" si="195"/>
        <v/>
      </c>
      <c r="AE701" s="47"/>
      <c r="AF701" s="1" t="str">
        <f t="shared" si="196"/>
        <v/>
      </c>
      <c r="AG701" s="47"/>
    </row>
    <row r="702" spans="1:33">
      <c r="A702">
        <f t="shared" si="180"/>
        <v>0</v>
      </c>
      <c r="B702" s="2" t="str">
        <f t="shared" si="197"/>
        <v/>
      </c>
      <c r="C702" s="4" t="str">
        <f t="shared" si="181"/>
        <v/>
      </c>
      <c r="D702" s="3" t="str">
        <f t="shared" si="182"/>
        <v/>
      </c>
      <c r="E702" s="47"/>
      <c r="F702" s="3" t="str">
        <f t="shared" si="183"/>
        <v/>
      </c>
      <c r="G702" s="47"/>
      <c r="H702" s="3" t="str">
        <f t="shared" si="184"/>
        <v/>
      </c>
      <c r="I702" s="47"/>
      <c r="J702" s="3" t="str">
        <f t="shared" si="185"/>
        <v/>
      </c>
      <c r="K702" s="47"/>
      <c r="L702" s="3" t="str">
        <f t="shared" si="186"/>
        <v/>
      </c>
      <c r="M702" s="47"/>
      <c r="N702" s="3" t="str">
        <f t="shared" si="187"/>
        <v/>
      </c>
      <c r="O702" s="47"/>
      <c r="P702" s="3" t="str">
        <f t="shared" si="188"/>
        <v/>
      </c>
      <c r="Q702" s="47"/>
      <c r="R702" s="3" t="str">
        <f t="shared" si="189"/>
        <v/>
      </c>
      <c r="S702" s="47"/>
      <c r="T702" s="1" t="str">
        <f t="shared" si="190"/>
        <v/>
      </c>
      <c r="U702" s="47"/>
      <c r="V702" s="1" t="str">
        <f t="shared" si="191"/>
        <v/>
      </c>
      <c r="W702" s="47"/>
      <c r="X702" s="1" t="str">
        <f t="shared" si="192"/>
        <v/>
      </c>
      <c r="Y702" s="47"/>
      <c r="Z702" s="1" t="str">
        <f t="shared" si="193"/>
        <v/>
      </c>
      <c r="AA702" s="47"/>
      <c r="AB702" s="1" t="str">
        <f t="shared" si="194"/>
        <v/>
      </c>
      <c r="AC702" s="47"/>
      <c r="AD702" s="1" t="str">
        <f t="shared" si="195"/>
        <v/>
      </c>
      <c r="AE702" s="47"/>
      <c r="AF702" s="1" t="str">
        <f t="shared" si="196"/>
        <v/>
      </c>
      <c r="AG702" s="47"/>
    </row>
    <row r="703" spans="1:33">
      <c r="A703">
        <f t="shared" si="180"/>
        <v>0</v>
      </c>
      <c r="B703" s="2" t="str">
        <f t="shared" si="197"/>
        <v/>
      </c>
      <c r="C703" s="4" t="str">
        <f t="shared" si="181"/>
        <v/>
      </c>
      <c r="D703" s="3" t="str">
        <f t="shared" si="182"/>
        <v/>
      </c>
      <c r="E703" s="47"/>
      <c r="F703" s="3" t="str">
        <f t="shared" si="183"/>
        <v/>
      </c>
      <c r="G703" s="47"/>
      <c r="H703" s="3" t="str">
        <f t="shared" si="184"/>
        <v/>
      </c>
      <c r="I703" s="47"/>
      <c r="J703" s="3" t="str">
        <f t="shared" si="185"/>
        <v/>
      </c>
      <c r="K703" s="47"/>
      <c r="L703" s="3" t="str">
        <f t="shared" si="186"/>
        <v/>
      </c>
      <c r="M703" s="47"/>
      <c r="N703" s="3" t="str">
        <f t="shared" si="187"/>
        <v/>
      </c>
      <c r="O703" s="47"/>
      <c r="P703" s="3" t="str">
        <f t="shared" si="188"/>
        <v/>
      </c>
      <c r="Q703" s="47"/>
      <c r="R703" s="3" t="str">
        <f t="shared" si="189"/>
        <v/>
      </c>
      <c r="S703" s="47"/>
      <c r="T703" s="1" t="str">
        <f t="shared" si="190"/>
        <v/>
      </c>
      <c r="U703" s="47"/>
      <c r="V703" s="1" t="str">
        <f t="shared" si="191"/>
        <v/>
      </c>
      <c r="W703" s="47"/>
      <c r="X703" s="1" t="str">
        <f t="shared" si="192"/>
        <v/>
      </c>
      <c r="Y703" s="47"/>
      <c r="Z703" s="1" t="str">
        <f t="shared" si="193"/>
        <v/>
      </c>
      <c r="AA703" s="47"/>
      <c r="AB703" s="1" t="str">
        <f t="shared" si="194"/>
        <v/>
      </c>
      <c r="AC703" s="47"/>
      <c r="AD703" s="1" t="str">
        <f t="shared" si="195"/>
        <v/>
      </c>
      <c r="AE703" s="47"/>
      <c r="AF703" s="1" t="str">
        <f t="shared" si="196"/>
        <v/>
      </c>
      <c r="AG703" s="47"/>
    </row>
    <row r="704" spans="1:33">
      <c r="A704">
        <f t="shared" si="180"/>
        <v>0</v>
      </c>
      <c r="B704" s="2" t="str">
        <f t="shared" si="197"/>
        <v/>
      </c>
      <c r="C704" s="4" t="str">
        <f t="shared" si="181"/>
        <v/>
      </c>
      <c r="D704" s="3" t="str">
        <f t="shared" si="182"/>
        <v/>
      </c>
      <c r="E704" s="47"/>
      <c r="F704" s="3" t="str">
        <f t="shared" si="183"/>
        <v/>
      </c>
      <c r="G704" s="47"/>
      <c r="H704" s="3" t="str">
        <f t="shared" si="184"/>
        <v/>
      </c>
      <c r="I704" s="47"/>
      <c r="J704" s="3" t="str">
        <f t="shared" si="185"/>
        <v/>
      </c>
      <c r="K704" s="47"/>
      <c r="L704" s="3" t="str">
        <f t="shared" si="186"/>
        <v/>
      </c>
      <c r="M704" s="47"/>
      <c r="N704" s="3" t="str">
        <f t="shared" si="187"/>
        <v/>
      </c>
      <c r="O704" s="47"/>
      <c r="P704" s="3" t="str">
        <f t="shared" si="188"/>
        <v/>
      </c>
      <c r="Q704" s="47"/>
      <c r="R704" s="3" t="str">
        <f t="shared" si="189"/>
        <v/>
      </c>
      <c r="S704" s="47"/>
      <c r="T704" s="1" t="str">
        <f t="shared" si="190"/>
        <v/>
      </c>
      <c r="U704" s="47"/>
      <c r="V704" s="1" t="str">
        <f t="shared" si="191"/>
        <v/>
      </c>
      <c r="W704" s="47"/>
      <c r="X704" s="1" t="str">
        <f t="shared" si="192"/>
        <v/>
      </c>
      <c r="Y704" s="47"/>
      <c r="Z704" s="1" t="str">
        <f t="shared" si="193"/>
        <v/>
      </c>
      <c r="AA704" s="47"/>
      <c r="AB704" s="1" t="str">
        <f t="shared" si="194"/>
        <v/>
      </c>
      <c r="AC704" s="47"/>
      <c r="AD704" s="1" t="str">
        <f t="shared" si="195"/>
        <v/>
      </c>
      <c r="AE704" s="47"/>
      <c r="AF704" s="1" t="str">
        <f t="shared" si="196"/>
        <v/>
      </c>
      <c r="AG704" s="47"/>
    </row>
    <row r="705" spans="1:33">
      <c r="A705">
        <f t="shared" si="180"/>
        <v>0</v>
      </c>
      <c r="B705" s="2" t="str">
        <f t="shared" si="197"/>
        <v/>
      </c>
      <c r="C705" s="4" t="str">
        <f t="shared" si="181"/>
        <v/>
      </c>
      <c r="D705" s="3" t="str">
        <f t="shared" si="182"/>
        <v/>
      </c>
      <c r="E705" s="47"/>
      <c r="F705" s="3" t="str">
        <f t="shared" si="183"/>
        <v/>
      </c>
      <c r="G705" s="47"/>
      <c r="H705" s="3" t="str">
        <f t="shared" si="184"/>
        <v/>
      </c>
      <c r="I705" s="47"/>
      <c r="J705" s="3" t="str">
        <f t="shared" si="185"/>
        <v/>
      </c>
      <c r="K705" s="47"/>
      <c r="L705" s="3" t="str">
        <f t="shared" si="186"/>
        <v/>
      </c>
      <c r="M705" s="47"/>
      <c r="N705" s="3" t="str">
        <f t="shared" si="187"/>
        <v/>
      </c>
      <c r="O705" s="47"/>
      <c r="P705" s="3" t="str">
        <f t="shared" si="188"/>
        <v/>
      </c>
      <c r="Q705" s="47"/>
      <c r="R705" s="3" t="str">
        <f t="shared" si="189"/>
        <v/>
      </c>
      <c r="S705" s="47"/>
      <c r="T705" s="1" t="str">
        <f t="shared" si="190"/>
        <v/>
      </c>
      <c r="U705" s="47"/>
      <c r="V705" s="1" t="str">
        <f t="shared" si="191"/>
        <v/>
      </c>
      <c r="W705" s="47"/>
      <c r="X705" s="1" t="str">
        <f t="shared" si="192"/>
        <v/>
      </c>
      <c r="Y705" s="47"/>
      <c r="Z705" s="1" t="str">
        <f t="shared" si="193"/>
        <v/>
      </c>
      <c r="AA705" s="47"/>
      <c r="AB705" s="1" t="str">
        <f t="shared" si="194"/>
        <v/>
      </c>
      <c r="AC705" s="47"/>
      <c r="AD705" s="1" t="str">
        <f t="shared" si="195"/>
        <v/>
      </c>
      <c r="AE705" s="47"/>
      <c r="AF705" s="1" t="str">
        <f t="shared" si="196"/>
        <v/>
      </c>
      <c r="AG705" s="47"/>
    </row>
    <row r="706" spans="1:33">
      <c r="A706">
        <f t="shared" si="180"/>
        <v>0</v>
      </c>
      <c r="B706" s="2" t="str">
        <f t="shared" si="197"/>
        <v/>
      </c>
      <c r="C706" s="4" t="str">
        <f t="shared" si="181"/>
        <v/>
      </c>
      <c r="D706" s="3" t="str">
        <f t="shared" si="182"/>
        <v/>
      </c>
      <c r="E706" s="47"/>
      <c r="F706" s="3" t="str">
        <f t="shared" si="183"/>
        <v/>
      </c>
      <c r="G706" s="47"/>
      <c r="H706" s="3" t="str">
        <f t="shared" si="184"/>
        <v/>
      </c>
      <c r="I706" s="47"/>
      <c r="J706" s="3" t="str">
        <f t="shared" si="185"/>
        <v/>
      </c>
      <c r="K706" s="47"/>
      <c r="L706" s="3" t="str">
        <f t="shared" si="186"/>
        <v/>
      </c>
      <c r="M706" s="47"/>
      <c r="N706" s="3" t="str">
        <f t="shared" si="187"/>
        <v/>
      </c>
      <c r="O706" s="47"/>
      <c r="P706" s="3" t="str">
        <f t="shared" si="188"/>
        <v/>
      </c>
      <c r="Q706" s="47"/>
      <c r="R706" s="3" t="str">
        <f t="shared" si="189"/>
        <v/>
      </c>
      <c r="S706" s="47"/>
      <c r="T706" s="1" t="str">
        <f t="shared" si="190"/>
        <v/>
      </c>
      <c r="U706" s="47"/>
      <c r="V706" s="1" t="str">
        <f t="shared" si="191"/>
        <v/>
      </c>
      <c r="W706" s="47"/>
      <c r="X706" s="1" t="str">
        <f t="shared" si="192"/>
        <v/>
      </c>
      <c r="Y706" s="47"/>
      <c r="Z706" s="1" t="str">
        <f t="shared" si="193"/>
        <v/>
      </c>
      <c r="AA706" s="47"/>
      <c r="AB706" s="1" t="str">
        <f t="shared" si="194"/>
        <v/>
      </c>
      <c r="AC706" s="47"/>
      <c r="AD706" s="1" t="str">
        <f t="shared" si="195"/>
        <v/>
      </c>
      <c r="AE706" s="47"/>
      <c r="AF706" s="1" t="str">
        <f t="shared" si="196"/>
        <v/>
      </c>
      <c r="AG706" s="47"/>
    </row>
    <row r="707" spans="1:33">
      <c r="A707">
        <f t="shared" si="180"/>
        <v>0</v>
      </c>
      <c r="B707" s="2" t="str">
        <f t="shared" si="197"/>
        <v/>
      </c>
      <c r="C707" s="4" t="str">
        <f t="shared" si="181"/>
        <v/>
      </c>
      <c r="D707" s="3" t="str">
        <f t="shared" si="182"/>
        <v/>
      </c>
      <c r="E707" s="47"/>
      <c r="F707" s="3" t="str">
        <f t="shared" si="183"/>
        <v/>
      </c>
      <c r="G707" s="47"/>
      <c r="H707" s="3" t="str">
        <f t="shared" si="184"/>
        <v/>
      </c>
      <c r="I707" s="47"/>
      <c r="J707" s="3" t="str">
        <f t="shared" si="185"/>
        <v/>
      </c>
      <c r="K707" s="47"/>
      <c r="L707" s="3" t="str">
        <f t="shared" si="186"/>
        <v/>
      </c>
      <c r="M707" s="47"/>
      <c r="N707" s="3" t="str">
        <f t="shared" si="187"/>
        <v/>
      </c>
      <c r="O707" s="47"/>
      <c r="P707" s="3" t="str">
        <f t="shared" si="188"/>
        <v/>
      </c>
      <c r="Q707" s="47"/>
      <c r="R707" s="3" t="str">
        <f t="shared" si="189"/>
        <v/>
      </c>
      <c r="S707" s="47"/>
      <c r="T707" s="1" t="str">
        <f t="shared" si="190"/>
        <v/>
      </c>
      <c r="U707" s="47"/>
      <c r="V707" s="1" t="str">
        <f t="shared" si="191"/>
        <v/>
      </c>
      <c r="W707" s="47"/>
      <c r="X707" s="1" t="str">
        <f t="shared" si="192"/>
        <v/>
      </c>
      <c r="Y707" s="47"/>
      <c r="Z707" s="1" t="str">
        <f t="shared" si="193"/>
        <v/>
      </c>
      <c r="AA707" s="47"/>
      <c r="AB707" s="1" t="str">
        <f t="shared" si="194"/>
        <v/>
      </c>
      <c r="AC707" s="47"/>
      <c r="AD707" s="1" t="str">
        <f t="shared" si="195"/>
        <v/>
      </c>
      <c r="AE707" s="47"/>
      <c r="AF707" s="1" t="str">
        <f t="shared" si="196"/>
        <v/>
      </c>
      <c r="AG707" s="47"/>
    </row>
    <row r="708" spans="1:33">
      <c r="A708">
        <f t="shared" si="180"/>
        <v>0</v>
      </c>
      <c r="B708" s="2" t="str">
        <f t="shared" si="197"/>
        <v/>
      </c>
      <c r="C708" s="4" t="str">
        <f t="shared" si="181"/>
        <v/>
      </c>
      <c r="D708" s="3" t="str">
        <f t="shared" si="182"/>
        <v/>
      </c>
      <c r="E708" s="47"/>
      <c r="F708" s="3" t="str">
        <f t="shared" si="183"/>
        <v/>
      </c>
      <c r="G708" s="47"/>
      <c r="H708" s="3" t="str">
        <f t="shared" si="184"/>
        <v/>
      </c>
      <c r="I708" s="47"/>
      <c r="J708" s="3" t="str">
        <f t="shared" si="185"/>
        <v/>
      </c>
      <c r="K708" s="47"/>
      <c r="L708" s="3" t="str">
        <f t="shared" si="186"/>
        <v/>
      </c>
      <c r="M708" s="47"/>
      <c r="N708" s="3" t="str">
        <f t="shared" si="187"/>
        <v/>
      </c>
      <c r="O708" s="47"/>
      <c r="P708" s="3" t="str">
        <f t="shared" si="188"/>
        <v/>
      </c>
      <c r="Q708" s="47"/>
      <c r="R708" s="3" t="str">
        <f t="shared" si="189"/>
        <v/>
      </c>
      <c r="S708" s="47"/>
      <c r="T708" s="1" t="str">
        <f t="shared" si="190"/>
        <v/>
      </c>
      <c r="U708" s="47"/>
      <c r="V708" s="1" t="str">
        <f t="shared" si="191"/>
        <v/>
      </c>
      <c r="W708" s="47"/>
      <c r="X708" s="1" t="str">
        <f t="shared" si="192"/>
        <v/>
      </c>
      <c r="Y708" s="47"/>
      <c r="Z708" s="1" t="str">
        <f t="shared" si="193"/>
        <v/>
      </c>
      <c r="AA708" s="47"/>
      <c r="AB708" s="1" t="str">
        <f t="shared" si="194"/>
        <v/>
      </c>
      <c r="AC708" s="47"/>
      <c r="AD708" s="1" t="str">
        <f t="shared" si="195"/>
        <v/>
      </c>
      <c r="AE708" s="47"/>
      <c r="AF708" s="1" t="str">
        <f t="shared" si="196"/>
        <v/>
      </c>
      <c r="AG708" s="47"/>
    </row>
    <row r="709" spans="1:33">
      <c r="A709">
        <f t="shared" si="180"/>
        <v>0</v>
      </c>
      <c r="B709" s="2" t="str">
        <f t="shared" si="197"/>
        <v/>
      </c>
      <c r="C709" s="4" t="str">
        <f t="shared" si="181"/>
        <v/>
      </c>
      <c r="D709" s="3" t="str">
        <f t="shared" si="182"/>
        <v/>
      </c>
      <c r="E709" s="47"/>
      <c r="F709" s="3" t="str">
        <f t="shared" si="183"/>
        <v/>
      </c>
      <c r="G709" s="47"/>
      <c r="H709" s="3" t="str">
        <f t="shared" si="184"/>
        <v/>
      </c>
      <c r="I709" s="47"/>
      <c r="J709" s="3" t="str">
        <f t="shared" si="185"/>
        <v/>
      </c>
      <c r="K709" s="47"/>
      <c r="L709" s="3" t="str">
        <f t="shared" si="186"/>
        <v/>
      </c>
      <c r="M709" s="47"/>
      <c r="N709" s="3" t="str">
        <f t="shared" si="187"/>
        <v/>
      </c>
      <c r="O709" s="47"/>
      <c r="P709" s="3" t="str">
        <f t="shared" si="188"/>
        <v/>
      </c>
      <c r="Q709" s="47"/>
      <c r="R709" s="3" t="str">
        <f t="shared" si="189"/>
        <v/>
      </c>
      <c r="S709" s="47"/>
      <c r="T709" s="1" t="str">
        <f t="shared" si="190"/>
        <v/>
      </c>
      <c r="U709" s="47"/>
      <c r="V709" s="1" t="str">
        <f t="shared" si="191"/>
        <v/>
      </c>
      <c r="W709" s="47"/>
      <c r="X709" s="1" t="str">
        <f t="shared" si="192"/>
        <v/>
      </c>
      <c r="Y709" s="47"/>
      <c r="Z709" s="1" t="str">
        <f t="shared" si="193"/>
        <v/>
      </c>
      <c r="AA709" s="47"/>
      <c r="AB709" s="1" t="str">
        <f t="shared" si="194"/>
        <v/>
      </c>
      <c r="AC709" s="47"/>
      <c r="AD709" s="1" t="str">
        <f t="shared" si="195"/>
        <v/>
      </c>
      <c r="AE709" s="47"/>
      <c r="AF709" s="1" t="str">
        <f t="shared" si="196"/>
        <v/>
      </c>
      <c r="AG709" s="47"/>
    </row>
    <row r="710" spans="1:33">
      <c r="A710">
        <f t="shared" si="180"/>
        <v>0</v>
      </c>
      <c r="B710" s="2" t="str">
        <f t="shared" si="197"/>
        <v/>
      </c>
      <c r="C710" s="4" t="str">
        <f t="shared" si="181"/>
        <v/>
      </c>
      <c r="D710" s="3" t="str">
        <f t="shared" si="182"/>
        <v/>
      </c>
      <c r="E710" s="47"/>
      <c r="F710" s="3" t="str">
        <f t="shared" si="183"/>
        <v/>
      </c>
      <c r="G710" s="47"/>
      <c r="H710" s="3" t="str">
        <f t="shared" si="184"/>
        <v/>
      </c>
      <c r="I710" s="47"/>
      <c r="J710" s="3" t="str">
        <f t="shared" si="185"/>
        <v/>
      </c>
      <c r="K710" s="47"/>
      <c r="L710" s="3" t="str">
        <f t="shared" si="186"/>
        <v/>
      </c>
      <c r="M710" s="47"/>
      <c r="N710" s="3" t="str">
        <f t="shared" si="187"/>
        <v/>
      </c>
      <c r="O710" s="47"/>
      <c r="P710" s="3" t="str">
        <f t="shared" si="188"/>
        <v/>
      </c>
      <c r="Q710" s="47"/>
      <c r="R710" s="3" t="str">
        <f t="shared" si="189"/>
        <v/>
      </c>
      <c r="S710" s="47"/>
      <c r="T710" s="1" t="str">
        <f t="shared" si="190"/>
        <v/>
      </c>
      <c r="U710" s="47"/>
      <c r="V710" s="1" t="str">
        <f t="shared" si="191"/>
        <v/>
      </c>
      <c r="W710" s="47"/>
      <c r="X710" s="1" t="str">
        <f t="shared" si="192"/>
        <v/>
      </c>
      <c r="Y710" s="47"/>
      <c r="Z710" s="1" t="str">
        <f t="shared" si="193"/>
        <v/>
      </c>
      <c r="AA710" s="47"/>
      <c r="AB710" s="1" t="str">
        <f t="shared" si="194"/>
        <v/>
      </c>
      <c r="AC710" s="47"/>
      <c r="AD710" s="1" t="str">
        <f t="shared" si="195"/>
        <v/>
      </c>
      <c r="AE710" s="47"/>
      <c r="AF710" s="1" t="str">
        <f t="shared" si="196"/>
        <v/>
      </c>
      <c r="AG710" s="47"/>
    </row>
    <row r="711" spans="1:33">
      <c r="A711">
        <f t="shared" ref="A711:A774" si="198">$C$1</f>
        <v>0</v>
      </c>
      <c r="B711" s="2" t="str">
        <f t="shared" si="197"/>
        <v/>
      </c>
      <c r="C711" s="4" t="str">
        <f t="shared" si="181"/>
        <v/>
      </c>
      <c r="D711" s="3" t="str">
        <f t="shared" si="182"/>
        <v/>
      </c>
      <c r="E711" s="47"/>
      <c r="F711" s="3" t="str">
        <f t="shared" si="183"/>
        <v/>
      </c>
      <c r="G711" s="47"/>
      <c r="H711" s="3" t="str">
        <f t="shared" si="184"/>
        <v/>
      </c>
      <c r="I711" s="47"/>
      <c r="J711" s="3" t="str">
        <f t="shared" si="185"/>
        <v/>
      </c>
      <c r="K711" s="47"/>
      <c r="L711" s="3" t="str">
        <f t="shared" si="186"/>
        <v/>
      </c>
      <c r="M711" s="47"/>
      <c r="N711" s="3" t="str">
        <f t="shared" si="187"/>
        <v/>
      </c>
      <c r="O711" s="47"/>
      <c r="P711" s="3" t="str">
        <f t="shared" si="188"/>
        <v/>
      </c>
      <c r="Q711" s="47"/>
      <c r="R711" s="3" t="str">
        <f t="shared" si="189"/>
        <v/>
      </c>
      <c r="S711" s="47"/>
      <c r="T711" s="1" t="str">
        <f t="shared" si="190"/>
        <v/>
      </c>
      <c r="U711" s="47"/>
      <c r="V711" s="1" t="str">
        <f t="shared" si="191"/>
        <v/>
      </c>
      <c r="W711" s="47"/>
      <c r="X711" s="1" t="str">
        <f t="shared" si="192"/>
        <v/>
      </c>
      <c r="Y711" s="47"/>
      <c r="Z711" s="1" t="str">
        <f t="shared" si="193"/>
        <v/>
      </c>
      <c r="AA711" s="47"/>
      <c r="AB711" s="1" t="str">
        <f t="shared" si="194"/>
        <v/>
      </c>
      <c r="AC711" s="47"/>
      <c r="AD711" s="1" t="str">
        <f t="shared" si="195"/>
        <v/>
      </c>
      <c r="AE711" s="47"/>
      <c r="AF711" s="1" t="str">
        <f t="shared" si="196"/>
        <v/>
      </c>
      <c r="AG711" s="47"/>
    </row>
    <row r="712" spans="1:33">
      <c r="A712">
        <f t="shared" si="198"/>
        <v>0</v>
      </c>
      <c r="B712" s="2" t="str">
        <f t="shared" si="197"/>
        <v/>
      </c>
      <c r="C712" s="4" t="str">
        <f t="shared" ref="C712:C775" si="199">TEXT(B712,"AAA")</f>
        <v/>
      </c>
      <c r="D712" s="3" t="str">
        <f t="shared" ref="D712:D775" si="200">IF(NOT(AND($F$3&lt;=B712,B712&lt;=$F$4)),"",$F$2&amp;"")</f>
        <v/>
      </c>
      <c r="E712" s="47"/>
      <c r="F712" s="3" t="str">
        <f t="shared" ref="F712:F775" si="201">IF(NOT(AND($G$3&lt;=B712,B712&lt;=$G$4)),"",$G$2&amp;"")</f>
        <v/>
      </c>
      <c r="G712" s="47"/>
      <c r="H712" s="3" t="str">
        <f t="shared" ref="H712:H775" si="202">IF(NOT(AND($H$3&lt;=B712,B712&lt;=$H$4)),"",$H$2&amp;"")</f>
        <v/>
      </c>
      <c r="I712" s="47"/>
      <c r="J712" s="3" t="str">
        <f t="shared" ref="J712:J775" si="203">IF(NOT(AND($I$3&lt;=B712,B712&lt;=$I$4)),"",$I$2&amp;"")</f>
        <v/>
      </c>
      <c r="K712" s="47"/>
      <c r="L712" s="3" t="str">
        <f t="shared" ref="L712:L775" si="204">IF(NOT(AND($J$3&lt;=B712,B712&lt;=$J$4)),"",$J$2&amp;"")</f>
        <v/>
      </c>
      <c r="M712" s="47"/>
      <c r="N712" s="3" t="str">
        <f t="shared" ref="N712:N775" si="205">IF(NOT(AND($K$3&lt;=B712,B712&lt;=$K$4)),"",$K$2&amp;"")</f>
        <v/>
      </c>
      <c r="O712" s="47"/>
      <c r="P712" s="3" t="str">
        <f t="shared" ref="P712:P775" si="206">IF(NOT(AND($L$3&lt;=B712,B712&lt;=$L$4)),"",$L$2&amp;"")</f>
        <v/>
      </c>
      <c r="Q712" s="47"/>
      <c r="R712" s="3" t="str">
        <f t="shared" ref="R712:R775" si="207">IF(NOT(AND($M$3&lt;=B712,B712&lt;=$M$4)),"",$M$2&amp;"")</f>
        <v/>
      </c>
      <c r="S712" s="47"/>
      <c r="T712" s="1" t="str">
        <f t="shared" ref="T712:T775" si="208">IF(NOT(AND($N$3&lt;=B712,B712&lt;=$N$4)),"",$N$2&amp;"")</f>
        <v/>
      </c>
      <c r="U712" s="47"/>
      <c r="V712" s="1" t="str">
        <f t="shared" ref="V712:V775" si="209">IF(NOT(AND($O$3&lt;=B712,B712&lt;=$O$4)),"",$O$2&amp;"")</f>
        <v/>
      </c>
      <c r="W712" s="47"/>
      <c r="X712" s="1" t="str">
        <f t="shared" ref="X712:X775" si="210">IF(NOT(AND($P$3&lt;=B712,B712&lt;=$P$4)),"",$P$2&amp;"")</f>
        <v/>
      </c>
      <c r="Y712" s="47"/>
      <c r="Z712" s="1" t="str">
        <f t="shared" ref="Z712:Z775" si="211">IF(NOT(AND($Q$3&lt;=B712,B712&lt;=$Q$4)),"",$Q$2&amp;"")</f>
        <v/>
      </c>
      <c r="AA712" s="47"/>
      <c r="AB712" s="1" t="str">
        <f t="shared" ref="AB712:AB775" si="212">IF(NOT(AND($R$3&lt;=B712,B712&lt;=$R$4)),"",$R$2&amp;"")</f>
        <v/>
      </c>
      <c r="AC712" s="47"/>
      <c r="AD712" s="1" t="str">
        <f t="shared" ref="AD712:AD775" si="213">IF(NOT(AND($S$3&lt;=B712,B712&lt;=$S$4)),"",$S$2&amp;"")</f>
        <v/>
      </c>
      <c r="AE712" s="47"/>
      <c r="AF712" s="1" t="str">
        <f t="shared" ref="AF712:AF775" si="214">IF(NOT(AND($T$3&lt;=B712,B712&lt;=$T$4)),"",$T$2&amp;"")</f>
        <v/>
      </c>
      <c r="AG712" s="47"/>
    </row>
    <row r="713" spans="1:33">
      <c r="A713">
        <f t="shared" si="198"/>
        <v>0</v>
      </c>
      <c r="B713" s="2" t="str">
        <f t="shared" ref="B713:B776" si="215">IFERROR(IF(B712+1&gt;$C$3,"",B712+1),"")</f>
        <v/>
      </c>
      <c r="C713" s="4" t="str">
        <f t="shared" si="199"/>
        <v/>
      </c>
      <c r="D713" s="3" t="str">
        <f t="shared" si="200"/>
        <v/>
      </c>
      <c r="E713" s="47"/>
      <c r="F713" s="3" t="str">
        <f t="shared" si="201"/>
        <v/>
      </c>
      <c r="G713" s="47"/>
      <c r="H713" s="3" t="str">
        <f t="shared" si="202"/>
        <v/>
      </c>
      <c r="I713" s="47"/>
      <c r="J713" s="3" t="str">
        <f t="shared" si="203"/>
        <v/>
      </c>
      <c r="K713" s="47"/>
      <c r="L713" s="3" t="str">
        <f t="shared" si="204"/>
        <v/>
      </c>
      <c r="M713" s="47"/>
      <c r="N713" s="3" t="str">
        <f t="shared" si="205"/>
        <v/>
      </c>
      <c r="O713" s="47"/>
      <c r="P713" s="3" t="str">
        <f t="shared" si="206"/>
        <v/>
      </c>
      <c r="Q713" s="47"/>
      <c r="R713" s="3" t="str">
        <f t="shared" si="207"/>
        <v/>
      </c>
      <c r="S713" s="47"/>
      <c r="T713" s="1" t="str">
        <f t="shared" si="208"/>
        <v/>
      </c>
      <c r="U713" s="47"/>
      <c r="V713" s="1" t="str">
        <f t="shared" si="209"/>
        <v/>
      </c>
      <c r="W713" s="47"/>
      <c r="X713" s="1" t="str">
        <f t="shared" si="210"/>
        <v/>
      </c>
      <c r="Y713" s="47"/>
      <c r="Z713" s="1" t="str">
        <f t="shared" si="211"/>
        <v/>
      </c>
      <c r="AA713" s="47"/>
      <c r="AB713" s="1" t="str">
        <f t="shared" si="212"/>
        <v/>
      </c>
      <c r="AC713" s="47"/>
      <c r="AD713" s="1" t="str">
        <f t="shared" si="213"/>
        <v/>
      </c>
      <c r="AE713" s="47"/>
      <c r="AF713" s="1" t="str">
        <f t="shared" si="214"/>
        <v/>
      </c>
      <c r="AG713" s="47"/>
    </row>
    <row r="714" spans="1:33">
      <c r="A714">
        <f t="shared" si="198"/>
        <v>0</v>
      </c>
      <c r="B714" s="2" t="str">
        <f t="shared" si="215"/>
        <v/>
      </c>
      <c r="C714" s="4" t="str">
        <f t="shared" si="199"/>
        <v/>
      </c>
      <c r="D714" s="3" t="str">
        <f t="shared" si="200"/>
        <v/>
      </c>
      <c r="E714" s="47"/>
      <c r="F714" s="3" t="str">
        <f t="shared" si="201"/>
        <v/>
      </c>
      <c r="G714" s="47"/>
      <c r="H714" s="3" t="str">
        <f t="shared" si="202"/>
        <v/>
      </c>
      <c r="I714" s="47"/>
      <c r="J714" s="3" t="str">
        <f t="shared" si="203"/>
        <v/>
      </c>
      <c r="K714" s="47"/>
      <c r="L714" s="3" t="str">
        <f t="shared" si="204"/>
        <v/>
      </c>
      <c r="M714" s="47"/>
      <c r="N714" s="3" t="str">
        <f t="shared" si="205"/>
        <v/>
      </c>
      <c r="O714" s="47"/>
      <c r="P714" s="3" t="str">
        <f t="shared" si="206"/>
        <v/>
      </c>
      <c r="Q714" s="47"/>
      <c r="R714" s="3" t="str">
        <f t="shared" si="207"/>
        <v/>
      </c>
      <c r="S714" s="47"/>
      <c r="T714" s="1" t="str">
        <f t="shared" si="208"/>
        <v/>
      </c>
      <c r="U714" s="47"/>
      <c r="V714" s="1" t="str">
        <f t="shared" si="209"/>
        <v/>
      </c>
      <c r="W714" s="47"/>
      <c r="X714" s="1" t="str">
        <f t="shared" si="210"/>
        <v/>
      </c>
      <c r="Y714" s="47"/>
      <c r="Z714" s="1" t="str">
        <f t="shared" si="211"/>
        <v/>
      </c>
      <c r="AA714" s="47"/>
      <c r="AB714" s="1" t="str">
        <f t="shared" si="212"/>
        <v/>
      </c>
      <c r="AC714" s="47"/>
      <c r="AD714" s="1" t="str">
        <f t="shared" si="213"/>
        <v/>
      </c>
      <c r="AE714" s="47"/>
      <c r="AF714" s="1" t="str">
        <f t="shared" si="214"/>
        <v/>
      </c>
      <c r="AG714" s="47"/>
    </row>
    <row r="715" spans="1:33">
      <c r="A715">
        <f t="shared" si="198"/>
        <v>0</v>
      </c>
      <c r="B715" s="2" t="str">
        <f t="shared" si="215"/>
        <v/>
      </c>
      <c r="C715" s="4" t="str">
        <f t="shared" si="199"/>
        <v/>
      </c>
      <c r="D715" s="3" t="str">
        <f t="shared" si="200"/>
        <v/>
      </c>
      <c r="E715" s="47"/>
      <c r="F715" s="3" t="str">
        <f t="shared" si="201"/>
        <v/>
      </c>
      <c r="G715" s="47"/>
      <c r="H715" s="3" t="str">
        <f t="shared" si="202"/>
        <v/>
      </c>
      <c r="I715" s="47"/>
      <c r="J715" s="3" t="str">
        <f t="shared" si="203"/>
        <v/>
      </c>
      <c r="K715" s="47"/>
      <c r="L715" s="3" t="str">
        <f t="shared" si="204"/>
        <v/>
      </c>
      <c r="M715" s="47"/>
      <c r="N715" s="3" t="str">
        <f t="shared" si="205"/>
        <v/>
      </c>
      <c r="O715" s="47"/>
      <c r="P715" s="3" t="str">
        <f t="shared" si="206"/>
        <v/>
      </c>
      <c r="Q715" s="47"/>
      <c r="R715" s="3" t="str">
        <f t="shared" si="207"/>
        <v/>
      </c>
      <c r="S715" s="47"/>
      <c r="T715" s="1" t="str">
        <f t="shared" si="208"/>
        <v/>
      </c>
      <c r="U715" s="47"/>
      <c r="V715" s="1" t="str">
        <f t="shared" si="209"/>
        <v/>
      </c>
      <c r="W715" s="47"/>
      <c r="X715" s="1" t="str">
        <f t="shared" si="210"/>
        <v/>
      </c>
      <c r="Y715" s="47"/>
      <c r="Z715" s="1" t="str">
        <f t="shared" si="211"/>
        <v/>
      </c>
      <c r="AA715" s="47"/>
      <c r="AB715" s="1" t="str">
        <f t="shared" si="212"/>
        <v/>
      </c>
      <c r="AC715" s="47"/>
      <c r="AD715" s="1" t="str">
        <f t="shared" si="213"/>
        <v/>
      </c>
      <c r="AE715" s="47"/>
      <c r="AF715" s="1" t="str">
        <f t="shared" si="214"/>
        <v/>
      </c>
      <c r="AG715" s="47"/>
    </row>
    <row r="716" spans="1:33">
      <c r="A716">
        <f t="shared" si="198"/>
        <v>0</v>
      </c>
      <c r="B716" s="2" t="str">
        <f t="shared" si="215"/>
        <v/>
      </c>
      <c r="C716" s="4" t="str">
        <f t="shared" si="199"/>
        <v/>
      </c>
      <c r="D716" s="3" t="str">
        <f t="shared" si="200"/>
        <v/>
      </c>
      <c r="E716" s="47"/>
      <c r="F716" s="3" t="str">
        <f t="shared" si="201"/>
        <v/>
      </c>
      <c r="G716" s="47"/>
      <c r="H716" s="3" t="str">
        <f t="shared" si="202"/>
        <v/>
      </c>
      <c r="I716" s="47"/>
      <c r="J716" s="3" t="str">
        <f t="shared" si="203"/>
        <v/>
      </c>
      <c r="K716" s="47"/>
      <c r="L716" s="3" t="str">
        <f t="shared" si="204"/>
        <v/>
      </c>
      <c r="M716" s="47"/>
      <c r="N716" s="3" t="str">
        <f t="shared" si="205"/>
        <v/>
      </c>
      <c r="O716" s="47"/>
      <c r="P716" s="3" t="str">
        <f t="shared" si="206"/>
        <v/>
      </c>
      <c r="Q716" s="47"/>
      <c r="R716" s="3" t="str">
        <f t="shared" si="207"/>
        <v/>
      </c>
      <c r="S716" s="47"/>
      <c r="T716" s="1" t="str">
        <f t="shared" si="208"/>
        <v/>
      </c>
      <c r="U716" s="47"/>
      <c r="V716" s="1" t="str">
        <f t="shared" si="209"/>
        <v/>
      </c>
      <c r="W716" s="47"/>
      <c r="X716" s="1" t="str">
        <f t="shared" si="210"/>
        <v/>
      </c>
      <c r="Y716" s="47"/>
      <c r="Z716" s="1" t="str">
        <f t="shared" si="211"/>
        <v/>
      </c>
      <c r="AA716" s="47"/>
      <c r="AB716" s="1" t="str">
        <f t="shared" si="212"/>
        <v/>
      </c>
      <c r="AC716" s="47"/>
      <c r="AD716" s="1" t="str">
        <f t="shared" si="213"/>
        <v/>
      </c>
      <c r="AE716" s="47"/>
      <c r="AF716" s="1" t="str">
        <f t="shared" si="214"/>
        <v/>
      </c>
      <c r="AG716" s="47"/>
    </row>
    <row r="717" spans="1:33">
      <c r="A717">
        <f t="shared" si="198"/>
        <v>0</v>
      </c>
      <c r="B717" s="2" t="str">
        <f t="shared" si="215"/>
        <v/>
      </c>
      <c r="C717" s="4" t="str">
        <f t="shared" si="199"/>
        <v/>
      </c>
      <c r="D717" s="3" t="str">
        <f t="shared" si="200"/>
        <v/>
      </c>
      <c r="E717" s="47"/>
      <c r="F717" s="3" t="str">
        <f t="shared" si="201"/>
        <v/>
      </c>
      <c r="G717" s="47"/>
      <c r="H717" s="3" t="str">
        <f t="shared" si="202"/>
        <v/>
      </c>
      <c r="I717" s="47"/>
      <c r="J717" s="3" t="str">
        <f t="shared" si="203"/>
        <v/>
      </c>
      <c r="K717" s="47"/>
      <c r="L717" s="3" t="str">
        <f t="shared" si="204"/>
        <v/>
      </c>
      <c r="M717" s="47"/>
      <c r="N717" s="3" t="str">
        <f t="shared" si="205"/>
        <v/>
      </c>
      <c r="O717" s="47"/>
      <c r="P717" s="3" t="str">
        <f t="shared" si="206"/>
        <v/>
      </c>
      <c r="Q717" s="47"/>
      <c r="R717" s="3" t="str">
        <f t="shared" si="207"/>
        <v/>
      </c>
      <c r="S717" s="47"/>
      <c r="T717" s="1" t="str">
        <f t="shared" si="208"/>
        <v/>
      </c>
      <c r="U717" s="47"/>
      <c r="V717" s="1" t="str">
        <f t="shared" si="209"/>
        <v/>
      </c>
      <c r="W717" s="47"/>
      <c r="X717" s="1" t="str">
        <f t="shared" si="210"/>
        <v/>
      </c>
      <c r="Y717" s="47"/>
      <c r="Z717" s="1" t="str">
        <f t="shared" si="211"/>
        <v/>
      </c>
      <c r="AA717" s="47"/>
      <c r="AB717" s="1" t="str">
        <f t="shared" si="212"/>
        <v/>
      </c>
      <c r="AC717" s="47"/>
      <c r="AD717" s="1" t="str">
        <f t="shared" si="213"/>
        <v/>
      </c>
      <c r="AE717" s="47"/>
      <c r="AF717" s="1" t="str">
        <f t="shared" si="214"/>
        <v/>
      </c>
      <c r="AG717" s="47"/>
    </row>
    <row r="718" spans="1:33">
      <c r="A718">
        <f t="shared" si="198"/>
        <v>0</v>
      </c>
      <c r="B718" s="2" t="str">
        <f t="shared" si="215"/>
        <v/>
      </c>
      <c r="C718" s="4" t="str">
        <f t="shared" si="199"/>
        <v/>
      </c>
      <c r="D718" s="3" t="str">
        <f t="shared" si="200"/>
        <v/>
      </c>
      <c r="E718" s="47"/>
      <c r="F718" s="3" t="str">
        <f t="shared" si="201"/>
        <v/>
      </c>
      <c r="G718" s="47"/>
      <c r="H718" s="3" t="str">
        <f t="shared" si="202"/>
        <v/>
      </c>
      <c r="I718" s="47"/>
      <c r="J718" s="3" t="str">
        <f t="shared" si="203"/>
        <v/>
      </c>
      <c r="K718" s="47"/>
      <c r="L718" s="3" t="str">
        <f t="shared" si="204"/>
        <v/>
      </c>
      <c r="M718" s="47"/>
      <c r="N718" s="3" t="str">
        <f t="shared" si="205"/>
        <v/>
      </c>
      <c r="O718" s="47"/>
      <c r="P718" s="3" t="str">
        <f t="shared" si="206"/>
        <v/>
      </c>
      <c r="Q718" s="47"/>
      <c r="R718" s="3" t="str">
        <f t="shared" si="207"/>
        <v/>
      </c>
      <c r="S718" s="47"/>
      <c r="T718" s="1" t="str">
        <f t="shared" si="208"/>
        <v/>
      </c>
      <c r="U718" s="47"/>
      <c r="V718" s="1" t="str">
        <f t="shared" si="209"/>
        <v/>
      </c>
      <c r="W718" s="47"/>
      <c r="X718" s="1" t="str">
        <f t="shared" si="210"/>
        <v/>
      </c>
      <c r="Y718" s="47"/>
      <c r="Z718" s="1" t="str">
        <f t="shared" si="211"/>
        <v/>
      </c>
      <c r="AA718" s="47"/>
      <c r="AB718" s="1" t="str">
        <f t="shared" si="212"/>
        <v/>
      </c>
      <c r="AC718" s="47"/>
      <c r="AD718" s="1" t="str">
        <f t="shared" si="213"/>
        <v/>
      </c>
      <c r="AE718" s="47"/>
      <c r="AF718" s="1" t="str">
        <f t="shared" si="214"/>
        <v/>
      </c>
      <c r="AG718" s="47"/>
    </row>
    <row r="719" spans="1:33">
      <c r="A719">
        <f t="shared" si="198"/>
        <v>0</v>
      </c>
      <c r="B719" s="2" t="str">
        <f t="shared" si="215"/>
        <v/>
      </c>
      <c r="C719" s="4" t="str">
        <f t="shared" si="199"/>
        <v/>
      </c>
      <c r="D719" s="3" t="str">
        <f t="shared" si="200"/>
        <v/>
      </c>
      <c r="E719" s="47"/>
      <c r="F719" s="3" t="str">
        <f t="shared" si="201"/>
        <v/>
      </c>
      <c r="G719" s="47"/>
      <c r="H719" s="3" t="str">
        <f t="shared" si="202"/>
        <v/>
      </c>
      <c r="I719" s="47"/>
      <c r="J719" s="3" t="str">
        <f t="shared" si="203"/>
        <v/>
      </c>
      <c r="K719" s="47"/>
      <c r="L719" s="3" t="str">
        <f t="shared" si="204"/>
        <v/>
      </c>
      <c r="M719" s="47"/>
      <c r="N719" s="3" t="str">
        <f t="shared" si="205"/>
        <v/>
      </c>
      <c r="O719" s="47"/>
      <c r="P719" s="3" t="str">
        <f t="shared" si="206"/>
        <v/>
      </c>
      <c r="Q719" s="47"/>
      <c r="R719" s="3" t="str">
        <f t="shared" si="207"/>
        <v/>
      </c>
      <c r="S719" s="47"/>
      <c r="T719" s="1" t="str">
        <f t="shared" si="208"/>
        <v/>
      </c>
      <c r="U719" s="47"/>
      <c r="V719" s="1" t="str">
        <f t="shared" si="209"/>
        <v/>
      </c>
      <c r="W719" s="47"/>
      <c r="X719" s="1" t="str">
        <f t="shared" si="210"/>
        <v/>
      </c>
      <c r="Y719" s="47"/>
      <c r="Z719" s="1" t="str">
        <f t="shared" si="211"/>
        <v/>
      </c>
      <c r="AA719" s="47"/>
      <c r="AB719" s="1" t="str">
        <f t="shared" si="212"/>
        <v/>
      </c>
      <c r="AC719" s="47"/>
      <c r="AD719" s="1" t="str">
        <f t="shared" si="213"/>
        <v/>
      </c>
      <c r="AE719" s="47"/>
      <c r="AF719" s="1" t="str">
        <f t="shared" si="214"/>
        <v/>
      </c>
      <c r="AG719" s="47"/>
    </row>
    <row r="720" spans="1:33">
      <c r="A720">
        <f t="shared" si="198"/>
        <v>0</v>
      </c>
      <c r="B720" s="2" t="str">
        <f t="shared" si="215"/>
        <v/>
      </c>
      <c r="C720" s="4" t="str">
        <f t="shared" si="199"/>
        <v/>
      </c>
      <c r="D720" s="3" t="str">
        <f t="shared" si="200"/>
        <v/>
      </c>
      <c r="E720" s="47"/>
      <c r="F720" s="3" t="str">
        <f t="shared" si="201"/>
        <v/>
      </c>
      <c r="G720" s="47"/>
      <c r="H720" s="3" t="str">
        <f t="shared" si="202"/>
        <v/>
      </c>
      <c r="I720" s="47"/>
      <c r="J720" s="3" t="str">
        <f t="shared" si="203"/>
        <v/>
      </c>
      <c r="K720" s="47"/>
      <c r="L720" s="3" t="str">
        <f t="shared" si="204"/>
        <v/>
      </c>
      <c r="M720" s="47"/>
      <c r="N720" s="3" t="str">
        <f t="shared" si="205"/>
        <v/>
      </c>
      <c r="O720" s="47"/>
      <c r="P720" s="3" t="str">
        <f t="shared" si="206"/>
        <v/>
      </c>
      <c r="Q720" s="47"/>
      <c r="R720" s="3" t="str">
        <f t="shared" si="207"/>
        <v/>
      </c>
      <c r="S720" s="47"/>
      <c r="T720" s="1" t="str">
        <f t="shared" si="208"/>
        <v/>
      </c>
      <c r="U720" s="47"/>
      <c r="V720" s="1" t="str">
        <f t="shared" si="209"/>
        <v/>
      </c>
      <c r="W720" s="47"/>
      <c r="X720" s="1" t="str">
        <f t="shared" si="210"/>
        <v/>
      </c>
      <c r="Y720" s="47"/>
      <c r="Z720" s="1" t="str">
        <f t="shared" si="211"/>
        <v/>
      </c>
      <c r="AA720" s="47"/>
      <c r="AB720" s="1" t="str">
        <f t="shared" si="212"/>
        <v/>
      </c>
      <c r="AC720" s="47"/>
      <c r="AD720" s="1" t="str">
        <f t="shared" si="213"/>
        <v/>
      </c>
      <c r="AE720" s="47"/>
      <c r="AF720" s="1" t="str">
        <f t="shared" si="214"/>
        <v/>
      </c>
      <c r="AG720" s="47"/>
    </row>
    <row r="721" spans="1:33">
      <c r="A721">
        <f t="shared" si="198"/>
        <v>0</v>
      </c>
      <c r="B721" s="2" t="str">
        <f t="shared" si="215"/>
        <v/>
      </c>
      <c r="C721" s="4" t="str">
        <f t="shared" si="199"/>
        <v/>
      </c>
      <c r="D721" s="3" t="str">
        <f t="shared" si="200"/>
        <v/>
      </c>
      <c r="E721" s="47"/>
      <c r="F721" s="3" t="str">
        <f t="shared" si="201"/>
        <v/>
      </c>
      <c r="G721" s="47"/>
      <c r="H721" s="3" t="str">
        <f t="shared" si="202"/>
        <v/>
      </c>
      <c r="I721" s="47"/>
      <c r="J721" s="3" t="str">
        <f t="shared" si="203"/>
        <v/>
      </c>
      <c r="K721" s="47"/>
      <c r="L721" s="3" t="str">
        <f t="shared" si="204"/>
        <v/>
      </c>
      <c r="M721" s="47"/>
      <c r="N721" s="3" t="str">
        <f t="shared" si="205"/>
        <v/>
      </c>
      <c r="O721" s="47"/>
      <c r="P721" s="3" t="str">
        <f t="shared" si="206"/>
        <v/>
      </c>
      <c r="Q721" s="47"/>
      <c r="R721" s="3" t="str">
        <f t="shared" si="207"/>
        <v/>
      </c>
      <c r="S721" s="47"/>
      <c r="T721" s="1" t="str">
        <f t="shared" si="208"/>
        <v/>
      </c>
      <c r="U721" s="47"/>
      <c r="V721" s="1" t="str">
        <f t="shared" si="209"/>
        <v/>
      </c>
      <c r="W721" s="47"/>
      <c r="X721" s="1" t="str">
        <f t="shared" si="210"/>
        <v/>
      </c>
      <c r="Y721" s="47"/>
      <c r="Z721" s="1" t="str">
        <f t="shared" si="211"/>
        <v/>
      </c>
      <c r="AA721" s="47"/>
      <c r="AB721" s="1" t="str">
        <f t="shared" si="212"/>
        <v/>
      </c>
      <c r="AC721" s="47"/>
      <c r="AD721" s="1" t="str">
        <f t="shared" si="213"/>
        <v/>
      </c>
      <c r="AE721" s="47"/>
      <c r="AF721" s="1" t="str">
        <f t="shared" si="214"/>
        <v/>
      </c>
      <c r="AG721" s="47"/>
    </row>
    <row r="722" spans="1:33">
      <c r="A722">
        <f t="shared" si="198"/>
        <v>0</v>
      </c>
      <c r="B722" s="2" t="str">
        <f t="shared" si="215"/>
        <v/>
      </c>
      <c r="C722" s="4" t="str">
        <f t="shared" si="199"/>
        <v/>
      </c>
      <c r="D722" s="3" t="str">
        <f t="shared" si="200"/>
        <v/>
      </c>
      <c r="E722" s="47"/>
      <c r="F722" s="3" t="str">
        <f t="shared" si="201"/>
        <v/>
      </c>
      <c r="G722" s="47"/>
      <c r="H722" s="3" t="str">
        <f t="shared" si="202"/>
        <v/>
      </c>
      <c r="I722" s="47"/>
      <c r="J722" s="3" t="str">
        <f t="shared" si="203"/>
        <v/>
      </c>
      <c r="K722" s="47"/>
      <c r="L722" s="3" t="str">
        <f t="shared" si="204"/>
        <v/>
      </c>
      <c r="M722" s="47"/>
      <c r="N722" s="3" t="str">
        <f t="shared" si="205"/>
        <v/>
      </c>
      <c r="O722" s="47"/>
      <c r="P722" s="3" t="str">
        <f t="shared" si="206"/>
        <v/>
      </c>
      <c r="Q722" s="47"/>
      <c r="R722" s="3" t="str">
        <f t="shared" si="207"/>
        <v/>
      </c>
      <c r="S722" s="47"/>
      <c r="T722" s="1" t="str">
        <f t="shared" si="208"/>
        <v/>
      </c>
      <c r="U722" s="47"/>
      <c r="V722" s="1" t="str">
        <f t="shared" si="209"/>
        <v/>
      </c>
      <c r="W722" s="47"/>
      <c r="X722" s="1" t="str">
        <f t="shared" si="210"/>
        <v/>
      </c>
      <c r="Y722" s="47"/>
      <c r="Z722" s="1" t="str">
        <f t="shared" si="211"/>
        <v/>
      </c>
      <c r="AA722" s="47"/>
      <c r="AB722" s="1" t="str">
        <f t="shared" si="212"/>
        <v/>
      </c>
      <c r="AC722" s="47"/>
      <c r="AD722" s="1" t="str">
        <f t="shared" si="213"/>
        <v/>
      </c>
      <c r="AE722" s="47"/>
      <c r="AF722" s="1" t="str">
        <f t="shared" si="214"/>
        <v/>
      </c>
      <c r="AG722" s="47"/>
    </row>
    <row r="723" spans="1:33">
      <c r="A723">
        <f t="shared" si="198"/>
        <v>0</v>
      </c>
      <c r="B723" s="2" t="str">
        <f t="shared" si="215"/>
        <v/>
      </c>
      <c r="C723" s="4" t="str">
        <f t="shared" si="199"/>
        <v/>
      </c>
      <c r="D723" s="3" t="str">
        <f t="shared" si="200"/>
        <v/>
      </c>
      <c r="E723" s="47"/>
      <c r="F723" s="3" t="str">
        <f t="shared" si="201"/>
        <v/>
      </c>
      <c r="G723" s="47"/>
      <c r="H723" s="3" t="str">
        <f t="shared" si="202"/>
        <v/>
      </c>
      <c r="I723" s="47"/>
      <c r="J723" s="3" t="str">
        <f t="shared" si="203"/>
        <v/>
      </c>
      <c r="K723" s="47"/>
      <c r="L723" s="3" t="str">
        <f t="shared" si="204"/>
        <v/>
      </c>
      <c r="M723" s="47"/>
      <c r="N723" s="3" t="str">
        <f t="shared" si="205"/>
        <v/>
      </c>
      <c r="O723" s="47"/>
      <c r="P723" s="3" t="str">
        <f t="shared" si="206"/>
        <v/>
      </c>
      <c r="Q723" s="47"/>
      <c r="R723" s="3" t="str">
        <f t="shared" si="207"/>
        <v/>
      </c>
      <c r="S723" s="47"/>
      <c r="T723" s="1" t="str">
        <f t="shared" si="208"/>
        <v/>
      </c>
      <c r="U723" s="47"/>
      <c r="V723" s="1" t="str">
        <f t="shared" si="209"/>
        <v/>
      </c>
      <c r="W723" s="47"/>
      <c r="X723" s="1" t="str">
        <f t="shared" si="210"/>
        <v/>
      </c>
      <c r="Y723" s="47"/>
      <c r="Z723" s="1" t="str">
        <f t="shared" si="211"/>
        <v/>
      </c>
      <c r="AA723" s="47"/>
      <c r="AB723" s="1" t="str">
        <f t="shared" si="212"/>
        <v/>
      </c>
      <c r="AC723" s="47"/>
      <c r="AD723" s="1" t="str">
        <f t="shared" si="213"/>
        <v/>
      </c>
      <c r="AE723" s="47"/>
      <c r="AF723" s="1" t="str">
        <f t="shared" si="214"/>
        <v/>
      </c>
      <c r="AG723" s="47"/>
    </row>
    <row r="724" spans="1:33">
      <c r="A724">
        <f t="shared" si="198"/>
        <v>0</v>
      </c>
      <c r="B724" s="2" t="str">
        <f t="shared" si="215"/>
        <v/>
      </c>
      <c r="C724" s="4" t="str">
        <f t="shared" si="199"/>
        <v/>
      </c>
      <c r="D724" s="3" t="str">
        <f t="shared" si="200"/>
        <v/>
      </c>
      <c r="E724" s="47"/>
      <c r="F724" s="3" t="str">
        <f t="shared" si="201"/>
        <v/>
      </c>
      <c r="G724" s="47"/>
      <c r="H724" s="3" t="str">
        <f t="shared" si="202"/>
        <v/>
      </c>
      <c r="I724" s="47"/>
      <c r="J724" s="3" t="str">
        <f t="shared" si="203"/>
        <v/>
      </c>
      <c r="K724" s="47"/>
      <c r="L724" s="3" t="str">
        <f t="shared" si="204"/>
        <v/>
      </c>
      <c r="M724" s="47"/>
      <c r="N724" s="3" t="str">
        <f t="shared" si="205"/>
        <v/>
      </c>
      <c r="O724" s="47"/>
      <c r="P724" s="3" t="str">
        <f t="shared" si="206"/>
        <v/>
      </c>
      <c r="Q724" s="47"/>
      <c r="R724" s="3" t="str">
        <f t="shared" si="207"/>
        <v/>
      </c>
      <c r="S724" s="47"/>
      <c r="T724" s="1" t="str">
        <f t="shared" si="208"/>
        <v/>
      </c>
      <c r="U724" s="47"/>
      <c r="V724" s="1" t="str">
        <f t="shared" si="209"/>
        <v/>
      </c>
      <c r="W724" s="47"/>
      <c r="X724" s="1" t="str">
        <f t="shared" si="210"/>
        <v/>
      </c>
      <c r="Y724" s="47"/>
      <c r="Z724" s="1" t="str">
        <f t="shared" si="211"/>
        <v/>
      </c>
      <c r="AA724" s="47"/>
      <c r="AB724" s="1" t="str">
        <f t="shared" si="212"/>
        <v/>
      </c>
      <c r="AC724" s="47"/>
      <c r="AD724" s="1" t="str">
        <f t="shared" si="213"/>
        <v/>
      </c>
      <c r="AE724" s="47"/>
      <c r="AF724" s="1" t="str">
        <f t="shared" si="214"/>
        <v/>
      </c>
      <c r="AG724" s="47"/>
    </row>
    <row r="725" spans="1:33">
      <c r="A725">
        <f t="shared" si="198"/>
        <v>0</v>
      </c>
      <c r="B725" s="2" t="str">
        <f t="shared" si="215"/>
        <v/>
      </c>
      <c r="C725" s="4" t="str">
        <f t="shared" si="199"/>
        <v/>
      </c>
      <c r="D725" s="3" t="str">
        <f t="shared" si="200"/>
        <v/>
      </c>
      <c r="E725" s="47"/>
      <c r="F725" s="3" t="str">
        <f t="shared" si="201"/>
        <v/>
      </c>
      <c r="G725" s="47"/>
      <c r="H725" s="3" t="str">
        <f t="shared" si="202"/>
        <v/>
      </c>
      <c r="I725" s="47"/>
      <c r="J725" s="3" t="str">
        <f t="shared" si="203"/>
        <v/>
      </c>
      <c r="K725" s="47"/>
      <c r="L725" s="3" t="str">
        <f t="shared" si="204"/>
        <v/>
      </c>
      <c r="M725" s="47"/>
      <c r="N725" s="3" t="str">
        <f t="shared" si="205"/>
        <v/>
      </c>
      <c r="O725" s="47"/>
      <c r="P725" s="3" t="str">
        <f t="shared" si="206"/>
        <v/>
      </c>
      <c r="Q725" s="47"/>
      <c r="R725" s="3" t="str">
        <f t="shared" si="207"/>
        <v/>
      </c>
      <c r="S725" s="47"/>
      <c r="T725" s="1" t="str">
        <f t="shared" si="208"/>
        <v/>
      </c>
      <c r="U725" s="47"/>
      <c r="V725" s="1" t="str">
        <f t="shared" si="209"/>
        <v/>
      </c>
      <c r="W725" s="47"/>
      <c r="X725" s="1" t="str">
        <f t="shared" si="210"/>
        <v/>
      </c>
      <c r="Y725" s="47"/>
      <c r="Z725" s="1" t="str">
        <f t="shared" si="211"/>
        <v/>
      </c>
      <c r="AA725" s="47"/>
      <c r="AB725" s="1" t="str">
        <f t="shared" si="212"/>
        <v/>
      </c>
      <c r="AC725" s="47"/>
      <c r="AD725" s="1" t="str">
        <f t="shared" si="213"/>
        <v/>
      </c>
      <c r="AE725" s="47"/>
      <c r="AF725" s="1" t="str">
        <f t="shared" si="214"/>
        <v/>
      </c>
      <c r="AG725" s="47"/>
    </row>
    <row r="726" spans="1:33">
      <c r="A726">
        <f t="shared" si="198"/>
        <v>0</v>
      </c>
      <c r="B726" s="2" t="str">
        <f t="shared" si="215"/>
        <v/>
      </c>
      <c r="C726" s="4" t="str">
        <f t="shared" si="199"/>
        <v/>
      </c>
      <c r="D726" s="3" t="str">
        <f t="shared" si="200"/>
        <v/>
      </c>
      <c r="E726" s="47"/>
      <c r="F726" s="3" t="str">
        <f t="shared" si="201"/>
        <v/>
      </c>
      <c r="G726" s="47"/>
      <c r="H726" s="3" t="str">
        <f t="shared" si="202"/>
        <v/>
      </c>
      <c r="I726" s="47"/>
      <c r="J726" s="3" t="str">
        <f t="shared" si="203"/>
        <v/>
      </c>
      <c r="K726" s="47"/>
      <c r="L726" s="3" t="str">
        <f t="shared" si="204"/>
        <v/>
      </c>
      <c r="M726" s="47"/>
      <c r="N726" s="3" t="str">
        <f t="shared" si="205"/>
        <v/>
      </c>
      <c r="O726" s="47"/>
      <c r="P726" s="3" t="str">
        <f t="shared" si="206"/>
        <v/>
      </c>
      <c r="Q726" s="47"/>
      <c r="R726" s="3" t="str">
        <f t="shared" si="207"/>
        <v/>
      </c>
      <c r="S726" s="47"/>
      <c r="T726" s="1" t="str">
        <f t="shared" si="208"/>
        <v/>
      </c>
      <c r="U726" s="47"/>
      <c r="V726" s="1" t="str">
        <f t="shared" si="209"/>
        <v/>
      </c>
      <c r="W726" s="47"/>
      <c r="X726" s="1" t="str">
        <f t="shared" si="210"/>
        <v/>
      </c>
      <c r="Y726" s="47"/>
      <c r="Z726" s="1" t="str">
        <f t="shared" si="211"/>
        <v/>
      </c>
      <c r="AA726" s="47"/>
      <c r="AB726" s="1" t="str">
        <f t="shared" si="212"/>
        <v/>
      </c>
      <c r="AC726" s="47"/>
      <c r="AD726" s="1" t="str">
        <f t="shared" si="213"/>
        <v/>
      </c>
      <c r="AE726" s="47"/>
      <c r="AF726" s="1" t="str">
        <f t="shared" si="214"/>
        <v/>
      </c>
      <c r="AG726" s="47"/>
    </row>
    <row r="727" spans="1:33">
      <c r="A727">
        <f t="shared" si="198"/>
        <v>0</v>
      </c>
      <c r="B727" s="2" t="str">
        <f t="shared" si="215"/>
        <v/>
      </c>
      <c r="C727" s="4" t="str">
        <f t="shared" si="199"/>
        <v/>
      </c>
      <c r="D727" s="3" t="str">
        <f t="shared" si="200"/>
        <v/>
      </c>
      <c r="E727" s="47"/>
      <c r="F727" s="3" t="str">
        <f t="shared" si="201"/>
        <v/>
      </c>
      <c r="G727" s="47"/>
      <c r="H727" s="3" t="str">
        <f t="shared" si="202"/>
        <v/>
      </c>
      <c r="I727" s="47"/>
      <c r="J727" s="3" t="str">
        <f t="shared" si="203"/>
        <v/>
      </c>
      <c r="K727" s="47"/>
      <c r="L727" s="3" t="str">
        <f t="shared" si="204"/>
        <v/>
      </c>
      <c r="M727" s="47"/>
      <c r="N727" s="3" t="str">
        <f t="shared" si="205"/>
        <v/>
      </c>
      <c r="O727" s="47"/>
      <c r="P727" s="3" t="str">
        <f t="shared" si="206"/>
        <v/>
      </c>
      <c r="Q727" s="47"/>
      <c r="R727" s="3" t="str">
        <f t="shared" si="207"/>
        <v/>
      </c>
      <c r="S727" s="47"/>
      <c r="T727" s="1" t="str">
        <f t="shared" si="208"/>
        <v/>
      </c>
      <c r="U727" s="47"/>
      <c r="V727" s="1" t="str">
        <f t="shared" si="209"/>
        <v/>
      </c>
      <c r="W727" s="47"/>
      <c r="X727" s="1" t="str">
        <f t="shared" si="210"/>
        <v/>
      </c>
      <c r="Y727" s="47"/>
      <c r="Z727" s="1" t="str">
        <f t="shared" si="211"/>
        <v/>
      </c>
      <c r="AA727" s="47"/>
      <c r="AB727" s="1" t="str">
        <f t="shared" si="212"/>
        <v/>
      </c>
      <c r="AC727" s="47"/>
      <c r="AD727" s="1" t="str">
        <f t="shared" si="213"/>
        <v/>
      </c>
      <c r="AE727" s="47"/>
      <c r="AF727" s="1" t="str">
        <f t="shared" si="214"/>
        <v/>
      </c>
      <c r="AG727" s="47"/>
    </row>
    <row r="728" spans="1:33">
      <c r="A728">
        <f t="shared" si="198"/>
        <v>0</v>
      </c>
      <c r="B728" s="2" t="str">
        <f t="shared" si="215"/>
        <v/>
      </c>
      <c r="C728" s="4" t="str">
        <f t="shared" si="199"/>
        <v/>
      </c>
      <c r="D728" s="3" t="str">
        <f t="shared" si="200"/>
        <v/>
      </c>
      <c r="E728" s="47"/>
      <c r="F728" s="3" t="str">
        <f t="shared" si="201"/>
        <v/>
      </c>
      <c r="G728" s="47"/>
      <c r="H728" s="3" t="str">
        <f t="shared" si="202"/>
        <v/>
      </c>
      <c r="I728" s="47"/>
      <c r="J728" s="3" t="str">
        <f t="shared" si="203"/>
        <v/>
      </c>
      <c r="K728" s="47"/>
      <c r="L728" s="3" t="str">
        <f t="shared" si="204"/>
        <v/>
      </c>
      <c r="M728" s="47"/>
      <c r="N728" s="3" t="str">
        <f t="shared" si="205"/>
        <v/>
      </c>
      <c r="O728" s="47"/>
      <c r="P728" s="3" t="str">
        <f t="shared" si="206"/>
        <v/>
      </c>
      <c r="Q728" s="47"/>
      <c r="R728" s="3" t="str">
        <f t="shared" si="207"/>
        <v/>
      </c>
      <c r="S728" s="47"/>
      <c r="T728" s="1" t="str">
        <f t="shared" si="208"/>
        <v/>
      </c>
      <c r="U728" s="47"/>
      <c r="V728" s="1" t="str">
        <f t="shared" si="209"/>
        <v/>
      </c>
      <c r="W728" s="47"/>
      <c r="X728" s="1" t="str">
        <f t="shared" si="210"/>
        <v/>
      </c>
      <c r="Y728" s="47"/>
      <c r="Z728" s="1" t="str">
        <f t="shared" si="211"/>
        <v/>
      </c>
      <c r="AA728" s="47"/>
      <c r="AB728" s="1" t="str">
        <f t="shared" si="212"/>
        <v/>
      </c>
      <c r="AC728" s="47"/>
      <c r="AD728" s="1" t="str">
        <f t="shared" si="213"/>
        <v/>
      </c>
      <c r="AE728" s="47"/>
      <c r="AF728" s="1" t="str">
        <f t="shared" si="214"/>
        <v/>
      </c>
      <c r="AG728" s="47"/>
    </row>
    <row r="729" spans="1:33">
      <c r="A729">
        <f t="shared" si="198"/>
        <v>0</v>
      </c>
      <c r="B729" s="2" t="str">
        <f t="shared" si="215"/>
        <v/>
      </c>
      <c r="C729" s="4" t="str">
        <f t="shared" si="199"/>
        <v/>
      </c>
      <c r="D729" s="3" t="str">
        <f t="shared" si="200"/>
        <v/>
      </c>
      <c r="E729" s="47"/>
      <c r="F729" s="3" t="str">
        <f t="shared" si="201"/>
        <v/>
      </c>
      <c r="G729" s="47"/>
      <c r="H729" s="3" t="str">
        <f t="shared" si="202"/>
        <v/>
      </c>
      <c r="I729" s="47"/>
      <c r="J729" s="3" t="str">
        <f t="shared" si="203"/>
        <v/>
      </c>
      <c r="K729" s="47"/>
      <c r="L729" s="3" t="str">
        <f t="shared" si="204"/>
        <v/>
      </c>
      <c r="M729" s="47"/>
      <c r="N729" s="3" t="str">
        <f t="shared" si="205"/>
        <v/>
      </c>
      <c r="O729" s="47"/>
      <c r="P729" s="3" t="str">
        <f t="shared" si="206"/>
        <v/>
      </c>
      <c r="Q729" s="47"/>
      <c r="R729" s="3" t="str">
        <f t="shared" si="207"/>
        <v/>
      </c>
      <c r="S729" s="47"/>
      <c r="T729" s="1" t="str">
        <f t="shared" si="208"/>
        <v/>
      </c>
      <c r="U729" s="47"/>
      <c r="V729" s="1" t="str">
        <f t="shared" si="209"/>
        <v/>
      </c>
      <c r="W729" s="47"/>
      <c r="X729" s="1" t="str">
        <f t="shared" si="210"/>
        <v/>
      </c>
      <c r="Y729" s="47"/>
      <c r="Z729" s="1" t="str">
        <f t="shared" si="211"/>
        <v/>
      </c>
      <c r="AA729" s="47"/>
      <c r="AB729" s="1" t="str">
        <f t="shared" si="212"/>
        <v/>
      </c>
      <c r="AC729" s="47"/>
      <c r="AD729" s="1" t="str">
        <f t="shared" si="213"/>
        <v/>
      </c>
      <c r="AE729" s="47"/>
      <c r="AF729" s="1" t="str">
        <f t="shared" si="214"/>
        <v/>
      </c>
      <c r="AG729" s="47"/>
    </row>
    <row r="730" spans="1:33">
      <c r="A730">
        <f t="shared" si="198"/>
        <v>0</v>
      </c>
      <c r="B730" s="2" t="str">
        <f t="shared" si="215"/>
        <v/>
      </c>
      <c r="C730" s="4" t="str">
        <f t="shared" si="199"/>
        <v/>
      </c>
      <c r="D730" s="3" t="str">
        <f t="shared" si="200"/>
        <v/>
      </c>
      <c r="E730" s="47"/>
      <c r="F730" s="3" t="str">
        <f t="shared" si="201"/>
        <v/>
      </c>
      <c r="G730" s="47"/>
      <c r="H730" s="3" t="str">
        <f t="shared" si="202"/>
        <v/>
      </c>
      <c r="I730" s="47"/>
      <c r="J730" s="3" t="str">
        <f t="shared" si="203"/>
        <v/>
      </c>
      <c r="K730" s="47"/>
      <c r="L730" s="3" t="str">
        <f t="shared" si="204"/>
        <v/>
      </c>
      <c r="M730" s="47"/>
      <c r="N730" s="3" t="str">
        <f t="shared" si="205"/>
        <v/>
      </c>
      <c r="O730" s="47"/>
      <c r="P730" s="3" t="str">
        <f t="shared" si="206"/>
        <v/>
      </c>
      <c r="Q730" s="47"/>
      <c r="R730" s="3" t="str">
        <f t="shared" si="207"/>
        <v/>
      </c>
      <c r="S730" s="47"/>
      <c r="T730" s="1" t="str">
        <f t="shared" si="208"/>
        <v/>
      </c>
      <c r="U730" s="47"/>
      <c r="V730" s="1" t="str">
        <f t="shared" si="209"/>
        <v/>
      </c>
      <c r="W730" s="47"/>
      <c r="X730" s="1" t="str">
        <f t="shared" si="210"/>
        <v/>
      </c>
      <c r="Y730" s="47"/>
      <c r="Z730" s="1" t="str">
        <f t="shared" si="211"/>
        <v/>
      </c>
      <c r="AA730" s="47"/>
      <c r="AB730" s="1" t="str">
        <f t="shared" si="212"/>
        <v/>
      </c>
      <c r="AC730" s="47"/>
      <c r="AD730" s="1" t="str">
        <f t="shared" si="213"/>
        <v/>
      </c>
      <c r="AE730" s="47"/>
      <c r="AF730" s="1" t="str">
        <f t="shared" si="214"/>
        <v/>
      </c>
      <c r="AG730" s="47"/>
    </row>
    <row r="731" spans="1:33">
      <c r="A731">
        <f t="shared" si="198"/>
        <v>0</v>
      </c>
      <c r="B731" s="2" t="str">
        <f t="shared" si="215"/>
        <v/>
      </c>
      <c r="C731" s="4" t="str">
        <f t="shared" si="199"/>
        <v/>
      </c>
      <c r="D731" s="3" t="str">
        <f t="shared" si="200"/>
        <v/>
      </c>
      <c r="E731" s="47"/>
      <c r="F731" s="3" t="str">
        <f t="shared" si="201"/>
        <v/>
      </c>
      <c r="G731" s="47"/>
      <c r="H731" s="3" t="str">
        <f t="shared" si="202"/>
        <v/>
      </c>
      <c r="I731" s="47"/>
      <c r="J731" s="3" t="str">
        <f t="shared" si="203"/>
        <v/>
      </c>
      <c r="K731" s="47"/>
      <c r="L731" s="3" t="str">
        <f t="shared" si="204"/>
        <v/>
      </c>
      <c r="M731" s="47"/>
      <c r="N731" s="3" t="str">
        <f t="shared" si="205"/>
        <v/>
      </c>
      <c r="O731" s="47"/>
      <c r="P731" s="3" t="str">
        <f t="shared" si="206"/>
        <v/>
      </c>
      <c r="Q731" s="47"/>
      <c r="R731" s="3" t="str">
        <f t="shared" si="207"/>
        <v/>
      </c>
      <c r="S731" s="47"/>
      <c r="T731" s="1" t="str">
        <f t="shared" si="208"/>
        <v/>
      </c>
      <c r="U731" s="47"/>
      <c r="V731" s="1" t="str">
        <f t="shared" si="209"/>
        <v/>
      </c>
      <c r="W731" s="47"/>
      <c r="X731" s="1" t="str">
        <f t="shared" si="210"/>
        <v/>
      </c>
      <c r="Y731" s="47"/>
      <c r="Z731" s="1" t="str">
        <f t="shared" si="211"/>
        <v/>
      </c>
      <c r="AA731" s="47"/>
      <c r="AB731" s="1" t="str">
        <f t="shared" si="212"/>
        <v/>
      </c>
      <c r="AC731" s="47"/>
      <c r="AD731" s="1" t="str">
        <f t="shared" si="213"/>
        <v/>
      </c>
      <c r="AE731" s="47"/>
      <c r="AF731" s="1" t="str">
        <f t="shared" si="214"/>
        <v/>
      </c>
      <c r="AG731" s="47"/>
    </row>
    <row r="732" spans="1:33">
      <c r="A732">
        <f t="shared" si="198"/>
        <v>0</v>
      </c>
      <c r="B732" s="2" t="str">
        <f t="shared" si="215"/>
        <v/>
      </c>
      <c r="C732" s="4" t="str">
        <f t="shared" si="199"/>
        <v/>
      </c>
      <c r="D732" s="3" t="str">
        <f t="shared" si="200"/>
        <v/>
      </c>
      <c r="E732" s="47"/>
      <c r="F732" s="3" t="str">
        <f t="shared" si="201"/>
        <v/>
      </c>
      <c r="G732" s="47"/>
      <c r="H732" s="3" t="str">
        <f t="shared" si="202"/>
        <v/>
      </c>
      <c r="I732" s="47"/>
      <c r="J732" s="3" t="str">
        <f t="shared" si="203"/>
        <v/>
      </c>
      <c r="K732" s="47"/>
      <c r="L732" s="3" t="str">
        <f t="shared" si="204"/>
        <v/>
      </c>
      <c r="M732" s="47"/>
      <c r="N732" s="3" t="str">
        <f t="shared" si="205"/>
        <v/>
      </c>
      <c r="O732" s="47"/>
      <c r="P732" s="3" t="str">
        <f t="shared" si="206"/>
        <v/>
      </c>
      <c r="Q732" s="47"/>
      <c r="R732" s="3" t="str">
        <f t="shared" si="207"/>
        <v/>
      </c>
      <c r="S732" s="47"/>
      <c r="T732" s="1" t="str">
        <f t="shared" si="208"/>
        <v/>
      </c>
      <c r="U732" s="47"/>
      <c r="V732" s="1" t="str">
        <f t="shared" si="209"/>
        <v/>
      </c>
      <c r="W732" s="47"/>
      <c r="X732" s="1" t="str">
        <f t="shared" si="210"/>
        <v/>
      </c>
      <c r="Y732" s="47"/>
      <c r="Z732" s="1" t="str">
        <f t="shared" si="211"/>
        <v/>
      </c>
      <c r="AA732" s="47"/>
      <c r="AB732" s="1" t="str">
        <f t="shared" si="212"/>
        <v/>
      </c>
      <c r="AC732" s="47"/>
      <c r="AD732" s="1" t="str">
        <f t="shared" si="213"/>
        <v/>
      </c>
      <c r="AE732" s="47"/>
      <c r="AF732" s="1" t="str">
        <f t="shared" si="214"/>
        <v/>
      </c>
      <c r="AG732" s="47"/>
    </row>
    <row r="733" spans="1:33">
      <c r="A733">
        <f t="shared" si="198"/>
        <v>0</v>
      </c>
      <c r="B733" s="2" t="str">
        <f t="shared" si="215"/>
        <v/>
      </c>
      <c r="C733" s="4" t="str">
        <f t="shared" si="199"/>
        <v/>
      </c>
      <c r="D733" s="3" t="str">
        <f t="shared" si="200"/>
        <v/>
      </c>
      <c r="E733" s="47"/>
      <c r="F733" s="3" t="str">
        <f t="shared" si="201"/>
        <v/>
      </c>
      <c r="G733" s="47"/>
      <c r="H733" s="3" t="str">
        <f t="shared" si="202"/>
        <v/>
      </c>
      <c r="I733" s="47"/>
      <c r="J733" s="3" t="str">
        <f t="shared" si="203"/>
        <v/>
      </c>
      <c r="K733" s="47"/>
      <c r="L733" s="3" t="str">
        <f t="shared" si="204"/>
        <v/>
      </c>
      <c r="M733" s="47"/>
      <c r="N733" s="3" t="str">
        <f t="shared" si="205"/>
        <v/>
      </c>
      <c r="O733" s="47"/>
      <c r="P733" s="3" t="str">
        <f t="shared" si="206"/>
        <v/>
      </c>
      <c r="Q733" s="47"/>
      <c r="R733" s="3" t="str">
        <f t="shared" si="207"/>
        <v/>
      </c>
      <c r="S733" s="47"/>
      <c r="T733" s="1" t="str">
        <f t="shared" si="208"/>
        <v/>
      </c>
      <c r="U733" s="47"/>
      <c r="V733" s="1" t="str">
        <f t="shared" si="209"/>
        <v/>
      </c>
      <c r="W733" s="47"/>
      <c r="X733" s="1" t="str">
        <f t="shared" si="210"/>
        <v/>
      </c>
      <c r="Y733" s="47"/>
      <c r="Z733" s="1" t="str">
        <f t="shared" si="211"/>
        <v/>
      </c>
      <c r="AA733" s="47"/>
      <c r="AB733" s="1" t="str">
        <f t="shared" si="212"/>
        <v/>
      </c>
      <c r="AC733" s="47"/>
      <c r="AD733" s="1" t="str">
        <f t="shared" si="213"/>
        <v/>
      </c>
      <c r="AE733" s="47"/>
      <c r="AF733" s="1" t="str">
        <f t="shared" si="214"/>
        <v/>
      </c>
      <c r="AG733" s="47"/>
    </row>
    <row r="734" spans="1:33">
      <c r="A734">
        <f t="shared" si="198"/>
        <v>0</v>
      </c>
      <c r="B734" s="2" t="str">
        <f t="shared" si="215"/>
        <v/>
      </c>
      <c r="C734" s="4" t="str">
        <f t="shared" si="199"/>
        <v/>
      </c>
      <c r="D734" s="3" t="str">
        <f t="shared" si="200"/>
        <v/>
      </c>
      <c r="E734" s="47"/>
      <c r="F734" s="3" t="str">
        <f t="shared" si="201"/>
        <v/>
      </c>
      <c r="G734" s="47"/>
      <c r="H734" s="3" t="str">
        <f t="shared" si="202"/>
        <v/>
      </c>
      <c r="I734" s="47"/>
      <c r="J734" s="3" t="str">
        <f t="shared" si="203"/>
        <v/>
      </c>
      <c r="K734" s="47"/>
      <c r="L734" s="3" t="str">
        <f t="shared" si="204"/>
        <v/>
      </c>
      <c r="M734" s="47"/>
      <c r="N734" s="3" t="str">
        <f t="shared" si="205"/>
        <v/>
      </c>
      <c r="O734" s="47"/>
      <c r="P734" s="3" t="str">
        <f t="shared" si="206"/>
        <v/>
      </c>
      <c r="Q734" s="47"/>
      <c r="R734" s="3" t="str">
        <f t="shared" si="207"/>
        <v/>
      </c>
      <c r="S734" s="47"/>
      <c r="T734" s="1" t="str">
        <f t="shared" si="208"/>
        <v/>
      </c>
      <c r="U734" s="47"/>
      <c r="V734" s="1" t="str">
        <f t="shared" si="209"/>
        <v/>
      </c>
      <c r="W734" s="47"/>
      <c r="X734" s="1" t="str">
        <f t="shared" si="210"/>
        <v/>
      </c>
      <c r="Y734" s="47"/>
      <c r="Z734" s="1" t="str">
        <f t="shared" si="211"/>
        <v/>
      </c>
      <c r="AA734" s="47"/>
      <c r="AB734" s="1" t="str">
        <f t="shared" si="212"/>
        <v/>
      </c>
      <c r="AC734" s="47"/>
      <c r="AD734" s="1" t="str">
        <f t="shared" si="213"/>
        <v/>
      </c>
      <c r="AE734" s="47"/>
      <c r="AF734" s="1" t="str">
        <f t="shared" si="214"/>
        <v/>
      </c>
      <c r="AG734" s="47"/>
    </row>
    <row r="735" spans="1:33">
      <c r="A735">
        <f t="shared" si="198"/>
        <v>0</v>
      </c>
      <c r="B735" s="2" t="str">
        <f t="shared" si="215"/>
        <v/>
      </c>
      <c r="C735" s="4" t="str">
        <f t="shared" si="199"/>
        <v/>
      </c>
      <c r="D735" s="3" t="str">
        <f t="shared" si="200"/>
        <v/>
      </c>
      <c r="E735" s="47"/>
      <c r="F735" s="3" t="str">
        <f t="shared" si="201"/>
        <v/>
      </c>
      <c r="G735" s="47"/>
      <c r="H735" s="3" t="str">
        <f t="shared" si="202"/>
        <v/>
      </c>
      <c r="I735" s="47"/>
      <c r="J735" s="3" t="str">
        <f t="shared" si="203"/>
        <v/>
      </c>
      <c r="K735" s="47"/>
      <c r="L735" s="3" t="str">
        <f t="shared" si="204"/>
        <v/>
      </c>
      <c r="M735" s="47"/>
      <c r="N735" s="3" t="str">
        <f t="shared" si="205"/>
        <v/>
      </c>
      <c r="O735" s="47"/>
      <c r="P735" s="3" t="str">
        <f t="shared" si="206"/>
        <v/>
      </c>
      <c r="Q735" s="47"/>
      <c r="R735" s="3" t="str">
        <f t="shared" si="207"/>
        <v/>
      </c>
      <c r="S735" s="47"/>
      <c r="T735" s="1" t="str">
        <f t="shared" si="208"/>
        <v/>
      </c>
      <c r="U735" s="47"/>
      <c r="V735" s="1" t="str">
        <f t="shared" si="209"/>
        <v/>
      </c>
      <c r="W735" s="47"/>
      <c r="X735" s="1" t="str">
        <f t="shared" si="210"/>
        <v/>
      </c>
      <c r="Y735" s="47"/>
      <c r="Z735" s="1" t="str">
        <f t="shared" si="211"/>
        <v/>
      </c>
      <c r="AA735" s="47"/>
      <c r="AB735" s="1" t="str">
        <f t="shared" si="212"/>
        <v/>
      </c>
      <c r="AC735" s="47"/>
      <c r="AD735" s="1" t="str">
        <f t="shared" si="213"/>
        <v/>
      </c>
      <c r="AE735" s="47"/>
      <c r="AF735" s="1" t="str">
        <f t="shared" si="214"/>
        <v/>
      </c>
      <c r="AG735" s="47"/>
    </row>
    <row r="736" spans="1:33">
      <c r="A736">
        <f t="shared" si="198"/>
        <v>0</v>
      </c>
      <c r="B736" s="2" t="str">
        <f t="shared" si="215"/>
        <v/>
      </c>
      <c r="C736" s="4" t="str">
        <f t="shared" si="199"/>
        <v/>
      </c>
      <c r="D736" s="3" t="str">
        <f t="shared" si="200"/>
        <v/>
      </c>
      <c r="E736" s="47"/>
      <c r="F736" s="3" t="str">
        <f t="shared" si="201"/>
        <v/>
      </c>
      <c r="G736" s="47"/>
      <c r="H736" s="3" t="str">
        <f t="shared" si="202"/>
        <v/>
      </c>
      <c r="I736" s="47"/>
      <c r="J736" s="3" t="str">
        <f t="shared" si="203"/>
        <v/>
      </c>
      <c r="K736" s="47"/>
      <c r="L736" s="3" t="str">
        <f t="shared" si="204"/>
        <v/>
      </c>
      <c r="M736" s="47"/>
      <c r="N736" s="3" t="str">
        <f t="shared" si="205"/>
        <v/>
      </c>
      <c r="O736" s="47"/>
      <c r="P736" s="3" t="str">
        <f t="shared" si="206"/>
        <v/>
      </c>
      <c r="Q736" s="47"/>
      <c r="R736" s="3" t="str">
        <f t="shared" si="207"/>
        <v/>
      </c>
      <c r="S736" s="47"/>
      <c r="T736" s="1" t="str">
        <f t="shared" si="208"/>
        <v/>
      </c>
      <c r="U736" s="47"/>
      <c r="V736" s="1" t="str">
        <f t="shared" si="209"/>
        <v/>
      </c>
      <c r="W736" s="47"/>
      <c r="X736" s="1" t="str">
        <f t="shared" si="210"/>
        <v/>
      </c>
      <c r="Y736" s="47"/>
      <c r="Z736" s="1" t="str">
        <f t="shared" si="211"/>
        <v/>
      </c>
      <c r="AA736" s="47"/>
      <c r="AB736" s="1" t="str">
        <f t="shared" si="212"/>
        <v/>
      </c>
      <c r="AC736" s="47"/>
      <c r="AD736" s="1" t="str">
        <f t="shared" si="213"/>
        <v/>
      </c>
      <c r="AE736" s="47"/>
      <c r="AF736" s="1" t="str">
        <f t="shared" si="214"/>
        <v/>
      </c>
      <c r="AG736" s="47"/>
    </row>
    <row r="737" spans="1:33">
      <c r="A737">
        <f t="shared" si="198"/>
        <v>0</v>
      </c>
      <c r="B737" s="2" t="str">
        <f t="shared" si="215"/>
        <v/>
      </c>
      <c r="C737" s="4" t="str">
        <f t="shared" si="199"/>
        <v/>
      </c>
      <c r="D737" s="3" t="str">
        <f t="shared" si="200"/>
        <v/>
      </c>
      <c r="E737" s="47"/>
      <c r="F737" s="3" t="str">
        <f t="shared" si="201"/>
        <v/>
      </c>
      <c r="G737" s="47"/>
      <c r="H737" s="3" t="str">
        <f t="shared" si="202"/>
        <v/>
      </c>
      <c r="I737" s="47"/>
      <c r="J737" s="3" t="str">
        <f t="shared" si="203"/>
        <v/>
      </c>
      <c r="K737" s="47"/>
      <c r="L737" s="3" t="str">
        <f t="shared" si="204"/>
        <v/>
      </c>
      <c r="M737" s="47"/>
      <c r="N737" s="3" t="str">
        <f t="shared" si="205"/>
        <v/>
      </c>
      <c r="O737" s="47"/>
      <c r="P737" s="3" t="str">
        <f t="shared" si="206"/>
        <v/>
      </c>
      <c r="Q737" s="47"/>
      <c r="R737" s="3" t="str">
        <f t="shared" si="207"/>
        <v/>
      </c>
      <c r="S737" s="47"/>
      <c r="T737" s="1" t="str">
        <f t="shared" si="208"/>
        <v/>
      </c>
      <c r="U737" s="47"/>
      <c r="V737" s="1" t="str">
        <f t="shared" si="209"/>
        <v/>
      </c>
      <c r="W737" s="47"/>
      <c r="X737" s="1" t="str">
        <f t="shared" si="210"/>
        <v/>
      </c>
      <c r="Y737" s="47"/>
      <c r="Z737" s="1" t="str">
        <f t="shared" si="211"/>
        <v/>
      </c>
      <c r="AA737" s="47"/>
      <c r="AB737" s="1" t="str">
        <f t="shared" si="212"/>
        <v/>
      </c>
      <c r="AC737" s="47"/>
      <c r="AD737" s="1" t="str">
        <f t="shared" si="213"/>
        <v/>
      </c>
      <c r="AE737" s="47"/>
      <c r="AF737" s="1" t="str">
        <f t="shared" si="214"/>
        <v/>
      </c>
      <c r="AG737" s="47"/>
    </row>
    <row r="738" spans="1:33">
      <c r="A738">
        <f t="shared" si="198"/>
        <v>0</v>
      </c>
      <c r="B738" s="2" t="str">
        <f t="shared" si="215"/>
        <v/>
      </c>
      <c r="C738" s="4" t="str">
        <f t="shared" si="199"/>
        <v/>
      </c>
      <c r="D738" s="3" t="str">
        <f t="shared" si="200"/>
        <v/>
      </c>
      <c r="E738" s="47"/>
      <c r="F738" s="3" t="str">
        <f t="shared" si="201"/>
        <v/>
      </c>
      <c r="G738" s="47"/>
      <c r="H738" s="3" t="str">
        <f t="shared" si="202"/>
        <v/>
      </c>
      <c r="I738" s="47"/>
      <c r="J738" s="3" t="str">
        <f t="shared" si="203"/>
        <v/>
      </c>
      <c r="K738" s="47"/>
      <c r="L738" s="3" t="str">
        <f t="shared" si="204"/>
        <v/>
      </c>
      <c r="M738" s="47"/>
      <c r="N738" s="3" t="str">
        <f t="shared" si="205"/>
        <v/>
      </c>
      <c r="O738" s="47"/>
      <c r="P738" s="3" t="str">
        <f t="shared" si="206"/>
        <v/>
      </c>
      <c r="Q738" s="47"/>
      <c r="R738" s="3" t="str">
        <f t="shared" si="207"/>
        <v/>
      </c>
      <c r="S738" s="47"/>
      <c r="T738" s="1" t="str">
        <f t="shared" si="208"/>
        <v/>
      </c>
      <c r="U738" s="47"/>
      <c r="V738" s="1" t="str">
        <f t="shared" si="209"/>
        <v/>
      </c>
      <c r="W738" s="47"/>
      <c r="X738" s="1" t="str">
        <f t="shared" si="210"/>
        <v/>
      </c>
      <c r="Y738" s="47"/>
      <c r="Z738" s="1" t="str">
        <f t="shared" si="211"/>
        <v/>
      </c>
      <c r="AA738" s="47"/>
      <c r="AB738" s="1" t="str">
        <f t="shared" si="212"/>
        <v/>
      </c>
      <c r="AC738" s="47"/>
      <c r="AD738" s="1" t="str">
        <f t="shared" si="213"/>
        <v/>
      </c>
      <c r="AE738" s="47"/>
      <c r="AF738" s="1" t="str">
        <f t="shared" si="214"/>
        <v/>
      </c>
      <c r="AG738" s="47"/>
    </row>
    <row r="739" spans="1:33">
      <c r="A739">
        <f t="shared" si="198"/>
        <v>0</v>
      </c>
      <c r="B739" s="2" t="str">
        <f t="shared" si="215"/>
        <v/>
      </c>
      <c r="C739" s="4" t="str">
        <f t="shared" si="199"/>
        <v/>
      </c>
      <c r="D739" s="3" t="str">
        <f t="shared" si="200"/>
        <v/>
      </c>
      <c r="E739" s="47"/>
      <c r="F739" s="3" t="str">
        <f t="shared" si="201"/>
        <v/>
      </c>
      <c r="G739" s="47"/>
      <c r="H739" s="3" t="str">
        <f t="shared" si="202"/>
        <v/>
      </c>
      <c r="I739" s="47"/>
      <c r="J739" s="3" t="str">
        <f t="shared" si="203"/>
        <v/>
      </c>
      <c r="K739" s="47"/>
      <c r="L739" s="3" t="str">
        <f t="shared" si="204"/>
        <v/>
      </c>
      <c r="M739" s="47"/>
      <c r="N739" s="3" t="str">
        <f t="shared" si="205"/>
        <v/>
      </c>
      <c r="O739" s="47"/>
      <c r="P739" s="3" t="str">
        <f t="shared" si="206"/>
        <v/>
      </c>
      <c r="Q739" s="47"/>
      <c r="R739" s="3" t="str">
        <f t="shared" si="207"/>
        <v/>
      </c>
      <c r="S739" s="47"/>
      <c r="T739" s="1" t="str">
        <f t="shared" si="208"/>
        <v/>
      </c>
      <c r="U739" s="47"/>
      <c r="V739" s="1" t="str">
        <f t="shared" si="209"/>
        <v/>
      </c>
      <c r="W739" s="47"/>
      <c r="X739" s="1" t="str">
        <f t="shared" si="210"/>
        <v/>
      </c>
      <c r="Y739" s="47"/>
      <c r="Z739" s="1" t="str">
        <f t="shared" si="211"/>
        <v/>
      </c>
      <c r="AA739" s="47"/>
      <c r="AB739" s="1" t="str">
        <f t="shared" si="212"/>
        <v/>
      </c>
      <c r="AC739" s="47"/>
      <c r="AD739" s="1" t="str">
        <f t="shared" si="213"/>
        <v/>
      </c>
      <c r="AE739" s="47"/>
      <c r="AF739" s="1" t="str">
        <f t="shared" si="214"/>
        <v/>
      </c>
      <c r="AG739" s="47"/>
    </row>
    <row r="740" spans="1:33">
      <c r="A740">
        <f t="shared" si="198"/>
        <v>0</v>
      </c>
      <c r="B740" s="2" t="str">
        <f t="shared" si="215"/>
        <v/>
      </c>
      <c r="C740" s="4" t="str">
        <f t="shared" si="199"/>
        <v/>
      </c>
      <c r="D740" s="3" t="str">
        <f t="shared" si="200"/>
        <v/>
      </c>
      <c r="E740" s="47"/>
      <c r="F740" s="3" t="str">
        <f t="shared" si="201"/>
        <v/>
      </c>
      <c r="G740" s="47"/>
      <c r="H740" s="3" t="str">
        <f t="shared" si="202"/>
        <v/>
      </c>
      <c r="I740" s="47"/>
      <c r="J740" s="3" t="str">
        <f t="shared" si="203"/>
        <v/>
      </c>
      <c r="K740" s="47"/>
      <c r="L740" s="3" t="str">
        <f t="shared" si="204"/>
        <v/>
      </c>
      <c r="M740" s="47"/>
      <c r="N740" s="3" t="str">
        <f t="shared" si="205"/>
        <v/>
      </c>
      <c r="O740" s="47"/>
      <c r="P740" s="3" t="str">
        <f t="shared" si="206"/>
        <v/>
      </c>
      <c r="Q740" s="47"/>
      <c r="R740" s="3" t="str">
        <f t="shared" si="207"/>
        <v/>
      </c>
      <c r="S740" s="47"/>
      <c r="T740" s="1" t="str">
        <f t="shared" si="208"/>
        <v/>
      </c>
      <c r="U740" s="47"/>
      <c r="V740" s="1" t="str">
        <f t="shared" si="209"/>
        <v/>
      </c>
      <c r="W740" s="47"/>
      <c r="X740" s="1" t="str">
        <f t="shared" si="210"/>
        <v/>
      </c>
      <c r="Y740" s="47"/>
      <c r="Z740" s="1" t="str">
        <f t="shared" si="211"/>
        <v/>
      </c>
      <c r="AA740" s="47"/>
      <c r="AB740" s="1" t="str">
        <f t="shared" si="212"/>
        <v/>
      </c>
      <c r="AC740" s="47"/>
      <c r="AD740" s="1" t="str">
        <f t="shared" si="213"/>
        <v/>
      </c>
      <c r="AE740" s="47"/>
      <c r="AF740" s="1" t="str">
        <f t="shared" si="214"/>
        <v/>
      </c>
      <c r="AG740" s="47"/>
    </row>
    <row r="741" spans="1:33">
      <c r="A741">
        <f t="shared" si="198"/>
        <v>0</v>
      </c>
      <c r="B741" s="2" t="str">
        <f t="shared" si="215"/>
        <v/>
      </c>
      <c r="C741" s="4" t="str">
        <f t="shared" si="199"/>
        <v/>
      </c>
      <c r="D741" s="3" t="str">
        <f t="shared" si="200"/>
        <v/>
      </c>
      <c r="E741" s="47"/>
      <c r="F741" s="3" t="str">
        <f t="shared" si="201"/>
        <v/>
      </c>
      <c r="G741" s="47"/>
      <c r="H741" s="3" t="str">
        <f t="shared" si="202"/>
        <v/>
      </c>
      <c r="I741" s="47"/>
      <c r="J741" s="3" t="str">
        <f t="shared" si="203"/>
        <v/>
      </c>
      <c r="K741" s="47"/>
      <c r="L741" s="3" t="str">
        <f t="shared" si="204"/>
        <v/>
      </c>
      <c r="M741" s="47"/>
      <c r="N741" s="3" t="str">
        <f t="shared" si="205"/>
        <v/>
      </c>
      <c r="O741" s="47"/>
      <c r="P741" s="3" t="str">
        <f t="shared" si="206"/>
        <v/>
      </c>
      <c r="Q741" s="47"/>
      <c r="R741" s="3" t="str">
        <f t="shared" si="207"/>
        <v/>
      </c>
      <c r="S741" s="47"/>
      <c r="T741" s="1" t="str">
        <f t="shared" si="208"/>
        <v/>
      </c>
      <c r="U741" s="47"/>
      <c r="V741" s="1" t="str">
        <f t="shared" si="209"/>
        <v/>
      </c>
      <c r="W741" s="47"/>
      <c r="X741" s="1" t="str">
        <f t="shared" si="210"/>
        <v/>
      </c>
      <c r="Y741" s="47"/>
      <c r="Z741" s="1" t="str">
        <f t="shared" si="211"/>
        <v/>
      </c>
      <c r="AA741" s="47"/>
      <c r="AB741" s="1" t="str">
        <f t="shared" si="212"/>
        <v/>
      </c>
      <c r="AC741" s="47"/>
      <c r="AD741" s="1" t="str">
        <f t="shared" si="213"/>
        <v/>
      </c>
      <c r="AE741" s="47"/>
      <c r="AF741" s="1" t="str">
        <f t="shared" si="214"/>
        <v/>
      </c>
      <c r="AG741" s="47"/>
    </row>
    <row r="742" spans="1:33">
      <c r="A742">
        <f t="shared" si="198"/>
        <v>0</v>
      </c>
      <c r="B742" s="2" t="str">
        <f t="shared" si="215"/>
        <v/>
      </c>
      <c r="C742" s="4" t="str">
        <f t="shared" si="199"/>
        <v/>
      </c>
      <c r="D742" s="3" t="str">
        <f t="shared" si="200"/>
        <v/>
      </c>
      <c r="E742" s="47"/>
      <c r="F742" s="3" t="str">
        <f t="shared" si="201"/>
        <v/>
      </c>
      <c r="G742" s="47"/>
      <c r="H742" s="3" t="str">
        <f t="shared" si="202"/>
        <v/>
      </c>
      <c r="I742" s="47"/>
      <c r="J742" s="3" t="str">
        <f t="shared" si="203"/>
        <v/>
      </c>
      <c r="K742" s="47"/>
      <c r="L742" s="3" t="str">
        <f t="shared" si="204"/>
        <v/>
      </c>
      <c r="M742" s="47"/>
      <c r="N742" s="3" t="str">
        <f t="shared" si="205"/>
        <v/>
      </c>
      <c r="O742" s="47"/>
      <c r="P742" s="3" t="str">
        <f t="shared" si="206"/>
        <v/>
      </c>
      <c r="Q742" s="47"/>
      <c r="R742" s="3" t="str">
        <f t="shared" si="207"/>
        <v/>
      </c>
      <c r="S742" s="47"/>
      <c r="T742" s="1" t="str">
        <f t="shared" si="208"/>
        <v/>
      </c>
      <c r="U742" s="47"/>
      <c r="V742" s="1" t="str">
        <f t="shared" si="209"/>
        <v/>
      </c>
      <c r="W742" s="47"/>
      <c r="X742" s="1" t="str">
        <f t="shared" si="210"/>
        <v/>
      </c>
      <c r="Y742" s="47"/>
      <c r="Z742" s="1" t="str">
        <f t="shared" si="211"/>
        <v/>
      </c>
      <c r="AA742" s="47"/>
      <c r="AB742" s="1" t="str">
        <f t="shared" si="212"/>
        <v/>
      </c>
      <c r="AC742" s="47"/>
      <c r="AD742" s="1" t="str">
        <f t="shared" si="213"/>
        <v/>
      </c>
      <c r="AE742" s="47"/>
      <c r="AF742" s="1" t="str">
        <f t="shared" si="214"/>
        <v/>
      </c>
      <c r="AG742" s="47"/>
    </row>
    <row r="743" spans="1:33">
      <c r="A743">
        <f t="shared" si="198"/>
        <v>0</v>
      </c>
      <c r="B743" s="2" t="str">
        <f t="shared" si="215"/>
        <v/>
      </c>
      <c r="C743" s="4" t="str">
        <f t="shared" si="199"/>
        <v/>
      </c>
      <c r="D743" s="3" t="str">
        <f t="shared" si="200"/>
        <v/>
      </c>
      <c r="E743" s="47"/>
      <c r="F743" s="3" t="str">
        <f t="shared" si="201"/>
        <v/>
      </c>
      <c r="G743" s="47"/>
      <c r="H743" s="3" t="str">
        <f t="shared" si="202"/>
        <v/>
      </c>
      <c r="I743" s="47"/>
      <c r="J743" s="3" t="str">
        <f t="shared" si="203"/>
        <v/>
      </c>
      <c r="K743" s="47"/>
      <c r="L743" s="3" t="str">
        <f t="shared" si="204"/>
        <v/>
      </c>
      <c r="M743" s="47"/>
      <c r="N743" s="3" t="str">
        <f t="shared" si="205"/>
        <v/>
      </c>
      <c r="O743" s="47"/>
      <c r="P743" s="3" t="str">
        <f t="shared" si="206"/>
        <v/>
      </c>
      <c r="Q743" s="47"/>
      <c r="R743" s="3" t="str">
        <f t="shared" si="207"/>
        <v/>
      </c>
      <c r="S743" s="47"/>
      <c r="T743" s="1" t="str">
        <f t="shared" si="208"/>
        <v/>
      </c>
      <c r="U743" s="47"/>
      <c r="V743" s="1" t="str">
        <f t="shared" si="209"/>
        <v/>
      </c>
      <c r="W743" s="47"/>
      <c r="X743" s="1" t="str">
        <f t="shared" si="210"/>
        <v/>
      </c>
      <c r="Y743" s="47"/>
      <c r="Z743" s="1" t="str">
        <f t="shared" si="211"/>
        <v/>
      </c>
      <c r="AA743" s="47"/>
      <c r="AB743" s="1" t="str">
        <f t="shared" si="212"/>
        <v/>
      </c>
      <c r="AC743" s="47"/>
      <c r="AD743" s="1" t="str">
        <f t="shared" si="213"/>
        <v/>
      </c>
      <c r="AE743" s="47"/>
      <c r="AF743" s="1" t="str">
        <f t="shared" si="214"/>
        <v/>
      </c>
      <c r="AG743" s="47"/>
    </row>
    <row r="744" spans="1:33">
      <c r="A744">
        <f t="shared" si="198"/>
        <v>0</v>
      </c>
      <c r="B744" s="2" t="str">
        <f t="shared" si="215"/>
        <v/>
      </c>
      <c r="C744" s="4" t="str">
        <f t="shared" si="199"/>
        <v/>
      </c>
      <c r="D744" s="3" t="str">
        <f t="shared" si="200"/>
        <v/>
      </c>
      <c r="E744" s="47"/>
      <c r="F744" s="3" t="str">
        <f t="shared" si="201"/>
        <v/>
      </c>
      <c r="G744" s="47"/>
      <c r="H744" s="3" t="str">
        <f t="shared" si="202"/>
        <v/>
      </c>
      <c r="I744" s="47"/>
      <c r="J744" s="3" t="str">
        <f t="shared" si="203"/>
        <v/>
      </c>
      <c r="K744" s="47"/>
      <c r="L744" s="3" t="str">
        <f t="shared" si="204"/>
        <v/>
      </c>
      <c r="M744" s="47"/>
      <c r="N744" s="3" t="str">
        <f t="shared" si="205"/>
        <v/>
      </c>
      <c r="O744" s="47"/>
      <c r="P744" s="3" t="str">
        <f t="shared" si="206"/>
        <v/>
      </c>
      <c r="Q744" s="47"/>
      <c r="R744" s="3" t="str">
        <f t="shared" si="207"/>
        <v/>
      </c>
      <c r="S744" s="47"/>
      <c r="T744" s="1" t="str">
        <f t="shared" si="208"/>
        <v/>
      </c>
      <c r="U744" s="47"/>
      <c r="V744" s="1" t="str">
        <f t="shared" si="209"/>
        <v/>
      </c>
      <c r="W744" s="47"/>
      <c r="X744" s="1" t="str">
        <f t="shared" si="210"/>
        <v/>
      </c>
      <c r="Y744" s="47"/>
      <c r="Z744" s="1" t="str">
        <f t="shared" si="211"/>
        <v/>
      </c>
      <c r="AA744" s="47"/>
      <c r="AB744" s="1" t="str">
        <f t="shared" si="212"/>
        <v/>
      </c>
      <c r="AC744" s="47"/>
      <c r="AD744" s="1" t="str">
        <f t="shared" si="213"/>
        <v/>
      </c>
      <c r="AE744" s="47"/>
      <c r="AF744" s="1" t="str">
        <f t="shared" si="214"/>
        <v/>
      </c>
      <c r="AG744" s="47"/>
    </row>
    <row r="745" spans="1:33">
      <c r="A745">
        <f t="shared" si="198"/>
        <v>0</v>
      </c>
      <c r="B745" s="2" t="str">
        <f t="shared" si="215"/>
        <v/>
      </c>
      <c r="C745" s="4" t="str">
        <f t="shared" si="199"/>
        <v/>
      </c>
      <c r="D745" s="3" t="str">
        <f t="shared" si="200"/>
        <v/>
      </c>
      <c r="E745" s="47"/>
      <c r="F745" s="3" t="str">
        <f t="shared" si="201"/>
        <v/>
      </c>
      <c r="G745" s="47"/>
      <c r="H745" s="3" t="str">
        <f t="shared" si="202"/>
        <v/>
      </c>
      <c r="I745" s="47"/>
      <c r="J745" s="3" t="str">
        <f t="shared" si="203"/>
        <v/>
      </c>
      <c r="K745" s="47"/>
      <c r="L745" s="3" t="str">
        <f t="shared" si="204"/>
        <v/>
      </c>
      <c r="M745" s="47"/>
      <c r="N745" s="3" t="str">
        <f t="shared" si="205"/>
        <v/>
      </c>
      <c r="O745" s="47"/>
      <c r="P745" s="3" t="str">
        <f t="shared" si="206"/>
        <v/>
      </c>
      <c r="Q745" s="47"/>
      <c r="R745" s="3" t="str">
        <f t="shared" si="207"/>
        <v/>
      </c>
      <c r="S745" s="47"/>
      <c r="T745" s="1" t="str">
        <f t="shared" si="208"/>
        <v/>
      </c>
      <c r="U745" s="47"/>
      <c r="V745" s="1" t="str">
        <f t="shared" si="209"/>
        <v/>
      </c>
      <c r="W745" s="47"/>
      <c r="X745" s="1" t="str">
        <f t="shared" si="210"/>
        <v/>
      </c>
      <c r="Y745" s="47"/>
      <c r="Z745" s="1" t="str">
        <f t="shared" si="211"/>
        <v/>
      </c>
      <c r="AA745" s="47"/>
      <c r="AB745" s="1" t="str">
        <f t="shared" si="212"/>
        <v/>
      </c>
      <c r="AC745" s="47"/>
      <c r="AD745" s="1" t="str">
        <f t="shared" si="213"/>
        <v/>
      </c>
      <c r="AE745" s="47"/>
      <c r="AF745" s="1" t="str">
        <f t="shared" si="214"/>
        <v/>
      </c>
      <c r="AG745" s="47"/>
    </row>
    <row r="746" spans="1:33">
      <c r="A746">
        <f t="shared" si="198"/>
        <v>0</v>
      </c>
      <c r="B746" s="2" t="str">
        <f t="shared" si="215"/>
        <v/>
      </c>
      <c r="C746" s="4" t="str">
        <f t="shared" si="199"/>
        <v/>
      </c>
      <c r="D746" s="3" t="str">
        <f t="shared" si="200"/>
        <v/>
      </c>
      <c r="E746" s="47"/>
      <c r="F746" s="3" t="str">
        <f t="shared" si="201"/>
        <v/>
      </c>
      <c r="G746" s="47"/>
      <c r="H746" s="3" t="str">
        <f t="shared" si="202"/>
        <v/>
      </c>
      <c r="I746" s="47"/>
      <c r="J746" s="3" t="str">
        <f t="shared" si="203"/>
        <v/>
      </c>
      <c r="K746" s="47"/>
      <c r="L746" s="3" t="str">
        <f t="shared" si="204"/>
        <v/>
      </c>
      <c r="M746" s="47"/>
      <c r="N746" s="3" t="str">
        <f t="shared" si="205"/>
        <v/>
      </c>
      <c r="O746" s="47"/>
      <c r="P746" s="3" t="str">
        <f t="shared" si="206"/>
        <v/>
      </c>
      <c r="Q746" s="47"/>
      <c r="R746" s="3" t="str">
        <f t="shared" si="207"/>
        <v/>
      </c>
      <c r="S746" s="47"/>
      <c r="T746" s="1" t="str">
        <f t="shared" si="208"/>
        <v/>
      </c>
      <c r="U746" s="47"/>
      <c r="V746" s="1" t="str">
        <f t="shared" si="209"/>
        <v/>
      </c>
      <c r="W746" s="47"/>
      <c r="X746" s="1" t="str">
        <f t="shared" si="210"/>
        <v/>
      </c>
      <c r="Y746" s="47"/>
      <c r="Z746" s="1" t="str">
        <f t="shared" si="211"/>
        <v/>
      </c>
      <c r="AA746" s="47"/>
      <c r="AB746" s="1" t="str">
        <f t="shared" si="212"/>
        <v/>
      </c>
      <c r="AC746" s="47"/>
      <c r="AD746" s="1" t="str">
        <f t="shared" si="213"/>
        <v/>
      </c>
      <c r="AE746" s="47"/>
      <c r="AF746" s="1" t="str">
        <f t="shared" si="214"/>
        <v/>
      </c>
      <c r="AG746" s="47"/>
    </row>
    <row r="747" spans="1:33">
      <c r="A747">
        <f t="shared" si="198"/>
        <v>0</v>
      </c>
      <c r="B747" s="2" t="str">
        <f t="shared" si="215"/>
        <v/>
      </c>
      <c r="C747" s="4" t="str">
        <f t="shared" si="199"/>
        <v/>
      </c>
      <c r="D747" s="3" t="str">
        <f t="shared" si="200"/>
        <v/>
      </c>
      <c r="E747" s="47"/>
      <c r="F747" s="3" t="str">
        <f t="shared" si="201"/>
        <v/>
      </c>
      <c r="G747" s="47"/>
      <c r="H747" s="3" t="str">
        <f t="shared" si="202"/>
        <v/>
      </c>
      <c r="I747" s="47"/>
      <c r="J747" s="3" t="str">
        <f t="shared" si="203"/>
        <v/>
      </c>
      <c r="K747" s="47"/>
      <c r="L747" s="3" t="str">
        <f t="shared" si="204"/>
        <v/>
      </c>
      <c r="M747" s="47"/>
      <c r="N747" s="3" t="str">
        <f t="shared" si="205"/>
        <v/>
      </c>
      <c r="O747" s="47"/>
      <c r="P747" s="3" t="str">
        <f t="shared" si="206"/>
        <v/>
      </c>
      <c r="Q747" s="47"/>
      <c r="R747" s="3" t="str">
        <f t="shared" si="207"/>
        <v/>
      </c>
      <c r="S747" s="47"/>
      <c r="T747" s="1" t="str">
        <f t="shared" si="208"/>
        <v/>
      </c>
      <c r="U747" s="47"/>
      <c r="V747" s="1" t="str">
        <f t="shared" si="209"/>
        <v/>
      </c>
      <c r="W747" s="47"/>
      <c r="X747" s="1" t="str">
        <f t="shared" si="210"/>
        <v/>
      </c>
      <c r="Y747" s="47"/>
      <c r="Z747" s="1" t="str">
        <f t="shared" si="211"/>
        <v/>
      </c>
      <c r="AA747" s="47"/>
      <c r="AB747" s="1" t="str">
        <f t="shared" si="212"/>
        <v/>
      </c>
      <c r="AC747" s="47"/>
      <c r="AD747" s="1" t="str">
        <f t="shared" si="213"/>
        <v/>
      </c>
      <c r="AE747" s="47"/>
      <c r="AF747" s="1" t="str">
        <f t="shared" si="214"/>
        <v/>
      </c>
      <c r="AG747" s="47"/>
    </row>
    <row r="748" spans="1:33">
      <c r="A748">
        <f t="shared" si="198"/>
        <v>0</v>
      </c>
      <c r="B748" s="2" t="str">
        <f t="shared" si="215"/>
        <v/>
      </c>
      <c r="C748" s="4" t="str">
        <f t="shared" si="199"/>
        <v/>
      </c>
      <c r="D748" s="3" t="str">
        <f t="shared" si="200"/>
        <v/>
      </c>
      <c r="E748" s="47"/>
      <c r="F748" s="3" t="str">
        <f t="shared" si="201"/>
        <v/>
      </c>
      <c r="G748" s="47"/>
      <c r="H748" s="3" t="str">
        <f t="shared" si="202"/>
        <v/>
      </c>
      <c r="I748" s="47"/>
      <c r="J748" s="3" t="str">
        <f t="shared" si="203"/>
        <v/>
      </c>
      <c r="K748" s="47"/>
      <c r="L748" s="3" t="str">
        <f t="shared" si="204"/>
        <v/>
      </c>
      <c r="M748" s="47"/>
      <c r="N748" s="3" t="str">
        <f t="shared" si="205"/>
        <v/>
      </c>
      <c r="O748" s="47"/>
      <c r="P748" s="3" t="str">
        <f t="shared" si="206"/>
        <v/>
      </c>
      <c r="Q748" s="47"/>
      <c r="R748" s="3" t="str">
        <f t="shared" si="207"/>
        <v/>
      </c>
      <c r="S748" s="47"/>
      <c r="T748" s="1" t="str">
        <f t="shared" si="208"/>
        <v/>
      </c>
      <c r="U748" s="47"/>
      <c r="V748" s="1" t="str">
        <f t="shared" si="209"/>
        <v/>
      </c>
      <c r="W748" s="47"/>
      <c r="X748" s="1" t="str">
        <f t="shared" si="210"/>
        <v/>
      </c>
      <c r="Y748" s="47"/>
      <c r="Z748" s="1" t="str">
        <f t="shared" si="211"/>
        <v/>
      </c>
      <c r="AA748" s="47"/>
      <c r="AB748" s="1" t="str">
        <f t="shared" si="212"/>
        <v/>
      </c>
      <c r="AC748" s="47"/>
      <c r="AD748" s="1" t="str">
        <f t="shared" si="213"/>
        <v/>
      </c>
      <c r="AE748" s="47"/>
      <c r="AF748" s="1" t="str">
        <f t="shared" si="214"/>
        <v/>
      </c>
      <c r="AG748" s="47"/>
    </row>
    <row r="749" spans="1:33">
      <c r="A749">
        <f t="shared" si="198"/>
        <v>0</v>
      </c>
      <c r="B749" s="2" t="str">
        <f t="shared" si="215"/>
        <v/>
      </c>
      <c r="C749" s="4" t="str">
        <f t="shared" si="199"/>
        <v/>
      </c>
      <c r="D749" s="3" t="str">
        <f t="shared" si="200"/>
        <v/>
      </c>
      <c r="E749" s="47"/>
      <c r="F749" s="3" t="str">
        <f t="shared" si="201"/>
        <v/>
      </c>
      <c r="G749" s="47"/>
      <c r="H749" s="3" t="str">
        <f t="shared" si="202"/>
        <v/>
      </c>
      <c r="I749" s="47"/>
      <c r="J749" s="3" t="str">
        <f t="shared" si="203"/>
        <v/>
      </c>
      <c r="K749" s="47"/>
      <c r="L749" s="3" t="str">
        <f t="shared" si="204"/>
        <v/>
      </c>
      <c r="M749" s="47"/>
      <c r="N749" s="3" t="str">
        <f t="shared" si="205"/>
        <v/>
      </c>
      <c r="O749" s="47"/>
      <c r="P749" s="3" t="str">
        <f t="shared" si="206"/>
        <v/>
      </c>
      <c r="Q749" s="47"/>
      <c r="R749" s="3" t="str">
        <f t="shared" si="207"/>
        <v/>
      </c>
      <c r="S749" s="47"/>
      <c r="T749" s="1" t="str">
        <f t="shared" si="208"/>
        <v/>
      </c>
      <c r="U749" s="47"/>
      <c r="V749" s="1" t="str">
        <f t="shared" si="209"/>
        <v/>
      </c>
      <c r="W749" s="47"/>
      <c r="X749" s="1" t="str">
        <f t="shared" si="210"/>
        <v/>
      </c>
      <c r="Y749" s="47"/>
      <c r="Z749" s="1" t="str">
        <f t="shared" si="211"/>
        <v/>
      </c>
      <c r="AA749" s="47"/>
      <c r="AB749" s="1" t="str">
        <f t="shared" si="212"/>
        <v/>
      </c>
      <c r="AC749" s="47"/>
      <c r="AD749" s="1" t="str">
        <f t="shared" si="213"/>
        <v/>
      </c>
      <c r="AE749" s="47"/>
      <c r="AF749" s="1" t="str">
        <f t="shared" si="214"/>
        <v/>
      </c>
      <c r="AG749" s="47"/>
    </row>
    <row r="750" spans="1:33">
      <c r="A750">
        <f t="shared" si="198"/>
        <v>0</v>
      </c>
      <c r="B750" s="2" t="str">
        <f t="shared" si="215"/>
        <v/>
      </c>
      <c r="C750" s="4" t="str">
        <f t="shared" si="199"/>
        <v/>
      </c>
      <c r="D750" s="3" t="str">
        <f t="shared" si="200"/>
        <v/>
      </c>
      <c r="E750" s="47"/>
      <c r="F750" s="3" t="str">
        <f t="shared" si="201"/>
        <v/>
      </c>
      <c r="G750" s="47"/>
      <c r="H750" s="3" t="str">
        <f t="shared" si="202"/>
        <v/>
      </c>
      <c r="I750" s="47"/>
      <c r="J750" s="3" t="str">
        <f t="shared" si="203"/>
        <v/>
      </c>
      <c r="K750" s="47"/>
      <c r="L750" s="3" t="str">
        <f t="shared" si="204"/>
        <v/>
      </c>
      <c r="M750" s="47"/>
      <c r="N750" s="3" t="str">
        <f t="shared" si="205"/>
        <v/>
      </c>
      <c r="O750" s="47"/>
      <c r="P750" s="3" t="str">
        <f t="shared" si="206"/>
        <v/>
      </c>
      <c r="Q750" s="47"/>
      <c r="R750" s="3" t="str">
        <f t="shared" si="207"/>
        <v/>
      </c>
      <c r="S750" s="47"/>
      <c r="T750" s="1" t="str">
        <f t="shared" si="208"/>
        <v/>
      </c>
      <c r="U750" s="47"/>
      <c r="V750" s="1" t="str">
        <f t="shared" si="209"/>
        <v/>
      </c>
      <c r="W750" s="47"/>
      <c r="X750" s="1" t="str">
        <f t="shared" si="210"/>
        <v/>
      </c>
      <c r="Y750" s="47"/>
      <c r="Z750" s="1" t="str">
        <f t="shared" si="211"/>
        <v/>
      </c>
      <c r="AA750" s="47"/>
      <c r="AB750" s="1" t="str">
        <f t="shared" si="212"/>
        <v/>
      </c>
      <c r="AC750" s="47"/>
      <c r="AD750" s="1" t="str">
        <f t="shared" si="213"/>
        <v/>
      </c>
      <c r="AE750" s="47"/>
      <c r="AF750" s="1" t="str">
        <f t="shared" si="214"/>
        <v/>
      </c>
      <c r="AG750" s="47"/>
    </row>
    <row r="751" spans="1:33">
      <c r="A751">
        <f t="shared" si="198"/>
        <v>0</v>
      </c>
      <c r="B751" s="2" t="str">
        <f t="shared" si="215"/>
        <v/>
      </c>
      <c r="C751" s="4" t="str">
        <f t="shared" si="199"/>
        <v/>
      </c>
      <c r="D751" s="3" t="str">
        <f t="shared" si="200"/>
        <v/>
      </c>
      <c r="E751" s="47"/>
      <c r="F751" s="3" t="str">
        <f t="shared" si="201"/>
        <v/>
      </c>
      <c r="G751" s="47"/>
      <c r="H751" s="3" t="str">
        <f t="shared" si="202"/>
        <v/>
      </c>
      <c r="I751" s="47"/>
      <c r="J751" s="3" t="str">
        <f t="shared" si="203"/>
        <v/>
      </c>
      <c r="K751" s="47"/>
      <c r="L751" s="3" t="str">
        <f t="shared" si="204"/>
        <v/>
      </c>
      <c r="M751" s="47"/>
      <c r="N751" s="3" t="str">
        <f t="shared" si="205"/>
        <v/>
      </c>
      <c r="O751" s="47"/>
      <c r="P751" s="3" t="str">
        <f t="shared" si="206"/>
        <v/>
      </c>
      <c r="Q751" s="47"/>
      <c r="R751" s="3" t="str">
        <f t="shared" si="207"/>
        <v/>
      </c>
      <c r="S751" s="47"/>
      <c r="T751" s="1" t="str">
        <f t="shared" si="208"/>
        <v/>
      </c>
      <c r="U751" s="47"/>
      <c r="V751" s="1" t="str">
        <f t="shared" si="209"/>
        <v/>
      </c>
      <c r="W751" s="47"/>
      <c r="X751" s="1" t="str">
        <f t="shared" si="210"/>
        <v/>
      </c>
      <c r="Y751" s="47"/>
      <c r="Z751" s="1" t="str">
        <f t="shared" si="211"/>
        <v/>
      </c>
      <c r="AA751" s="47"/>
      <c r="AB751" s="1" t="str">
        <f t="shared" si="212"/>
        <v/>
      </c>
      <c r="AC751" s="47"/>
      <c r="AD751" s="1" t="str">
        <f t="shared" si="213"/>
        <v/>
      </c>
      <c r="AE751" s="47"/>
      <c r="AF751" s="1" t="str">
        <f t="shared" si="214"/>
        <v/>
      </c>
      <c r="AG751" s="47"/>
    </row>
    <row r="752" spans="1:33">
      <c r="A752">
        <f t="shared" si="198"/>
        <v>0</v>
      </c>
      <c r="B752" s="2" t="str">
        <f t="shared" si="215"/>
        <v/>
      </c>
      <c r="C752" s="4" t="str">
        <f t="shared" si="199"/>
        <v/>
      </c>
      <c r="D752" s="3" t="str">
        <f t="shared" si="200"/>
        <v/>
      </c>
      <c r="E752" s="47"/>
      <c r="F752" s="3" t="str">
        <f t="shared" si="201"/>
        <v/>
      </c>
      <c r="G752" s="47"/>
      <c r="H752" s="3" t="str">
        <f t="shared" si="202"/>
        <v/>
      </c>
      <c r="I752" s="47"/>
      <c r="J752" s="3" t="str">
        <f t="shared" si="203"/>
        <v/>
      </c>
      <c r="K752" s="47"/>
      <c r="L752" s="3" t="str">
        <f t="shared" si="204"/>
        <v/>
      </c>
      <c r="M752" s="47"/>
      <c r="N752" s="3" t="str">
        <f t="shared" si="205"/>
        <v/>
      </c>
      <c r="O752" s="47"/>
      <c r="P752" s="3" t="str">
        <f t="shared" si="206"/>
        <v/>
      </c>
      <c r="Q752" s="47"/>
      <c r="R752" s="3" t="str">
        <f t="shared" si="207"/>
        <v/>
      </c>
      <c r="S752" s="47"/>
      <c r="T752" s="1" t="str">
        <f t="shared" si="208"/>
        <v/>
      </c>
      <c r="U752" s="47"/>
      <c r="V752" s="1" t="str">
        <f t="shared" si="209"/>
        <v/>
      </c>
      <c r="W752" s="47"/>
      <c r="X752" s="1" t="str">
        <f t="shared" si="210"/>
        <v/>
      </c>
      <c r="Y752" s="47"/>
      <c r="Z752" s="1" t="str">
        <f t="shared" si="211"/>
        <v/>
      </c>
      <c r="AA752" s="47"/>
      <c r="AB752" s="1" t="str">
        <f t="shared" si="212"/>
        <v/>
      </c>
      <c r="AC752" s="47"/>
      <c r="AD752" s="1" t="str">
        <f t="shared" si="213"/>
        <v/>
      </c>
      <c r="AE752" s="47"/>
      <c r="AF752" s="1" t="str">
        <f t="shared" si="214"/>
        <v/>
      </c>
      <c r="AG752" s="47"/>
    </row>
    <row r="753" spans="1:33">
      <c r="A753">
        <f t="shared" si="198"/>
        <v>0</v>
      </c>
      <c r="B753" s="2" t="str">
        <f t="shared" si="215"/>
        <v/>
      </c>
      <c r="C753" s="4" t="str">
        <f t="shared" si="199"/>
        <v/>
      </c>
      <c r="D753" s="3" t="str">
        <f t="shared" si="200"/>
        <v/>
      </c>
      <c r="E753" s="47"/>
      <c r="F753" s="3" t="str">
        <f t="shared" si="201"/>
        <v/>
      </c>
      <c r="G753" s="47"/>
      <c r="H753" s="3" t="str">
        <f t="shared" si="202"/>
        <v/>
      </c>
      <c r="I753" s="47"/>
      <c r="J753" s="3" t="str">
        <f t="shared" si="203"/>
        <v/>
      </c>
      <c r="K753" s="47"/>
      <c r="L753" s="3" t="str">
        <f t="shared" si="204"/>
        <v/>
      </c>
      <c r="M753" s="47"/>
      <c r="N753" s="3" t="str">
        <f t="shared" si="205"/>
        <v/>
      </c>
      <c r="O753" s="47"/>
      <c r="P753" s="3" t="str">
        <f t="shared" si="206"/>
        <v/>
      </c>
      <c r="Q753" s="47"/>
      <c r="R753" s="3" t="str">
        <f t="shared" si="207"/>
        <v/>
      </c>
      <c r="S753" s="47"/>
      <c r="T753" s="1" t="str">
        <f t="shared" si="208"/>
        <v/>
      </c>
      <c r="U753" s="47"/>
      <c r="V753" s="1" t="str">
        <f t="shared" si="209"/>
        <v/>
      </c>
      <c r="W753" s="47"/>
      <c r="X753" s="1" t="str">
        <f t="shared" si="210"/>
        <v/>
      </c>
      <c r="Y753" s="47"/>
      <c r="Z753" s="1" t="str">
        <f t="shared" si="211"/>
        <v/>
      </c>
      <c r="AA753" s="47"/>
      <c r="AB753" s="1" t="str">
        <f t="shared" si="212"/>
        <v/>
      </c>
      <c r="AC753" s="47"/>
      <c r="AD753" s="1" t="str">
        <f t="shared" si="213"/>
        <v/>
      </c>
      <c r="AE753" s="47"/>
      <c r="AF753" s="1" t="str">
        <f t="shared" si="214"/>
        <v/>
      </c>
      <c r="AG753" s="47"/>
    </row>
    <row r="754" spans="1:33">
      <c r="A754">
        <f t="shared" si="198"/>
        <v>0</v>
      </c>
      <c r="B754" s="2" t="str">
        <f t="shared" si="215"/>
        <v/>
      </c>
      <c r="C754" s="4" t="str">
        <f t="shared" si="199"/>
        <v/>
      </c>
      <c r="D754" s="3" t="str">
        <f t="shared" si="200"/>
        <v/>
      </c>
      <c r="E754" s="47"/>
      <c r="F754" s="3" t="str">
        <f t="shared" si="201"/>
        <v/>
      </c>
      <c r="G754" s="47"/>
      <c r="H754" s="3" t="str">
        <f t="shared" si="202"/>
        <v/>
      </c>
      <c r="I754" s="47"/>
      <c r="J754" s="3" t="str">
        <f t="shared" si="203"/>
        <v/>
      </c>
      <c r="K754" s="47"/>
      <c r="L754" s="3" t="str">
        <f t="shared" si="204"/>
        <v/>
      </c>
      <c r="M754" s="47"/>
      <c r="N754" s="3" t="str">
        <f t="shared" si="205"/>
        <v/>
      </c>
      <c r="O754" s="47"/>
      <c r="P754" s="3" t="str">
        <f t="shared" si="206"/>
        <v/>
      </c>
      <c r="Q754" s="47"/>
      <c r="R754" s="3" t="str">
        <f t="shared" si="207"/>
        <v/>
      </c>
      <c r="S754" s="47"/>
      <c r="T754" s="1" t="str">
        <f t="shared" si="208"/>
        <v/>
      </c>
      <c r="U754" s="47"/>
      <c r="V754" s="1" t="str">
        <f t="shared" si="209"/>
        <v/>
      </c>
      <c r="W754" s="47"/>
      <c r="X754" s="1" t="str">
        <f t="shared" si="210"/>
        <v/>
      </c>
      <c r="Y754" s="47"/>
      <c r="Z754" s="1" t="str">
        <f t="shared" si="211"/>
        <v/>
      </c>
      <c r="AA754" s="47"/>
      <c r="AB754" s="1" t="str">
        <f t="shared" si="212"/>
        <v/>
      </c>
      <c r="AC754" s="47"/>
      <c r="AD754" s="1" t="str">
        <f t="shared" si="213"/>
        <v/>
      </c>
      <c r="AE754" s="47"/>
      <c r="AF754" s="1" t="str">
        <f t="shared" si="214"/>
        <v/>
      </c>
      <c r="AG754" s="47"/>
    </row>
    <row r="755" spans="1:33">
      <c r="A755">
        <f t="shared" si="198"/>
        <v>0</v>
      </c>
      <c r="B755" s="2" t="str">
        <f t="shared" si="215"/>
        <v/>
      </c>
      <c r="C755" s="4" t="str">
        <f t="shared" si="199"/>
        <v/>
      </c>
      <c r="D755" s="3" t="str">
        <f t="shared" si="200"/>
        <v/>
      </c>
      <c r="E755" s="47"/>
      <c r="F755" s="3" t="str">
        <f t="shared" si="201"/>
        <v/>
      </c>
      <c r="G755" s="47"/>
      <c r="H755" s="3" t="str">
        <f t="shared" si="202"/>
        <v/>
      </c>
      <c r="I755" s="47"/>
      <c r="J755" s="3" t="str">
        <f t="shared" si="203"/>
        <v/>
      </c>
      <c r="K755" s="47"/>
      <c r="L755" s="3" t="str">
        <f t="shared" si="204"/>
        <v/>
      </c>
      <c r="M755" s="47"/>
      <c r="N755" s="3" t="str">
        <f t="shared" si="205"/>
        <v/>
      </c>
      <c r="O755" s="47"/>
      <c r="P755" s="3" t="str">
        <f t="shared" si="206"/>
        <v/>
      </c>
      <c r="Q755" s="47"/>
      <c r="R755" s="3" t="str">
        <f t="shared" si="207"/>
        <v/>
      </c>
      <c r="S755" s="47"/>
      <c r="T755" s="1" t="str">
        <f t="shared" si="208"/>
        <v/>
      </c>
      <c r="U755" s="47"/>
      <c r="V755" s="1" t="str">
        <f t="shared" si="209"/>
        <v/>
      </c>
      <c r="W755" s="47"/>
      <c r="X755" s="1" t="str">
        <f t="shared" si="210"/>
        <v/>
      </c>
      <c r="Y755" s="47"/>
      <c r="Z755" s="1" t="str">
        <f t="shared" si="211"/>
        <v/>
      </c>
      <c r="AA755" s="47"/>
      <c r="AB755" s="1" t="str">
        <f t="shared" si="212"/>
        <v/>
      </c>
      <c r="AC755" s="47"/>
      <c r="AD755" s="1" t="str">
        <f t="shared" si="213"/>
        <v/>
      </c>
      <c r="AE755" s="47"/>
      <c r="AF755" s="1" t="str">
        <f t="shared" si="214"/>
        <v/>
      </c>
      <c r="AG755" s="47"/>
    </row>
    <row r="756" spans="1:33">
      <c r="A756">
        <f t="shared" si="198"/>
        <v>0</v>
      </c>
      <c r="B756" s="2" t="str">
        <f t="shared" si="215"/>
        <v/>
      </c>
      <c r="C756" s="4" t="str">
        <f t="shared" si="199"/>
        <v/>
      </c>
      <c r="D756" s="3" t="str">
        <f t="shared" si="200"/>
        <v/>
      </c>
      <c r="E756" s="47"/>
      <c r="F756" s="3" t="str">
        <f t="shared" si="201"/>
        <v/>
      </c>
      <c r="G756" s="47"/>
      <c r="H756" s="3" t="str">
        <f t="shared" si="202"/>
        <v/>
      </c>
      <c r="I756" s="47"/>
      <c r="J756" s="3" t="str">
        <f t="shared" si="203"/>
        <v/>
      </c>
      <c r="K756" s="47"/>
      <c r="L756" s="3" t="str">
        <f t="shared" si="204"/>
        <v/>
      </c>
      <c r="M756" s="47"/>
      <c r="N756" s="3" t="str">
        <f t="shared" si="205"/>
        <v/>
      </c>
      <c r="O756" s="47"/>
      <c r="P756" s="3" t="str">
        <f t="shared" si="206"/>
        <v/>
      </c>
      <c r="Q756" s="47"/>
      <c r="R756" s="3" t="str">
        <f t="shared" si="207"/>
        <v/>
      </c>
      <c r="S756" s="47"/>
      <c r="T756" s="1" t="str">
        <f t="shared" si="208"/>
        <v/>
      </c>
      <c r="U756" s="47"/>
      <c r="V756" s="1" t="str">
        <f t="shared" si="209"/>
        <v/>
      </c>
      <c r="W756" s="47"/>
      <c r="X756" s="1" t="str">
        <f t="shared" si="210"/>
        <v/>
      </c>
      <c r="Y756" s="47"/>
      <c r="Z756" s="1" t="str">
        <f t="shared" si="211"/>
        <v/>
      </c>
      <c r="AA756" s="47"/>
      <c r="AB756" s="1" t="str">
        <f t="shared" si="212"/>
        <v/>
      </c>
      <c r="AC756" s="47"/>
      <c r="AD756" s="1" t="str">
        <f t="shared" si="213"/>
        <v/>
      </c>
      <c r="AE756" s="47"/>
      <c r="AF756" s="1" t="str">
        <f t="shared" si="214"/>
        <v/>
      </c>
      <c r="AG756" s="47"/>
    </row>
    <row r="757" spans="1:33">
      <c r="A757">
        <f t="shared" si="198"/>
        <v>0</v>
      </c>
      <c r="B757" s="2" t="str">
        <f t="shared" si="215"/>
        <v/>
      </c>
      <c r="C757" s="4" t="str">
        <f t="shared" si="199"/>
        <v/>
      </c>
      <c r="D757" s="3" t="str">
        <f t="shared" si="200"/>
        <v/>
      </c>
      <c r="E757" s="47"/>
      <c r="F757" s="3" t="str">
        <f t="shared" si="201"/>
        <v/>
      </c>
      <c r="G757" s="47"/>
      <c r="H757" s="3" t="str">
        <f t="shared" si="202"/>
        <v/>
      </c>
      <c r="I757" s="47"/>
      <c r="J757" s="3" t="str">
        <f t="shared" si="203"/>
        <v/>
      </c>
      <c r="K757" s="47"/>
      <c r="L757" s="3" t="str">
        <f t="shared" si="204"/>
        <v/>
      </c>
      <c r="M757" s="47"/>
      <c r="N757" s="3" t="str">
        <f t="shared" si="205"/>
        <v/>
      </c>
      <c r="O757" s="47"/>
      <c r="P757" s="3" t="str">
        <f t="shared" si="206"/>
        <v/>
      </c>
      <c r="Q757" s="47"/>
      <c r="R757" s="3" t="str">
        <f t="shared" si="207"/>
        <v/>
      </c>
      <c r="S757" s="47"/>
      <c r="T757" s="1" t="str">
        <f t="shared" si="208"/>
        <v/>
      </c>
      <c r="U757" s="47"/>
      <c r="V757" s="1" t="str">
        <f t="shared" si="209"/>
        <v/>
      </c>
      <c r="W757" s="47"/>
      <c r="X757" s="1" t="str">
        <f t="shared" si="210"/>
        <v/>
      </c>
      <c r="Y757" s="47"/>
      <c r="Z757" s="1" t="str">
        <f t="shared" si="211"/>
        <v/>
      </c>
      <c r="AA757" s="47"/>
      <c r="AB757" s="1" t="str">
        <f t="shared" si="212"/>
        <v/>
      </c>
      <c r="AC757" s="47"/>
      <c r="AD757" s="1" t="str">
        <f t="shared" si="213"/>
        <v/>
      </c>
      <c r="AE757" s="47"/>
      <c r="AF757" s="1" t="str">
        <f t="shared" si="214"/>
        <v/>
      </c>
      <c r="AG757" s="47"/>
    </row>
    <row r="758" spans="1:33">
      <c r="A758">
        <f t="shared" si="198"/>
        <v>0</v>
      </c>
      <c r="B758" s="2" t="str">
        <f t="shared" si="215"/>
        <v/>
      </c>
      <c r="C758" s="4" t="str">
        <f t="shared" si="199"/>
        <v/>
      </c>
      <c r="D758" s="3" t="str">
        <f t="shared" si="200"/>
        <v/>
      </c>
      <c r="E758" s="47"/>
      <c r="F758" s="3" t="str">
        <f t="shared" si="201"/>
        <v/>
      </c>
      <c r="G758" s="47"/>
      <c r="H758" s="3" t="str">
        <f t="shared" si="202"/>
        <v/>
      </c>
      <c r="I758" s="47"/>
      <c r="J758" s="3" t="str">
        <f t="shared" si="203"/>
        <v/>
      </c>
      <c r="K758" s="47"/>
      <c r="L758" s="3" t="str">
        <f t="shared" si="204"/>
        <v/>
      </c>
      <c r="M758" s="47"/>
      <c r="N758" s="3" t="str">
        <f t="shared" si="205"/>
        <v/>
      </c>
      <c r="O758" s="47"/>
      <c r="P758" s="3" t="str">
        <f t="shared" si="206"/>
        <v/>
      </c>
      <c r="Q758" s="47"/>
      <c r="R758" s="3" t="str">
        <f t="shared" si="207"/>
        <v/>
      </c>
      <c r="S758" s="47"/>
      <c r="T758" s="1" t="str">
        <f t="shared" si="208"/>
        <v/>
      </c>
      <c r="U758" s="47"/>
      <c r="V758" s="1" t="str">
        <f t="shared" si="209"/>
        <v/>
      </c>
      <c r="W758" s="47"/>
      <c r="X758" s="1" t="str">
        <f t="shared" si="210"/>
        <v/>
      </c>
      <c r="Y758" s="47"/>
      <c r="Z758" s="1" t="str">
        <f t="shared" si="211"/>
        <v/>
      </c>
      <c r="AA758" s="47"/>
      <c r="AB758" s="1" t="str">
        <f t="shared" si="212"/>
        <v/>
      </c>
      <c r="AC758" s="47"/>
      <c r="AD758" s="1" t="str">
        <f t="shared" si="213"/>
        <v/>
      </c>
      <c r="AE758" s="47"/>
      <c r="AF758" s="1" t="str">
        <f t="shared" si="214"/>
        <v/>
      </c>
      <c r="AG758" s="47"/>
    </row>
    <row r="759" spans="1:33">
      <c r="A759">
        <f t="shared" si="198"/>
        <v>0</v>
      </c>
      <c r="B759" s="2" t="str">
        <f t="shared" si="215"/>
        <v/>
      </c>
      <c r="C759" s="4" t="str">
        <f t="shared" si="199"/>
        <v/>
      </c>
      <c r="D759" s="3" t="str">
        <f t="shared" si="200"/>
        <v/>
      </c>
      <c r="E759" s="47"/>
      <c r="F759" s="3" t="str">
        <f t="shared" si="201"/>
        <v/>
      </c>
      <c r="G759" s="47"/>
      <c r="H759" s="3" t="str">
        <f t="shared" si="202"/>
        <v/>
      </c>
      <c r="I759" s="47"/>
      <c r="J759" s="3" t="str">
        <f t="shared" si="203"/>
        <v/>
      </c>
      <c r="K759" s="47"/>
      <c r="L759" s="3" t="str">
        <f t="shared" si="204"/>
        <v/>
      </c>
      <c r="M759" s="47"/>
      <c r="N759" s="3" t="str">
        <f t="shared" si="205"/>
        <v/>
      </c>
      <c r="O759" s="47"/>
      <c r="P759" s="3" t="str">
        <f t="shared" si="206"/>
        <v/>
      </c>
      <c r="Q759" s="47"/>
      <c r="R759" s="3" t="str">
        <f t="shared" si="207"/>
        <v/>
      </c>
      <c r="S759" s="47"/>
      <c r="T759" s="1" t="str">
        <f t="shared" si="208"/>
        <v/>
      </c>
      <c r="U759" s="47"/>
      <c r="V759" s="1" t="str">
        <f t="shared" si="209"/>
        <v/>
      </c>
      <c r="W759" s="47"/>
      <c r="X759" s="1" t="str">
        <f t="shared" si="210"/>
        <v/>
      </c>
      <c r="Y759" s="47"/>
      <c r="Z759" s="1" t="str">
        <f t="shared" si="211"/>
        <v/>
      </c>
      <c r="AA759" s="47"/>
      <c r="AB759" s="1" t="str">
        <f t="shared" si="212"/>
        <v/>
      </c>
      <c r="AC759" s="47"/>
      <c r="AD759" s="1" t="str">
        <f t="shared" si="213"/>
        <v/>
      </c>
      <c r="AE759" s="47"/>
      <c r="AF759" s="1" t="str">
        <f t="shared" si="214"/>
        <v/>
      </c>
      <c r="AG759" s="47"/>
    </row>
    <row r="760" spans="1:33">
      <c r="A760">
        <f t="shared" si="198"/>
        <v>0</v>
      </c>
      <c r="B760" s="2" t="str">
        <f t="shared" si="215"/>
        <v/>
      </c>
      <c r="C760" s="4" t="str">
        <f t="shared" si="199"/>
        <v/>
      </c>
      <c r="D760" s="3" t="str">
        <f t="shared" si="200"/>
        <v/>
      </c>
      <c r="E760" s="47"/>
      <c r="F760" s="3" t="str">
        <f t="shared" si="201"/>
        <v/>
      </c>
      <c r="G760" s="47"/>
      <c r="H760" s="3" t="str">
        <f t="shared" si="202"/>
        <v/>
      </c>
      <c r="I760" s="47"/>
      <c r="J760" s="3" t="str">
        <f t="shared" si="203"/>
        <v/>
      </c>
      <c r="K760" s="47"/>
      <c r="L760" s="3" t="str">
        <f t="shared" si="204"/>
        <v/>
      </c>
      <c r="M760" s="47"/>
      <c r="N760" s="3" t="str">
        <f t="shared" si="205"/>
        <v/>
      </c>
      <c r="O760" s="47"/>
      <c r="P760" s="3" t="str">
        <f t="shared" si="206"/>
        <v/>
      </c>
      <c r="Q760" s="47"/>
      <c r="R760" s="3" t="str">
        <f t="shared" si="207"/>
        <v/>
      </c>
      <c r="S760" s="47"/>
      <c r="T760" s="1" t="str">
        <f t="shared" si="208"/>
        <v/>
      </c>
      <c r="U760" s="47"/>
      <c r="V760" s="1" t="str">
        <f t="shared" si="209"/>
        <v/>
      </c>
      <c r="W760" s="47"/>
      <c r="X760" s="1" t="str">
        <f t="shared" si="210"/>
        <v/>
      </c>
      <c r="Y760" s="47"/>
      <c r="Z760" s="1" t="str">
        <f t="shared" si="211"/>
        <v/>
      </c>
      <c r="AA760" s="47"/>
      <c r="AB760" s="1" t="str">
        <f t="shared" si="212"/>
        <v/>
      </c>
      <c r="AC760" s="47"/>
      <c r="AD760" s="1" t="str">
        <f t="shared" si="213"/>
        <v/>
      </c>
      <c r="AE760" s="47"/>
      <c r="AF760" s="1" t="str">
        <f t="shared" si="214"/>
        <v/>
      </c>
      <c r="AG760" s="47"/>
    </row>
    <row r="761" spans="1:33">
      <c r="A761">
        <f t="shared" si="198"/>
        <v>0</v>
      </c>
      <c r="B761" s="2" t="str">
        <f t="shared" si="215"/>
        <v/>
      </c>
      <c r="C761" s="4" t="str">
        <f t="shared" si="199"/>
        <v/>
      </c>
      <c r="D761" s="3" t="str">
        <f t="shared" si="200"/>
        <v/>
      </c>
      <c r="E761" s="47"/>
      <c r="F761" s="3" t="str">
        <f t="shared" si="201"/>
        <v/>
      </c>
      <c r="G761" s="47"/>
      <c r="H761" s="3" t="str">
        <f t="shared" si="202"/>
        <v/>
      </c>
      <c r="I761" s="47"/>
      <c r="J761" s="3" t="str">
        <f t="shared" si="203"/>
        <v/>
      </c>
      <c r="K761" s="47"/>
      <c r="L761" s="3" t="str">
        <f t="shared" si="204"/>
        <v/>
      </c>
      <c r="M761" s="47"/>
      <c r="N761" s="3" t="str">
        <f t="shared" si="205"/>
        <v/>
      </c>
      <c r="O761" s="47"/>
      <c r="P761" s="3" t="str">
        <f t="shared" si="206"/>
        <v/>
      </c>
      <c r="Q761" s="47"/>
      <c r="R761" s="3" t="str">
        <f t="shared" si="207"/>
        <v/>
      </c>
      <c r="S761" s="47"/>
      <c r="T761" s="1" t="str">
        <f t="shared" si="208"/>
        <v/>
      </c>
      <c r="U761" s="47"/>
      <c r="V761" s="1" t="str">
        <f t="shared" si="209"/>
        <v/>
      </c>
      <c r="W761" s="47"/>
      <c r="X761" s="1" t="str">
        <f t="shared" si="210"/>
        <v/>
      </c>
      <c r="Y761" s="47"/>
      <c r="Z761" s="1" t="str">
        <f t="shared" si="211"/>
        <v/>
      </c>
      <c r="AA761" s="47"/>
      <c r="AB761" s="1" t="str">
        <f t="shared" si="212"/>
        <v/>
      </c>
      <c r="AC761" s="47"/>
      <c r="AD761" s="1" t="str">
        <f t="shared" si="213"/>
        <v/>
      </c>
      <c r="AE761" s="47"/>
      <c r="AF761" s="1" t="str">
        <f t="shared" si="214"/>
        <v/>
      </c>
      <c r="AG761" s="47"/>
    </row>
    <row r="762" spans="1:33">
      <c r="A762">
        <f t="shared" si="198"/>
        <v>0</v>
      </c>
      <c r="B762" s="2" t="str">
        <f t="shared" si="215"/>
        <v/>
      </c>
      <c r="C762" s="4" t="str">
        <f t="shared" si="199"/>
        <v/>
      </c>
      <c r="D762" s="3" t="str">
        <f t="shared" si="200"/>
        <v/>
      </c>
      <c r="E762" s="47"/>
      <c r="F762" s="3" t="str">
        <f t="shared" si="201"/>
        <v/>
      </c>
      <c r="G762" s="47"/>
      <c r="H762" s="3" t="str">
        <f t="shared" si="202"/>
        <v/>
      </c>
      <c r="I762" s="47"/>
      <c r="J762" s="3" t="str">
        <f t="shared" si="203"/>
        <v/>
      </c>
      <c r="K762" s="47"/>
      <c r="L762" s="3" t="str">
        <f t="shared" si="204"/>
        <v/>
      </c>
      <c r="M762" s="47"/>
      <c r="N762" s="3" t="str">
        <f t="shared" si="205"/>
        <v/>
      </c>
      <c r="O762" s="47"/>
      <c r="P762" s="3" t="str">
        <f t="shared" si="206"/>
        <v/>
      </c>
      <c r="Q762" s="47"/>
      <c r="R762" s="3" t="str">
        <f t="shared" si="207"/>
        <v/>
      </c>
      <c r="S762" s="47"/>
      <c r="T762" s="1" t="str">
        <f t="shared" si="208"/>
        <v/>
      </c>
      <c r="U762" s="47"/>
      <c r="V762" s="1" t="str">
        <f t="shared" si="209"/>
        <v/>
      </c>
      <c r="W762" s="47"/>
      <c r="X762" s="1" t="str">
        <f t="shared" si="210"/>
        <v/>
      </c>
      <c r="Y762" s="47"/>
      <c r="Z762" s="1" t="str">
        <f t="shared" si="211"/>
        <v/>
      </c>
      <c r="AA762" s="47"/>
      <c r="AB762" s="1" t="str">
        <f t="shared" si="212"/>
        <v/>
      </c>
      <c r="AC762" s="47"/>
      <c r="AD762" s="1" t="str">
        <f t="shared" si="213"/>
        <v/>
      </c>
      <c r="AE762" s="47"/>
      <c r="AF762" s="1" t="str">
        <f t="shared" si="214"/>
        <v/>
      </c>
      <c r="AG762" s="47"/>
    </row>
    <row r="763" spans="1:33">
      <c r="A763">
        <f t="shared" si="198"/>
        <v>0</v>
      </c>
      <c r="B763" s="2" t="str">
        <f t="shared" si="215"/>
        <v/>
      </c>
      <c r="C763" s="4" t="str">
        <f t="shared" si="199"/>
        <v/>
      </c>
      <c r="D763" s="3" t="str">
        <f t="shared" si="200"/>
        <v/>
      </c>
      <c r="E763" s="47"/>
      <c r="F763" s="3" t="str">
        <f t="shared" si="201"/>
        <v/>
      </c>
      <c r="G763" s="47"/>
      <c r="H763" s="3" t="str">
        <f t="shared" si="202"/>
        <v/>
      </c>
      <c r="I763" s="47"/>
      <c r="J763" s="3" t="str">
        <f t="shared" si="203"/>
        <v/>
      </c>
      <c r="K763" s="47"/>
      <c r="L763" s="3" t="str">
        <f t="shared" si="204"/>
        <v/>
      </c>
      <c r="M763" s="47"/>
      <c r="N763" s="3" t="str">
        <f t="shared" si="205"/>
        <v/>
      </c>
      <c r="O763" s="47"/>
      <c r="P763" s="3" t="str">
        <f t="shared" si="206"/>
        <v/>
      </c>
      <c r="Q763" s="47"/>
      <c r="R763" s="3" t="str">
        <f t="shared" si="207"/>
        <v/>
      </c>
      <c r="S763" s="47"/>
      <c r="T763" s="1" t="str">
        <f t="shared" si="208"/>
        <v/>
      </c>
      <c r="U763" s="47"/>
      <c r="V763" s="1" t="str">
        <f t="shared" si="209"/>
        <v/>
      </c>
      <c r="W763" s="47"/>
      <c r="X763" s="1" t="str">
        <f t="shared" si="210"/>
        <v/>
      </c>
      <c r="Y763" s="47"/>
      <c r="Z763" s="1" t="str">
        <f t="shared" si="211"/>
        <v/>
      </c>
      <c r="AA763" s="47"/>
      <c r="AB763" s="1" t="str">
        <f t="shared" si="212"/>
        <v/>
      </c>
      <c r="AC763" s="47"/>
      <c r="AD763" s="1" t="str">
        <f t="shared" si="213"/>
        <v/>
      </c>
      <c r="AE763" s="47"/>
      <c r="AF763" s="1" t="str">
        <f t="shared" si="214"/>
        <v/>
      </c>
      <c r="AG763" s="47"/>
    </row>
    <row r="764" spans="1:33">
      <c r="A764">
        <f t="shared" si="198"/>
        <v>0</v>
      </c>
      <c r="B764" s="2" t="str">
        <f t="shared" si="215"/>
        <v/>
      </c>
      <c r="C764" s="4" t="str">
        <f t="shared" si="199"/>
        <v/>
      </c>
      <c r="D764" s="3" t="str">
        <f t="shared" si="200"/>
        <v/>
      </c>
      <c r="E764" s="47"/>
      <c r="F764" s="3" t="str">
        <f t="shared" si="201"/>
        <v/>
      </c>
      <c r="G764" s="47"/>
      <c r="H764" s="3" t="str">
        <f t="shared" si="202"/>
        <v/>
      </c>
      <c r="I764" s="47"/>
      <c r="J764" s="3" t="str">
        <f t="shared" si="203"/>
        <v/>
      </c>
      <c r="K764" s="47"/>
      <c r="L764" s="3" t="str">
        <f t="shared" si="204"/>
        <v/>
      </c>
      <c r="M764" s="47"/>
      <c r="N764" s="3" t="str">
        <f t="shared" si="205"/>
        <v/>
      </c>
      <c r="O764" s="47"/>
      <c r="P764" s="3" t="str">
        <f t="shared" si="206"/>
        <v/>
      </c>
      <c r="Q764" s="47"/>
      <c r="R764" s="3" t="str">
        <f t="shared" si="207"/>
        <v/>
      </c>
      <c r="S764" s="47"/>
      <c r="T764" s="1" t="str">
        <f t="shared" si="208"/>
        <v/>
      </c>
      <c r="U764" s="47"/>
      <c r="V764" s="1" t="str">
        <f t="shared" si="209"/>
        <v/>
      </c>
      <c r="W764" s="47"/>
      <c r="X764" s="1" t="str">
        <f t="shared" si="210"/>
        <v/>
      </c>
      <c r="Y764" s="47"/>
      <c r="Z764" s="1" t="str">
        <f t="shared" si="211"/>
        <v/>
      </c>
      <c r="AA764" s="47"/>
      <c r="AB764" s="1" t="str">
        <f t="shared" si="212"/>
        <v/>
      </c>
      <c r="AC764" s="47"/>
      <c r="AD764" s="1" t="str">
        <f t="shared" si="213"/>
        <v/>
      </c>
      <c r="AE764" s="47"/>
      <c r="AF764" s="1" t="str">
        <f t="shared" si="214"/>
        <v/>
      </c>
      <c r="AG764" s="47"/>
    </row>
    <row r="765" spans="1:33">
      <c r="A765">
        <f t="shared" si="198"/>
        <v>0</v>
      </c>
      <c r="B765" s="2" t="str">
        <f t="shared" si="215"/>
        <v/>
      </c>
      <c r="C765" s="4" t="str">
        <f t="shared" si="199"/>
        <v/>
      </c>
      <c r="D765" s="3" t="str">
        <f t="shared" si="200"/>
        <v/>
      </c>
      <c r="E765" s="47"/>
      <c r="F765" s="3" t="str">
        <f t="shared" si="201"/>
        <v/>
      </c>
      <c r="G765" s="47"/>
      <c r="H765" s="3" t="str">
        <f t="shared" si="202"/>
        <v/>
      </c>
      <c r="I765" s="47"/>
      <c r="J765" s="3" t="str">
        <f t="shared" si="203"/>
        <v/>
      </c>
      <c r="K765" s="47"/>
      <c r="L765" s="3" t="str">
        <f t="shared" si="204"/>
        <v/>
      </c>
      <c r="M765" s="47"/>
      <c r="N765" s="3" t="str">
        <f t="shared" si="205"/>
        <v/>
      </c>
      <c r="O765" s="47"/>
      <c r="P765" s="3" t="str">
        <f t="shared" si="206"/>
        <v/>
      </c>
      <c r="Q765" s="47"/>
      <c r="R765" s="3" t="str">
        <f t="shared" si="207"/>
        <v/>
      </c>
      <c r="S765" s="47"/>
      <c r="T765" s="1" t="str">
        <f t="shared" si="208"/>
        <v/>
      </c>
      <c r="U765" s="47"/>
      <c r="V765" s="1" t="str">
        <f t="shared" si="209"/>
        <v/>
      </c>
      <c r="W765" s="47"/>
      <c r="X765" s="1" t="str">
        <f t="shared" si="210"/>
        <v/>
      </c>
      <c r="Y765" s="47"/>
      <c r="Z765" s="1" t="str">
        <f t="shared" si="211"/>
        <v/>
      </c>
      <c r="AA765" s="47"/>
      <c r="AB765" s="1" t="str">
        <f t="shared" si="212"/>
        <v/>
      </c>
      <c r="AC765" s="47"/>
      <c r="AD765" s="1" t="str">
        <f t="shared" si="213"/>
        <v/>
      </c>
      <c r="AE765" s="47"/>
      <c r="AF765" s="1" t="str">
        <f t="shared" si="214"/>
        <v/>
      </c>
      <c r="AG765" s="47"/>
    </row>
    <row r="766" spans="1:33">
      <c r="A766">
        <f t="shared" si="198"/>
        <v>0</v>
      </c>
      <c r="B766" s="2" t="str">
        <f t="shared" si="215"/>
        <v/>
      </c>
      <c r="C766" s="4" t="str">
        <f t="shared" si="199"/>
        <v/>
      </c>
      <c r="D766" s="3" t="str">
        <f t="shared" si="200"/>
        <v/>
      </c>
      <c r="E766" s="47"/>
      <c r="F766" s="3" t="str">
        <f t="shared" si="201"/>
        <v/>
      </c>
      <c r="G766" s="47"/>
      <c r="H766" s="3" t="str">
        <f t="shared" si="202"/>
        <v/>
      </c>
      <c r="I766" s="47"/>
      <c r="J766" s="3" t="str">
        <f t="shared" si="203"/>
        <v/>
      </c>
      <c r="K766" s="47"/>
      <c r="L766" s="3" t="str">
        <f t="shared" si="204"/>
        <v/>
      </c>
      <c r="M766" s="47"/>
      <c r="N766" s="3" t="str">
        <f t="shared" si="205"/>
        <v/>
      </c>
      <c r="O766" s="47"/>
      <c r="P766" s="3" t="str">
        <f t="shared" si="206"/>
        <v/>
      </c>
      <c r="Q766" s="47"/>
      <c r="R766" s="3" t="str">
        <f t="shared" si="207"/>
        <v/>
      </c>
      <c r="S766" s="47"/>
      <c r="T766" s="1" t="str">
        <f t="shared" si="208"/>
        <v/>
      </c>
      <c r="U766" s="47"/>
      <c r="V766" s="1" t="str">
        <f t="shared" si="209"/>
        <v/>
      </c>
      <c r="W766" s="47"/>
      <c r="X766" s="1" t="str">
        <f t="shared" si="210"/>
        <v/>
      </c>
      <c r="Y766" s="47"/>
      <c r="Z766" s="1" t="str">
        <f t="shared" si="211"/>
        <v/>
      </c>
      <c r="AA766" s="47"/>
      <c r="AB766" s="1" t="str">
        <f t="shared" si="212"/>
        <v/>
      </c>
      <c r="AC766" s="47"/>
      <c r="AD766" s="1" t="str">
        <f t="shared" si="213"/>
        <v/>
      </c>
      <c r="AE766" s="47"/>
      <c r="AF766" s="1" t="str">
        <f t="shared" si="214"/>
        <v/>
      </c>
      <c r="AG766" s="47"/>
    </row>
    <row r="767" spans="1:33">
      <c r="A767">
        <f t="shared" si="198"/>
        <v>0</v>
      </c>
      <c r="B767" s="2" t="str">
        <f t="shared" si="215"/>
        <v/>
      </c>
      <c r="C767" s="4" t="str">
        <f t="shared" si="199"/>
        <v/>
      </c>
      <c r="D767" s="3" t="str">
        <f t="shared" si="200"/>
        <v/>
      </c>
      <c r="E767" s="47"/>
      <c r="F767" s="3" t="str">
        <f t="shared" si="201"/>
        <v/>
      </c>
      <c r="G767" s="47"/>
      <c r="H767" s="3" t="str">
        <f t="shared" si="202"/>
        <v/>
      </c>
      <c r="I767" s="47"/>
      <c r="J767" s="3" t="str">
        <f t="shared" si="203"/>
        <v/>
      </c>
      <c r="K767" s="47"/>
      <c r="L767" s="3" t="str">
        <f t="shared" si="204"/>
        <v/>
      </c>
      <c r="M767" s="47"/>
      <c r="N767" s="3" t="str">
        <f t="shared" si="205"/>
        <v/>
      </c>
      <c r="O767" s="47"/>
      <c r="P767" s="3" t="str">
        <f t="shared" si="206"/>
        <v/>
      </c>
      <c r="Q767" s="47"/>
      <c r="R767" s="3" t="str">
        <f t="shared" si="207"/>
        <v/>
      </c>
      <c r="S767" s="47"/>
      <c r="T767" s="1" t="str">
        <f t="shared" si="208"/>
        <v/>
      </c>
      <c r="U767" s="47"/>
      <c r="V767" s="1" t="str">
        <f t="shared" si="209"/>
        <v/>
      </c>
      <c r="W767" s="47"/>
      <c r="X767" s="1" t="str">
        <f t="shared" si="210"/>
        <v/>
      </c>
      <c r="Y767" s="47"/>
      <c r="Z767" s="1" t="str">
        <f t="shared" si="211"/>
        <v/>
      </c>
      <c r="AA767" s="47"/>
      <c r="AB767" s="1" t="str">
        <f t="shared" si="212"/>
        <v/>
      </c>
      <c r="AC767" s="47"/>
      <c r="AD767" s="1" t="str">
        <f t="shared" si="213"/>
        <v/>
      </c>
      <c r="AE767" s="47"/>
      <c r="AF767" s="1" t="str">
        <f t="shared" si="214"/>
        <v/>
      </c>
      <c r="AG767" s="47"/>
    </row>
    <row r="768" spans="1:33">
      <c r="A768">
        <f t="shared" si="198"/>
        <v>0</v>
      </c>
      <c r="B768" s="2" t="str">
        <f t="shared" si="215"/>
        <v/>
      </c>
      <c r="C768" s="4" t="str">
        <f t="shared" si="199"/>
        <v/>
      </c>
      <c r="D768" s="3" t="str">
        <f t="shared" si="200"/>
        <v/>
      </c>
      <c r="E768" s="47"/>
      <c r="F768" s="3" t="str">
        <f t="shared" si="201"/>
        <v/>
      </c>
      <c r="G768" s="47"/>
      <c r="H768" s="3" t="str">
        <f t="shared" si="202"/>
        <v/>
      </c>
      <c r="I768" s="47"/>
      <c r="J768" s="3" t="str">
        <f t="shared" si="203"/>
        <v/>
      </c>
      <c r="K768" s="47"/>
      <c r="L768" s="3" t="str">
        <f t="shared" si="204"/>
        <v/>
      </c>
      <c r="M768" s="47"/>
      <c r="N768" s="3" t="str">
        <f t="shared" si="205"/>
        <v/>
      </c>
      <c r="O768" s="47"/>
      <c r="P768" s="3" t="str">
        <f t="shared" si="206"/>
        <v/>
      </c>
      <c r="Q768" s="47"/>
      <c r="R768" s="3" t="str">
        <f t="shared" si="207"/>
        <v/>
      </c>
      <c r="S768" s="47"/>
      <c r="T768" s="1" t="str">
        <f t="shared" si="208"/>
        <v/>
      </c>
      <c r="U768" s="47"/>
      <c r="V768" s="1" t="str">
        <f t="shared" si="209"/>
        <v/>
      </c>
      <c r="W768" s="47"/>
      <c r="X768" s="1" t="str">
        <f t="shared" si="210"/>
        <v/>
      </c>
      <c r="Y768" s="47"/>
      <c r="Z768" s="1" t="str">
        <f t="shared" si="211"/>
        <v/>
      </c>
      <c r="AA768" s="47"/>
      <c r="AB768" s="1" t="str">
        <f t="shared" si="212"/>
        <v/>
      </c>
      <c r="AC768" s="47"/>
      <c r="AD768" s="1" t="str">
        <f t="shared" si="213"/>
        <v/>
      </c>
      <c r="AE768" s="47"/>
      <c r="AF768" s="1" t="str">
        <f t="shared" si="214"/>
        <v/>
      </c>
      <c r="AG768" s="47"/>
    </row>
    <row r="769" spans="1:33">
      <c r="A769">
        <f t="shared" si="198"/>
        <v>0</v>
      </c>
      <c r="B769" s="2" t="str">
        <f t="shared" si="215"/>
        <v/>
      </c>
      <c r="C769" s="4" t="str">
        <f t="shared" si="199"/>
        <v/>
      </c>
      <c r="D769" s="3" t="str">
        <f t="shared" si="200"/>
        <v/>
      </c>
      <c r="E769" s="47"/>
      <c r="F769" s="3" t="str">
        <f t="shared" si="201"/>
        <v/>
      </c>
      <c r="G769" s="47"/>
      <c r="H769" s="3" t="str">
        <f t="shared" si="202"/>
        <v/>
      </c>
      <c r="I769" s="47"/>
      <c r="J769" s="3" t="str">
        <f t="shared" si="203"/>
        <v/>
      </c>
      <c r="K769" s="47"/>
      <c r="L769" s="3" t="str">
        <f t="shared" si="204"/>
        <v/>
      </c>
      <c r="M769" s="47"/>
      <c r="N769" s="3" t="str">
        <f t="shared" si="205"/>
        <v/>
      </c>
      <c r="O769" s="47"/>
      <c r="P769" s="3" t="str">
        <f t="shared" si="206"/>
        <v/>
      </c>
      <c r="Q769" s="47"/>
      <c r="R769" s="3" t="str">
        <f t="shared" si="207"/>
        <v/>
      </c>
      <c r="S769" s="47"/>
      <c r="T769" s="1" t="str">
        <f t="shared" si="208"/>
        <v/>
      </c>
      <c r="U769" s="47"/>
      <c r="V769" s="1" t="str">
        <f t="shared" si="209"/>
        <v/>
      </c>
      <c r="W769" s="47"/>
      <c r="X769" s="1" t="str">
        <f t="shared" si="210"/>
        <v/>
      </c>
      <c r="Y769" s="47"/>
      <c r="Z769" s="1" t="str">
        <f t="shared" si="211"/>
        <v/>
      </c>
      <c r="AA769" s="47"/>
      <c r="AB769" s="1" t="str">
        <f t="shared" si="212"/>
        <v/>
      </c>
      <c r="AC769" s="47"/>
      <c r="AD769" s="1" t="str">
        <f t="shared" si="213"/>
        <v/>
      </c>
      <c r="AE769" s="47"/>
      <c r="AF769" s="1" t="str">
        <f t="shared" si="214"/>
        <v/>
      </c>
      <c r="AG769" s="47"/>
    </row>
    <row r="770" spans="1:33">
      <c r="A770">
        <f t="shared" si="198"/>
        <v>0</v>
      </c>
      <c r="B770" s="2" t="str">
        <f t="shared" si="215"/>
        <v/>
      </c>
      <c r="C770" s="4" t="str">
        <f t="shared" si="199"/>
        <v/>
      </c>
      <c r="D770" s="3" t="str">
        <f t="shared" si="200"/>
        <v/>
      </c>
      <c r="E770" s="47"/>
      <c r="F770" s="3" t="str">
        <f t="shared" si="201"/>
        <v/>
      </c>
      <c r="G770" s="47"/>
      <c r="H770" s="3" t="str">
        <f t="shared" si="202"/>
        <v/>
      </c>
      <c r="I770" s="47"/>
      <c r="J770" s="3" t="str">
        <f t="shared" si="203"/>
        <v/>
      </c>
      <c r="K770" s="47"/>
      <c r="L770" s="3" t="str">
        <f t="shared" si="204"/>
        <v/>
      </c>
      <c r="M770" s="47"/>
      <c r="N770" s="3" t="str">
        <f t="shared" si="205"/>
        <v/>
      </c>
      <c r="O770" s="47"/>
      <c r="P770" s="3" t="str">
        <f t="shared" si="206"/>
        <v/>
      </c>
      <c r="Q770" s="47"/>
      <c r="R770" s="3" t="str">
        <f t="shared" si="207"/>
        <v/>
      </c>
      <c r="S770" s="47"/>
      <c r="T770" s="1" t="str">
        <f t="shared" si="208"/>
        <v/>
      </c>
      <c r="U770" s="47"/>
      <c r="V770" s="1" t="str">
        <f t="shared" si="209"/>
        <v/>
      </c>
      <c r="W770" s="47"/>
      <c r="X770" s="1" t="str">
        <f t="shared" si="210"/>
        <v/>
      </c>
      <c r="Y770" s="47"/>
      <c r="Z770" s="1" t="str">
        <f t="shared" si="211"/>
        <v/>
      </c>
      <c r="AA770" s="47"/>
      <c r="AB770" s="1" t="str">
        <f t="shared" si="212"/>
        <v/>
      </c>
      <c r="AC770" s="47"/>
      <c r="AD770" s="1" t="str">
        <f t="shared" si="213"/>
        <v/>
      </c>
      <c r="AE770" s="47"/>
      <c r="AF770" s="1" t="str">
        <f t="shared" si="214"/>
        <v/>
      </c>
      <c r="AG770" s="47"/>
    </row>
    <row r="771" spans="1:33">
      <c r="A771">
        <f t="shared" si="198"/>
        <v>0</v>
      </c>
      <c r="B771" s="2" t="str">
        <f t="shared" si="215"/>
        <v/>
      </c>
      <c r="C771" s="4" t="str">
        <f t="shared" si="199"/>
        <v/>
      </c>
      <c r="D771" s="3" t="str">
        <f t="shared" si="200"/>
        <v/>
      </c>
      <c r="E771" s="47"/>
      <c r="F771" s="3" t="str">
        <f t="shared" si="201"/>
        <v/>
      </c>
      <c r="G771" s="47"/>
      <c r="H771" s="3" t="str">
        <f t="shared" si="202"/>
        <v/>
      </c>
      <c r="I771" s="47"/>
      <c r="J771" s="3" t="str">
        <f t="shared" si="203"/>
        <v/>
      </c>
      <c r="K771" s="47"/>
      <c r="L771" s="3" t="str">
        <f t="shared" si="204"/>
        <v/>
      </c>
      <c r="M771" s="47"/>
      <c r="N771" s="3" t="str">
        <f t="shared" si="205"/>
        <v/>
      </c>
      <c r="O771" s="47"/>
      <c r="P771" s="3" t="str">
        <f t="shared" si="206"/>
        <v/>
      </c>
      <c r="Q771" s="47"/>
      <c r="R771" s="3" t="str">
        <f t="shared" si="207"/>
        <v/>
      </c>
      <c r="S771" s="47"/>
      <c r="T771" s="1" t="str">
        <f t="shared" si="208"/>
        <v/>
      </c>
      <c r="U771" s="47"/>
      <c r="V771" s="1" t="str">
        <f t="shared" si="209"/>
        <v/>
      </c>
      <c r="W771" s="47"/>
      <c r="X771" s="1" t="str">
        <f t="shared" si="210"/>
        <v/>
      </c>
      <c r="Y771" s="47"/>
      <c r="Z771" s="1" t="str">
        <f t="shared" si="211"/>
        <v/>
      </c>
      <c r="AA771" s="47"/>
      <c r="AB771" s="1" t="str">
        <f t="shared" si="212"/>
        <v/>
      </c>
      <c r="AC771" s="47"/>
      <c r="AD771" s="1" t="str">
        <f t="shared" si="213"/>
        <v/>
      </c>
      <c r="AE771" s="47"/>
      <c r="AF771" s="1" t="str">
        <f t="shared" si="214"/>
        <v/>
      </c>
      <c r="AG771" s="47"/>
    </row>
    <row r="772" spans="1:33">
      <c r="A772">
        <f t="shared" si="198"/>
        <v>0</v>
      </c>
      <c r="B772" s="2" t="str">
        <f t="shared" si="215"/>
        <v/>
      </c>
      <c r="C772" s="4" t="str">
        <f t="shared" si="199"/>
        <v/>
      </c>
      <c r="D772" s="3" t="str">
        <f t="shared" si="200"/>
        <v/>
      </c>
      <c r="E772" s="47"/>
      <c r="F772" s="3" t="str">
        <f t="shared" si="201"/>
        <v/>
      </c>
      <c r="G772" s="47"/>
      <c r="H772" s="3" t="str">
        <f t="shared" si="202"/>
        <v/>
      </c>
      <c r="I772" s="47"/>
      <c r="J772" s="3" t="str">
        <f t="shared" si="203"/>
        <v/>
      </c>
      <c r="K772" s="47"/>
      <c r="L772" s="3" t="str">
        <f t="shared" si="204"/>
        <v/>
      </c>
      <c r="M772" s="47"/>
      <c r="N772" s="3" t="str">
        <f t="shared" si="205"/>
        <v/>
      </c>
      <c r="O772" s="47"/>
      <c r="P772" s="3" t="str">
        <f t="shared" si="206"/>
        <v/>
      </c>
      <c r="Q772" s="47"/>
      <c r="R772" s="3" t="str">
        <f t="shared" si="207"/>
        <v/>
      </c>
      <c r="S772" s="47"/>
      <c r="T772" s="1" t="str">
        <f t="shared" si="208"/>
        <v/>
      </c>
      <c r="U772" s="47"/>
      <c r="V772" s="1" t="str">
        <f t="shared" si="209"/>
        <v/>
      </c>
      <c r="W772" s="47"/>
      <c r="X772" s="1" t="str">
        <f t="shared" si="210"/>
        <v/>
      </c>
      <c r="Y772" s="47"/>
      <c r="Z772" s="1" t="str">
        <f t="shared" si="211"/>
        <v/>
      </c>
      <c r="AA772" s="47"/>
      <c r="AB772" s="1" t="str">
        <f t="shared" si="212"/>
        <v/>
      </c>
      <c r="AC772" s="47"/>
      <c r="AD772" s="1" t="str">
        <f t="shared" si="213"/>
        <v/>
      </c>
      <c r="AE772" s="47"/>
      <c r="AF772" s="1" t="str">
        <f t="shared" si="214"/>
        <v/>
      </c>
      <c r="AG772" s="47"/>
    </row>
    <row r="773" spans="1:33">
      <c r="A773">
        <f t="shared" si="198"/>
        <v>0</v>
      </c>
      <c r="B773" s="2" t="str">
        <f t="shared" si="215"/>
        <v/>
      </c>
      <c r="C773" s="4" t="str">
        <f t="shared" si="199"/>
        <v/>
      </c>
      <c r="D773" s="3" t="str">
        <f t="shared" si="200"/>
        <v/>
      </c>
      <c r="E773" s="47"/>
      <c r="F773" s="3" t="str">
        <f t="shared" si="201"/>
        <v/>
      </c>
      <c r="G773" s="47"/>
      <c r="H773" s="3" t="str">
        <f t="shared" si="202"/>
        <v/>
      </c>
      <c r="I773" s="47"/>
      <c r="J773" s="3" t="str">
        <f t="shared" si="203"/>
        <v/>
      </c>
      <c r="K773" s="47"/>
      <c r="L773" s="3" t="str">
        <f t="shared" si="204"/>
        <v/>
      </c>
      <c r="M773" s="47"/>
      <c r="N773" s="3" t="str">
        <f t="shared" si="205"/>
        <v/>
      </c>
      <c r="O773" s="47"/>
      <c r="P773" s="3" t="str">
        <f t="shared" si="206"/>
        <v/>
      </c>
      <c r="Q773" s="47"/>
      <c r="R773" s="3" t="str">
        <f t="shared" si="207"/>
        <v/>
      </c>
      <c r="S773" s="47"/>
      <c r="T773" s="1" t="str">
        <f t="shared" si="208"/>
        <v/>
      </c>
      <c r="U773" s="47"/>
      <c r="V773" s="1" t="str">
        <f t="shared" si="209"/>
        <v/>
      </c>
      <c r="W773" s="47"/>
      <c r="X773" s="1" t="str">
        <f t="shared" si="210"/>
        <v/>
      </c>
      <c r="Y773" s="47"/>
      <c r="Z773" s="1" t="str">
        <f t="shared" si="211"/>
        <v/>
      </c>
      <c r="AA773" s="47"/>
      <c r="AB773" s="1" t="str">
        <f t="shared" si="212"/>
        <v/>
      </c>
      <c r="AC773" s="47"/>
      <c r="AD773" s="1" t="str">
        <f t="shared" si="213"/>
        <v/>
      </c>
      <c r="AE773" s="47"/>
      <c r="AF773" s="1" t="str">
        <f t="shared" si="214"/>
        <v/>
      </c>
      <c r="AG773" s="47"/>
    </row>
    <row r="774" spans="1:33">
      <c r="A774">
        <f t="shared" si="198"/>
        <v>0</v>
      </c>
      <c r="B774" s="2" t="str">
        <f t="shared" si="215"/>
        <v/>
      </c>
      <c r="C774" s="4" t="str">
        <f t="shared" si="199"/>
        <v/>
      </c>
      <c r="D774" s="3" t="str">
        <f t="shared" si="200"/>
        <v/>
      </c>
      <c r="E774" s="47"/>
      <c r="F774" s="3" t="str">
        <f t="shared" si="201"/>
        <v/>
      </c>
      <c r="G774" s="47"/>
      <c r="H774" s="3" t="str">
        <f t="shared" si="202"/>
        <v/>
      </c>
      <c r="I774" s="47"/>
      <c r="J774" s="3" t="str">
        <f t="shared" si="203"/>
        <v/>
      </c>
      <c r="K774" s="47"/>
      <c r="L774" s="3" t="str">
        <f t="shared" si="204"/>
        <v/>
      </c>
      <c r="M774" s="47"/>
      <c r="N774" s="3" t="str">
        <f t="shared" si="205"/>
        <v/>
      </c>
      <c r="O774" s="47"/>
      <c r="P774" s="3" t="str">
        <f t="shared" si="206"/>
        <v/>
      </c>
      <c r="Q774" s="47"/>
      <c r="R774" s="3" t="str">
        <f t="shared" si="207"/>
        <v/>
      </c>
      <c r="S774" s="47"/>
      <c r="T774" s="1" t="str">
        <f t="shared" si="208"/>
        <v/>
      </c>
      <c r="U774" s="47"/>
      <c r="V774" s="1" t="str">
        <f t="shared" si="209"/>
        <v/>
      </c>
      <c r="W774" s="47"/>
      <c r="X774" s="1" t="str">
        <f t="shared" si="210"/>
        <v/>
      </c>
      <c r="Y774" s="47"/>
      <c r="Z774" s="1" t="str">
        <f t="shared" si="211"/>
        <v/>
      </c>
      <c r="AA774" s="47"/>
      <c r="AB774" s="1" t="str">
        <f t="shared" si="212"/>
        <v/>
      </c>
      <c r="AC774" s="47"/>
      <c r="AD774" s="1" t="str">
        <f t="shared" si="213"/>
        <v/>
      </c>
      <c r="AE774" s="47"/>
      <c r="AF774" s="1" t="str">
        <f t="shared" si="214"/>
        <v/>
      </c>
      <c r="AG774" s="47"/>
    </row>
    <row r="775" spans="1:33">
      <c r="A775">
        <f t="shared" ref="A775:A838" si="216">$C$1</f>
        <v>0</v>
      </c>
      <c r="B775" s="2" t="str">
        <f t="shared" si="215"/>
        <v/>
      </c>
      <c r="C775" s="4" t="str">
        <f t="shared" si="199"/>
        <v/>
      </c>
      <c r="D775" s="3" t="str">
        <f t="shared" si="200"/>
        <v/>
      </c>
      <c r="E775" s="47"/>
      <c r="F775" s="3" t="str">
        <f t="shared" si="201"/>
        <v/>
      </c>
      <c r="G775" s="47"/>
      <c r="H775" s="3" t="str">
        <f t="shared" si="202"/>
        <v/>
      </c>
      <c r="I775" s="47"/>
      <c r="J775" s="3" t="str">
        <f t="shared" si="203"/>
        <v/>
      </c>
      <c r="K775" s="47"/>
      <c r="L775" s="3" t="str">
        <f t="shared" si="204"/>
        <v/>
      </c>
      <c r="M775" s="47"/>
      <c r="N775" s="3" t="str">
        <f t="shared" si="205"/>
        <v/>
      </c>
      <c r="O775" s="47"/>
      <c r="P775" s="3" t="str">
        <f t="shared" si="206"/>
        <v/>
      </c>
      <c r="Q775" s="47"/>
      <c r="R775" s="3" t="str">
        <f t="shared" si="207"/>
        <v/>
      </c>
      <c r="S775" s="47"/>
      <c r="T775" s="1" t="str">
        <f t="shared" si="208"/>
        <v/>
      </c>
      <c r="U775" s="47"/>
      <c r="V775" s="1" t="str">
        <f t="shared" si="209"/>
        <v/>
      </c>
      <c r="W775" s="47"/>
      <c r="X775" s="1" t="str">
        <f t="shared" si="210"/>
        <v/>
      </c>
      <c r="Y775" s="47"/>
      <c r="Z775" s="1" t="str">
        <f t="shared" si="211"/>
        <v/>
      </c>
      <c r="AA775" s="47"/>
      <c r="AB775" s="1" t="str">
        <f t="shared" si="212"/>
        <v/>
      </c>
      <c r="AC775" s="47"/>
      <c r="AD775" s="1" t="str">
        <f t="shared" si="213"/>
        <v/>
      </c>
      <c r="AE775" s="47"/>
      <c r="AF775" s="1" t="str">
        <f t="shared" si="214"/>
        <v/>
      </c>
      <c r="AG775" s="47"/>
    </row>
    <row r="776" spans="1:33">
      <c r="A776">
        <f t="shared" si="216"/>
        <v>0</v>
      </c>
      <c r="B776" s="2" t="str">
        <f t="shared" si="215"/>
        <v/>
      </c>
      <c r="C776" s="4" t="str">
        <f t="shared" ref="C776:C839" si="217">TEXT(B776,"AAA")</f>
        <v/>
      </c>
      <c r="D776" s="3" t="str">
        <f t="shared" ref="D776:D839" si="218">IF(NOT(AND($F$3&lt;=B776,B776&lt;=$F$4)),"",$F$2&amp;"")</f>
        <v/>
      </c>
      <c r="E776" s="47"/>
      <c r="F776" s="3" t="str">
        <f t="shared" ref="F776:F839" si="219">IF(NOT(AND($G$3&lt;=B776,B776&lt;=$G$4)),"",$G$2&amp;"")</f>
        <v/>
      </c>
      <c r="G776" s="47"/>
      <c r="H776" s="3" t="str">
        <f t="shared" ref="H776:H839" si="220">IF(NOT(AND($H$3&lt;=B776,B776&lt;=$H$4)),"",$H$2&amp;"")</f>
        <v/>
      </c>
      <c r="I776" s="47"/>
      <c r="J776" s="3" t="str">
        <f t="shared" ref="J776:J839" si="221">IF(NOT(AND($I$3&lt;=B776,B776&lt;=$I$4)),"",$I$2&amp;"")</f>
        <v/>
      </c>
      <c r="K776" s="47"/>
      <c r="L776" s="3" t="str">
        <f t="shared" ref="L776:L839" si="222">IF(NOT(AND($J$3&lt;=B776,B776&lt;=$J$4)),"",$J$2&amp;"")</f>
        <v/>
      </c>
      <c r="M776" s="47"/>
      <c r="N776" s="3" t="str">
        <f t="shared" ref="N776:N839" si="223">IF(NOT(AND($K$3&lt;=B776,B776&lt;=$K$4)),"",$K$2&amp;"")</f>
        <v/>
      </c>
      <c r="O776" s="47"/>
      <c r="P776" s="3" t="str">
        <f t="shared" ref="P776:P839" si="224">IF(NOT(AND($L$3&lt;=B776,B776&lt;=$L$4)),"",$L$2&amp;"")</f>
        <v/>
      </c>
      <c r="Q776" s="47"/>
      <c r="R776" s="3" t="str">
        <f t="shared" ref="R776:R839" si="225">IF(NOT(AND($M$3&lt;=B776,B776&lt;=$M$4)),"",$M$2&amp;"")</f>
        <v/>
      </c>
      <c r="S776" s="47"/>
      <c r="T776" s="1" t="str">
        <f t="shared" ref="T776:T839" si="226">IF(NOT(AND($N$3&lt;=B776,B776&lt;=$N$4)),"",$N$2&amp;"")</f>
        <v/>
      </c>
      <c r="U776" s="47"/>
      <c r="V776" s="1" t="str">
        <f t="shared" ref="V776:V839" si="227">IF(NOT(AND($O$3&lt;=B776,B776&lt;=$O$4)),"",$O$2&amp;"")</f>
        <v/>
      </c>
      <c r="W776" s="47"/>
      <c r="X776" s="1" t="str">
        <f t="shared" ref="X776:X839" si="228">IF(NOT(AND($P$3&lt;=B776,B776&lt;=$P$4)),"",$P$2&amp;"")</f>
        <v/>
      </c>
      <c r="Y776" s="47"/>
      <c r="Z776" s="1" t="str">
        <f t="shared" ref="Z776:Z839" si="229">IF(NOT(AND($Q$3&lt;=B776,B776&lt;=$Q$4)),"",$Q$2&amp;"")</f>
        <v/>
      </c>
      <c r="AA776" s="47"/>
      <c r="AB776" s="1" t="str">
        <f t="shared" ref="AB776:AB839" si="230">IF(NOT(AND($R$3&lt;=B776,B776&lt;=$R$4)),"",$R$2&amp;"")</f>
        <v/>
      </c>
      <c r="AC776" s="47"/>
      <c r="AD776" s="1" t="str">
        <f t="shared" ref="AD776:AD839" si="231">IF(NOT(AND($S$3&lt;=B776,B776&lt;=$S$4)),"",$S$2&amp;"")</f>
        <v/>
      </c>
      <c r="AE776" s="47"/>
      <c r="AF776" s="1" t="str">
        <f t="shared" ref="AF776:AF839" si="232">IF(NOT(AND($T$3&lt;=B776,B776&lt;=$T$4)),"",$T$2&amp;"")</f>
        <v/>
      </c>
      <c r="AG776" s="47"/>
    </row>
    <row r="777" spans="1:33">
      <c r="A777">
        <f t="shared" si="216"/>
        <v>0</v>
      </c>
      <c r="B777" s="2" t="str">
        <f t="shared" ref="B777:B840" si="233">IFERROR(IF(B776+1&gt;$C$3,"",B776+1),"")</f>
        <v/>
      </c>
      <c r="C777" s="4" t="str">
        <f t="shared" si="217"/>
        <v/>
      </c>
      <c r="D777" s="3" t="str">
        <f t="shared" si="218"/>
        <v/>
      </c>
      <c r="E777" s="47"/>
      <c r="F777" s="3" t="str">
        <f t="shared" si="219"/>
        <v/>
      </c>
      <c r="G777" s="47"/>
      <c r="H777" s="3" t="str">
        <f t="shared" si="220"/>
        <v/>
      </c>
      <c r="I777" s="47"/>
      <c r="J777" s="3" t="str">
        <f t="shared" si="221"/>
        <v/>
      </c>
      <c r="K777" s="47"/>
      <c r="L777" s="3" t="str">
        <f t="shared" si="222"/>
        <v/>
      </c>
      <c r="M777" s="47"/>
      <c r="N777" s="3" t="str">
        <f t="shared" si="223"/>
        <v/>
      </c>
      <c r="O777" s="47"/>
      <c r="P777" s="3" t="str">
        <f t="shared" si="224"/>
        <v/>
      </c>
      <c r="Q777" s="47"/>
      <c r="R777" s="3" t="str">
        <f t="shared" si="225"/>
        <v/>
      </c>
      <c r="S777" s="47"/>
      <c r="T777" s="1" t="str">
        <f t="shared" si="226"/>
        <v/>
      </c>
      <c r="U777" s="47"/>
      <c r="V777" s="1" t="str">
        <f t="shared" si="227"/>
        <v/>
      </c>
      <c r="W777" s="47"/>
      <c r="X777" s="1" t="str">
        <f t="shared" si="228"/>
        <v/>
      </c>
      <c r="Y777" s="47"/>
      <c r="Z777" s="1" t="str">
        <f t="shared" si="229"/>
        <v/>
      </c>
      <c r="AA777" s="47"/>
      <c r="AB777" s="1" t="str">
        <f t="shared" si="230"/>
        <v/>
      </c>
      <c r="AC777" s="47"/>
      <c r="AD777" s="1" t="str">
        <f t="shared" si="231"/>
        <v/>
      </c>
      <c r="AE777" s="47"/>
      <c r="AF777" s="1" t="str">
        <f t="shared" si="232"/>
        <v/>
      </c>
      <c r="AG777" s="47"/>
    </row>
    <row r="778" spans="1:33">
      <c r="A778">
        <f t="shared" si="216"/>
        <v>0</v>
      </c>
      <c r="B778" s="2" t="str">
        <f t="shared" si="233"/>
        <v/>
      </c>
      <c r="C778" s="4" t="str">
        <f t="shared" si="217"/>
        <v/>
      </c>
      <c r="D778" s="3" t="str">
        <f t="shared" si="218"/>
        <v/>
      </c>
      <c r="E778" s="47"/>
      <c r="F778" s="3" t="str">
        <f t="shared" si="219"/>
        <v/>
      </c>
      <c r="G778" s="47"/>
      <c r="H778" s="3" t="str">
        <f t="shared" si="220"/>
        <v/>
      </c>
      <c r="I778" s="47"/>
      <c r="J778" s="3" t="str">
        <f t="shared" si="221"/>
        <v/>
      </c>
      <c r="K778" s="47"/>
      <c r="L778" s="3" t="str">
        <f t="shared" si="222"/>
        <v/>
      </c>
      <c r="M778" s="47"/>
      <c r="N778" s="3" t="str">
        <f t="shared" si="223"/>
        <v/>
      </c>
      <c r="O778" s="47"/>
      <c r="P778" s="3" t="str">
        <f t="shared" si="224"/>
        <v/>
      </c>
      <c r="Q778" s="47"/>
      <c r="R778" s="3" t="str">
        <f t="shared" si="225"/>
        <v/>
      </c>
      <c r="S778" s="47"/>
      <c r="T778" s="1" t="str">
        <f t="shared" si="226"/>
        <v/>
      </c>
      <c r="U778" s="47"/>
      <c r="V778" s="1" t="str">
        <f t="shared" si="227"/>
        <v/>
      </c>
      <c r="W778" s="47"/>
      <c r="X778" s="1" t="str">
        <f t="shared" si="228"/>
        <v/>
      </c>
      <c r="Y778" s="47"/>
      <c r="Z778" s="1" t="str">
        <f t="shared" si="229"/>
        <v/>
      </c>
      <c r="AA778" s="47"/>
      <c r="AB778" s="1" t="str">
        <f t="shared" si="230"/>
        <v/>
      </c>
      <c r="AC778" s="47"/>
      <c r="AD778" s="1" t="str">
        <f t="shared" si="231"/>
        <v/>
      </c>
      <c r="AE778" s="47"/>
      <c r="AF778" s="1" t="str">
        <f t="shared" si="232"/>
        <v/>
      </c>
      <c r="AG778" s="47"/>
    </row>
    <row r="779" spans="1:33">
      <c r="A779">
        <f t="shared" si="216"/>
        <v>0</v>
      </c>
      <c r="B779" s="2" t="str">
        <f t="shared" si="233"/>
        <v/>
      </c>
      <c r="C779" s="4" t="str">
        <f t="shared" si="217"/>
        <v/>
      </c>
      <c r="D779" s="3" t="str">
        <f t="shared" si="218"/>
        <v/>
      </c>
      <c r="E779" s="47"/>
      <c r="F779" s="3" t="str">
        <f t="shared" si="219"/>
        <v/>
      </c>
      <c r="G779" s="47"/>
      <c r="H779" s="3" t="str">
        <f t="shared" si="220"/>
        <v/>
      </c>
      <c r="I779" s="47"/>
      <c r="J779" s="3" t="str">
        <f t="shared" si="221"/>
        <v/>
      </c>
      <c r="K779" s="47"/>
      <c r="L779" s="3" t="str">
        <f t="shared" si="222"/>
        <v/>
      </c>
      <c r="M779" s="47"/>
      <c r="N779" s="3" t="str">
        <f t="shared" si="223"/>
        <v/>
      </c>
      <c r="O779" s="47"/>
      <c r="P779" s="3" t="str">
        <f t="shared" si="224"/>
        <v/>
      </c>
      <c r="Q779" s="47"/>
      <c r="R779" s="3" t="str">
        <f t="shared" si="225"/>
        <v/>
      </c>
      <c r="S779" s="47"/>
      <c r="T779" s="1" t="str">
        <f t="shared" si="226"/>
        <v/>
      </c>
      <c r="U779" s="47"/>
      <c r="V779" s="1" t="str">
        <f t="shared" si="227"/>
        <v/>
      </c>
      <c r="W779" s="47"/>
      <c r="X779" s="1" t="str">
        <f t="shared" si="228"/>
        <v/>
      </c>
      <c r="Y779" s="47"/>
      <c r="Z779" s="1" t="str">
        <f t="shared" si="229"/>
        <v/>
      </c>
      <c r="AA779" s="47"/>
      <c r="AB779" s="1" t="str">
        <f t="shared" si="230"/>
        <v/>
      </c>
      <c r="AC779" s="47"/>
      <c r="AD779" s="1" t="str">
        <f t="shared" si="231"/>
        <v/>
      </c>
      <c r="AE779" s="47"/>
      <c r="AF779" s="1" t="str">
        <f t="shared" si="232"/>
        <v/>
      </c>
      <c r="AG779" s="47"/>
    </row>
    <row r="780" spans="1:33">
      <c r="A780">
        <f t="shared" si="216"/>
        <v>0</v>
      </c>
      <c r="B780" s="2" t="str">
        <f t="shared" si="233"/>
        <v/>
      </c>
      <c r="C780" s="4" t="str">
        <f t="shared" si="217"/>
        <v/>
      </c>
      <c r="D780" s="3" t="str">
        <f t="shared" si="218"/>
        <v/>
      </c>
      <c r="E780" s="47"/>
      <c r="F780" s="3" t="str">
        <f t="shared" si="219"/>
        <v/>
      </c>
      <c r="G780" s="47"/>
      <c r="H780" s="3" t="str">
        <f t="shared" si="220"/>
        <v/>
      </c>
      <c r="I780" s="47"/>
      <c r="J780" s="3" t="str">
        <f t="shared" si="221"/>
        <v/>
      </c>
      <c r="K780" s="47"/>
      <c r="L780" s="3" t="str">
        <f t="shared" si="222"/>
        <v/>
      </c>
      <c r="M780" s="47"/>
      <c r="N780" s="3" t="str">
        <f t="shared" si="223"/>
        <v/>
      </c>
      <c r="O780" s="47"/>
      <c r="P780" s="3" t="str">
        <f t="shared" si="224"/>
        <v/>
      </c>
      <c r="Q780" s="47"/>
      <c r="R780" s="3" t="str">
        <f t="shared" si="225"/>
        <v/>
      </c>
      <c r="S780" s="47"/>
      <c r="T780" s="1" t="str">
        <f t="shared" si="226"/>
        <v/>
      </c>
      <c r="U780" s="47"/>
      <c r="V780" s="1" t="str">
        <f t="shared" si="227"/>
        <v/>
      </c>
      <c r="W780" s="47"/>
      <c r="X780" s="1" t="str">
        <f t="shared" si="228"/>
        <v/>
      </c>
      <c r="Y780" s="47"/>
      <c r="Z780" s="1" t="str">
        <f t="shared" si="229"/>
        <v/>
      </c>
      <c r="AA780" s="47"/>
      <c r="AB780" s="1" t="str">
        <f t="shared" si="230"/>
        <v/>
      </c>
      <c r="AC780" s="47"/>
      <c r="AD780" s="1" t="str">
        <f t="shared" si="231"/>
        <v/>
      </c>
      <c r="AE780" s="47"/>
      <c r="AF780" s="1" t="str">
        <f t="shared" si="232"/>
        <v/>
      </c>
      <c r="AG780" s="47"/>
    </row>
    <row r="781" spans="1:33">
      <c r="A781">
        <f t="shared" si="216"/>
        <v>0</v>
      </c>
      <c r="B781" s="2" t="str">
        <f t="shared" si="233"/>
        <v/>
      </c>
      <c r="C781" s="4" t="str">
        <f t="shared" si="217"/>
        <v/>
      </c>
      <c r="D781" s="3" t="str">
        <f t="shared" si="218"/>
        <v/>
      </c>
      <c r="E781" s="47"/>
      <c r="F781" s="3" t="str">
        <f t="shared" si="219"/>
        <v/>
      </c>
      <c r="G781" s="47"/>
      <c r="H781" s="3" t="str">
        <f t="shared" si="220"/>
        <v/>
      </c>
      <c r="I781" s="47"/>
      <c r="J781" s="3" t="str">
        <f t="shared" si="221"/>
        <v/>
      </c>
      <c r="K781" s="47"/>
      <c r="L781" s="3" t="str">
        <f t="shared" si="222"/>
        <v/>
      </c>
      <c r="M781" s="47"/>
      <c r="N781" s="3" t="str">
        <f t="shared" si="223"/>
        <v/>
      </c>
      <c r="O781" s="47"/>
      <c r="P781" s="3" t="str">
        <f t="shared" si="224"/>
        <v/>
      </c>
      <c r="Q781" s="47"/>
      <c r="R781" s="3" t="str">
        <f t="shared" si="225"/>
        <v/>
      </c>
      <c r="S781" s="47"/>
      <c r="T781" s="1" t="str">
        <f t="shared" si="226"/>
        <v/>
      </c>
      <c r="U781" s="47"/>
      <c r="V781" s="1" t="str">
        <f t="shared" si="227"/>
        <v/>
      </c>
      <c r="W781" s="47"/>
      <c r="X781" s="1" t="str">
        <f t="shared" si="228"/>
        <v/>
      </c>
      <c r="Y781" s="47"/>
      <c r="Z781" s="1" t="str">
        <f t="shared" si="229"/>
        <v/>
      </c>
      <c r="AA781" s="47"/>
      <c r="AB781" s="1" t="str">
        <f t="shared" si="230"/>
        <v/>
      </c>
      <c r="AC781" s="47"/>
      <c r="AD781" s="1" t="str">
        <f t="shared" si="231"/>
        <v/>
      </c>
      <c r="AE781" s="47"/>
      <c r="AF781" s="1" t="str">
        <f t="shared" si="232"/>
        <v/>
      </c>
      <c r="AG781" s="47"/>
    </row>
    <row r="782" spans="1:33">
      <c r="A782">
        <f t="shared" si="216"/>
        <v>0</v>
      </c>
      <c r="B782" s="2" t="str">
        <f t="shared" si="233"/>
        <v/>
      </c>
      <c r="C782" s="4" t="str">
        <f t="shared" si="217"/>
        <v/>
      </c>
      <c r="D782" s="3" t="str">
        <f t="shared" si="218"/>
        <v/>
      </c>
      <c r="E782" s="47"/>
      <c r="F782" s="3" t="str">
        <f t="shared" si="219"/>
        <v/>
      </c>
      <c r="G782" s="47"/>
      <c r="H782" s="3" t="str">
        <f t="shared" si="220"/>
        <v/>
      </c>
      <c r="I782" s="47"/>
      <c r="J782" s="3" t="str">
        <f t="shared" si="221"/>
        <v/>
      </c>
      <c r="K782" s="47"/>
      <c r="L782" s="3" t="str">
        <f t="shared" si="222"/>
        <v/>
      </c>
      <c r="M782" s="47"/>
      <c r="N782" s="3" t="str">
        <f t="shared" si="223"/>
        <v/>
      </c>
      <c r="O782" s="47"/>
      <c r="P782" s="3" t="str">
        <f t="shared" si="224"/>
        <v/>
      </c>
      <c r="Q782" s="47"/>
      <c r="R782" s="3" t="str">
        <f t="shared" si="225"/>
        <v/>
      </c>
      <c r="S782" s="47"/>
      <c r="T782" s="1" t="str">
        <f t="shared" si="226"/>
        <v/>
      </c>
      <c r="U782" s="47"/>
      <c r="V782" s="1" t="str">
        <f t="shared" si="227"/>
        <v/>
      </c>
      <c r="W782" s="47"/>
      <c r="X782" s="1" t="str">
        <f t="shared" si="228"/>
        <v/>
      </c>
      <c r="Y782" s="47"/>
      <c r="Z782" s="1" t="str">
        <f t="shared" si="229"/>
        <v/>
      </c>
      <c r="AA782" s="47"/>
      <c r="AB782" s="1" t="str">
        <f t="shared" si="230"/>
        <v/>
      </c>
      <c r="AC782" s="47"/>
      <c r="AD782" s="1" t="str">
        <f t="shared" si="231"/>
        <v/>
      </c>
      <c r="AE782" s="47"/>
      <c r="AF782" s="1" t="str">
        <f t="shared" si="232"/>
        <v/>
      </c>
      <c r="AG782" s="47"/>
    </row>
    <row r="783" spans="1:33">
      <c r="A783">
        <f t="shared" si="216"/>
        <v>0</v>
      </c>
      <c r="B783" s="2" t="str">
        <f t="shared" si="233"/>
        <v/>
      </c>
      <c r="C783" s="4" t="str">
        <f t="shared" si="217"/>
        <v/>
      </c>
      <c r="D783" s="3" t="str">
        <f t="shared" si="218"/>
        <v/>
      </c>
      <c r="E783" s="47"/>
      <c r="F783" s="3" t="str">
        <f t="shared" si="219"/>
        <v/>
      </c>
      <c r="G783" s="47"/>
      <c r="H783" s="3" t="str">
        <f t="shared" si="220"/>
        <v/>
      </c>
      <c r="I783" s="47"/>
      <c r="J783" s="3" t="str">
        <f t="shared" si="221"/>
        <v/>
      </c>
      <c r="K783" s="47"/>
      <c r="L783" s="3" t="str">
        <f t="shared" si="222"/>
        <v/>
      </c>
      <c r="M783" s="47"/>
      <c r="N783" s="3" t="str">
        <f t="shared" si="223"/>
        <v/>
      </c>
      <c r="O783" s="47"/>
      <c r="P783" s="3" t="str">
        <f t="shared" si="224"/>
        <v/>
      </c>
      <c r="Q783" s="47"/>
      <c r="R783" s="3" t="str">
        <f t="shared" si="225"/>
        <v/>
      </c>
      <c r="S783" s="47"/>
      <c r="T783" s="1" t="str">
        <f t="shared" si="226"/>
        <v/>
      </c>
      <c r="U783" s="47"/>
      <c r="V783" s="1" t="str">
        <f t="shared" si="227"/>
        <v/>
      </c>
      <c r="W783" s="47"/>
      <c r="X783" s="1" t="str">
        <f t="shared" si="228"/>
        <v/>
      </c>
      <c r="Y783" s="47"/>
      <c r="Z783" s="1" t="str">
        <f t="shared" si="229"/>
        <v/>
      </c>
      <c r="AA783" s="47"/>
      <c r="AB783" s="1" t="str">
        <f t="shared" si="230"/>
        <v/>
      </c>
      <c r="AC783" s="47"/>
      <c r="AD783" s="1" t="str">
        <f t="shared" si="231"/>
        <v/>
      </c>
      <c r="AE783" s="47"/>
      <c r="AF783" s="1" t="str">
        <f t="shared" si="232"/>
        <v/>
      </c>
      <c r="AG783" s="47"/>
    </row>
    <row r="784" spans="1:33">
      <c r="A784">
        <f t="shared" si="216"/>
        <v>0</v>
      </c>
      <c r="B784" s="2" t="str">
        <f t="shared" si="233"/>
        <v/>
      </c>
      <c r="C784" s="4" t="str">
        <f t="shared" si="217"/>
        <v/>
      </c>
      <c r="D784" s="3" t="str">
        <f t="shared" si="218"/>
        <v/>
      </c>
      <c r="E784" s="47"/>
      <c r="F784" s="3" t="str">
        <f t="shared" si="219"/>
        <v/>
      </c>
      <c r="G784" s="47"/>
      <c r="H784" s="3" t="str">
        <f t="shared" si="220"/>
        <v/>
      </c>
      <c r="I784" s="47"/>
      <c r="J784" s="3" t="str">
        <f t="shared" si="221"/>
        <v/>
      </c>
      <c r="K784" s="47"/>
      <c r="L784" s="3" t="str">
        <f t="shared" si="222"/>
        <v/>
      </c>
      <c r="M784" s="47"/>
      <c r="N784" s="3" t="str">
        <f t="shared" si="223"/>
        <v/>
      </c>
      <c r="O784" s="47"/>
      <c r="P784" s="3" t="str">
        <f t="shared" si="224"/>
        <v/>
      </c>
      <c r="Q784" s="47"/>
      <c r="R784" s="3" t="str">
        <f t="shared" si="225"/>
        <v/>
      </c>
      <c r="S784" s="47"/>
      <c r="T784" s="1" t="str">
        <f t="shared" si="226"/>
        <v/>
      </c>
      <c r="U784" s="47"/>
      <c r="V784" s="1" t="str">
        <f t="shared" si="227"/>
        <v/>
      </c>
      <c r="W784" s="47"/>
      <c r="X784" s="1" t="str">
        <f t="shared" si="228"/>
        <v/>
      </c>
      <c r="Y784" s="47"/>
      <c r="Z784" s="1" t="str">
        <f t="shared" si="229"/>
        <v/>
      </c>
      <c r="AA784" s="47"/>
      <c r="AB784" s="1" t="str">
        <f t="shared" si="230"/>
        <v/>
      </c>
      <c r="AC784" s="47"/>
      <c r="AD784" s="1" t="str">
        <f t="shared" si="231"/>
        <v/>
      </c>
      <c r="AE784" s="47"/>
      <c r="AF784" s="1" t="str">
        <f t="shared" si="232"/>
        <v/>
      </c>
      <c r="AG784" s="47"/>
    </row>
    <row r="785" spans="1:33">
      <c r="A785">
        <f t="shared" si="216"/>
        <v>0</v>
      </c>
      <c r="B785" s="2" t="str">
        <f t="shared" si="233"/>
        <v/>
      </c>
      <c r="C785" s="4" t="str">
        <f t="shared" si="217"/>
        <v/>
      </c>
      <c r="D785" s="3" t="str">
        <f t="shared" si="218"/>
        <v/>
      </c>
      <c r="E785" s="47"/>
      <c r="F785" s="3" t="str">
        <f t="shared" si="219"/>
        <v/>
      </c>
      <c r="G785" s="47"/>
      <c r="H785" s="3" t="str">
        <f t="shared" si="220"/>
        <v/>
      </c>
      <c r="I785" s="47"/>
      <c r="J785" s="3" t="str">
        <f t="shared" si="221"/>
        <v/>
      </c>
      <c r="K785" s="47"/>
      <c r="L785" s="3" t="str">
        <f t="shared" si="222"/>
        <v/>
      </c>
      <c r="M785" s="47"/>
      <c r="N785" s="3" t="str">
        <f t="shared" si="223"/>
        <v/>
      </c>
      <c r="O785" s="47"/>
      <c r="P785" s="3" t="str">
        <f t="shared" si="224"/>
        <v/>
      </c>
      <c r="Q785" s="47"/>
      <c r="R785" s="3" t="str">
        <f t="shared" si="225"/>
        <v/>
      </c>
      <c r="S785" s="47"/>
      <c r="T785" s="1" t="str">
        <f t="shared" si="226"/>
        <v/>
      </c>
      <c r="U785" s="47"/>
      <c r="V785" s="1" t="str">
        <f t="shared" si="227"/>
        <v/>
      </c>
      <c r="W785" s="47"/>
      <c r="X785" s="1" t="str">
        <f t="shared" si="228"/>
        <v/>
      </c>
      <c r="Y785" s="47"/>
      <c r="Z785" s="1" t="str">
        <f t="shared" si="229"/>
        <v/>
      </c>
      <c r="AA785" s="47"/>
      <c r="AB785" s="1" t="str">
        <f t="shared" si="230"/>
        <v/>
      </c>
      <c r="AC785" s="47"/>
      <c r="AD785" s="1" t="str">
        <f t="shared" si="231"/>
        <v/>
      </c>
      <c r="AE785" s="47"/>
      <c r="AF785" s="1" t="str">
        <f t="shared" si="232"/>
        <v/>
      </c>
      <c r="AG785" s="47"/>
    </row>
    <row r="786" spans="1:33">
      <c r="A786">
        <f t="shared" si="216"/>
        <v>0</v>
      </c>
      <c r="B786" s="2" t="str">
        <f t="shared" si="233"/>
        <v/>
      </c>
      <c r="C786" s="4" t="str">
        <f t="shared" si="217"/>
        <v/>
      </c>
      <c r="D786" s="3" t="str">
        <f t="shared" si="218"/>
        <v/>
      </c>
      <c r="E786" s="47"/>
      <c r="F786" s="3" t="str">
        <f t="shared" si="219"/>
        <v/>
      </c>
      <c r="G786" s="47"/>
      <c r="H786" s="3" t="str">
        <f t="shared" si="220"/>
        <v/>
      </c>
      <c r="I786" s="47"/>
      <c r="J786" s="3" t="str">
        <f t="shared" si="221"/>
        <v/>
      </c>
      <c r="K786" s="47"/>
      <c r="L786" s="3" t="str">
        <f t="shared" si="222"/>
        <v/>
      </c>
      <c r="M786" s="47"/>
      <c r="N786" s="3" t="str">
        <f t="shared" si="223"/>
        <v/>
      </c>
      <c r="O786" s="47"/>
      <c r="P786" s="3" t="str">
        <f t="shared" si="224"/>
        <v/>
      </c>
      <c r="Q786" s="47"/>
      <c r="R786" s="3" t="str">
        <f t="shared" si="225"/>
        <v/>
      </c>
      <c r="S786" s="47"/>
      <c r="T786" s="1" t="str">
        <f t="shared" si="226"/>
        <v/>
      </c>
      <c r="U786" s="47"/>
      <c r="V786" s="1" t="str">
        <f t="shared" si="227"/>
        <v/>
      </c>
      <c r="W786" s="47"/>
      <c r="X786" s="1" t="str">
        <f t="shared" si="228"/>
        <v/>
      </c>
      <c r="Y786" s="47"/>
      <c r="Z786" s="1" t="str">
        <f t="shared" si="229"/>
        <v/>
      </c>
      <c r="AA786" s="47"/>
      <c r="AB786" s="1" t="str">
        <f t="shared" si="230"/>
        <v/>
      </c>
      <c r="AC786" s="47"/>
      <c r="AD786" s="1" t="str">
        <f t="shared" si="231"/>
        <v/>
      </c>
      <c r="AE786" s="47"/>
      <c r="AF786" s="1" t="str">
        <f t="shared" si="232"/>
        <v/>
      </c>
      <c r="AG786" s="47"/>
    </row>
    <row r="787" spans="1:33">
      <c r="A787">
        <f t="shared" si="216"/>
        <v>0</v>
      </c>
      <c r="B787" s="2" t="str">
        <f t="shared" si="233"/>
        <v/>
      </c>
      <c r="C787" s="4" t="str">
        <f t="shared" si="217"/>
        <v/>
      </c>
      <c r="D787" s="3" t="str">
        <f t="shared" si="218"/>
        <v/>
      </c>
      <c r="E787" s="47"/>
      <c r="F787" s="3" t="str">
        <f t="shared" si="219"/>
        <v/>
      </c>
      <c r="G787" s="47"/>
      <c r="H787" s="3" t="str">
        <f t="shared" si="220"/>
        <v/>
      </c>
      <c r="I787" s="47"/>
      <c r="J787" s="3" t="str">
        <f t="shared" si="221"/>
        <v/>
      </c>
      <c r="K787" s="47"/>
      <c r="L787" s="3" t="str">
        <f t="shared" si="222"/>
        <v/>
      </c>
      <c r="M787" s="47"/>
      <c r="N787" s="3" t="str">
        <f t="shared" si="223"/>
        <v/>
      </c>
      <c r="O787" s="47"/>
      <c r="P787" s="3" t="str">
        <f t="shared" si="224"/>
        <v/>
      </c>
      <c r="Q787" s="47"/>
      <c r="R787" s="3" t="str">
        <f t="shared" si="225"/>
        <v/>
      </c>
      <c r="S787" s="47"/>
      <c r="T787" s="1" t="str">
        <f t="shared" si="226"/>
        <v/>
      </c>
      <c r="U787" s="47"/>
      <c r="V787" s="1" t="str">
        <f t="shared" si="227"/>
        <v/>
      </c>
      <c r="W787" s="47"/>
      <c r="X787" s="1" t="str">
        <f t="shared" si="228"/>
        <v/>
      </c>
      <c r="Y787" s="47"/>
      <c r="Z787" s="1" t="str">
        <f t="shared" si="229"/>
        <v/>
      </c>
      <c r="AA787" s="47"/>
      <c r="AB787" s="1" t="str">
        <f t="shared" si="230"/>
        <v/>
      </c>
      <c r="AC787" s="47"/>
      <c r="AD787" s="1" t="str">
        <f t="shared" si="231"/>
        <v/>
      </c>
      <c r="AE787" s="47"/>
      <c r="AF787" s="1" t="str">
        <f t="shared" si="232"/>
        <v/>
      </c>
      <c r="AG787" s="47"/>
    </row>
    <row r="788" spans="1:33">
      <c r="A788">
        <f t="shared" si="216"/>
        <v>0</v>
      </c>
      <c r="B788" s="2" t="str">
        <f t="shared" si="233"/>
        <v/>
      </c>
      <c r="C788" s="4" t="str">
        <f t="shared" si="217"/>
        <v/>
      </c>
      <c r="D788" s="3" t="str">
        <f t="shared" si="218"/>
        <v/>
      </c>
      <c r="E788" s="47"/>
      <c r="F788" s="3" t="str">
        <f t="shared" si="219"/>
        <v/>
      </c>
      <c r="G788" s="47"/>
      <c r="H788" s="3" t="str">
        <f t="shared" si="220"/>
        <v/>
      </c>
      <c r="I788" s="47"/>
      <c r="J788" s="3" t="str">
        <f t="shared" si="221"/>
        <v/>
      </c>
      <c r="K788" s="47"/>
      <c r="L788" s="3" t="str">
        <f t="shared" si="222"/>
        <v/>
      </c>
      <c r="M788" s="47"/>
      <c r="N788" s="3" t="str">
        <f t="shared" si="223"/>
        <v/>
      </c>
      <c r="O788" s="47"/>
      <c r="P788" s="3" t="str">
        <f t="shared" si="224"/>
        <v/>
      </c>
      <c r="Q788" s="47"/>
      <c r="R788" s="3" t="str">
        <f t="shared" si="225"/>
        <v/>
      </c>
      <c r="S788" s="47"/>
      <c r="T788" s="1" t="str">
        <f t="shared" si="226"/>
        <v/>
      </c>
      <c r="U788" s="47"/>
      <c r="V788" s="1" t="str">
        <f t="shared" si="227"/>
        <v/>
      </c>
      <c r="W788" s="47"/>
      <c r="X788" s="1" t="str">
        <f t="shared" si="228"/>
        <v/>
      </c>
      <c r="Y788" s="47"/>
      <c r="Z788" s="1" t="str">
        <f t="shared" si="229"/>
        <v/>
      </c>
      <c r="AA788" s="47"/>
      <c r="AB788" s="1" t="str">
        <f t="shared" si="230"/>
        <v/>
      </c>
      <c r="AC788" s="47"/>
      <c r="AD788" s="1" t="str">
        <f t="shared" si="231"/>
        <v/>
      </c>
      <c r="AE788" s="47"/>
      <c r="AF788" s="1" t="str">
        <f t="shared" si="232"/>
        <v/>
      </c>
      <c r="AG788" s="47"/>
    </row>
    <row r="789" spans="1:33">
      <c r="A789">
        <f t="shared" si="216"/>
        <v>0</v>
      </c>
      <c r="B789" s="2" t="str">
        <f t="shared" si="233"/>
        <v/>
      </c>
      <c r="C789" s="4" t="str">
        <f t="shared" si="217"/>
        <v/>
      </c>
      <c r="D789" s="3" t="str">
        <f t="shared" si="218"/>
        <v/>
      </c>
      <c r="E789" s="47"/>
      <c r="F789" s="3" t="str">
        <f t="shared" si="219"/>
        <v/>
      </c>
      <c r="G789" s="47"/>
      <c r="H789" s="3" t="str">
        <f t="shared" si="220"/>
        <v/>
      </c>
      <c r="I789" s="47"/>
      <c r="J789" s="3" t="str">
        <f t="shared" si="221"/>
        <v/>
      </c>
      <c r="K789" s="47"/>
      <c r="L789" s="3" t="str">
        <f t="shared" si="222"/>
        <v/>
      </c>
      <c r="M789" s="47"/>
      <c r="N789" s="3" t="str">
        <f t="shared" si="223"/>
        <v/>
      </c>
      <c r="O789" s="47"/>
      <c r="P789" s="3" t="str">
        <f t="shared" si="224"/>
        <v/>
      </c>
      <c r="Q789" s="47"/>
      <c r="R789" s="3" t="str">
        <f t="shared" si="225"/>
        <v/>
      </c>
      <c r="S789" s="47"/>
      <c r="T789" s="1" t="str">
        <f t="shared" si="226"/>
        <v/>
      </c>
      <c r="U789" s="47"/>
      <c r="V789" s="1" t="str">
        <f t="shared" si="227"/>
        <v/>
      </c>
      <c r="W789" s="47"/>
      <c r="X789" s="1" t="str">
        <f t="shared" si="228"/>
        <v/>
      </c>
      <c r="Y789" s="47"/>
      <c r="Z789" s="1" t="str">
        <f t="shared" si="229"/>
        <v/>
      </c>
      <c r="AA789" s="47"/>
      <c r="AB789" s="1" t="str">
        <f t="shared" si="230"/>
        <v/>
      </c>
      <c r="AC789" s="47"/>
      <c r="AD789" s="1" t="str">
        <f t="shared" si="231"/>
        <v/>
      </c>
      <c r="AE789" s="47"/>
      <c r="AF789" s="1" t="str">
        <f t="shared" si="232"/>
        <v/>
      </c>
      <c r="AG789" s="47"/>
    </row>
    <row r="790" spans="1:33">
      <c r="A790">
        <f t="shared" si="216"/>
        <v>0</v>
      </c>
      <c r="B790" s="2" t="str">
        <f t="shared" si="233"/>
        <v/>
      </c>
      <c r="C790" s="4" t="str">
        <f t="shared" si="217"/>
        <v/>
      </c>
      <c r="D790" s="3" t="str">
        <f t="shared" si="218"/>
        <v/>
      </c>
      <c r="E790" s="47"/>
      <c r="F790" s="3" t="str">
        <f t="shared" si="219"/>
        <v/>
      </c>
      <c r="G790" s="47"/>
      <c r="H790" s="3" t="str">
        <f t="shared" si="220"/>
        <v/>
      </c>
      <c r="I790" s="47"/>
      <c r="J790" s="3" t="str">
        <f t="shared" si="221"/>
        <v/>
      </c>
      <c r="K790" s="47"/>
      <c r="L790" s="3" t="str">
        <f t="shared" si="222"/>
        <v/>
      </c>
      <c r="M790" s="47"/>
      <c r="N790" s="3" t="str">
        <f t="shared" si="223"/>
        <v/>
      </c>
      <c r="O790" s="47"/>
      <c r="P790" s="3" t="str">
        <f t="shared" si="224"/>
        <v/>
      </c>
      <c r="Q790" s="47"/>
      <c r="R790" s="3" t="str">
        <f t="shared" si="225"/>
        <v/>
      </c>
      <c r="S790" s="47"/>
      <c r="T790" s="1" t="str">
        <f t="shared" si="226"/>
        <v/>
      </c>
      <c r="U790" s="47"/>
      <c r="V790" s="1" t="str">
        <f t="shared" si="227"/>
        <v/>
      </c>
      <c r="W790" s="47"/>
      <c r="X790" s="1" t="str">
        <f t="shared" si="228"/>
        <v/>
      </c>
      <c r="Y790" s="47"/>
      <c r="Z790" s="1" t="str">
        <f t="shared" si="229"/>
        <v/>
      </c>
      <c r="AA790" s="47"/>
      <c r="AB790" s="1" t="str">
        <f t="shared" si="230"/>
        <v/>
      </c>
      <c r="AC790" s="47"/>
      <c r="AD790" s="1" t="str">
        <f t="shared" si="231"/>
        <v/>
      </c>
      <c r="AE790" s="47"/>
      <c r="AF790" s="1" t="str">
        <f t="shared" si="232"/>
        <v/>
      </c>
      <c r="AG790" s="47"/>
    </row>
    <row r="791" spans="1:33">
      <c r="A791">
        <f t="shared" si="216"/>
        <v>0</v>
      </c>
      <c r="B791" s="2" t="str">
        <f t="shared" si="233"/>
        <v/>
      </c>
      <c r="C791" s="4" t="str">
        <f t="shared" si="217"/>
        <v/>
      </c>
      <c r="D791" s="3" t="str">
        <f t="shared" si="218"/>
        <v/>
      </c>
      <c r="E791" s="47"/>
      <c r="F791" s="3" t="str">
        <f t="shared" si="219"/>
        <v/>
      </c>
      <c r="G791" s="47"/>
      <c r="H791" s="3" t="str">
        <f t="shared" si="220"/>
        <v/>
      </c>
      <c r="I791" s="47"/>
      <c r="J791" s="3" t="str">
        <f t="shared" si="221"/>
        <v/>
      </c>
      <c r="K791" s="47"/>
      <c r="L791" s="3" t="str">
        <f t="shared" si="222"/>
        <v/>
      </c>
      <c r="M791" s="47"/>
      <c r="N791" s="3" t="str">
        <f t="shared" si="223"/>
        <v/>
      </c>
      <c r="O791" s="47"/>
      <c r="P791" s="3" t="str">
        <f t="shared" si="224"/>
        <v/>
      </c>
      <c r="Q791" s="47"/>
      <c r="R791" s="3" t="str">
        <f t="shared" si="225"/>
        <v/>
      </c>
      <c r="S791" s="47"/>
      <c r="T791" s="1" t="str">
        <f t="shared" si="226"/>
        <v/>
      </c>
      <c r="U791" s="47"/>
      <c r="V791" s="1" t="str">
        <f t="shared" si="227"/>
        <v/>
      </c>
      <c r="W791" s="47"/>
      <c r="X791" s="1" t="str">
        <f t="shared" si="228"/>
        <v/>
      </c>
      <c r="Y791" s="47"/>
      <c r="Z791" s="1" t="str">
        <f t="shared" si="229"/>
        <v/>
      </c>
      <c r="AA791" s="47"/>
      <c r="AB791" s="1" t="str">
        <f t="shared" si="230"/>
        <v/>
      </c>
      <c r="AC791" s="47"/>
      <c r="AD791" s="1" t="str">
        <f t="shared" si="231"/>
        <v/>
      </c>
      <c r="AE791" s="47"/>
      <c r="AF791" s="1" t="str">
        <f t="shared" si="232"/>
        <v/>
      </c>
      <c r="AG791" s="47"/>
    </row>
    <row r="792" spans="1:33">
      <c r="A792">
        <f t="shared" si="216"/>
        <v>0</v>
      </c>
      <c r="B792" s="2" t="str">
        <f t="shared" si="233"/>
        <v/>
      </c>
      <c r="C792" s="4" t="str">
        <f t="shared" si="217"/>
        <v/>
      </c>
      <c r="D792" s="3" t="str">
        <f t="shared" si="218"/>
        <v/>
      </c>
      <c r="E792" s="47"/>
      <c r="F792" s="3" t="str">
        <f t="shared" si="219"/>
        <v/>
      </c>
      <c r="G792" s="47"/>
      <c r="H792" s="3" t="str">
        <f t="shared" si="220"/>
        <v/>
      </c>
      <c r="I792" s="47"/>
      <c r="J792" s="3" t="str">
        <f t="shared" si="221"/>
        <v/>
      </c>
      <c r="K792" s="47"/>
      <c r="L792" s="3" t="str">
        <f t="shared" si="222"/>
        <v/>
      </c>
      <c r="M792" s="47"/>
      <c r="N792" s="3" t="str">
        <f t="shared" si="223"/>
        <v/>
      </c>
      <c r="O792" s="47"/>
      <c r="P792" s="3" t="str">
        <f t="shared" si="224"/>
        <v/>
      </c>
      <c r="Q792" s="47"/>
      <c r="R792" s="3" t="str">
        <f t="shared" si="225"/>
        <v/>
      </c>
      <c r="S792" s="47"/>
      <c r="T792" s="1" t="str">
        <f t="shared" si="226"/>
        <v/>
      </c>
      <c r="U792" s="47"/>
      <c r="V792" s="1" t="str">
        <f t="shared" si="227"/>
        <v/>
      </c>
      <c r="W792" s="47"/>
      <c r="X792" s="1" t="str">
        <f t="shared" si="228"/>
        <v/>
      </c>
      <c r="Y792" s="47"/>
      <c r="Z792" s="1" t="str">
        <f t="shared" si="229"/>
        <v/>
      </c>
      <c r="AA792" s="47"/>
      <c r="AB792" s="1" t="str">
        <f t="shared" si="230"/>
        <v/>
      </c>
      <c r="AC792" s="47"/>
      <c r="AD792" s="1" t="str">
        <f t="shared" si="231"/>
        <v/>
      </c>
      <c r="AE792" s="47"/>
      <c r="AF792" s="1" t="str">
        <f t="shared" si="232"/>
        <v/>
      </c>
      <c r="AG792" s="47"/>
    </row>
    <row r="793" spans="1:33">
      <c r="A793">
        <f t="shared" si="216"/>
        <v>0</v>
      </c>
      <c r="B793" s="2" t="str">
        <f t="shared" si="233"/>
        <v/>
      </c>
      <c r="C793" s="4" t="str">
        <f t="shared" si="217"/>
        <v/>
      </c>
      <c r="D793" s="3" t="str">
        <f t="shared" si="218"/>
        <v/>
      </c>
      <c r="E793" s="47"/>
      <c r="F793" s="3" t="str">
        <f t="shared" si="219"/>
        <v/>
      </c>
      <c r="G793" s="47"/>
      <c r="H793" s="3" t="str">
        <f t="shared" si="220"/>
        <v/>
      </c>
      <c r="I793" s="47"/>
      <c r="J793" s="3" t="str">
        <f t="shared" si="221"/>
        <v/>
      </c>
      <c r="K793" s="47"/>
      <c r="L793" s="3" t="str">
        <f t="shared" si="222"/>
        <v/>
      </c>
      <c r="M793" s="47"/>
      <c r="N793" s="3" t="str">
        <f t="shared" si="223"/>
        <v/>
      </c>
      <c r="O793" s="47"/>
      <c r="P793" s="3" t="str">
        <f t="shared" si="224"/>
        <v/>
      </c>
      <c r="Q793" s="47"/>
      <c r="R793" s="3" t="str">
        <f t="shared" si="225"/>
        <v/>
      </c>
      <c r="S793" s="47"/>
      <c r="T793" s="1" t="str">
        <f t="shared" si="226"/>
        <v/>
      </c>
      <c r="U793" s="47"/>
      <c r="V793" s="1" t="str">
        <f t="shared" si="227"/>
        <v/>
      </c>
      <c r="W793" s="47"/>
      <c r="X793" s="1" t="str">
        <f t="shared" si="228"/>
        <v/>
      </c>
      <c r="Y793" s="47"/>
      <c r="Z793" s="1" t="str">
        <f t="shared" si="229"/>
        <v/>
      </c>
      <c r="AA793" s="47"/>
      <c r="AB793" s="1" t="str">
        <f t="shared" si="230"/>
        <v/>
      </c>
      <c r="AC793" s="47"/>
      <c r="AD793" s="1" t="str">
        <f t="shared" si="231"/>
        <v/>
      </c>
      <c r="AE793" s="47"/>
      <c r="AF793" s="1" t="str">
        <f t="shared" si="232"/>
        <v/>
      </c>
      <c r="AG793" s="47"/>
    </row>
    <row r="794" spans="1:33">
      <c r="A794">
        <f t="shared" si="216"/>
        <v>0</v>
      </c>
      <c r="B794" s="2" t="str">
        <f t="shared" si="233"/>
        <v/>
      </c>
      <c r="C794" s="4" t="str">
        <f t="shared" si="217"/>
        <v/>
      </c>
      <c r="D794" s="3" t="str">
        <f t="shared" si="218"/>
        <v/>
      </c>
      <c r="E794" s="47"/>
      <c r="F794" s="3" t="str">
        <f t="shared" si="219"/>
        <v/>
      </c>
      <c r="G794" s="47"/>
      <c r="H794" s="3" t="str">
        <f t="shared" si="220"/>
        <v/>
      </c>
      <c r="I794" s="47"/>
      <c r="J794" s="3" t="str">
        <f t="shared" si="221"/>
        <v/>
      </c>
      <c r="K794" s="47"/>
      <c r="L794" s="3" t="str">
        <f t="shared" si="222"/>
        <v/>
      </c>
      <c r="M794" s="47"/>
      <c r="N794" s="3" t="str">
        <f t="shared" si="223"/>
        <v/>
      </c>
      <c r="O794" s="47"/>
      <c r="P794" s="3" t="str">
        <f t="shared" si="224"/>
        <v/>
      </c>
      <c r="Q794" s="47"/>
      <c r="R794" s="3" t="str">
        <f t="shared" si="225"/>
        <v/>
      </c>
      <c r="S794" s="47"/>
      <c r="T794" s="1" t="str">
        <f t="shared" si="226"/>
        <v/>
      </c>
      <c r="U794" s="47"/>
      <c r="V794" s="1" t="str">
        <f t="shared" si="227"/>
        <v/>
      </c>
      <c r="W794" s="47"/>
      <c r="X794" s="1" t="str">
        <f t="shared" si="228"/>
        <v/>
      </c>
      <c r="Y794" s="47"/>
      <c r="Z794" s="1" t="str">
        <f t="shared" si="229"/>
        <v/>
      </c>
      <c r="AA794" s="47"/>
      <c r="AB794" s="1" t="str">
        <f t="shared" si="230"/>
        <v/>
      </c>
      <c r="AC794" s="47"/>
      <c r="AD794" s="1" t="str">
        <f t="shared" si="231"/>
        <v/>
      </c>
      <c r="AE794" s="47"/>
      <c r="AF794" s="1" t="str">
        <f t="shared" si="232"/>
        <v/>
      </c>
      <c r="AG794" s="47"/>
    </row>
    <row r="795" spans="1:33">
      <c r="A795">
        <f t="shared" si="216"/>
        <v>0</v>
      </c>
      <c r="B795" s="2" t="str">
        <f t="shared" si="233"/>
        <v/>
      </c>
      <c r="C795" s="4" t="str">
        <f t="shared" si="217"/>
        <v/>
      </c>
      <c r="D795" s="3" t="str">
        <f t="shared" si="218"/>
        <v/>
      </c>
      <c r="E795" s="47"/>
      <c r="F795" s="3" t="str">
        <f t="shared" si="219"/>
        <v/>
      </c>
      <c r="G795" s="47"/>
      <c r="H795" s="3" t="str">
        <f t="shared" si="220"/>
        <v/>
      </c>
      <c r="I795" s="47"/>
      <c r="J795" s="3" t="str">
        <f t="shared" si="221"/>
        <v/>
      </c>
      <c r="K795" s="47"/>
      <c r="L795" s="3" t="str">
        <f t="shared" si="222"/>
        <v/>
      </c>
      <c r="M795" s="47"/>
      <c r="N795" s="3" t="str">
        <f t="shared" si="223"/>
        <v/>
      </c>
      <c r="O795" s="47"/>
      <c r="P795" s="3" t="str">
        <f t="shared" si="224"/>
        <v/>
      </c>
      <c r="Q795" s="47"/>
      <c r="R795" s="3" t="str">
        <f t="shared" si="225"/>
        <v/>
      </c>
      <c r="S795" s="47"/>
      <c r="T795" s="1" t="str">
        <f t="shared" si="226"/>
        <v/>
      </c>
      <c r="U795" s="47"/>
      <c r="V795" s="1" t="str">
        <f t="shared" si="227"/>
        <v/>
      </c>
      <c r="W795" s="47"/>
      <c r="X795" s="1" t="str">
        <f t="shared" si="228"/>
        <v/>
      </c>
      <c r="Y795" s="47"/>
      <c r="Z795" s="1" t="str">
        <f t="shared" si="229"/>
        <v/>
      </c>
      <c r="AA795" s="47"/>
      <c r="AB795" s="1" t="str">
        <f t="shared" si="230"/>
        <v/>
      </c>
      <c r="AC795" s="47"/>
      <c r="AD795" s="1" t="str">
        <f t="shared" si="231"/>
        <v/>
      </c>
      <c r="AE795" s="47"/>
      <c r="AF795" s="1" t="str">
        <f t="shared" si="232"/>
        <v/>
      </c>
      <c r="AG795" s="47"/>
    </row>
    <row r="796" spans="1:33">
      <c r="A796">
        <f t="shared" si="216"/>
        <v>0</v>
      </c>
      <c r="B796" s="2" t="str">
        <f t="shared" si="233"/>
        <v/>
      </c>
      <c r="C796" s="4" t="str">
        <f t="shared" si="217"/>
        <v/>
      </c>
      <c r="D796" s="3" t="str">
        <f t="shared" si="218"/>
        <v/>
      </c>
      <c r="E796" s="47"/>
      <c r="F796" s="3" t="str">
        <f t="shared" si="219"/>
        <v/>
      </c>
      <c r="G796" s="47"/>
      <c r="H796" s="3" t="str">
        <f t="shared" si="220"/>
        <v/>
      </c>
      <c r="I796" s="47"/>
      <c r="J796" s="3" t="str">
        <f t="shared" si="221"/>
        <v/>
      </c>
      <c r="K796" s="47"/>
      <c r="L796" s="3" t="str">
        <f t="shared" si="222"/>
        <v/>
      </c>
      <c r="M796" s="47"/>
      <c r="N796" s="3" t="str">
        <f t="shared" si="223"/>
        <v/>
      </c>
      <c r="O796" s="47"/>
      <c r="P796" s="3" t="str">
        <f t="shared" si="224"/>
        <v/>
      </c>
      <c r="Q796" s="47"/>
      <c r="R796" s="3" t="str">
        <f t="shared" si="225"/>
        <v/>
      </c>
      <c r="S796" s="47"/>
      <c r="T796" s="1" t="str">
        <f t="shared" si="226"/>
        <v/>
      </c>
      <c r="U796" s="47"/>
      <c r="V796" s="1" t="str">
        <f t="shared" si="227"/>
        <v/>
      </c>
      <c r="W796" s="47"/>
      <c r="X796" s="1" t="str">
        <f t="shared" si="228"/>
        <v/>
      </c>
      <c r="Y796" s="47"/>
      <c r="Z796" s="1" t="str">
        <f t="shared" si="229"/>
        <v/>
      </c>
      <c r="AA796" s="47"/>
      <c r="AB796" s="1" t="str">
        <f t="shared" si="230"/>
        <v/>
      </c>
      <c r="AC796" s="47"/>
      <c r="AD796" s="1" t="str">
        <f t="shared" si="231"/>
        <v/>
      </c>
      <c r="AE796" s="47"/>
      <c r="AF796" s="1" t="str">
        <f t="shared" si="232"/>
        <v/>
      </c>
      <c r="AG796" s="47"/>
    </row>
    <row r="797" spans="1:33">
      <c r="A797">
        <f t="shared" si="216"/>
        <v>0</v>
      </c>
      <c r="B797" s="2" t="str">
        <f t="shared" si="233"/>
        <v/>
      </c>
      <c r="C797" s="4" t="str">
        <f t="shared" si="217"/>
        <v/>
      </c>
      <c r="D797" s="3" t="str">
        <f t="shared" si="218"/>
        <v/>
      </c>
      <c r="E797" s="47"/>
      <c r="F797" s="3" t="str">
        <f t="shared" si="219"/>
        <v/>
      </c>
      <c r="G797" s="47"/>
      <c r="H797" s="3" t="str">
        <f t="shared" si="220"/>
        <v/>
      </c>
      <c r="I797" s="47"/>
      <c r="J797" s="3" t="str">
        <f t="shared" si="221"/>
        <v/>
      </c>
      <c r="K797" s="47"/>
      <c r="L797" s="3" t="str">
        <f t="shared" si="222"/>
        <v/>
      </c>
      <c r="M797" s="47"/>
      <c r="N797" s="3" t="str">
        <f t="shared" si="223"/>
        <v/>
      </c>
      <c r="O797" s="47"/>
      <c r="P797" s="3" t="str">
        <f t="shared" si="224"/>
        <v/>
      </c>
      <c r="Q797" s="47"/>
      <c r="R797" s="3" t="str">
        <f t="shared" si="225"/>
        <v/>
      </c>
      <c r="S797" s="47"/>
      <c r="T797" s="1" t="str">
        <f t="shared" si="226"/>
        <v/>
      </c>
      <c r="U797" s="47"/>
      <c r="V797" s="1" t="str">
        <f t="shared" si="227"/>
        <v/>
      </c>
      <c r="W797" s="47"/>
      <c r="X797" s="1" t="str">
        <f t="shared" si="228"/>
        <v/>
      </c>
      <c r="Y797" s="47"/>
      <c r="Z797" s="1" t="str">
        <f t="shared" si="229"/>
        <v/>
      </c>
      <c r="AA797" s="47"/>
      <c r="AB797" s="1" t="str">
        <f t="shared" si="230"/>
        <v/>
      </c>
      <c r="AC797" s="47"/>
      <c r="AD797" s="1" t="str">
        <f t="shared" si="231"/>
        <v/>
      </c>
      <c r="AE797" s="47"/>
      <c r="AF797" s="1" t="str">
        <f t="shared" si="232"/>
        <v/>
      </c>
      <c r="AG797" s="47"/>
    </row>
    <row r="798" spans="1:33">
      <c r="A798">
        <f t="shared" si="216"/>
        <v>0</v>
      </c>
      <c r="B798" s="2" t="str">
        <f t="shared" si="233"/>
        <v/>
      </c>
      <c r="C798" s="4" t="str">
        <f t="shared" si="217"/>
        <v/>
      </c>
      <c r="D798" s="3" t="str">
        <f t="shared" si="218"/>
        <v/>
      </c>
      <c r="E798" s="47"/>
      <c r="F798" s="3" t="str">
        <f t="shared" si="219"/>
        <v/>
      </c>
      <c r="G798" s="47"/>
      <c r="H798" s="3" t="str">
        <f t="shared" si="220"/>
        <v/>
      </c>
      <c r="I798" s="47"/>
      <c r="J798" s="3" t="str">
        <f t="shared" si="221"/>
        <v/>
      </c>
      <c r="K798" s="47"/>
      <c r="L798" s="3" t="str">
        <f t="shared" si="222"/>
        <v/>
      </c>
      <c r="M798" s="47"/>
      <c r="N798" s="3" t="str">
        <f t="shared" si="223"/>
        <v/>
      </c>
      <c r="O798" s="47"/>
      <c r="P798" s="3" t="str">
        <f t="shared" si="224"/>
        <v/>
      </c>
      <c r="Q798" s="47"/>
      <c r="R798" s="3" t="str">
        <f t="shared" si="225"/>
        <v/>
      </c>
      <c r="S798" s="47"/>
      <c r="T798" s="1" t="str">
        <f t="shared" si="226"/>
        <v/>
      </c>
      <c r="U798" s="47"/>
      <c r="V798" s="1" t="str">
        <f t="shared" si="227"/>
        <v/>
      </c>
      <c r="W798" s="47"/>
      <c r="X798" s="1" t="str">
        <f t="shared" si="228"/>
        <v/>
      </c>
      <c r="Y798" s="47"/>
      <c r="Z798" s="1" t="str">
        <f t="shared" si="229"/>
        <v/>
      </c>
      <c r="AA798" s="47"/>
      <c r="AB798" s="1" t="str">
        <f t="shared" si="230"/>
        <v/>
      </c>
      <c r="AC798" s="47"/>
      <c r="AD798" s="1" t="str">
        <f t="shared" si="231"/>
        <v/>
      </c>
      <c r="AE798" s="47"/>
      <c r="AF798" s="1" t="str">
        <f t="shared" si="232"/>
        <v/>
      </c>
      <c r="AG798" s="47"/>
    </row>
    <row r="799" spans="1:33">
      <c r="A799">
        <f t="shared" si="216"/>
        <v>0</v>
      </c>
      <c r="B799" s="2" t="str">
        <f t="shared" si="233"/>
        <v/>
      </c>
      <c r="C799" s="4" t="str">
        <f t="shared" si="217"/>
        <v/>
      </c>
      <c r="D799" s="3" t="str">
        <f t="shared" si="218"/>
        <v/>
      </c>
      <c r="E799" s="47"/>
      <c r="F799" s="3" t="str">
        <f t="shared" si="219"/>
        <v/>
      </c>
      <c r="G799" s="47"/>
      <c r="H799" s="3" t="str">
        <f t="shared" si="220"/>
        <v/>
      </c>
      <c r="I799" s="47"/>
      <c r="J799" s="3" t="str">
        <f t="shared" si="221"/>
        <v/>
      </c>
      <c r="K799" s="47"/>
      <c r="L799" s="3" t="str">
        <f t="shared" si="222"/>
        <v/>
      </c>
      <c r="M799" s="47"/>
      <c r="N799" s="3" t="str">
        <f t="shared" si="223"/>
        <v/>
      </c>
      <c r="O799" s="47"/>
      <c r="P799" s="3" t="str">
        <f t="shared" si="224"/>
        <v/>
      </c>
      <c r="Q799" s="47"/>
      <c r="R799" s="3" t="str">
        <f t="shared" si="225"/>
        <v/>
      </c>
      <c r="S799" s="47"/>
      <c r="T799" s="1" t="str">
        <f t="shared" si="226"/>
        <v/>
      </c>
      <c r="U799" s="47"/>
      <c r="V799" s="1" t="str">
        <f t="shared" si="227"/>
        <v/>
      </c>
      <c r="W799" s="47"/>
      <c r="X799" s="1" t="str">
        <f t="shared" si="228"/>
        <v/>
      </c>
      <c r="Y799" s="47"/>
      <c r="Z799" s="1" t="str">
        <f t="shared" si="229"/>
        <v/>
      </c>
      <c r="AA799" s="47"/>
      <c r="AB799" s="1" t="str">
        <f t="shared" si="230"/>
        <v/>
      </c>
      <c r="AC799" s="47"/>
      <c r="AD799" s="1" t="str">
        <f t="shared" si="231"/>
        <v/>
      </c>
      <c r="AE799" s="47"/>
      <c r="AF799" s="1" t="str">
        <f t="shared" si="232"/>
        <v/>
      </c>
      <c r="AG799" s="47"/>
    </row>
    <row r="800" spans="1:33">
      <c r="A800">
        <f t="shared" si="216"/>
        <v>0</v>
      </c>
      <c r="B800" s="2" t="str">
        <f t="shared" si="233"/>
        <v/>
      </c>
      <c r="C800" s="4" t="str">
        <f t="shared" si="217"/>
        <v/>
      </c>
      <c r="D800" s="3" t="str">
        <f t="shared" si="218"/>
        <v/>
      </c>
      <c r="E800" s="47"/>
      <c r="F800" s="3" t="str">
        <f t="shared" si="219"/>
        <v/>
      </c>
      <c r="G800" s="47"/>
      <c r="H800" s="3" t="str">
        <f t="shared" si="220"/>
        <v/>
      </c>
      <c r="I800" s="47"/>
      <c r="J800" s="3" t="str">
        <f t="shared" si="221"/>
        <v/>
      </c>
      <c r="K800" s="47"/>
      <c r="L800" s="3" t="str">
        <f t="shared" si="222"/>
        <v/>
      </c>
      <c r="M800" s="47"/>
      <c r="N800" s="3" t="str">
        <f t="shared" si="223"/>
        <v/>
      </c>
      <c r="O800" s="47"/>
      <c r="P800" s="3" t="str">
        <f t="shared" si="224"/>
        <v/>
      </c>
      <c r="Q800" s="47"/>
      <c r="R800" s="3" t="str">
        <f t="shared" si="225"/>
        <v/>
      </c>
      <c r="S800" s="47"/>
      <c r="T800" s="1" t="str">
        <f t="shared" si="226"/>
        <v/>
      </c>
      <c r="U800" s="47"/>
      <c r="V800" s="1" t="str">
        <f t="shared" si="227"/>
        <v/>
      </c>
      <c r="W800" s="47"/>
      <c r="X800" s="1" t="str">
        <f t="shared" si="228"/>
        <v/>
      </c>
      <c r="Y800" s="47"/>
      <c r="Z800" s="1" t="str">
        <f t="shared" si="229"/>
        <v/>
      </c>
      <c r="AA800" s="47"/>
      <c r="AB800" s="1" t="str">
        <f t="shared" si="230"/>
        <v/>
      </c>
      <c r="AC800" s="47"/>
      <c r="AD800" s="1" t="str">
        <f t="shared" si="231"/>
        <v/>
      </c>
      <c r="AE800" s="47"/>
      <c r="AF800" s="1" t="str">
        <f t="shared" si="232"/>
        <v/>
      </c>
      <c r="AG800" s="47"/>
    </row>
    <row r="801" spans="1:33">
      <c r="A801">
        <f t="shared" si="216"/>
        <v>0</v>
      </c>
      <c r="B801" s="2" t="str">
        <f t="shared" si="233"/>
        <v/>
      </c>
      <c r="C801" s="4" t="str">
        <f t="shared" si="217"/>
        <v/>
      </c>
      <c r="D801" s="3" t="str">
        <f t="shared" si="218"/>
        <v/>
      </c>
      <c r="E801" s="47"/>
      <c r="F801" s="3" t="str">
        <f t="shared" si="219"/>
        <v/>
      </c>
      <c r="G801" s="47"/>
      <c r="H801" s="3" t="str">
        <f t="shared" si="220"/>
        <v/>
      </c>
      <c r="I801" s="47"/>
      <c r="J801" s="3" t="str">
        <f t="shared" si="221"/>
        <v/>
      </c>
      <c r="K801" s="47"/>
      <c r="L801" s="3" t="str">
        <f t="shared" si="222"/>
        <v/>
      </c>
      <c r="M801" s="47"/>
      <c r="N801" s="3" t="str">
        <f t="shared" si="223"/>
        <v/>
      </c>
      <c r="O801" s="47"/>
      <c r="P801" s="3" t="str">
        <f t="shared" si="224"/>
        <v/>
      </c>
      <c r="Q801" s="47"/>
      <c r="R801" s="3" t="str">
        <f t="shared" si="225"/>
        <v/>
      </c>
      <c r="S801" s="47"/>
      <c r="T801" s="1" t="str">
        <f t="shared" si="226"/>
        <v/>
      </c>
      <c r="U801" s="47"/>
      <c r="V801" s="1" t="str">
        <f t="shared" si="227"/>
        <v/>
      </c>
      <c r="W801" s="47"/>
      <c r="X801" s="1" t="str">
        <f t="shared" si="228"/>
        <v/>
      </c>
      <c r="Y801" s="47"/>
      <c r="Z801" s="1" t="str">
        <f t="shared" si="229"/>
        <v/>
      </c>
      <c r="AA801" s="47"/>
      <c r="AB801" s="1" t="str">
        <f t="shared" si="230"/>
        <v/>
      </c>
      <c r="AC801" s="47"/>
      <c r="AD801" s="1" t="str">
        <f t="shared" si="231"/>
        <v/>
      </c>
      <c r="AE801" s="47"/>
      <c r="AF801" s="1" t="str">
        <f t="shared" si="232"/>
        <v/>
      </c>
      <c r="AG801" s="47"/>
    </row>
    <row r="802" spans="1:33">
      <c r="A802">
        <f t="shared" si="216"/>
        <v>0</v>
      </c>
      <c r="B802" s="2" t="str">
        <f t="shared" si="233"/>
        <v/>
      </c>
      <c r="C802" s="4" t="str">
        <f t="shared" si="217"/>
        <v/>
      </c>
      <c r="D802" s="3" t="str">
        <f t="shared" si="218"/>
        <v/>
      </c>
      <c r="E802" s="47"/>
      <c r="F802" s="3" t="str">
        <f t="shared" si="219"/>
        <v/>
      </c>
      <c r="G802" s="47"/>
      <c r="H802" s="3" t="str">
        <f t="shared" si="220"/>
        <v/>
      </c>
      <c r="I802" s="47"/>
      <c r="J802" s="3" t="str">
        <f t="shared" si="221"/>
        <v/>
      </c>
      <c r="K802" s="47"/>
      <c r="L802" s="3" t="str">
        <f t="shared" si="222"/>
        <v/>
      </c>
      <c r="M802" s="47"/>
      <c r="N802" s="3" t="str">
        <f t="shared" si="223"/>
        <v/>
      </c>
      <c r="O802" s="47"/>
      <c r="P802" s="3" t="str">
        <f t="shared" si="224"/>
        <v/>
      </c>
      <c r="Q802" s="47"/>
      <c r="R802" s="3" t="str">
        <f t="shared" si="225"/>
        <v/>
      </c>
      <c r="S802" s="47"/>
      <c r="T802" s="1" t="str">
        <f t="shared" si="226"/>
        <v/>
      </c>
      <c r="U802" s="47"/>
      <c r="V802" s="1" t="str">
        <f t="shared" si="227"/>
        <v/>
      </c>
      <c r="W802" s="47"/>
      <c r="X802" s="1" t="str">
        <f t="shared" si="228"/>
        <v/>
      </c>
      <c r="Y802" s="47"/>
      <c r="Z802" s="1" t="str">
        <f t="shared" si="229"/>
        <v/>
      </c>
      <c r="AA802" s="47"/>
      <c r="AB802" s="1" t="str">
        <f t="shared" si="230"/>
        <v/>
      </c>
      <c r="AC802" s="47"/>
      <c r="AD802" s="1" t="str">
        <f t="shared" si="231"/>
        <v/>
      </c>
      <c r="AE802" s="47"/>
      <c r="AF802" s="1" t="str">
        <f t="shared" si="232"/>
        <v/>
      </c>
      <c r="AG802" s="47"/>
    </row>
    <row r="803" spans="1:33">
      <c r="A803">
        <f t="shared" si="216"/>
        <v>0</v>
      </c>
      <c r="B803" s="2" t="str">
        <f t="shared" si="233"/>
        <v/>
      </c>
      <c r="C803" s="4" t="str">
        <f t="shared" si="217"/>
        <v/>
      </c>
      <c r="D803" s="3" t="str">
        <f t="shared" si="218"/>
        <v/>
      </c>
      <c r="E803" s="47"/>
      <c r="F803" s="3" t="str">
        <f t="shared" si="219"/>
        <v/>
      </c>
      <c r="G803" s="47"/>
      <c r="H803" s="3" t="str">
        <f t="shared" si="220"/>
        <v/>
      </c>
      <c r="I803" s="47"/>
      <c r="J803" s="3" t="str">
        <f t="shared" si="221"/>
        <v/>
      </c>
      <c r="K803" s="47"/>
      <c r="L803" s="3" t="str">
        <f t="shared" si="222"/>
        <v/>
      </c>
      <c r="M803" s="47"/>
      <c r="N803" s="3" t="str">
        <f t="shared" si="223"/>
        <v/>
      </c>
      <c r="O803" s="47"/>
      <c r="P803" s="3" t="str">
        <f t="shared" si="224"/>
        <v/>
      </c>
      <c r="Q803" s="47"/>
      <c r="R803" s="3" t="str">
        <f t="shared" si="225"/>
        <v/>
      </c>
      <c r="S803" s="47"/>
      <c r="T803" s="1" t="str">
        <f t="shared" si="226"/>
        <v/>
      </c>
      <c r="U803" s="47"/>
      <c r="V803" s="1" t="str">
        <f t="shared" si="227"/>
        <v/>
      </c>
      <c r="W803" s="47"/>
      <c r="X803" s="1" t="str">
        <f t="shared" si="228"/>
        <v/>
      </c>
      <c r="Y803" s="47"/>
      <c r="Z803" s="1" t="str">
        <f t="shared" si="229"/>
        <v/>
      </c>
      <c r="AA803" s="47"/>
      <c r="AB803" s="1" t="str">
        <f t="shared" si="230"/>
        <v/>
      </c>
      <c r="AC803" s="47"/>
      <c r="AD803" s="1" t="str">
        <f t="shared" si="231"/>
        <v/>
      </c>
      <c r="AE803" s="47"/>
      <c r="AF803" s="1" t="str">
        <f t="shared" si="232"/>
        <v/>
      </c>
      <c r="AG803" s="47"/>
    </row>
    <row r="804" spans="1:33">
      <c r="A804">
        <f t="shared" si="216"/>
        <v>0</v>
      </c>
      <c r="B804" s="2" t="str">
        <f t="shared" si="233"/>
        <v/>
      </c>
      <c r="C804" s="4" t="str">
        <f t="shared" si="217"/>
        <v/>
      </c>
      <c r="D804" s="3" t="str">
        <f t="shared" si="218"/>
        <v/>
      </c>
      <c r="E804" s="47"/>
      <c r="F804" s="3" t="str">
        <f t="shared" si="219"/>
        <v/>
      </c>
      <c r="G804" s="47"/>
      <c r="H804" s="3" t="str">
        <f t="shared" si="220"/>
        <v/>
      </c>
      <c r="I804" s="47"/>
      <c r="J804" s="3" t="str">
        <f t="shared" si="221"/>
        <v/>
      </c>
      <c r="K804" s="47"/>
      <c r="L804" s="3" t="str">
        <f t="shared" si="222"/>
        <v/>
      </c>
      <c r="M804" s="47"/>
      <c r="N804" s="3" t="str">
        <f t="shared" si="223"/>
        <v/>
      </c>
      <c r="O804" s="47"/>
      <c r="P804" s="3" t="str">
        <f t="shared" si="224"/>
        <v/>
      </c>
      <c r="Q804" s="47"/>
      <c r="R804" s="3" t="str">
        <f t="shared" si="225"/>
        <v/>
      </c>
      <c r="S804" s="47"/>
      <c r="T804" s="1" t="str">
        <f t="shared" si="226"/>
        <v/>
      </c>
      <c r="U804" s="47"/>
      <c r="V804" s="1" t="str">
        <f t="shared" si="227"/>
        <v/>
      </c>
      <c r="W804" s="47"/>
      <c r="X804" s="1" t="str">
        <f t="shared" si="228"/>
        <v/>
      </c>
      <c r="Y804" s="47"/>
      <c r="Z804" s="1" t="str">
        <f t="shared" si="229"/>
        <v/>
      </c>
      <c r="AA804" s="47"/>
      <c r="AB804" s="1" t="str">
        <f t="shared" si="230"/>
        <v/>
      </c>
      <c r="AC804" s="47"/>
      <c r="AD804" s="1" t="str">
        <f t="shared" si="231"/>
        <v/>
      </c>
      <c r="AE804" s="47"/>
      <c r="AF804" s="1" t="str">
        <f t="shared" si="232"/>
        <v/>
      </c>
      <c r="AG804" s="47"/>
    </row>
    <row r="805" spans="1:33">
      <c r="A805">
        <f t="shared" si="216"/>
        <v>0</v>
      </c>
      <c r="B805" s="2" t="str">
        <f t="shared" si="233"/>
        <v/>
      </c>
      <c r="C805" s="4" t="str">
        <f t="shared" si="217"/>
        <v/>
      </c>
      <c r="D805" s="3" t="str">
        <f t="shared" si="218"/>
        <v/>
      </c>
      <c r="E805" s="47"/>
      <c r="F805" s="3" t="str">
        <f t="shared" si="219"/>
        <v/>
      </c>
      <c r="G805" s="47"/>
      <c r="H805" s="3" t="str">
        <f t="shared" si="220"/>
        <v/>
      </c>
      <c r="I805" s="47"/>
      <c r="J805" s="3" t="str">
        <f t="shared" si="221"/>
        <v/>
      </c>
      <c r="K805" s="47"/>
      <c r="L805" s="3" t="str">
        <f t="shared" si="222"/>
        <v/>
      </c>
      <c r="M805" s="47"/>
      <c r="N805" s="3" t="str">
        <f t="shared" si="223"/>
        <v/>
      </c>
      <c r="O805" s="47"/>
      <c r="P805" s="3" t="str">
        <f t="shared" si="224"/>
        <v/>
      </c>
      <c r="Q805" s="47"/>
      <c r="R805" s="3" t="str">
        <f t="shared" si="225"/>
        <v/>
      </c>
      <c r="S805" s="47"/>
      <c r="T805" s="1" t="str">
        <f t="shared" si="226"/>
        <v/>
      </c>
      <c r="U805" s="47"/>
      <c r="V805" s="1" t="str">
        <f t="shared" si="227"/>
        <v/>
      </c>
      <c r="W805" s="47"/>
      <c r="X805" s="1" t="str">
        <f t="shared" si="228"/>
        <v/>
      </c>
      <c r="Y805" s="47"/>
      <c r="Z805" s="1" t="str">
        <f t="shared" si="229"/>
        <v/>
      </c>
      <c r="AA805" s="47"/>
      <c r="AB805" s="1" t="str">
        <f t="shared" si="230"/>
        <v/>
      </c>
      <c r="AC805" s="47"/>
      <c r="AD805" s="1" t="str">
        <f t="shared" si="231"/>
        <v/>
      </c>
      <c r="AE805" s="47"/>
      <c r="AF805" s="1" t="str">
        <f t="shared" si="232"/>
        <v/>
      </c>
      <c r="AG805" s="47"/>
    </row>
    <row r="806" spans="1:33">
      <c r="A806">
        <f t="shared" si="216"/>
        <v>0</v>
      </c>
      <c r="B806" s="2" t="str">
        <f t="shared" si="233"/>
        <v/>
      </c>
      <c r="C806" s="4" t="str">
        <f t="shared" si="217"/>
        <v/>
      </c>
      <c r="D806" s="3" t="str">
        <f t="shared" si="218"/>
        <v/>
      </c>
      <c r="E806" s="47"/>
      <c r="F806" s="3" t="str">
        <f t="shared" si="219"/>
        <v/>
      </c>
      <c r="G806" s="47"/>
      <c r="H806" s="3" t="str">
        <f t="shared" si="220"/>
        <v/>
      </c>
      <c r="I806" s="47"/>
      <c r="J806" s="3" t="str">
        <f t="shared" si="221"/>
        <v/>
      </c>
      <c r="K806" s="47"/>
      <c r="L806" s="3" t="str">
        <f t="shared" si="222"/>
        <v/>
      </c>
      <c r="M806" s="47"/>
      <c r="N806" s="3" t="str">
        <f t="shared" si="223"/>
        <v/>
      </c>
      <c r="O806" s="47"/>
      <c r="P806" s="3" t="str">
        <f t="shared" si="224"/>
        <v/>
      </c>
      <c r="Q806" s="47"/>
      <c r="R806" s="3" t="str">
        <f t="shared" si="225"/>
        <v/>
      </c>
      <c r="S806" s="47"/>
      <c r="T806" s="1" t="str">
        <f t="shared" si="226"/>
        <v/>
      </c>
      <c r="U806" s="47"/>
      <c r="V806" s="1" t="str">
        <f t="shared" si="227"/>
        <v/>
      </c>
      <c r="W806" s="47"/>
      <c r="X806" s="1" t="str">
        <f t="shared" si="228"/>
        <v/>
      </c>
      <c r="Y806" s="47"/>
      <c r="Z806" s="1" t="str">
        <f t="shared" si="229"/>
        <v/>
      </c>
      <c r="AA806" s="47"/>
      <c r="AB806" s="1" t="str">
        <f t="shared" si="230"/>
        <v/>
      </c>
      <c r="AC806" s="47"/>
      <c r="AD806" s="1" t="str">
        <f t="shared" si="231"/>
        <v/>
      </c>
      <c r="AE806" s="47"/>
      <c r="AF806" s="1" t="str">
        <f t="shared" si="232"/>
        <v/>
      </c>
      <c r="AG806" s="47"/>
    </row>
    <row r="807" spans="1:33">
      <c r="A807">
        <f t="shared" si="216"/>
        <v>0</v>
      </c>
      <c r="B807" s="2" t="str">
        <f t="shared" si="233"/>
        <v/>
      </c>
      <c r="C807" s="4" t="str">
        <f t="shared" si="217"/>
        <v/>
      </c>
      <c r="D807" s="3" t="str">
        <f t="shared" si="218"/>
        <v/>
      </c>
      <c r="E807" s="47"/>
      <c r="F807" s="3" t="str">
        <f t="shared" si="219"/>
        <v/>
      </c>
      <c r="G807" s="47"/>
      <c r="H807" s="3" t="str">
        <f t="shared" si="220"/>
        <v/>
      </c>
      <c r="I807" s="47"/>
      <c r="J807" s="3" t="str">
        <f t="shared" si="221"/>
        <v/>
      </c>
      <c r="K807" s="47"/>
      <c r="L807" s="3" t="str">
        <f t="shared" si="222"/>
        <v/>
      </c>
      <c r="M807" s="47"/>
      <c r="N807" s="3" t="str">
        <f t="shared" si="223"/>
        <v/>
      </c>
      <c r="O807" s="47"/>
      <c r="P807" s="3" t="str">
        <f t="shared" si="224"/>
        <v/>
      </c>
      <c r="Q807" s="47"/>
      <c r="R807" s="3" t="str">
        <f t="shared" si="225"/>
        <v/>
      </c>
      <c r="S807" s="47"/>
      <c r="T807" s="1" t="str">
        <f t="shared" si="226"/>
        <v/>
      </c>
      <c r="U807" s="47"/>
      <c r="V807" s="1" t="str">
        <f t="shared" si="227"/>
        <v/>
      </c>
      <c r="W807" s="47"/>
      <c r="X807" s="1" t="str">
        <f t="shared" si="228"/>
        <v/>
      </c>
      <c r="Y807" s="47"/>
      <c r="Z807" s="1" t="str">
        <f t="shared" si="229"/>
        <v/>
      </c>
      <c r="AA807" s="47"/>
      <c r="AB807" s="1" t="str">
        <f t="shared" si="230"/>
        <v/>
      </c>
      <c r="AC807" s="47"/>
      <c r="AD807" s="1" t="str">
        <f t="shared" si="231"/>
        <v/>
      </c>
      <c r="AE807" s="47"/>
      <c r="AF807" s="1" t="str">
        <f t="shared" si="232"/>
        <v/>
      </c>
      <c r="AG807" s="47"/>
    </row>
    <row r="808" spans="1:33">
      <c r="A808">
        <f t="shared" si="216"/>
        <v>0</v>
      </c>
      <c r="B808" s="2" t="str">
        <f t="shared" si="233"/>
        <v/>
      </c>
      <c r="C808" s="4" t="str">
        <f t="shared" si="217"/>
        <v/>
      </c>
      <c r="D808" s="3" t="str">
        <f t="shared" si="218"/>
        <v/>
      </c>
      <c r="E808" s="47"/>
      <c r="F808" s="3" t="str">
        <f t="shared" si="219"/>
        <v/>
      </c>
      <c r="G808" s="47"/>
      <c r="H808" s="3" t="str">
        <f t="shared" si="220"/>
        <v/>
      </c>
      <c r="I808" s="47"/>
      <c r="J808" s="3" t="str">
        <f t="shared" si="221"/>
        <v/>
      </c>
      <c r="K808" s="47"/>
      <c r="L808" s="3" t="str">
        <f t="shared" si="222"/>
        <v/>
      </c>
      <c r="M808" s="47"/>
      <c r="N808" s="3" t="str">
        <f t="shared" si="223"/>
        <v/>
      </c>
      <c r="O808" s="47"/>
      <c r="P808" s="3" t="str">
        <f t="shared" si="224"/>
        <v/>
      </c>
      <c r="Q808" s="47"/>
      <c r="R808" s="3" t="str">
        <f t="shared" si="225"/>
        <v/>
      </c>
      <c r="S808" s="47"/>
      <c r="T808" s="1" t="str">
        <f t="shared" si="226"/>
        <v/>
      </c>
      <c r="U808" s="47"/>
      <c r="V808" s="1" t="str">
        <f t="shared" si="227"/>
        <v/>
      </c>
      <c r="W808" s="47"/>
      <c r="X808" s="1" t="str">
        <f t="shared" si="228"/>
        <v/>
      </c>
      <c r="Y808" s="47"/>
      <c r="Z808" s="1" t="str">
        <f t="shared" si="229"/>
        <v/>
      </c>
      <c r="AA808" s="47"/>
      <c r="AB808" s="1" t="str">
        <f t="shared" si="230"/>
        <v/>
      </c>
      <c r="AC808" s="47"/>
      <c r="AD808" s="1" t="str">
        <f t="shared" si="231"/>
        <v/>
      </c>
      <c r="AE808" s="47"/>
      <c r="AF808" s="1" t="str">
        <f t="shared" si="232"/>
        <v/>
      </c>
      <c r="AG808" s="47"/>
    </row>
    <row r="809" spans="1:33">
      <c r="A809">
        <f t="shared" si="216"/>
        <v>0</v>
      </c>
      <c r="B809" s="2" t="str">
        <f t="shared" si="233"/>
        <v/>
      </c>
      <c r="C809" s="4" t="str">
        <f t="shared" si="217"/>
        <v/>
      </c>
      <c r="D809" s="3" t="str">
        <f t="shared" si="218"/>
        <v/>
      </c>
      <c r="E809" s="47"/>
      <c r="F809" s="3" t="str">
        <f t="shared" si="219"/>
        <v/>
      </c>
      <c r="G809" s="47"/>
      <c r="H809" s="3" t="str">
        <f t="shared" si="220"/>
        <v/>
      </c>
      <c r="I809" s="47"/>
      <c r="J809" s="3" t="str">
        <f t="shared" si="221"/>
        <v/>
      </c>
      <c r="K809" s="47"/>
      <c r="L809" s="3" t="str">
        <f t="shared" si="222"/>
        <v/>
      </c>
      <c r="M809" s="47"/>
      <c r="N809" s="3" t="str">
        <f t="shared" si="223"/>
        <v/>
      </c>
      <c r="O809" s="47"/>
      <c r="P809" s="3" t="str">
        <f t="shared" si="224"/>
        <v/>
      </c>
      <c r="Q809" s="47"/>
      <c r="R809" s="3" t="str">
        <f t="shared" si="225"/>
        <v/>
      </c>
      <c r="S809" s="47"/>
      <c r="T809" s="1" t="str">
        <f t="shared" si="226"/>
        <v/>
      </c>
      <c r="U809" s="47"/>
      <c r="V809" s="1" t="str">
        <f t="shared" si="227"/>
        <v/>
      </c>
      <c r="W809" s="47"/>
      <c r="X809" s="1" t="str">
        <f t="shared" si="228"/>
        <v/>
      </c>
      <c r="Y809" s="47"/>
      <c r="Z809" s="1" t="str">
        <f t="shared" si="229"/>
        <v/>
      </c>
      <c r="AA809" s="47"/>
      <c r="AB809" s="1" t="str">
        <f t="shared" si="230"/>
        <v/>
      </c>
      <c r="AC809" s="47"/>
      <c r="AD809" s="1" t="str">
        <f t="shared" si="231"/>
        <v/>
      </c>
      <c r="AE809" s="47"/>
      <c r="AF809" s="1" t="str">
        <f t="shared" si="232"/>
        <v/>
      </c>
      <c r="AG809" s="47"/>
    </row>
    <row r="810" spans="1:33">
      <c r="A810">
        <f t="shared" si="216"/>
        <v>0</v>
      </c>
      <c r="B810" s="2" t="str">
        <f t="shared" si="233"/>
        <v/>
      </c>
      <c r="C810" s="4" t="str">
        <f t="shared" si="217"/>
        <v/>
      </c>
      <c r="D810" s="3" t="str">
        <f t="shared" si="218"/>
        <v/>
      </c>
      <c r="E810" s="47"/>
      <c r="F810" s="3" t="str">
        <f t="shared" si="219"/>
        <v/>
      </c>
      <c r="G810" s="47"/>
      <c r="H810" s="3" t="str">
        <f t="shared" si="220"/>
        <v/>
      </c>
      <c r="I810" s="47"/>
      <c r="J810" s="3" t="str">
        <f t="shared" si="221"/>
        <v/>
      </c>
      <c r="K810" s="47"/>
      <c r="L810" s="3" t="str">
        <f t="shared" si="222"/>
        <v/>
      </c>
      <c r="M810" s="47"/>
      <c r="N810" s="3" t="str">
        <f t="shared" si="223"/>
        <v/>
      </c>
      <c r="O810" s="47"/>
      <c r="P810" s="3" t="str">
        <f t="shared" si="224"/>
        <v/>
      </c>
      <c r="Q810" s="47"/>
      <c r="R810" s="3" t="str">
        <f t="shared" si="225"/>
        <v/>
      </c>
      <c r="S810" s="47"/>
      <c r="T810" s="1" t="str">
        <f t="shared" si="226"/>
        <v/>
      </c>
      <c r="U810" s="47"/>
      <c r="V810" s="1" t="str">
        <f t="shared" si="227"/>
        <v/>
      </c>
      <c r="W810" s="47"/>
      <c r="X810" s="1" t="str">
        <f t="shared" si="228"/>
        <v/>
      </c>
      <c r="Y810" s="47"/>
      <c r="Z810" s="1" t="str">
        <f t="shared" si="229"/>
        <v/>
      </c>
      <c r="AA810" s="47"/>
      <c r="AB810" s="1" t="str">
        <f t="shared" si="230"/>
        <v/>
      </c>
      <c r="AC810" s="47"/>
      <c r="AD810" s="1" t="str">
        <f t="shared" si="231"/>
        <v/>
      </c>
      <c r="AE810" s="47"/>
      <c r="AF810" s="1" t="str">
        <f t="shared" si="232"/>
        <v/>
      </c>
      <c r="AG810" s="47"/>
    </row>
    <row r="811" spans="1:33">
      <c r="A811">
        <f t="shared" si="216"/>
        <v>0</v>
      </c>
      <c r="B811" s="2" t="str">
        <f t="shared" si="233"/>
        <v/>
      </c>
      <c r="C811" s="4" t="str">
        <f t="shared" si="217"/>
        <v/>
      </c>
      <c r="D811" s="3" t="str">
        <f t="shared" si="218"/>
        <v/>
      </c>
      <c r="E811" s="47"/>
      <c r="F811" s="3" t="str">
        <f t="shared" si="219"/>
        <v/>
      </c>
      <c r="G811" s="47"/>
      <c r="H811" s="3" t="str">
        <f t="shared" si="220"/>
        <v/>
      </c>
      <c r="I811" s="47"/>
      <c r="J811" s="3" t="str">
        <f t="shared" si="221"/>
        <v/>
      </c>
      <c r="K811" s="47"/>
      <c r="L811" s="3" t="str">
        <f t="shared" si="222"/>
        <v/>
      </c>
      <c r="M811" s="47"/>
      <c r="N811" s="3" t="str">
        <f t="shared" si="223"/>
        <v/>
      </c>
      <c r="O811" s="47"/>
      <c r="P811" s="3" t="str">
        <f t="shared" si="224"/>
        <v/>
      </c>
      <c r="Q811" s="47"/>
      <c r="R811" s="3" t="str">
        <f t="shared" si="225"/>
        <v/>
      </c>
      <c r="S811" s="47"/>
      <c r="T811" s="1" t="str">
        <f t="shared" si="226"/>
        <v/>
      </c>
      <c r="U811" s="47"/>
      <c r="V811" s="1" t="str">
        <f t="shared" si="227"/>
        <v/>
      </c>
      <c r="W811" s="47"/>
      <c r="X811" s="1" t="str">
        <f t="shared" si="228"/>
        <v/>
      </c>
      <c r="Y811" s="47"/>
      <c r="Z811" s="1" t="str">
        <f t="shared" si="229"/>
        <v/>
      </c>
      <c r="AA811" s="47"/>
      <c r="AB811" s="1" t="str">
        <f t="shared" si="230"/>
        <v/>
      </c>
      <c r="AC811" s="47"/>
      <c r="AD811" s="1" t="str">
        <f t="shared" si="231"/>
        <v/>
      </c>
      <c r="AE811" s="47"/>
      <c r="AF811" s="1" t="str">
        <f t="shared" si="232"/>
        <v/>
      </c>
      <c r="AG811" s="47"/>
    </row>
    <row r="812" spans="1:33">
      <c r="A812">
        <f t="shared" si="216"/>
        <v>0</v>
      </c>
      <c r="B812" s="2" t="str">
        <f t="shared" si="233"/>
        <v/>
      </c>
      <c r="C812" s="4" t="str">
        <f t="shared" si="217"/>
        <v/>
      </c>
      <c r="D812" s="3" t="str">
        <f t="shared" si="218"/>
        <v/>
      </c>
      <c r="E812" s="47"/>
      <c r="F812" s="3" t="str">
        <f t="shared" si="219"/>
        <v/>
      </c>
      <c r="G812" s="47"/>
      <c r="H812" s="3" t="str">
        <f t="shared" si="220"/>
        <v/>
      </c>
      <c r="I812" s="47"/>
      <c r="J812" s="3" t="str">
        <f t="shared" si="221"/>
        <v/>
      </c>
      <c r="K812" s="47"/>
      <c r="L812" s="3" t="str">
        <f t="shared" si="222"/>
        <v/>
      </c>
      <c r="M812" s="47"/>
      <c r="N812" s="3" t="str">
        <f t="shared" si="223"/>
        <v/>
      </c>
      <c r="O812" s="47"/>
      <c r="P812" s="3" t="str">
        <f t="shared" si="224"/>
        <v/>
      </c>
      <c r="Q812" s="47"/>
      <c r="R812" s="3" t="str">
        <f t="shared" si="225"/>
        <v/>
      </c>
      <c r="S812" s="47"/>
      <c r="T812" s="1" t="str">
        <f t="shared" si="226"/>
        <v/>
      </c>
      <c r="U812" s="47"/>
      <c r="V812" s="1" t="str">
        <f t="shared" si="227"/>
        <v/>
      </c>
      <c r="W812" s="47"/>
      <c r="X812" s="1" t="str">
        <f t="shared" si="228"/>
        <v/>
      </c>
      <c r="Y812" s="47"/>
      <c r="Z812" s="1" t="str">
        <f t="shared" si="229"/>
        <v/>
      </c>
      <c r="AA812" s="47"/>
      <c r="AB812" s="1" t="str">
        <f t="shared" si="230"/>
        <v/>
      </c>
      <c r="AC812" s="47"/>
      <c r="AD812" s="1" t="str">
        <f t="shared" si="231"/>
        <v/>
      </c>
      <c r="AE812" s="47"/>
      <c r="AF812" s="1" t="str">
        <f t="shared" si="232"/>
        <v/>
      </c>
      <c r="AG812" s="47"/>
    </row>
    <row r="813" spans="1:33">
      <c r="A813">
        <f t="shared" si="216"/>
        <v>0</v>
      </c>
      <c r="B813" s="2" t="str">
        <f t="shared" si="233"/>
        <v/>
      </c>
      <c r="C813" s="4" t="str">
        <f t="shared" si="217"/>
        <v/>
      </c>
      <c r="D813" s="3" t="str">
        <f t="shared" si="218"/>
        <v/>
      </c>
      <c r="E813" s="47"/>
      <c r="F813" s="3" t="str">
        <f t="shared" si="219"/>
        <v/>
      </c>
      <c r="G813" s="47"/>
      <c r="H813" s="3" t="str">
        <f t="shared" si="220"/>
        <v/>
      </c>
      <c r="I813" s="47"/>
      <c r="J813" s="3" t="str">
        <f t="shared" si="221"/>
        <v/>
      </c>
      <c r="K813" s="47"/>
      <c r="L813" s="3" t="str">
        <f t="shared" si="222"/>
        <v/>
      </c>
      <c r="M813" s="47"/>
      <c r="N813" s="3" t="str">
        <f t="shared" si="223"/>
        <v/>
      </c>
      <c r="O813" s="47"/>
      <c r="P813" s="3" t="str">
        <f t="shared" si="224"/>
        <v/>
      </c>
      <c r="Q813" s="47"/>
      <c r="R813" s="3" t="str">
        <f t="shared" si="225"/>
        <v/>
      </c>
      <c r="S813" s="47"/>
      <c r="T813" s="1" t="str">
        <f t="shared" si="226"/>
        <v/>
      </c>
      <c r="U813" s="47"/>
      <c r="V813" s="1" t="str">
        <f t="shared" si="227"/>
        <v/>
      </c>
      <c r="W813" s="47"/>
      <c r="X813" s="1" t="str">
        <f t="shared" si="228"/>
        <v/>
      </c>
      <c r="Y813" s="47"/>
      <c r="Z813" s="1" t="str">
        <f t="shared" si="229"/>
        <v/>
      </c>
      <c r="AA813" s="47"/>
      <c r="AB813" s="1" t="str">
        <f t="shared" si="230"/>
        <v/>
      </c>
      <c r="AC813" s="47"/>
      <c r="AD813" s="1" t="str">
        <f t="shared" si="231"/>
        <v/>
      </c>
      <c r="AE813" s="47"/>
      <c r="AF813" s="1" t="str">
        <f t="shared" si="232"/>
        <v/>
      </c>
      <c r="AG813" s="47"/>
    </row>
    <row r="814" spans="1:33">
      <c r="A814">
        <f t="shared" si="216"/>
        <v>0</v>
      </c>
      <c r="B814" s="2" t="str">
        <f t="shared" si="233"/>
        <v/>
      </c>
      <c r="C814" s="4" t="str">
        <f t="shared" si="217"/>
        <v/>
      </c>
      <c r="D814" s="3" t="str">
        <f t="shared" si="218"/>
        <v/>
      </c>
      <c r="E814" s="47"/>
      <c r="F814" s="3" t="str">
        <f t="shared" si="219"/>
        <v/>
      </c>
      <c r="G814" s="47"/>
      <c r="H814" s="3" t="str">
        <f t="shared" si="220"/>
        <v/>
      </c>
      <c r="I814" s="47"/>
      <c r="J814" s="3" t="str">
        <f t="shared" si="221"/>
        <v/>
      </c>
      <c r="K814" s="47"/>
      <c r="L814" s="3" t="str">
        <f t="shared" si="222"/>
        <v/>
      </c>
      <c r="M814" s="47"/>
      <c r="N814" s="3" t="str">
        <f t="shared" si="223"/>
        <v/>
      </c>
      <c r="O814" s="47"/>
      <c r="P814" s="3" t="str">
        <f t="shared" si="224"/>
        <v/>
      </c>
      <c r="Q814" s="47"/>
      <c r="R814" s="3" t="str">
        <f t="shared" si="225"/>
        <v/>
      </c>
      <c r="S814" s="47"/>
      <c r="T814" s="1" t="str">
        <f t="shared" si="226"/>
        <v/>
      </c>
      <c r="U814" s="47"/>
      <c r="V814" s="1" t="str">
        <f t="shared" si="227"/>
        <v/>
      </c>
      <c r="W814" s="47"/>
      <c r="X814" s="1" t="str">
        <f t="shared" si="228"/>
        <v/>
      </c>
      <c r="Y814" s="47"/>
      <c r="Z814" s="1" t="str">
        <f t="shared" si="229"/>
        <v/>
      </c>
      <c r="AA814" s="47"/>
      <c r="AB814" s="1" t="str">
        <f t="shared" si="230"/>
        <v/>
      </c>
      <c r="AC814" s="47"/>
      <c r="AD814" s="1" t="str">
        <f t="shared" si="231"/>
        <v/>
      </c>
      <c r="AE814" s="47"/>
      <c r="AF814" s="1" t="str">
        <f t="shared" si="232"/>
        <v/>
      </c>
      <c r="AG814" s="47"/>
    </row>
    <row r="815" spans="1:33">
      <c r="A815">
        <f t="shared" si="216"/>
        <v>0</v>
      </c>
      <c r="B815" s="2" t="str">
        <f t="shared" si="233"/>
        <v/>
      </c>
      <c r="C815" s="4" t="str">
        <f t="shared" si="217"/>
        <v/>
      </c>
      <c r="D815" s="3" t="str">
        <f t="shared" si="218"/>
        <v/>
      </c>
      <c r="E815" s="47"/>
      <c r="F815" s="3" t="str">
        <f t="shared" si="219"/>
        <v/>
      </c>
      <c r="G815" s="47"/>
      <c r="H815" s="3" t="str">
        <f t="shared" si="220"/>
        <v/>
      </c>
      <c r="I815" s="47"/>
      <c r="J815" s="3" t="str">
        <f t="shared" si="221"/>
        <v/>
      </c>
      <c r="K815" s="47"/>
      <c r="L815" s="3" t="str">
        <f t="shared" si="222"/>
        <v/>
      </c>
      <c r="M815" s="47"/>
      <c r="N815" s="3" t="str">
        <f t="shared" si="223"/>
        <v/>
      </c>
      <c r="O815" s="47"/>
      <c r="P815" s="3" t="str">
        <f t="shared" si="224"/>
        <v/>
      </c>
      <c r="Q815" s="47"/>
      <c r="R815" s="3" t="str">
        <f t="shared" si="225"/>
        <v/>
      </c>
      <c r="S815" s="47"/>
      <c r="T815" s="1" t="str">
        <f t="shared" si="226"/>
        <v/>
      </c>
      <c r="U815" s="47"/>
      <c r="V815" s="1" t="str">
        <f t="shared" si="227"/>
        <v/>
      </c>
      <c r="W815" s="47"/>
      <c r="X815" s="1" t="str">
        <f t="shared" si="228"/>
        <v/>
      </c>
      <c r="Y815" s="47"/>
      <c r="Z815" s="1" t="str">
        <f t="shared" si="229"/>
        <v/>
      </c>
      <c r="AA815" s="47"/>
      <c r="AB815" s="1" t="str">
        <f t="shared" si="230"/>
        <v/>
      </c>
      <c r="AC815" s="47"/>
      <c r="AD815" s="1" t="str">
        <f t="shared" si="231"/>
        <v/>
      </c>
      <c r="AE815" s="47"/>
      <c r="AF815" s="1" t="str">
        <f t="shared" si="232"/>
        <v/>
      </c>
      <c r="AG815" s="47"/>
    </row>
    <row r="816" spans="1:33">
      <c r="A816">
        <f t="shared" si="216"/>
        <v>0</v>
      </c>
      <c r="B816" s="2" t="str">
        <f t="shared" si="233"/>
        <v/>
      </c>
      <c r="C816" s="4" t="str">
        <f t="shared" si="217"/>
        <v/>
      </c>
      <c r="D816" s="3" t="str">
        <f t="shared" si="218"/>
        <v/>
      </c>
      <c r="E816" s="47"/>
      <c r="F816" s="3" t="str">
        <f t="shared" si="219"/>
        <v/>
      </c>
      <c r="G816" s="47"/>
      <c r="H816" s="3" t="str">
        <f t="shared" si="220"/>
        <v/>
      </c>
      <c r="I816" s="47"/>
      <c r="J816" s="3" t="str">
        <f t="shared" si="221"/>
        <v/>
      </c>
      <c r="K816" s="47"/>
      <c r="L816" s="3" t="str">
        <f t="shared" si="222"/>
        <v/>
      </c>
      <c r="M816" s="47"/>
      <c r="N816" s="3" t="str">
        <f t="shared" si="223"/>
        <v/>
      </c>
      <c r="O816" s="47"/>
      <c r="P816" s="3" t="str">
        <f t="shared" si="224"/>
        <v/>
      </c>
      <c r="Q816" s="47"/>
      <c r="R816" s="3" t="str">
        <f t="shared" si="225"/>
        <v/>
      </c>
      <c r="S816" s="47"/>
      <c r="T816" s="1" t="str">
        <f t="shared" si="226"/>
        <v/>
      </c>
      <c r="U816" s="47"/>
      <c r="V816" s="1" t="str">
        <f t="shared" si="227"/>
        <v/>
      </c>
      <c r="W816" s="47"/>
      <c r="X816" s="1" t="str">
        <f t="shared" si="228"/>
        <v/>
      </c>
      <c r="Y816" s="47"/>
      <c r="Z816" s="1" t="str">
        <f t="shared" si="229"/>
        <v/>
      </c>
      <c r="AA816" s="47"/>
      <c r="AB816" s="1" t="str">
        <f t="shared" si="230"/>
        <v/>
      </c>
      <c r="AC816" s="47"/>
      <c r="AD816" s="1" t="str">
        <f t="shared" si="231"/>
        <v/>
      </c>
      <c r="AE816" s="47"/>
      <c r="AF816" s="1" t="str">
        <f t="shared" si="232"/>
        <v/>
      </c>
      <c r="AG816" s="47"/>
    </row>
    <row r="817" spans="1:33">
      <c r="A817">
        <f t="shared" si="216"/>
        <v>0</v>
      </c>
      <c r="B817" s="2" t="str">
        <f t="shared" si="233"/>
        <v/>
      </c>
      <c r="C817" s="4" t="str">
        <f t="shared" si="217"/>
        <v/>
      </c>
      <c r="D817" s="3" t="str">
        <f t="shared" si="218"/>
        <v/>
      </c>
      <c r="E817" s="47"/>
      <c r="F817" s="3" t="str">
        <f t="shared" si="219"/>
        <v/>
      </c>
      <c r="G817" s="47"/>
      <c r="H817" s="3" t="str">
        <f t="shared" si="220"/>
        <v/>
      </c>
      <c r="I817" s="47"/>
      <c r="J817" s="3" t="str">
        <f t="shared" si="221"/>
        <v/>
      </c>
      <c r="K817" s="47"/>
      <c r="L817" s="3" t="str">
        <f t="shared" si="222"/>
        <v/>
      </c>
      <c r="M817" s="47"/>
      <c r="N817" s="3" t="str">
        <f t="shared" si="223"/>
        <v/>
      </c>
      <c r="O817" s="47"/>
      <c r="P817" s="3" t="str">
        <f t="shared" si="224"/>
        <v/>
      </c>
      <c r="Q817" s="47"/>
      <c r="R817" s="3" t="str">
        <f t="shared" si="225"/>
        <v/>
      </c>
      <c r="S817" s="47"/>
      <c r="T817" s="1" t="str">
        <f t="shared" si="226"/>
        <v/>
      </c>
      <c r="U817" s="47"/>
      <c r="V817" s="1" t="str">
        <f t="shared" si="227"/>
        <v/>
      </c>
      <c r="W817" s="47"/>
      <c r="X817" s="1" t="str">
        <f t="shared" si="228"/>
        <v/>
      </c>
      <c r="Y817" s="47"/>
      <c r="Z817" s="1" t="str">
        <f t="shared" si="229"/>
        <v/>
      </c>
      <c r="AA817" s="47"/>
      <c r="AB817" s="1" t="str">
        <f t="shared" si="230"/>
        <v/>
      </c>
      <c r="AC817" s="47"/>
      <c r="AD817" s="1" t="str">
        <f t="shared" si="231"/>
        <v/>
      </c>
      <c r="AE817" s="47"/>
      <c r="AF817" s="1" t="str">
        <f t="shared" si="232"/>
        <v/>
      </c>
      <c r="AG817" s="47"/>
    </row>
    <row r="818" spans="1:33">
      <c r="A818">
        <f t="shared" si="216"/>
        <v>0</v>
      </c>
      <c r="B818" s="2" t="str">
        <f t="shared" si="233"/>
        <v/>
      </c>
      <c r="C818" s="4" t="str">
        <f t="shared" si="217"/>
        <v/>
      </c>
      <c r="D818" s="3" t="str">
        <f t="shared" si="218"/>
        <v/>
      </c>
      <c r="E818" s="47"/>
      <c r="F818" s="3" t="str">
        <f t="shared" si="219"/>
        <v/>
      </c>
      <c r="G818" s="47"/>
      <c r="H818" s="3" t="str">
        <f t="shared" si="220"/>
        <v/>
      </c>
      <c r="I818" s="47"/>
      <c r="J818" s="3" t="str">
        <f t="shared" si="221"/>
        <v/>
      </c>
      <c r="K818" s="47"/>
      <c r="L818" s="3" t="str">
        <f t="shared" si="222"/>
        <v/>
      </c>
      <c r="M818" s="47"/>
      <c r="N818" s="3" t="str">
        <f t="shared" si="223"/>
        <v/>
      </c>
      <c r="O818" s="47"/>
      <c r="P818" s="3" t="str">
        <f t="shared" si="224"/>
        <v/>
      </c>
      <c r="Q818" s="47"/>
      <c r="R818" s="3" t="str">
        <f t="shared" si="225"/>
        <v/>
      </c>
      <c r="S818" s="47"/>
      <c r="T818" s="1" t="str">
        <f t="shared" si="226"/>
        <v/>
      </c>
      <c r="U818" s="47"/>
      <c r="V818" s="1" t="str">
        <f t="shared" si="227"/>
        <v/>
      </c>
      <c r="W818" s="47"/>
      <c r="X818" s="1" t="str">
        <f t="shared" si="228"/>
        <v/>
      </c>
      <c r="Y818" s="47"/>
      <c r="Z818" s="1" t="str">
        <f t="shared" si="229"/>
        <v/>
      </c>
      <c r="AA818" s="47"/>
      <c r="AB818" s="1" t="str">
        <f t="shared" si="230"/>
        <v/>
      </c>
      <c r="AC818" s="47"/>
      <c r="AD818" s="1" t="str">
        <f t="shared" si="231"/>
        <v/>
      </c>
      <c r="AE818" s="47"/>
      <c r="AF818" s="1" t="str">
        <f t="shared" si="232"/>
        <v/>
      </c>
      <c r="AG818" s="47"/>
    </row>
    <row r="819" spans="1:33">
      <c r="A819">
        <f t="shared" si="216"/>
        <v>0</v>
      </c>
      <c r="B819" s="2" t="str">
        <f t="shared" si="233"/>
        <v/>
      </c>
      <c r="C819" s="4" t="str">
        <f t="shared" si="217"/>
        <v/>
      </c>
      <c r="D819" s="3" t="str">
        <f t="shared" si="218"/>
        <v/>
      </c>
      <c r="E819" s="47"/>
      <c r="F819" s="3" t="str">
        <f t="shared" si="219"/>
        <v/>
      </c>
      <c r="G819" s="47"/>
      <c r="H819" s="3" t="str">
        <f t="shared" si="220"/>
        <v/>
      </c>
      <c r="I819" s="47"/>
      <c r="J819" s="3" t="str">
        <f t="shared" si="221"/>
        <v/>
      </c>
      <c r="K819" s="47"/>
      <c r="L819" s="3" t="str">
        <f t="shared" si="222"/>
        <v/>
      </c>
      <c r="M819" s="47"/>
      <c r="N819" s="3" t="str">
        <f t="shared" si="223"/>
        <v/>
      </c>
      <c r="O819" s="47"/>
      <c r="P819" s="3" t="str">
        <f t="shared" si="224"/>
        <v/>
      </c>
      <c r="Q819" s="47"/>
      <c r="R819" s="3" t="str">
        <f t="shared" si="225"/>
        <v/>
      </c>
      <c r="S819" s="47"/>
      <c r="T819" s="1" t="str">
        <f t="shared" si="226"/>
        <v/>
      </c>
      <c r="U819" s="47"/>
      <c r="V819" s="1" t="str">
        <f t="shared" si="227"/>
        <v/>
      </c>
      <c r="W819" s="47"/>
      <c r="X819" s="1" t="str">
        <f t="shared" si="228"/>
        <v/>
      </c>
      <c r="Y819" s="47"/>
      <c r="Z819" s="1" t="str">
        <f t="shared" si="229"/>
        <v/>
      </c>
      <c r="AA819" s="47"/>
      <c r="AB819" s="1" t="str">
        <f t="shared" si="230"/>
        <v/>
      </c>
      <c r="AC819" s="47"/>
      <c r="AD819" s="1" t="str">
        <f t="shared" si="231"/>
        <v/>
      </c>
      <c r="AE819" s="47"/>
      <c r="AF819" s="1" t="str">
        <f t="shared" si="232"/>
        <v/>
      </c>
      <c r="AG819" s="47"/>
    </row>
    <row r="820" spans="1:33">
      <c r="A820">
        <f t="shared" si="216"/>
        <v>0</v>
      </c>
      <c r="B820" s="2" t="str">
        <f t="shared" si="233"/>
        <v/>
      </c>
      <c r="C820" s="4" t="str">
        <f t="shared" si="217"/>
        <v/>
      </c>
      <c r="D820" s="3" t="str">
        <f t="shared" si="218"/>
        <v/>
      </c>
      <c r="E820" s="47"/>
      <c r="F820" s="3" t="str">
        <f t="shared" si="219"/>
        <v/>
      </c>
      <c r="G820" s="47"/>
      <c r="H820" s="3" t="str">
        <f t="shared" si="220"/>
        <v/>
      </c>
      <c r="I820" s="47"/>
      <c r="J820" s="3" t="str">
        <f t="shared" si="221"/>
        <v/>
      </c>
      <c r="K820" s="47"/>
      <c r="L820" s="3" t="str">
        <f t="shared" si="222"/>
        <v/>
      </c>
      <c r="M820" s="47"/>
      <c r="N820" s="3" t="str">
        <f t="shared" si="223"/>
        <v/>
      </c>
      <c r="O820" s="47"/>
      <c r="P820" s="3" t="str">
        <f t="shared" si="224"/>
        <v/>
      </c>
      <c r="Q820" s="47"/>
      <c r="R820" s="3" t="str">
        <f t="shared" si="225"/>
        <v/>
      </c>
      <c r="S820" s="47"/>
      <c r="T820" s="1" t="str">
        <f t="shared" si="226"/>
        <v/>
      </c>
      <c r="U820" s="47"/>
      <c r="V820" s="1" t="str">
        <f t="shared" si="227"/>
        <v/>
      </c>
      <c r="W820" s="47"/>
      <c r="X820" s="1" t="str">
        <f t="shared" si="228"/>
        <v/>
      </c>
      <c r="Y820" s="47"/>
      <c r="Z820" s="1" t="str">
        <f t="shared" si="229"/>
        <v/>
      </c>
      <c r="AA820" s="47"/>
      <c r="AB820" s="1" t="str">
        <f t="shared" si="230"/>
        <v/>
      </c>
      <c r="AC820" s="47"/>
      <c r="AD820" s="1" t="str">
        <f t="shared" si="231"/>
        <v/>
      </c>
      <c r="AE820" s="47"/>
      <c r="AF820" s="1" t="str">
        <f t="shared" si="232"/>
        <v/>
      </c>
      <c r="AG820" s="47"/>
    </row>
    <row r="821" spans="1:33">
      <c r="A821">
        <f t="shared" si="216"/>
        <v>0</v>
      </c>
      <c r="B821" s="2" t="str">
        <f t="shared" si="233"/>
        <v/>
      </c>
      <c r="C821" s="4" t="str">
        <f t="shared" si="217"/>
        <v/>
      </c>
      <c r="D821" s="3" t="str">
        <f t="shared" si="218"/>
        <v/>
      </c>
      <c r="E821" s="47"/>
      <c r="F821" s="3" t="str">
        <f t="shared" si="219"/>
        <v/>
      </c>
      <c r="G821" s="47"/>
      <c r="H821" s="3" t="str">
        <f t="shared" si="220"/>
        <v/>
      </c>
      <c r="I821" s="47"/>
      <c r="J821" s="3" t="str">
        <f t="shared" si="221"/>
        <v/>
      </c>
      <c r="K821" s="47"/>
      <c r="L821" s="3" t="str">
        <f t="shared" si="222"/>
        <v/>
      </c>
      <c r="M821" s="47"/>
      <c r="N821" s="3" t="str">
        <f t="shared" si="223"/>
        <v/>
      </c>
      <c r="O821" s="47"/>
      <c r="P821" s="3" t="str">
        <f t="shared" si="224"/>
        <v/>
      </c>
      <c r="Q821" s="47"/>
      <c r="R821" s="3" t="str">
        <f t="shared" si="225"/>
        <v/>
      </c>
      <c r="S821" s="47"/>
      <c r="T821" s="1" t="str">
        <f t="shared" si="226"/>
        <v/>
      </c>
      <c r="U821" s="47"/>
      <c r="V821" s="1" t="str">
        <f t="shared" si="227"/>
        <v/>
      </c>
      <c r="W821" s="47"/>
      <c r="X821" s="1" t="str">
        <f t="shared" si="228"/>
        <v/>
      </c>
      <c r="Y821" s="47"/>
      <c r="Z821" s="1" t="str">
        <f t="shared" si="229"/>
        <v/>
      </c>
      <c r="AA821" s="47"/>
      <c r="AB821" s="1" t="str">
        <f t="shared" si="230"/>
        <v/>
      </c>
      <c r="AC821" s="47"/>
      <c r="AD821" s="1" t="str">
        <f t="shared" si="231"/>
        <v/>
      </c>
      <c r="AE821" s="47"/>
      <c r="AF821" s="1" t="str">
        <f t="shared" si="232"/>
        <v/>
      </c>
      <c r="AG821" s="47"/>
    </row>
    <row r="822" spans="1:33">
      <c r="A822">
        <f t="shared" si="216"/>
        <v>0</v>
      </c>
      <c r="B822" s="2" t="str">
        <f t="shared" si="233"/>
        <v/>
      </c>
      <c r="C822" s="4" t="str">
        <f t="shared" si="217"/>
        <v/>
      </c>
      <c r="D822" s="3" t="str">
        <f t="shared" si="218"/>
        <v/>
      </c>
      <c r="E822" s="47"/>
      <c r="F822" s="3" t="str">
        <f t="shared" si="219"/>
        <v/>
      </c>
      <c r="G822" s="47"/>
      <c r="H822" s="3" t="str">
        <f t="shared" si="220"/>
        <v/>
      </c>
      <c r="I822" s="47"/>
      <c r="J822" s="3" t="str">
        <f t="shared" si="221"/>
        <v/>
      </c>
      <c r="K822" s="47"/>
      <c r="L822" s="3" t="str">
        <f t="shared" si="222"/>
        <v/>
      </c>
      <c r="M822" s="47"/>
      <c r="N822" s="3" t="str">
        <f t="shared" si="223"/>
        <v/>
      </c>
      <c r="O822" s="47"/>
      <c r="P822" s="3" t="str">
        <f t="shared" si="224"/>
        <v/>
      </c>
      <c r="Q822" s="47"/>
      <c r="R822" s="3" t="str">
        <f t="shared" si="225"/>
        <v/>
      </c>
      <c r="S822" s="47"/>
      <c r="T822" s="1" t="str">
        <f t="shared" si="226"/>
        <v/>
      </c>
      <c r="U822" s="47"/>
      <c r="V822" s="1" t="str">
        <f t="shared" si="227"/>
        <v/>
      </c>
      <c r="W822" s="47"/>
      <c r="X822" s="1" t="str">
        <f t="shared" si="228"/>
        <v/>
      </c>
      <c r="Y822" s="47"/>
      <c r="Z822" s="1" t="str">
        <f t="shared" si="229"/>
        <v/>
      </c>
      <c r="AA822" s="47"/>
      <c r="AB822" s="1" t="str">
        <f t="shared" si="230"/>
        <v/>
      </c>
      <c r="AC822" s="47"/>
      <c r="AD822" s="1" t="str">
        <f t="shared" si="231"/>
        <v/>
      </c>
      <c r="AE822" s="47"/>
      <c r="AF822" s="1" t="str">
        <f t="shared" si="232"/>
        <v/>
      </c>
      <c r="AG822" s="47"/>
    </row>
    <row r="823" spans="1:33">
      <c r="A823">
        <f t="shared" si="216"/>
        <v>0</v>
      </c>
      <c r="B823" s="2" t="str">
        <f t="shared" si="233"/>
        <v/>
      </c>
      <c r="C823" s="4" t="str">
        <f t="shared" si="217"/>
        <v/>
      </c>
      <c r="D823" s="3" t="str">
        <f t="shared" si="218"/>
        <v/>
      </c>
      <c r="E823" s="47"/>
      <c r="F823" s="3" t="str">
        <f t="shared" si="219"/>
        <v/>
      </c>
      <c r="G823" s="47"/>
      <c r="H823" s="3" t="str">
        <f t="shared" si="220"/>
        <v/>
      </c>
      <c r="I823" s="47"/>
      <c r="J823" s="3" t="str">
        <f t="shared" si="221"/>
        <v/>
      </c>
      <c r="K823" s="47"/>
      <c r="L823" s="3" t="str">
        <f t="shared" si="222"/>
        <v/>
      </c>
      <c r="M823" s="47"/>
      <c r="N823" s="3" t="str">
        <f t="shared" si="223"/>
        <v/>
      </c>
      <c r="O823" s="47"/>
      <c r="P823" s="3" t="str">
        <f t="shared" si="224"/>
        <v/>
      </c>
      <c r="Q823" s="47"/>
      <c r="R823" s="3" t="str">
        <f t="shared" si="225"/>
        <v/>
      </c>
      <c r="S823" s="47"/>
      <c r="T823" s="1" t="str">
        <f t="shared" si="226"/>
        <v/>
      </c>
      <c r="U823" s="47"/>
      <c r="V823" s="1" t="str">
        <f t="shared" si="227"/>
        <v/>
      </c>
      <c r="W823" s="47"/>
      <c r="X823" s="1" t="str">
        <f t="shared" si="228"/>
        <v/>
      </c>
      <c r="Y823" s="47"/>
      <c r="Z823" s="1" t="str">
        <f t="shared" si="229"/>
        <v/>
      </c>
      <c r="AA823" s="47"/>
      <c r="AB823" s="1" t="str">
        <f t="shared" si="230"/>
        <v/>
      </c>
      <c r="AC823" s="47"/>
      <c r="AD823" s="1" t="str">
        <f t="shared" si="231"/>
        <v/>
      </c>
      <c r="AE823" s="47"/>
      <c r="AF823" s="1" t="str">
        <f t="shared" si="232"/>
        <v/>
      </c>
      <c r="AG823" s="47"/>
    </row>
    <row r="824" spans="1:33">
      <c r="A824">
        <f t="shared" si="216"/>
        <v>0</v>
      </c>
      <c r="B824" s="2" t="str">
        <f t="shared" si="233"/>
        <v/>
      </c>
      <c r="C824" s="4" t="str">
        <f t="shared" si="217"/>
        <v/>
      </c>
      <c r="D824" s="3" t="str">
        <f t="shared" si="218"/>
        <v/>
      </c>
      <c r="E824" s="47"/>
      <c r="F824" s="3" t="str">
        <f t="shared" si="219"/>
        <v/>
      </c>
      <c r="G824" s="47"/>
      <c r="H824" s="3" t="str">
        <f t="shared" si="220"/>
        <v/>
      </c>
      <c r="I824" s="47"/>
      <c r="J824" s="3" t="str">
        <f t="shared" si="221"/>
        <v/>
      </c>
      <c r="K824" s="47"/>
      <c r="L824" s="3" t="str">
        <f t="shared" si="222"/>
        <v/>
      </c>
      <c r="M824" s="47"/>
      <c r="N824" s="3" t="str">
        <f t="shared" si="223"/>
        <v/>
      </c>
      <c r="O824" s="47"/>
      <c r="P824" s="3" t="str">
        <f t="shared" si="224"/>
        <v/>
      </c>
      <c r="Q824" s="47"/>
      <c r="R824" s="3" t="str">
        <f t="shared" si="225"/>
        <v/>
      </c>
      <c r="S824" s="47"/>
      <c r="T824" s="1" t="str">
        <f t="shared" si="226"/>
        <v/>
      </c>
      <c r="U824" s="47"/>
      <c r="V824" s="1" t="str">
        <f t="shared" si="227"/>
        <v/>
      </c>
      <c r="W824" s="47"/>
      <c r="X824" s="1" t="str">
        <f t="shared" si="228"/>
        <v/>
      </c>
      <c r="Y824" s="47"/>
      <c r="Z824" s="1" t="str">
        <f t="shared" si="229"/>
        <v/>
      </c>
      <c r="AA824" s="47"/>
      <c r="AB824" s="1" t="str">
        <f t="shared" si="230"/>
        <v/>
      </c>
      <c r="AC824" s="47"/>
      <c r="AD824" s="1" t="str">
        <f t="shared" si="231"/>
        <v/>
      </c>
      <c r="AE824" s="47"/>
      <c r="AF824" s="1" t="str">
        <f t="shared" si="232"/>
        <v/>
      </c>
      <c r="AG824" s="47"/>
    </row>
    <row r="825" spans="1:33">
      <c r="A825">
        <f t="shared" si="216"/>
        <v>0</v>
      </c>
      <c r="B825" s="2" t="str">
        <f t="shared" si="233"/>
        <v/>
      </c>
      <c r="C825" s="4" t="str">
        <f t="shared" si="217"/>
        <v/>
      </c>
      <c r="D825" s="3" t="str">
        <f t="shared" si="218"/>
        <v/>
      </c>
      <c r="E825" s="47"/>
      <c r="F825" s="3" t="str">
        <f t="shared" si="219"/>
        <v/>
      </c>
      <c r="G825" s="47"/>
      <c r="H825" s="3" t="str">
        <f t="shared" si="220"/>
        <v/>
      </c>
      <c r="I825" s="47"/>
      <c r="J825" s="3" t="str">
        <f t="shared" si="221"/>
        <v/>
      </c>
      <c r="K825" s="47"/>
      <c r="L825" s="3" t="str">
        <f t="shared" si="222"/>
        <v/>
      </c>
      <c r="M825" s="47"/>
      <c r="N825" s="3" t="str">
        <f t="shared" si="223"/>
        <v/>
      </c>
      <c r="O825" s="47"/>
      <c r="P825" s="3" t="str">
        <f t="shared" si="224"/>
        <v/>
      </c>
      <c r="Q825" s="47"/>
      <c r="R825" s="3" t="str">
        <f t="shared" si="225"/>
        <v/>
      </c>
      <c r="S825" s="47"/>
      <c r="T825" s="1" t="str">
        <f t="shared" si="226"/>
        <v/>
      </c>
      <c r="U825" s="47"/>
      <c r="V825" s="1" t="str">
        <f t="shared" si="227"/>
        <v/>
      </c>
      <c r="W825" s="47"/>
      <c r="X825" s="1" t="str">
        <f t="shared" si="228"/>
        <v/>
      </c>
      <c r="Y825" s="47"/>
      <c r="Z825" s="1" t="str">
        <f t="shared" si="229"/>
        <v/>
      </c>
      <c r="AA825" s="47"/>
      <c r="AB825" s="1" t="str">
        <f t="shared" si="230"/>
        <v/>
      </c>
      <c r="AC825" s="47"/>
      <c r="AD825" s="1" t="str">
        <f t="shared" si="231"/>
        <v/>
      </c>
      <c r="AE825" s="47"/>
      <c r="AF825" s="1" t="str">
        <f t="shared" si="232"/>
        <v/>
      </c>
      <c r="AG825" s="47"/>
    </row>
    <row r="826" spans="1:33">
      <c r="A826">
        <f t="shared" si="216"/>
        <v>0</v>
      </c>
      <c r="B826" s="2" t="str">
        <f t="shared" si="233"/>
        <v/>
      </c>
      <c r="C826" s="4" t="str">
        <f t="shared" si="217"/>
        <v/>
      </c>
      <c r="D826" s="3" t="str">
        <f t="shared" si="218"/>
        <v/>
      </c>
      <c r="E826" s="47"/>
      <c r="F826" s="3" t="str">
        <f t="shared" si="219"/>
        <v/>
      </c>
      <c r="G826" s="47"/>
      <c r="H826" s="3" t="str">
        <f t="shared" si="220"/>
        <v/>
      </c>
      <c r="I826" s="47"/>
      <c r="J826" s="3" t="str">
        <f t="shared" si="221"/>
        <v/>
      </c>
      <c r="K826" s="47"/>
      <c r="L826" s="3" t="str">
        <f t="shared" si="222"/>
        <v/>
      </c>
      <c r="M826" s="47"/>
      <c r="N826" s="3" t="str">
        <f t="shared" si="223"/>
        <v/>
      </c>
      <c r="O826" s="47"/>
      <c r="P826" s="3" t="str">
        <f t="shared" si="224"/>
        <v/>
      </c>
      <c r="Q826" s="47"/>
      <c r="R826" s="3" t="str">
        <f t="shared" si="225"/>
        <v/>
      </c>
      <c r="S826" s="47"/>
      <c r="T826" s="1" t="str">
        <f t="shared" si="226"/>
        <v/>
      </c>
      <c r="U826" s="47"/>
      <c r="V826" s="1" t="str">
        <f t="shared" si="227"/>
        <v/>
      </c>
      <c r="W826" s="47"/>
      <c r="X826" s="1" t="str">
        <f t="shared" si="228"/>
        <v/>
      </c>
      <c r="Y826" s="47"/>
      <c r="Z826" s="1" t="str">
        <f t="shared" si="229"/>
        <v/>
      </c>
      <c r="AA826" s="47"/>
      <c r="AB826" s="1" t="str">
        <f t="shared" si="230"/>
        <v/>
      </c>
      <c r="AC826" s="47"/>
      <c r="AD826" s="1" t="str">
        <f t="shared" si="231"/>
        <v/>
      </c>
      <c r="AE826" s="47"/>
      <c r="AF826" s="1" t="str">
        <f t="shared" si="232"/>
        <v/>
      </c>
      <c r="AG826" s="47"/>
    </row>
    <row r="827" spans="1:33">
      <c r="A827">
        <f t="shared" si="216"/>
        <v>0</v>
      </c>
      <c r="B827" s="2" t="str">
        <f t="shared" si="233"/>
        <v/>
      </c>
      <c r="C827" s="4" t="str">
        <f t="shared" si="217"/>
        <v/>
      </c>
      <c r="D827" s="3" t="str">
        <f t="shared" si="218"/>
        <v/>
      </c>
      <c r="E827" s="47"/>
      <c r="F827" s="3" t="str">
        <f t="shared" si="219"/>
        <v/>
      </c>
      <c r="G827" s="47"/>
      <c r="H827" s="3" t="str">
        <f t="shared" si="220"/>
        <v/>
      </c>
      <c r="I827" s="47"/>
      <c r="J827" s="3" t="str">
        <f t="shared" si="221"/>
        <v/>
      </c>
      <c r="K827" s="47"/>
      <c r="L827" s="3" t="str">
        <f t="shared" si="222"/>
        <v/>
      </c>
      <c r="M827" s="47"/>
      <c r="N827" s="3" t="str">
        <f t="shared" si="223"/>
        <v/>
      </c>
      <c r="O827" s="47"/>
      <c r="P827" s="3" t="str">
        <f t="shared" si="224"/>
        <v/>
      </c>
      <c r="Q827" s="47"/>
      <c r="R827" s="3" t="str">
        <f t="shared" si="225"/>
        <v/>
      </c>
      <c r="S827" s="47"/>
      <c r="T827" s="1" t="str">
        <f t="shared" si="226"/>
        <v/>
      </c>
      <c r="U827" s="47"/>
      <c r="V827" s="1" t="str">
        <f t="shared" si="227"/>
        <v/>
      </c>
      <c r="W827" s="47"/>
      <c r="X827" s="1" t="str">
        <f t="shared" si="228"/>
        <v/>
      </c>
      <c r="Y827" s="47"/>
      <c r="Z827" s="1" t="str">
        <f t="shared" si="229"/>
        <v/>
      </c>
      <c r="AA827" s="47"/>
      <c r="AB827" s="1" t="str">
        <f t="shared" si="230"/>
        <v/>
      </c>
      <c r="AC827" s="47"/>
      <c r="AD827" s="1" t="str">
        <f t="shared" si="231"/>
        <v/>
      </c>
      <c r="AE827" s="47"/>
      <c r="AF827" s="1" t="str">
        <f t="shared" si="232"/>
        <v/>
      </c>
      <c r="AG827" s="47"/>
    </row>
    <row r="828" spans="1:33">
      <c r="A828">
        <f t="shared" si="216"/>
        <v>0</v>
      </c>
      <c r="B828" s="2" t="str">
        <f t="shared" si="233"/>
        <v/>
      </c>
      <c r="C828" s="4" t="str">
        <f t="shared" si="217"/>
        <v/>
      </c>
      <c r="D828" s="3" t="str">
        <f t="shared" si="218"/>
        <v/>
      </c>
      <c r="E828" s="47"/>
      <c r="F828" s="3" t="str">
        <f t="shared" si="219"/>
        <v/>
      </c>
      <c r="G828" s="47"/>
      <c r="H828" s="3" t="str">
        <f t="shared" si="220"/>
        <v/>
      </c>
      <c r="I828" s="47"/>
      <c r="J828" s="3" t="str">
        <f t="shared" si="221"/>
        <v/>
      </c>
      <c r="K828" s="47"/>
      <c r="L828" s="3" t="str">
        <f t="shared" si="222"/>
        <v/>
      </c>
      <c r="M828" s="47"/>
      <c r="N828" s="3" t="str">
        <f t="shared" si="223"/>
        <v/>
      </c>
      <c r="O828" s="47"/>
      <c r="P828" s="3" t="str">
        <f t="shared" si="224"/>
        <v/>
      </c>
      <c r="Q828" s="47"/>
      <c r="R828" s="3" t="str">
        <f t="shared" si="225"/>
        <v/>
      </c>
      <c r="S828" s="47"/>
      <c r="T828" s="1" t="str">
        <f t="shared" si="226"/>
        <v/>
      </c>
      <c r="U828" s="47"/>
      <c r="V828" s="1" t="str">
        <f t="shared" si="227"/>
        <v/>
      </c>
      <c r="W828" s="47"/>
      <c r="X828" s="1" t="str">
        <f t="shared" si="228"/>
        <v/>
      </c>
      <c r="Y828" s="47"/>
      <c r="Z828" s="1" t="str">
        <f t="shared" si="229"/>
        <v/>
      </c>
      <c r="AA828" s="47"/>
      <c r="AB828" s="1" t="str">
        <f t="shared" si="230"/>
        <v/>
      </c>
      <c r="AC828" s="47"/>
      <c r="AD828" s="1" t="str">
        <f t="shared" si="231"/>
        <v/>
      </c>
      <c r="AE828" s="47"/>
      <c r="AF828" s="1" t="str">
        <f t="shared" si="232"/>
        <v/>
      </c>
      <c r="AG828" s="47"/>
    </row>
    <row r="829" spans="1:33">
      <c r="A829">
        <f t="shared" si="216"/>
        <v>0</v>
      </c>
      <c r="B829" s="2" t="str">
        <f t="shared" si="233"/>
        <v/>
      </c>
      <c r="C829" s="4" t="str">
        <f t="shared" si="217"/>
        <v/>
      </c>
      <c r="D829" s="3" t="str">
        <f t="shared" si="218"/>
        <v/>
      </c>
      <c r="E829" s="47"/>
      <c r="F829" s="3" t="str">
        <f t="shared" si="219"/>
        <v/>
      </c>
      <c r="G829" s="47"/>
      <c r="H829" s="3" t="str">
        <f t="shared" si="220"/>
        <v/>
      </c>
      <c r="I829" s="47"/>
      <c r="J829" s="3" t="str">
        <f t="shared" si="221"/>
        <v/>
      </c>
      <c r="K829" s="47"/>
      <c r="L829" s="3" t="str">
        <f t="shared" si="222"/>
        <v/>
      </c>
      <c r="M829" s="47"/>
      <c r="N829" s="3" t="str">
        <f t="shared" si="223"/>
        <v/>
      </c>
      <c r="O829" s="47"/>
      <c r="P829" s="3" t="str">
        <f t="shared" si="224"/>
        <v/>
      </c>
      <c r="Q829" s="47"/>
      <c r="R829" s="3" t="str">
        <f t="shared" si="225"/>
        <v/>
      </c>
      <c r="S829" s="47"/>
      <c r="T829" s="1" t="str">
        <f t="shared" si="226"/>
        <v/>
      </c>
      <c r="U829" s="47"/>
      <c r="V829" s="1" t="str">
        <f t="shared" si="227"/>
        <v/>
      </c>
      <c r="W829" s="47"/>
      <c r="X829" s="1" t="str">
        <f t="shared" si="228"/>
        <v/>
      </c>
      <c r="Y829" s="47"/>
      <c r="Z829" s="1" t="str">
        <f t="shared" si="229"/>
        <v/>
      </c>
      <c r="AA829" s="47"/>
      <c r="AB829" s="1" t="str">
        <f t="shared" si="230"/>
        <v/>
      </c>
      <c r="AC829" s="47"/>
      <c r="AD829" s="1" t="str">
        <f t="shared" si="231"/>
        <v/>
      </c>
      <c r="AE829" s="47"/>
      <c r="AF829" s="1" t="str">
        <f t="shared" si="232"/>
        <v/>
      </c>
      <c r="AG829" s="47"/>
    </row>
    <row r="830" spans="1:33">
      <c r="A830">
        <f t="shared" si="216"/>
        <v>0</v>
      </c>
      <c r="B830" s="2" t="str">
        <f t="shared" si="233"/>
        <v/>
      </c>
      <c r="C830" s="4" t="str">
        <f t="shared" si="217"/>
        <v/>
      </c>
      <c r="D830" s="3" t="str">
        <f t="shared" si="218"/>
        <v/>
      </c>
      <c r="E830" s="47"/>
      <c r="F830" s="3" t="str">
        <f t="shared" si="219"/>
        <v/>
      </c>
      <c r="G830" s="47"/>
      <c r="H830" s="3" t="str">
        <f t="shared" si="220"/>
        <v/>
      </c>
      <c r="I830" s="47"/>
      <c r="J830" s="3" t="str">
        <f t="shared" si="221"/>
        <v/>
      </c>
      <c r="K830" s="47"/>
      <c r="L830" s="3" t="str">
        <f t="shared" si="222"/>
        <v/>
      </c>
      <c r="M830" s="47"/>
      <c r="N830" s="3" t="str">
        <f t="shared" si="223"/>
        <v/>
      </c>
      <c r="O830" s="47"/>
      <c r="P830" s="3" t="str">
        <f t="shared" si="224"/>
        <v/>
      </c>
      <c r="Q830" s="47"/>
      <c r="R830" s="3" t="str">
        <f t="shared" si="225"/>
        <v/>
      </c>
      <c r="S830" s="47"/>
      <c r="T830" s="1" t="str">
        <f t="shared" si="226"/>
        <v/>
      </c>
      <c r="U830" s="47"/>
      <c r="V830" s="1" t="str">
        <f t="shared" si="227"/>
        <v/>
      </c>
      <c r="W830" s="47"/>
      <c r="X830" s="1" t="str">
        <f t="shared" si="228"/>
        <v/>
      </c>
      <c r="Y830" s="47"/>
      <c r="Z830" s="1" t="str">
        <f t="shared" si="229"/>
        <v/>
      </c>
      <c r="AA830" s="47"/>
      <c r="AB830" s="1" t="str">
        <f t="shared" si="230"/>
        <v/>
      </c>
      <c r="AC830" s="47"/>
      <c r="AD830" s="1" t="str">
        <f t="shared" si="231"/>
        <v/>
      </c>
      <c r="AE830" s="47"/>
      <c r="AF830" s="1" t="str">
        <f t="shared" si="232"/>
        <v/>
      </c>
      <c r="AG830" s="47"/>
    </row>
    <row r="831" spans="1:33">
      <c r="A831">
        <f t="shared" si="216"/>
        <v>0</v>
      </c>
      <c r="B831" s="2" t="str">
        <f t="shared" si="233"/>
        <v/>
      </c>
      <c r="C831" s="4" t="str">
        <f t="shared" si="217"/>
        <v/>
      </c>
      <c r="D831" s="3" t="str">
        <f t="shared" si="218"/>
        <v/>
      </c>
      <c r="E831" s="47"/>
      <c r="F831" s="3" t="str">
        <f t="shared" si="219"/>
        <v/>
      </c>
      <c r="G831" s="47"/>
      <c r="H831" s="3" t="str">
        <f t="shared" si="220"/>
        <v/>
      </c>
      <c r="I831" s="47"/>
      <c r="J831" s="3" t="str">
        <f t="shared" si="221"/>
        <v/>
      </c>
      <c r="K831" s="47"/>
      <c r="L831" s="3" t="str">
        <f t="shared" si="222"/>
        <v/>
      </c>
      <c r="M831" s="47"/>
      <c r="N831" s="3" t="str">
        <f t="shared" si="223"/>
        <v/>
      </c>
      <c r="O831" s="47"/>
      <c r="P831" s="3" t="str">
        <f t="shared" si="224"/>
        <v/>
      </c>
      <c r="Q831" s="47"/>
      <c r="R831" s="3" t="str">
        <f t="shared" si="225"/>
        <v/>
      </c>
      <c r="S831" s="47"/>
      <c r="T831" s="1" t="str">
        <f t="shared" si="226"/>
        <v/>
      </c>
      <c r="U831" s="47"/>
      <c r="V831" s="1" t="str">
        <f t="shared" si="227"/>
        <v/>
      </c>
      <c r="W831" s="47"/>
      <c r="X831" s="1" t="str">
        <f t="shared" si="228"/>
        <v/>
      </c>
      <c r="Y831" s="47"/>
      <c r="Z831" s="1" t="str">
        <f t="shared" si="229"/>
        <v/>
      </c>
      <c r="AA831" s="47"/>
      <c r="AB831" s="1" t="str">
        <f t="shared" si="230"/>
        <v/>
      </c>
      <c r="AC831" s="47"/>
      <c r="AD831" s="1" t="str">
        <f t="shared" si="231"/>
        <v/>
      </c>
      <c r="AE831" s="47"/>
      <c r="AF831" s="1" t="str">
        <f t="shared" si="232"/>
        <v/>
      </c>
      <c r="AG831" s="47"/>
    </row>
    <row r="832" spans="1:33">
      <c r="A832">
        <f t="shared" si="216"/>
        <v>0</v>
      </c>
      <c r="B832" s="2" t="str">
        <f t="shared" si="233"/>
        <v/>
      </c>
      <c r="C832" s="4" t="str">
        <f t="shared" si="217"/>
        <v/>
      </c>
      <c r="D832" s="3" t="str">
        <f t="shared" si="218"/>
        <v/>
      </c>
      <c r="E832" s="47"/>
      <c r="F832" s="3" t="str">
        <f t="shared" si="219"/>
        <v/>
      </c>
      <c r="G832" s="47"/>
      <c r="H832" s="3" t="str">
        <f t="shared" si="220"/>
        <v/>
      </c>
      <c r="I832" s="47"/>
      <c r="J832" s="3" t="str">
        <f t="shared" si="221"/>
        <v/>
      </c>
      <c r="K832" s="47"/>
      <c r="L832" s="3" t="str">
        <f t="shared" si="222"/>
        <v/>
      </c>
      <c r="M832" s="47"/>
      <c r="N832" s="3" t="str">
        <f t="shared" si="223"/>
        <v/>
      </c>
      <c r="O832" s="47"/>
      <c r="P832" s="3" t="str">
        <f t="shared" si="224"/>
        <v/>
      </c>
      <c r="Q832" s="47"/>
      <c r="R832" s="3" t="str">
        <f t="shared" si="225"/>
        <v/>
      </c>
      <c r="S832" s="47"/>
      <c r="T832" s="1" t="str">
        <f t="shared" si="226"/>
        <v/>
      </c>
      <c r="U832" s="47"/>
      <c r="V832" s="1" t="str">
        <f t="shared" si="227"/>
        <v/>
      </c>
      <c r="W832" s="47"/>
      <c r="X832" s="1" t="str">
        <f t="shared" si="228"/>
        <v/>
      </c>
      <c r="Y832" s="47"/>
      <c r="Z832" s="1" t="str">
        <f t="shared" si="229"/>
        <v/>
      </c>
      <c r="AA832" s="47"/>
      <c r="AB832" s="1" t="str">
        <f t="shared" si="230"/>
        <v/>
      </c>
      <c r="AC832" s="47"/>
      <c r="AD832" s="1" t="str">
        <f t="shared" si="231"/>
        <v/>
      </c>
      <c r="AE832" s="47"/>
      <c r="AF832" s="1" t="str">
        <f t="shared" si="232"/>
        <v/>
      </c>
      <c r="AG832" s="47"/>
    </row>
    <row r="833" spans="1:33">
      <c r="A833">
        <f t="shared" si="216"/>
        <v>0</v>
      </c>
      <c r="B833" s="2" t="str">
        <f t="shared" si="233"/>
        <v/>
      </c>
      <c r="C833" s="4" t="str">
        <f t="shared" si="217"/>
        <v/>
      </c>
      <c r="D833" s="3" t="str">
        <f t="shared" si="218"/>
        <v/>
      </c>
      <c r="E833" s="47"/>
      <c r="F833" s="3" t="str">
        <f t="shared" si="219"/>
        <v/>
      </c>
      <c r="G833" s="47"/>
      <c r="H833" s="3" t="str">
        <f t="shared" si="220"/>
        <v/>
      </c>
      <c r="I833" s="47"/>
      <c r="J833" s="3" t="str">
        <f t="shared" si="221"/>
        <v/>
      </c>
      <c r="K833" s="47"/>
      <c r="L833" s="3" t="str">
        <f t="shared" si="222"/>
        <v/>
      </c>
      <c r="M833" s="47"/>
      <c r="N833" s="3" t="str">
        <f t="shared" si="223"/>
        <v/>
      </c>
      <c r="O833" s="47"/>
      <c r="P833" s="3" t="str">
        <f t="shared" si="224"/>
        <v/>
      </c>
      <c r="Q833" s="47"/>
      <c r="R833" s="3" t="str">
        <f t="shared" si="225"/>
        <v/>
      </c>
      <c r="S833" s="47"/>
      <c r="T833" s="1" t="str">
        <f t="shared" si="226"/>
        <v/>
      </c>
      <c r="U833" s="47"/>
      <c r="V833" s="1" t="str">
        <f t="shared" si="227"/>
        <v/>
      </c>
      <c r="W833" s="47"/>
      <c r="X833" s="1" t="str">
        <f t="shared" si="228"/>
        <v/>
      </c>
      <c r="Y833" s="47"/>
      <c r="Z833" s="1" t="str">
        <f t="shared" si="229"/>
        <v/>
      </c>
      <c r="AA833" s="47"/>
      <c r="AB833" s="1" t="str">
        <f t="shared" si="230"/>
        <v/>
      </c>
      <c r="AC833" s="47"/>
      <c r="AD833" s="1" t="str">
        <f t="shared" si="231"/>
        <v/>
      </c>
      <c r="AE833" s="47"/>
      <c r="AF833" s="1" t="str">
        <f t="shared" si="232"/>
        <v/>
      </c>
      <c r="AG833" s="47"/>
    </row>
    <row r="834" spans="1:33">
      <c r="A834">
        <f t="shared" si="216"/>
        <v>0</v>
      </c>
      <c r="B834" s="2" t="str">
        <f t="shared" si="233"/>
        <v/>
      </c>
      <c r="C834" s="4" t="str">
        <f t="shared" si="217"/>
        <v/>
      </c>
      <c r="D834" s="3" t="str">
        <f t="shared" si="218"/>
        <v/>
      </c>
      <c r="E834" s="47"/>
      <c r="F834" s="3" t="str">
        <f t="shared" si="219"/>
        <v/>
      </c>
      <c r="G834" s="47"/>
      <c r="H834" s="3" t="str">
        <f t="shared" si="220"/>
        <v/>
      </c>
      <c r="I834" s="47"/>
      <c r="J834" s="3" t="str">
        <f t="shared" si="221"/>
        <v/>
      </c>
      <c r="K834" s="47"/>
      <c r="L834" s="3" t="str">
        <f t="shared" si="222"/>
        <v/>
      </c>
      <c r="M834" s="47"/>
      <c r="N834" s="3" t="str">
        <f t="shared" si="223"/>
        <v/>
      </c>
      <c r="O834" s="47"/>
      <c r="P834" s="3" t="str">
        <f t="shared" si="224"/>
        <v/>
      </c>
      <c r="Q834" s="47"/>
      <c r="R834" s="3" t="str">
        <f t="shared" si="225"/>
        <v/>
      </c>
      <c r="S834" s="47"/>
      <c r="T834" s="1" t="str">
        <f t="shared" si="226"/>
        <v/>
      </c>
      <c r="U834" s="47"/>
      <c r="V834" s="1" t="str">
        <f t="shared" si="227"/>
        <v/>
      </c>
      <c r="W834" s="47"/>
      <c r="X834" s="1" t="str">
        <f t="shared" si="228"/>
        <v/>
      </c>
      <c r="Y834" s="47"/>
      <c r="Z834" s="1" t="str">
        <f t="shared" si="229"/>
        <v/>
      </c>
      <c r="AA834" s="47"/>
      <c r="AB834" s="1" t="str">
        <f t="shared" si="230"/>
        <v/>
      </c>
      <c r="AC834" s="47"/>
      <c r="AD834" s="1" t="str">
        <f t="shared" si="231"/>
        <v/>
      </c>
      <c r="AE834" s="47"/>
      <c r="AF834" s="1" t="str">
        <f t="shared" si="232"/>
        <v/>
      </c>
      <c r="AG834" s="47"/>
    </row>
    <row r="835" spans="1:33">
      <c r="A835">
        <f t="shared" si="216"/>
        <v>0</v>
      </c>
      <c r="B835" s="2" t="str">
        <f t="shared" si="233"/>
        <v/>
      </c>
      <c r="C835" s="4" t="str">
        <f t="shared" si="217"/>
        <v/>
      </c>
      <c r="D835" s="3" t="str">
        <f t="shared" si="218"/>
        <v/>
      </c>
      <c r="E835" s="47"/>
      <c r="F835" s="3" t="str">
        <f t="shared" si="219"/>
        <v/>
      </c>
      <c r="G835" s="47"/>
      <c r="H835" s="3" t="str">
        <f t="shared" si="220"/>
        <v/>
      </c>
      <c r="I835" s="47"/>
      <c r="J835" s="3" t="str">
        <f t="shared" si="221"/>
        <v/>
      </c>
      <c r="K835" s="47"/>
      <c r="L835" s="3" t="str">
        <f t="shared" si="222"/>
        <v/>
      </c>
      <c r="M835" s="47"/>
      <c r="N835" s="3" t="str">
        <f t="shared" si="223"/>
        <v/>
      </c>
      <c r="O835" s="47"/>
      <c r="P835" s="3" t="str">
        <f t="shared" si="224"/>
        <v/>
      </c>
      <c r="Q835" s="47"/>
      <c r="R835" s="3" t="str">
        <f t="shared" si="225"/>
        <v/>
      </c>
      <c r="S835" s="47"/>
      <c r="T835" s="1" t="str">
        <f t="shared" si="226"/>
        <v/>
      </c>
      <c r="U835" s="47"/>
      <c r="V835" s="1" t="str">
        <f t="shared" si="227"/>
        <v/>
      </c>
      <c r="W835" s="47"/>
      <c r="X835" s="1" t="str">
        <f t="shared" si="228"/>
        <v/>
      </c>
      <c r="Y835" s="47"/>
      <c r="Z835" s="1" t="str">
        <f t="shared" si="229"/>
        <v/>
      </c>
      <c r="AA835" s="47"/>
      <c r="AB835" s="1" t="str">
        <f t="shared" si="230"/>
        <v/>
      </c>
      <c r="AC835" s="47"/>
      <c r="AD835" s="1" t="str">
        <f t="shared" si="231"/>
        <v/>
      </c>
      <c r="AE835" s="47"/>
      <c r="AF835" s="1" t="str">
        <f t="shared" si="232"/>
        <v/>
      </c>
      <c r="AG835" s="47"/>
    </row>
    <row r="836" spans="1:33">
      <c r="A836">
        <f t="shared" si="216"/>
        <v>0</v>
      </c>
      <c r="B836" s="2" t="str">
        <f t="shared" si="233"/>
        <v/>
      </c>
      <c r="C836" s="4" t="str">
        <f t="shared" si="217"/>
        <v/>
      </c>
      <c r="D836" s="3" t="str">
        <f t="shared" si="218"/>
        <v/>
      </c>
      <c r="E836" s="47"/>
      <c r="F836" s="3" t="str">
        <f t="shared" si="219"/>
        <v/>
      </c>
      <c r="G836" s="47"/>
      <c r="H836" s="3" t="str">
        <f t="shared" si="220"/>
        <v/>
      </c>
      <c r="I836" s="47"/>
      <c r="J836" s="3" t="str">
        <f t="shared" si="221"/>
        <v/>
      </c>
      <c r="K836" s="47"/>
      <c r="L836" s="3" t="str">
        <f t="shared" si="222"/>
        <v/>
      </c>
      <c r="M836" s="47"/>
      <c r="N836" s="3" t="str">
        <f t="shared" si="223"/>
        <v/>
      </c>
      <c r="O836" s="47"/>
      <c r="P836" s="3" t="str">
        <f t="shared" si="224"/>
        <v/>
      </c>
      <c r="Q836" s="47"/>
      <c r="R836" s="3" t="str">
        <f t="shared" si="225"/>
        <v/>
      </c>
      <c r="S836" s="47"/>
      <c r="T836" s="1" t="str">
        <f t="shared" si="226"/>
        <v/>
      </c>
      <c r="U836" s="47"/>
      <c r="V836" s="1" t="str">
        <f t="shared" si="227"/>
        <v/>
      </c>
      <c r="W836" s="47"/>
      <c r="X836" s="1" t="str">
        <f t="shared" si="228"/>
        <v/>
      </c>
      <c r="Y836" s="47"/>
      <c r="Z836" s="1" t="str">
        <f t="shared" si="229"/>
        <v/>
      </c>
      <c r="AA836" s="47"/>
      <c r="AB836" s="1" t="str">
        <f t="shared" si="230"/>
        <v/>
      </c>
      <c r="AC836" s="47"/>
      <c r="AD836" s="1" t="str">
        <f t="shared" si="231"/>
        <v/>
      </c>
      <c r="AE836" s="47"/>
      <c r="AF836" s="1" t="str">
        <f t="shared" si="232"/>
        <v/>
      </c>
      <c r="AG836" s="47"/>
    </row>
    <row r="837" spans="1:33">
      <c r="A837">
        <f t="shared" si="216"/>
        <v>0</v>
      </c>
      <c r="B837" s="2" t="str">
        <f t="shared" si="233"/>
        <v/>
      </c>
      <c r="C837" s="4" t="str">
        <f t="shared" si="217"/>
        <v/>
      </c>
      <c r="D837" s="3" t="str">
        <f t="shared" si="218"/>
        <v/>
      </c>
      <c r="E837" s="47"/>
      <c r="F837" s="3" t="str">
        <f t="shared" si="219"/>
        <v/>
      </c>
      <c r="G837" s="47"/>
      <c r="H837" s="3" t="str">
        <f t="shared" si="220"/>
        <v/>
      </c>
      <c r="I837" s="47"/>
      <c r="J837" s="3" t="str">
        <f t="shared" si="221"/>
        <v/>
      </c>
      <c r="K837" s="47"/>
      <c r="L837" s="3" t="str">
        <f t="shared" si="222"/>
        <v/>
      </c>
      <c r="M837" s="47"/>
      <c r="N837" s="3" t="str">
        <f t="shared" si="223"/>
        <v/>
      </c>
      <c r="O837" s="47"/>
      <c r="P837" s="3" t="str">
        <f t="shared" si="224"/>
        <v/>
      </c>
      <c r="Q837" s="47"/>
      <c r="R837" s="3" t="str">
        <f t="shared" si="225"/>
        <v/>
      </c>
      <c r="S837" s="47"/>
      <c r="T837" s="1" t="str">
        <f t="shared" si="226"/>
        <v/>
      </c>
      <c r="U837" s="47"/>
      <c r="V837" s="1" t="str">
        <f t="shared" si="227"/>
        <v/>
      </c>
      <c r="W837" s="47"/>
      <c r="X837" s="1" t="str">
        <f t="shared" si="228"/>
        <v/>
      </c>
      <c r="Y837" s="47"/>
      <c r="Z837" s="1" t="str">
        <f t="shared" si="229"/>
        <v/>
      </c>
      <c r="AA837" s="47"/>
      <c r="AB837" s="1" t="str">
        <f t="shared" si="230"/>
        <v/>
      </c>
      <c r="AC837" s="47"/>
      <c r="AD837" s="1" t="str">
        <f t="shared" si="231"/>
        <v/>
      </c>
      <c r="AE837" s="47"/>
      <c r="AF837" s="1" t="str">
        <f t="shared" si="232"/>
        <v/>
      </c>
      <c r="AG837" s="47"/>
    </row>
    <row r="838" spans="1:33">
      <c r="A838">
        <f t="shared" si="216"/>
        <v>0</v>
      </c>
      <c r="B838" s="2" t="str">
        <f t="shared" si="233"/>
        <v/>
      </c>
      <c r="C838" s="4" t="str">
        <f t="shared" si="217"/>
        <v/>
      </c>
      <c r="D838" s="3" t="str">
        <f t="shared" si="218"/>
        <v/>
      </c>
      <c r="E838" s="47"/>
      <c r="F838" s="3" t="str">
        <f t="shared" si="219"/>
        <v/>
      </c>
      <c r="G838" s="47"/>
      <c r="H838" s="3" t="str">
        <f t="shared" si="220"/>
        <v/>
      </c>
      <c r="I838" s="47"/>
      <c r="J838" s="3" t="str">
        <f t="shared" si="221"/>
        <v/>
      </c>
      <c r="K838" s="47"/>
      <c r="L838" s="3" t="str">
        <f t="shared" si="222"/>
        <v/>
      </c>
      <c r="M838" s="47"/>
      <c r="N838" s="3" t="str">
        <f t="shared" si="223"/>
        <v/>
      </c>
      <c r="O838" s="47"/>
      <c r="P838" s="3" t="str">
        <f t="shared" si="224"/>
        <v/>
      </c>
      <c r="Q838" s="47"/>
      <c r="R838" s="3" t="str">
        <f t="shared" si="225"/>
        <v/>
      </c>
      <c r="S838" s="47"/>
      <c r="T838" s="1" t="str">
        <f t="shared" si="226"/>
        <v/>
      </c>
      <c r="U838" s="47"/>
      <c r="V838" s="1" t="str">
        <f t="shared" si="227"/>
        <v/>
      </c>
      <c r="W838" s="47"/>
      <c r="X838" s="1" t="str">
        <f t="shared" si="228"/>
        <v/>
      </c>
      <c r="Y838" s="47"/>
      <c r="Z838" s="1" t="str">
        <f t="shared" si="229"/>
        <v/>
      </c>
      <c r="AA838" s="47"/>
      <c r="AB838" s="1" t="str">
        <f t="shared" si="230"/>
        <v/>
      </c>
      <c r="AC838" s="47"/>
      <c r="AD838" s="1" t="str">
        <f t="shared" si="231"/>
        <v/>
      </c>
      <c r="AE838" s="47"/>
      <c r="AF838" s="1" t="str">
        <f t="shared" si="232"/>
        <v/>
      </c>
      <c r="AG838" s="47"/>
    </row>
    <row r="839" spans="1:33">
      <c r="A839">
        <f t="shared" ref="A839:A902" si="234">$C$1</f>
        <v>0</v>
      </c>
      <c r="B839" s="2" t="str">
        <f t="shared" si="233"/>
        <v/>
      </c>
      <c r="C839" s="4" t="str">
        <f t="shared" si="217"/>
        <v/>
      </c>
      <c r="D839" s="3" t="str">
        <f t="shared" si="218"/>
        <v/>
      </c>
      <c r="E839" s="47"/>
      <c r="F839" s="3" t="str">
        <f t="shared" si="219"/>
        <v/>
      </c>
      <c r="G839" s="47"/>
      <c r="H839" s="3" t="str">
        <f t="shared" si="220"/>
        <v/>
      </c>
      <c r="I839" s="47"/>
      <c r="J839" s="3" t="str">
        <f t="shared" si="221"/>
        <v/>
      </c>
      <c r="K839" s="47"/>
      <c r="L839" s="3" t="str">
        <f t="shared" si="222"/>
        <v/>
      </c>
      <c r="M839" s="47"/>
      <c r="N839" s="3" t="str">
        <f t="shared" si="223"/>
        <v/>
      </c>
      <c r="O839" s="47"/>
      <c r="P839" s="3" t="str">
        <f t="shared" si="224"/>
        <v/>
      </c>
      <c r="Q839" s="47"/>
      <c r="R839" s="3" t="str">
        <f t="shared" si="225"/>
        <v/>
      </c>
      <c r="S839" s="47"/>
      <c r="T839" s="1" t="str">
        <f t="shared" si="226"/>
        <v/>
      </c>
      <c r="U839" s="47"/>
      <c r="V839" s="1" t="str">
        <f t="shared" si="227"/>
        <v/>
      </c>
      <c r="W839" s="47"/>
      <c r="X839" s="1" t="str">
        <f t="shared" si="228"/>
        <v/>
      </c>
      <c r="Y839" s="47"/>
      <c r="Z839" s="1" t="str">
        <f t="shared" si="229"/>
        <v/>
      </c>
      <c r="AA839" s="47"/>
      <c r="AB839" s="1" t="str">
        <f t="shared" si="230"/>
        <v/>
      </c>
      <c r="AC839" s="47"/>
      <c r="AD839" s="1" t="str">
        <f t="shared" si="231"/>
        <v/>
      </c>
      <c r="AE839" s="47"/>
      <c r="AF839" s="1" t="str">
        <f t="shared" si="232"/>
        <v/>
      </c>
      <c r="AG839" s="47"/>
    </row>
    <row r="840" spans="1:33">
      <c r="A840">
        <f t="shared" si="234"/>
        <v>0</v>
      </c>
      <c r="B840" s="2" t="str">
        <f t="shared" si="233"/>
        <v/>
      </c>
      <c r="C840" s="4" t="str">
        <f t="shared" ref="C840:C903" si="235">TEXT(B840,"AAA")</f>
        <v/>
      </c>
      <c r="D840" s="3" t="str">
        <f t="shared" ref="D840:D903" si="236">IF(NOT(AND($F$3&lt;=B840,B840&lt;=$F$4)),"",$F$2&amp;"")</f>
        <v/>
      </c>
      <c r="E840" s="47"/>
      <c r="F840" s="3" t="str">
        <f t="shared" ref="F840:F903" si="237">IF(NOT(AND($G$3&lt;=B840,B840&lt;=$G$4)),"",$G$2&amp;"")</f>
        <v/>
      </c>
      <c r="G840" s="47"/>
      <c r="H840" s="3" t="str">
        <f t="shared" ref="H840:H903" si="238">IF(NOT(AND($H$3&lt;=B840,B840&lt;=$H$4)),"",$H$2&amp;"")</f>
        <v/>
      </c>
      <c r="I840" s="47"/>
      <c r="J840" s="3" t="str">
        <f t="shared" ref="J840:J903" si="239">IF(NOT(AND($I$3&lt;=B840,B840&lt;=$I$4)),"",$I$2&amp;"")</f>
        <v/>
      </c>
      <c r="K840" s="47"/>
      <c r="L840" s="3" t="str">
        <f t="shared" ref="L840:L903" si="240">IF(NOT(AND($J$3&lt;=B840,B840&lt;=$J$4)),"",$J$2&amp;"")</f>
        <v/>
      </c>
      <c r="M840" s="47"/>
      <c r="N840" s="3" t="str">
        <f t="shared" ref="N840:N903" si="241">IF(NOT(AND($K$3&lt;=B840,B840&lt;=$K$4)),"",$K$2&amp;"")</f>
        <v/>
      </c>
      <c r="O840" s="47"/>
      <c r="P840" s="3" t="str">
        <f t="shared" ref="P840:P903" si="242">IF(NOT(AND($L$3&lt;=B840,B840&lt;=$L$4)),"",$L$2&amp;"")</f>
        <v/>
      </c>
      <c r="Q840" s="47"/>
      <c r="R840" s="3" t="str">
        <f t="shared" ref="R840:R903" si="243">IF(NOT(AND($M$3&lt;=B840,B840&lt;=$M$4)),"",$M$2&amp;"")</f>
        <v/>
      </c>
      <c r="S840" s="47"/>
      <c r="T840" s="1" t="str">
        <f t="shared" ref="T840:T903" si="244">IF(NOT(AND($N$3&lt;=B840,B840&lt;=$N$4)),"",$N$2&amp;"")</f>
        <v/>
      </c>
      <c r="U840" s="47"/>
      <c r="V840" s="1" t="str">
        <f t="shared" ref="V840:V903" si="245">IF(NOT(AND($O$3&lt;=B840,B840&lt;=$O$4)),"",$O$2&amp;"")</f>
        <v/>
      </c>
      <c r="W840" s="47"/>
      <c r="X840" s="1" t="str">
        <f t="shared" ref="X840:X903" si="246">IF(NOT(AND($P$3&lt;=B840,B840&lt;=$P$4)),"",$P$2&amp;"")</f>
        <v/>
      </c>
      <c r="Y840" s="47"/>
      <c r="Z840" s="1" t="str">
        <f t="shared" ref="Z840:Z903" si="247">IF(NOT(AND($Q$3&lt;=B840,B840&lt;=$Q$4)),"",$Q$2&amp;"")</f>
        <v/>
      </c>
      <c r="AA840" s="47"/>
      <c r="AB840" s="1" t="str">
        <f t="shared" ref="AB840:AB903" si="248">IF(NOT(AND($R$3&lt;=B840,B840&lt;=$R$4)),"",$R$2&amp;"")</f>
        <v/>
      </c>
      <c r="AC840" s="47"/>
      <c r="AD840" s="1" t="str">
        <f t="shared" ref="AD840:AD903" si="249">IF(NOT(AND($S$3&lt;=B840,B840&lt;=$S$4)),"",$S$2&amp;"")</f>
        <v/>
      </c>
      <c r="AE840" s="47"/>
      <c r="AF840" s="1" t="str">
        <f t="shared" ref="AF840:AF903" si="250">IF(NOT(AND($T$3&lt;=B840,B840&lt;=$T$4)),"",$T$2&amp;"")</f>
        <v/>
      </c>
      <c r="AG840" s="47"/>
    </row>
    <row r="841" spans="1:33">
      <c r="A841">
        <f t="shared" si="234"/>
        <v>0</v>
      </c>
      <c r="B841" s="2" t="str">
        <f t="shared" ref="B841:B904" si="251">IFERROR(IF(B840+1&gt;$C$3,"",B840+1),"")</f>
        <v/>
      </c>
      <c r="C841" s="4" t="str">
        <f t="shared" si="235"/>
        <v/>
      </c>
      <c r="D841" s="3" t="str">
        <f t="shared" si="236"/>
        <v/>
      </c>
      <c r="E841" s="47"/>
      <c r="F841" s="3" t="str">
        <f t="shared" si="237"/>
        <v/>
      </c>
      <c r="G841" s="47"/>
      <c r="H841" s="3" t="str">
        <f t="shared" si="238"/>
        <v/>
      </c>
      <c r="I841" s="47"/>
      <c r="J841" s="3" t="str">
        <f t="shared" si="239"/>
        <v/>
      </c>
      <c r="K841" s="47"/>
      <c r="L841" s="3" t="str">
        <f t="shared" si="240"/>
        <v/>
      </c>
      <c r="M841" s="47"/>
      <c r="N841" s="3" t="str">
        <f t="shared" si="241"/>
        <v/>
      </c>
      <c r="O841" s="47"/>
      <c r="P841" s="3" t="str">
        <f t="shared" si="242"/>
        <v/>
      </c>
      <c r="Q841" s="47"/>
      <c r="R841" s="3" t="str">
        <f t="shared" si="243"/>
        <v/>
      </c>
      <c r="S841" s="47"/>
      <c r="T841" s="1" t="str">
        <f t="shared" si="244"/>
        <v/>
      </c>
      <c r="U841" s="47"/>
      <c r="V841" s="1" t="str">
        <f t="shared" si="245"/>
        <v/>
      </c>
      <c r="W841" s="47"/>
      <c r="X841" s="1" t="str">
        <f t="shared" si="246"/>
        <v/>
      </c>
      <c r="Y841" s="47"/>
      <c r="Z841" s="1" t="str">
        <f t="shared" si="247"/>
        <v/>
      </c>
      <c r="AA841" s="47"/>
      <c r="AB841" s="1" t="str">
        <f t="shared" si="248"/>
        <v/>
      </c>
      <c r="AC841" s="47"/>
      <c r="AD841" s="1" t="str">
        <f t="shared" si="249"/>
        <v/>
      </c>
      <c r="AE841" s="47"/>
      <c r="AF841" s="1" t="str">
        <f t="shared" si="250"/>
        <v/>
      </c>
      <c r="AG841" s="47"/>
    </row>
    <row r="842" spans="1:33">
      <c r="A842">
        <f t="shared" si="234"/>
        <v>0</v>
      </c>
      <c r="B842" s="2" t="str">
        <f t="shared" si="251"/>
        <v/>
      </c>
      <c r="C842" s="4" t="str">
        <f t="shared" si="235"/>
        <v/>
      </c>
      <c r="D842" s="3" t="str">
        <f t="shared" si="236"/>
        <v/>
      </c>
      <c r="E842" s="47"/>
      <c r="F842" s="3" t="str">
        <f t="shared" si="237"/>
        <v/>
      </c>
      <c r="G842" s="47"/>
      <c r="H842" s="3" t="str">
        <f t="shared" si="238"/>
        <v/>
      </c>
      <c r="I842" s="47"/>
      <c r="J842" s="3" t="str">
        <f t="shared" si="239"/>
        <v/>
      </c>
      <c r="K842" s="47"/>
      <c r="L842" s="3" t="str">
        <f t="shared" si="240"/>
        <v/>
      </c>
      <c r="M842" s="47"/>
      <c r="N842" s="3" t="str">
        <f t="shared" si="241"/>
        <v/>
      </c>
      <c r="O842" s="47"/>
      <c r="P842" s="3" t="str">
        <f t="shared" si="242"/>
        <v/>
      </c>
      <c r="Q842" s="47"/>
      <c r="R842" s="3" t="str">
        <f t="shared" si="243"/>
        <v/>
      </c>
      <c r="S842" s="47"/>
      <c r="T842" s="1" t="str">
        <f t="shared" si="244"/>
        <v/>
      </c>
      <c r="U842" s="47"/>
      <c r="V842" s="1" t="str">
        <f t="shared" si="245"/>
        <v/>
      </c>
      <c r="W842" s="47"/>
      <c r="X842" s="1" t="str">
        <f t="shared" si="246"/>
        <v/>
      </c>
      <c r="Y842" s="47"/>
      <c r="Z842" s="1" t="str">
        <f t="shared" si="247"/>
        <v/>
      </c>
      <c r="AA842" s="47"/>
      <c r="AB842" s="1" t="str">
        <f t="shared" si="248"/>
        <v/>
      </c>
      <c r="AC842" s="47"/>
      <c r="AD842" s="1" t="str">
        <f t="shared" si="249"/>
        <v/>
      </c>
      <c r="AE842" s="47"/>
      <c r="AF842" s="1" t="str">
        <f t="shared" si="250"/>
        <v/>
      </c>
      <c r="AG842" s="47"/>
    </row>
    <row r="843" spans="1:33">
      <c r="A843">
        <f t="shared" si="234"/>
        <v>0</v>
      </c>
      <c r="B843" s="2" t="str">
        <f t="shared" si="251"/>
        <v/>
      </c>
      <c r="C843" s="4" t="str">
        <f t="shared" si="235"/>
        <v/>
      </c>
      <c r="D843" s="3" t="str">
        <f t="shared" si="236"/>
        <v/>
      </c>
      <c r="E843" s="47"/>
      <c r="F843" s="3" t="str">
        <f t="shared" si="237"/>
        <v/>
      </c>
      <c r="G843" s="47"/>
      <c r="H843" s="3" t="str">
        <f t="shared" si="238"/>
        <v/>
      </c>
      <c r="I843" s="47"/>
      <c r="J843" s="3" t="str">
        <f t="shared" si="239"/>
        <v/>
      </c>
      <c r="K843" s="47"/>
      <c r="L843" s="3" t="str">
        <f t="shared" si="240"/>
        <v/>
      </c>
      <c r="M843" s="47"/>
      <c r="N843" s="3" t="str">
        <f t="shared" si="241"/>
        <v/>
      </c>
      <c r="O843" s="47"/>
      <c r="P843" s="3" t="str">
        <f t="shared" si="242"/>
        <v/>
      </c>
      <c r="Q843" s="47"/>
      <c r="R843" s="3" t="str">
        <f t="shared" si="243"/>
        <v/>
      </c>
      <c r="S843" s="47"/>
      <c r="T843" s="1" t="str">
        <f t="shared" si="244"/>
        <v/>
      </c>
      <c r="U843" s="47"/>
      <c r="V843" s="1" t="str">
        <f t="shared" si="245"/>
        <v/>
      </c>
      <c r="W843" s="47"/>
      <c r="X843" s="1" t="str">
        <f t="shared" si="246"/>
        <v/>
      </c>
      <c r="Y843" s="47"/>
      <c r="Z843" s="1" t="str">
        <f t="shared" si="247"/>
        <v/>
      </c>
      <c r="AA843" s="47"/>
      <c r="AB843" s="1" t="str">
        <f t="shared" si="248"/>
        <v/>
      </c>
      <c r="AC843" s="47"/>
      <c r="AD843" s="1" t="str">
        <f t="shared" si="249"/>
        <v/>
      </c>
      <c r="AE843" s="47"/>
      <c r="AF843" s="1" t="str">
        <f t="shared" si="250"/>
        <v/>
      </c>
      <c r="AG843" s="47"/>
    </row>
    <row r="844" spans="1:33">
      <c r="A844">
        <f t="shared" si="234"/>
        <v>0</v>
      </c>
      <c r="B844" s="2" t="str">
        <f t="shared" si="251"/>
        <v/>
      </c>
      <c r="C844" s="4" t="str">
        <f t="shared" si="235"/>
        <v/>
      </c>
      <c r="D844" s="3" t="str">
        <f t="shared" si="236"/>
        <v/>
      </c>
      <c r="E844" s="47"/>
      <c r="F844" s="3" t="str">
        <f t="shared" si="237"/>
        <v/>
      </c>
      <c r="G844" s="47"/>
      <c r="H844" s="3" t="str">
        <f t="shared" si="238"/>
        <v/>
      </c>
      <c r="I844" s="47"/>
      <c r="J844" s="3" t="str">
        <f t="shared" si="239"/>
        <v/>
      </c>
      <c r="K844" s="47"/>
      <c r="L844" s="3" t="str">
        <f t="shared" si="240"/>
        <v/>
      </c>
      <c r="M844" s="47"/>
      <c r="N844" s="3" t="str">
        <f t="shared" si="241"/>
        <v/>
      </c>
      <c r="O844" s="47"/>
      <c r="P844" s="3" t="str">
        <f t="shared" si="242"/>
        <v/>
      </c>
      <c r="Q844" s="47"/>
      <c r="R844" s="3" t="str">
        <f t="shared" si="243"/>
        <v/>
      </c>
      <c r="S844" s="47"/>
      <c r="T844" s="1" t="str">
        <f t="shared" si="244"/>
        <v/>
      </c>
      <c r="U844" s="47"/>
      <c r="V844" s="1" t="str">
        <f t="shared" si="245"/>
        <v/>
      </c>
      <c r="W844" s="47"/>
      <c r="X844" s="1" t="str">
        <f t="shared" si="246"/>
        <v/>
      </c>
      <c r="Y844" s="47"/>
      <c r="Z844" s="1" t="str">
        <f t="shared" si="247"/>
        <v/>
      </c>
      <c r="AA844" s="47"/>
      <c r="AB844" s="1" t="str">
        <f t="shared" si="248"/>
        <v/>
      </c>
      <c r="AC844" s="47"/>
      <c r="AD844" s="1" t="str">
        <f t="shared" si="249"/>
        <v/>
      </c>
      <c r="AE844" s="47"/>
      <c r="AF844" s="1" t="str">
        <f t="shared" si="250"/>
        <v/>
      </c>
      <c r="AG844" s="47"/>
    </row>
    <row r="845" spans="1:33">
      <c r="A845">
        <f t="shared" si="234"/>
        <v>0</v>
      </c>
      <c r="B845" s="2" t="str">
        <f t="shared" si="251"/>
        <v/>
      </c>
      <c r="C845" s="4" t="str">
        <f t="shared" si="235"/>
        <v/>
      </c>
      <c r="D845" s="3" t="str">
        <f t="shared" si="236"/>
        <v/>
      </c>
      <c r="E845" s="47"/>
      <c r="F845" s="3" t="str">
        <f t="shared" si="237"/>
        <v/>
      </c>
      <c r="G845" s="47"/>
      <c r="H845" s="3" t="str">
        <f t="shared" si="238"/>
        <v/>
      </c>
      <c r="I845" s="47"/>
      <c r="J845" s="3" t="str">
        <f t="shared" si="239"/>
        <v/>
      </c>
      <c r="K845" s="47"/>
      <c r="L845" s="3" t="str">
        <f t="shared" si="240"/>
        <v/>
      </c>
      <c r="M845" s="47"/>
      <c r="N845" s="3" t="str">
        <f t="shared" si="241"/>
        <v/>
      </c>
      <c r="O845" s="47"/>
      <c r="P845" s="3" t="str">
        <f t="shared" si="242"/>
        <v/>
      </c>
      <c r="Q845" s="47"/>
      <c r="R845" s="3" t="str">
        <f t="shared" si="243"/>
        <v/>
      </c>
      <c r="S845" s="47"/>
      <c r="T845" s="1" t="str">
        <f t="shared" si="244"/>
        <v/>
      </c>
      <c r="U845" s="47"/>
      <c r="V845" s="1" t="str">
        <f t="shared" si="245"/>
        <v/>
      </c>
      <c r="W845" s="47"/>
      <c r="X845" s="1" t="str">
        <f t="shared" si="246"/>
        <v/>
      </c>
      <c r="Y845" s="47"/>
      <c r="Z845" s="1" t="str">
        <f t="shared" si="247"/>
        <v/>
      </c>
      <c r="AA845" s="47"/>
      <c r="AB845" s="1" t="str">
        <f t="shared" si="248"/>
        <v/>
      </c>
      <c r="AC845" s="47"/>
      <c r="AD845" s="1" t="str">
        <f t="shared" si="249"/>
        <v/>
      </c>
      <c r="AE845" s="47"/>
      <c r="AF845" s="1" t="str">
        <f t="shared" si="250"/>
        <v/>
      </c>
      <c r="AG845" s="47"/>
    </row>
    <row r="846" spans="1:33">
      <c r="A846">
        <f t="shared" si="234"/>
        <v>0</v>
      </c>
      <c r="B846" s="2" t="str">
        <f t="shared" si="251"/>
        <v/>
      </c>
      <c r="C846" s="4" t="str">
        <f t="shared" si="235"/>
        <v/>
      </c>
      <c r="D846" s="3" t="str">
        <f t="shared" si="236"/>
        <v/>
      </c>
      <c r="E846" s="47"/>
      <c r="F846" s="3" t="str">
        <f t="shared" si="237"/>
        <v/>
      </c>
      <c r="G846" s="47"/>
      <c r="H846" s="3" t="str">
        <f t="shared" si="238"/>
        <v/>
      </c>
      <c r="I846" s="47"/>
      <c r="J846" s="3" t="str">
        <f t="shared" si="239"/>
        <v/>
      </c>
      <c r="K846" s="47"/>
      <c r="L846" s="3" t="str">
        <f t="shared" si="240"/>
        <v/>
      </c>
      <c r="M846" s="47"/>
      <c r="N846" s="3" t="str">
        <f t="shared" si="241"/>
        <v/>
      </c>
      <c r="O846" s="47"/>
      <c r="P846" s="3" t="str">
        <f t="shared" si="242"/>
        <v/>
      </c>
      <c r="Q846" s="47"/>
      <c r="R846" s="3" t="str">
        <f t="shared" si="243"/>
        <v/>
      </c>
      <c r="S846" s="47"/>
      <c r="T846" s="1" t="str">
        <f t="shared" si="244"/>
        <v/>
      </c>
      <c r="U846" s="47"/>
      <c r="V846" s="1" t="str">
        <f t="shared" si="245"/>
        <v/>
      </c>
      <c r="W846" s="47"/>
      <c r="X846" s="1" t="str">
        <f t="shared" si="246"/>
        <v/>
      </c>
      <c r="Y846" s="47"/>
      <c r="Z846" s="1" t="str">
        <f t="shared" si="247"/>
        <v/>
      </c>
      <c r="AA846" s="47"/>
      <c r="AB846" s="1" t="str">
        <f t="shared" si="248"/>
        <v/>
      </c>
      <c r="AC846" s="47"/>
      <c r="AD846" s="1" t="str">
        <f t="shared" si="249"/>
        <v/>
      </c>
      <c r="AE846" s="47"/>
      <c r="AF846" s="1" t="str">
        <f t="shared" si="250"/>
        <v/>
      </c>
      <c r="AG846" s="47"/>
    </row>
    <row r="847" spans="1:33">
      <c r="A847">
        <f t="shared" si="234"/>
        <v>0</v>
      </c>
      <c r="B847" s="2" t="str">
        <f t="shared" si="251"/>
        <v/>
      </c>
      <c r="C847" s="4" t="str">
        <f t="shared" si="235"/>
        <v/>
      </c>
      <c r="D847" s="3" t="str">
        <f t="shared" si="236"/>
        <v/>
      </c>
      <c r="E847" s="47"/>
      <c r="F847" s="3" t="str">
        <f t="shared" si="237"/>
        <v/>
      </c>
      <c r="G847" s="47"/>
      <c r="H847" s="3" t="str">
        <f t="shared" si="238"/>
        <v/>
      </c>
      <c r="I847" s="47"/>
      <c r="J847" s="3" t="str">
        <f t="shared" si="239"/>
        <v/>
      </c>
      <c r="K847" s="47"/>
      <c r="L847" s="3" t="str">
        <f t="shared" si="240"/>
        <v/>
      </c>
      <c r="M847" s="47"/>
      <c r="N847" s="3" t="str">
        <f t="shared" si="241"/>
        <v/>
      </c>
      <c r="O847" s="47"/>
      <c r="P847" s="3" t="str">
        <f t="shared" si="242"/>
        <v/>
      </c>
      <c r="Q847" s="47"/>
      <c r="R847" s="3" t="str">
        <f t="shared" si="243"/>
        <v/>
      </c>
      <c r="S847" s="47"/>
      <c r="T847" s="1" t="str">
        <f t="shared" si="244"/>
        <v/>
      </c>
      <c r="U847" s="47"/>
      <c r="V847" s="1" t="str">
        <f t="shared" si="245"/>
        <v/>
      </c>
      <c r="W847" s="47"/>
      <c r="X847" s="1" t="str">
        <f t="shared" si="246"/>
        <v/>
      </c>
      <c r="Y847" s="47"/>
      <c r="Z847" s="1" t="str">
        <f t="shared" si="247"/>
        <v/>
      </c>
      <c r="AA847" s="47"/>
      <c r="AB847" s="1" t="str">
        <f t="shared" si="248"/>
        <v/>
      </c>
      <c r="AC847" s="47"/>
      <c r="AD847" s="1" t="str">
        <f t="shared" si="249"/>
        <v/>
      </c>
      <c r="AE847" s="47"/>
      <c r="AF847" s="1" t="str">
        <f t="shared" si="250"/>
        <v/>
      </c>
      <c r="AG847" s="47"/>
    </row>
    <row r="848" spans="1:33">
      <c r="A848">
        <f t="shared" si="234"/>
        <v>0</v>
      </c>
      <c r="B848" s="2" t="str">
        <f t="shared" si="251"/>
        <v/>
      </c>
      <c r="C848" s="4" t="str">
        <f t="shared" si="235"/>
        <v/>
      </c>
      <c r="D848" s="3" t="str">
        <f t="shared" si="236"/>
        <v/>
      </c>
      <c r="E848" s="47"/>
      <c r="F848" s="3" t="str">
        <f t="shared" si="237"/>
        <v/>
      </c>
      <c r="G848" s="47"/>
      <c r="H848" s="3" t="str">
        <f t="shared" si="238"/>
        <v/>
      </c>
      <c r="I848" s="47"/>
      <c r="J848" s="3" t="str">
        <f t="shared" si="239"/>
        <v/>
      </c>
      <c r="K848" s="47"/>
      <c r="L848" s="3" t="str">
        <f t="shared" si="240"/>
        <v/>
      </c>
      <c r="M848" s="47"/>
      <c r="N848" s="3" t="str">
        <f t="shared" si="241"/>
        <v/>
      </c>
      <c r="O848" s="47"/>
      <c r="P848" s="3" t="str">
        <f t="shared" si="242"/>
        <v/>
      </c>
      <c r="Q848" s="47"/>
      <c r="R848" s="3" t="str">
        <f t="shared" si="243"/>
        <v/>
      </c>
      <c r="S848" s="47"/>
      <c r="T848" s="1" t="str">
        <f t="shared" si="244"/>
        <v/>
      </c>
      <c r="U848" s="47"/>
      <c r="V848" s="1" t="str">
        <f t="shared" si="245"/>
        <v/>
      </c>
      <c r="W848" s="47"/>
      <c r="X848" s="1" t="str">
        <f t="shared" si="246"/>
        <v/>
      </c>
      <c r="Y848" s="47"/>
      <c r="Z848" s="1" t="str">
        <f t="shared" si="247"/>
        <v/>
      </c>
      <c r="AA848" s="47"/>
      <c r="AB848" s="1" t="str">
        <f t="shared" si="248"/>
        <v/>
      </c>
      <c r="AC848" s="47"/>
      <c r="AD848" s="1" t="str">
        <f t="shared" si="249"/>
        <v/>
      </c>
      <c r="AE848" s="47"/>
      <c r="AF848" s="1" t="str">
        <f t="shared" si="250"/>
        <v/>
      </c>
      <c r="AG848" s="47"/>
    </row>
    <row r="849" spans="1:33">
      <c r="A849">
        <f t="shared" si="234"/>
        <v>0</v>
      </c>
      <c r="B849" s="2" t="str">
        <f t="shared" si="251"/>
        <v/>
      </c>
      <c r="C849" s="4" t="str">
        <f t="shared" si="235"/>
        <v/>
      </c>
      <c r="D849" s="3" t="str">
        <f t="shared" si="236"/>
        <v/>
      </c>
      <c r="E849" s="47"/>
      <c r="F849" s="3" t="str">
        <f t="shared" si="237"/>
        <v/>
      </c>
      <c r="G849" s="47"/>
      <c r="H849" s="3" t="str">
        <f t="shared" si="238"/>
        <v/>
      </c>
      <c r="I849" s="47"/>
      <c r="J849" s="3" t="str">
        <f t="shared" si="239"/>
        <v/>
      </c>
      <c r="K849" s="47"/>
      <c r="L849" s="3" t="str">
        <f t="shared" si="240"/>
        <v/>
      </c>
      <c r="M849" s="47"/>
      <c r="N849" s="3" t="str">
        <f t="shared" si="241"/>
        <v/>
      </c>
      <c r="O849" s="47"/>
      <c r="P849" s="3" t="str">
        <f t="shared" si="242"/>
        <v/>
      </c>
      <c r="Q849" s="47"/>
      <c r="R849" s="3" t="str">
        <f t="shared" si="243"/>
        <v/>
      </c>
      <c r="S849" s="47"/>
      <c r="T849" s="1" t="str">
        <f t="shared" si="244"/>
        <v/>
      </c>
      <c r="U849" s="47"/>
      <c r="V849" s="1" t="str">
        <f t="shared" si="245"/>
        <v/>
      </c>
      <c r="W849" s="47"/>
      <c r="X849" s="1" t="str">
        <f t="shared" si="246"/>
        <v/>
      </c>
      <c r="Y849" s="47"/>
      <c r="Z849" s="1" t="str">
        <f t="shared" si="247"/>
        <v/>
      </c>
      <c r="AA849" s="47"/>
      <c r="AB849" s="1" t="str">
        <f t="shared" si="248"/>
        <v/>
      </c>
      <c r="AC849" s="47"/>
      <c r="AD849" s="1" t="str">
        <f t="shared" si="249"/>
        <v/>
      </c>
      <c r="AE849" s="47"/>
      <c r="AF849" s="1" t="str">
        <f t="shared" si="250"/>
        <v/>
      </c>
      <c r="AG849" s="47"/>
    </row>
    <row r="850" spans="1:33">
      <c r="A850">
        <f t="shared" si="234"/>
        <v>0</v>
      </c>
      <c r="B850" s="2" t="str">
        <f t="shared" si="251"/>
        <v/>
      </c>
      <c r="C850" s="4" t="str">
        <f t="shared" si="235"/>
        <v/>
      </c>
      <c r="D850" s="3" t="str">
        <f t="shared" si="236"/>
        <v/>
      </c>
      <c r="E850" s="47"/>
      <c r="F850" s="3" t="str">
        <f t="shared" si="237"/>
        <v/>
      </c>
      <c r="G850" s="47"/>
      <c r="H850" s="3" t="str">
        <f t="shared" si="238"/>
        <v/>
      </c>
      <c r="I850" s="47"/>
      <c r="J850" s="3" t="str">
        <f t="shared" si="239"/>
        <v/>
      </c>
      <c r="K850" s="47"/>
      <c r="L850" s="3" t="str">
        <f t="shared" si="240"/>
        <v/>
      </c>
      <c r="M850" s="47"/>
      <c r="N850" s="3" t="str">
        <f t="shared" si="241"/>
        <v/>
      </c>
      <c r="O850" s="47"/>
      <c r="P850" s="3" t="str">
        <f t="shared" si="242"/>
        <v/>
      </c>
      <c r="Q850" s="47"/>
      <c r="R850" s="3" t="str">
        <f t="shared" si="243"/>
        <v/>
      </c>
      <c r="S850" s="47"/>
      <c r="T850" s="1" t="str">
        <f t="shared" si="244"/>
        <v/>
      </c>
      <c r="U850" s="47"/>
      <c r="V850" s="1" t="str">
        <f t="shared" si="245"/>
        <v/>
      </c>
      <c r="W850" s="47"/>
      <c r="X850" s="1" t="str">
        <f t="shared" si="246"/>
        <v/>
      </c>
      <c r="Y850" s="47"/>
      <c r="Z850" s="1" t="str">
        <f t="shared" si="247"/>
        <v/>
      </c>
      <c r="AA850" s="47"/>
      <c r="AB850" s="1" t="str">
        <f t="shared" si="248"/>
        <v/>
      </c>
      <c r="AC850" s="47"/>
      <c r="AD850" s="1" t="str">
        <f t="shared" si="249"/>
        <v/>
      </c>
      <c r="AE850" s="47"/>
      <c r="AF850" s="1" t="str">
        <f t="shared" si="250"/>
        <v/>
      </c>
      <c r="AG850" s="47"/>
    </row>
    <row r="851" spans="1:33">
      <c r="A851">
        <f t="shared" si="234"/>
        <v>0</v>
      </c>
      <c r="B851" s="2" t="str">
        <f t="shared" si="251"/>
        <v/>
      </c>
      <c r="C851" s="4" t="str">
        <f t="shared" si="235"/>
        <v/>
      </c>
      <c r="D851" s="3" t="str">
        <f t="shared" si="236"/>
        <v/>
      </c>
      <c r="E851" s="47"/>
      <c r="F851" s="3" t="str">
        <f t="shared" si="237"/>
        <v/>
      </c>
      <c r="G851" s="47"/>
      <c r="H851" s="3" t="str">
        <f t="shared" si="238"/>
        <v/>
      </c>
      <c r="I851" s="47"/>
      <c r="J851" s="3" t="str">
        <f t="shared" si="239"/>
        <v/>
      </c>
      <c r="K851" s="47"/>
      <c r="L851" s="3" t="str">
        <f t="shared" si="240"/>
        <v/>
      </c>
      <c r="M851" s="47"/>
      <c r="N851" s="3" t="str">
        <f t="shared" si="241"/>
        <v/>
      </c>
      <c r="O851" s="47"/>
      <c r="P851" s="3" t="str">
        <f t="shared" si="242"/>
        <v/>
      </c>
      <c r="Q851" s="47"/>
      <c r="R851" s="3" t="str">
        <f t="shared" si="243"/>
        <v/>
      </c>
      <c r="S851" s="47"/>
      <c r="T851" s="1" t="str">
        <f t="shared" si="244"/>
        <v/>
      </c>
      <c r="U851" s="47"/>
      <c r="V851" s="1" t="str">
        <f t="shared" si="245"/>
        <v/>
      </c>
      <c r="W851" s="47"/>
      <c r="X851" s="1" t="str">
        <f t="shared" si="246"/>
        <v/>
      </c>
      <c r="Y851" s="47"/>
      <c r="Z851" s="1" t="str">
        <f t="shared" si="247"/>
        <v/>
      </c>
      <c r="AA851" s="47"/>
      <c r="AB851" s="1" t="str">
        <f t="shared" si="248"/>
        <v/>
      </c>
      <c r="AC851" s="47"/>
      <c r="AD851" s="1" t="str">
        <f t="shared" si="249"/>
        <v/>
      </c>
      <c r="AE851" s="47"/>
      <c r="AF851" s="1" t="str">
        <f t="shared" si="250"/>
        <v/>
      </c>
      <c r="AG851" s="47"/>
    </row>
    <row r="852" spans="1:33">
      <c r="A852">
        <f t="shared" si="234"/>
        <v>0</v>
      </c>
      <c r="B852" s="2" t="str">
        <f t="shared" si="251"/>
        <v/>
      </c>
      <c r="C852" s="4" t="str">
        <f t="shared" si="235"/>
        <v/>
      </c>
      <c r="D852" s="3" t="str">
        <f t="shared" si="236"/>
        <v/>
      </c>
      <c r="E852" s="47"/>
      <c r="F852" s="3" t="str">
        <f t="shared" si="237"/>
        <v/>
      </c>
      <c r="G852" s="47"/>
      <c r="H852" s="3" t="str">
        <f t="shared" si="238"/>
        <v/>
      </c>
      <c r="I852" s="47"/>
      <c r="J852" s="3" t="str">
        <f t="shared" si="239"/>
        <v/>
      </c>
      <c r="K852" s="47"/>
      <c r="L852" s="3" t="str">
        <f t="shared" si="240"/>
        <v/>
      </c>
      <c r="M852" s="47"/>
      <c r="N852" s="3" t="str">
        <f t="shared" si="241"/>
        <v/>
      </c>
      <c r="O852" s="47"/>
      <c r="P852" s="3" t="str">
        <f t="shared" si="242"/>
        <v/>
      </c>
      <c r="Q852" s="47"/>
      <c r="R852" s="3" t="str">
        <f t="shared" si="243"/>
        <v/>
      </c>
      <c r="S852" s="47"/>
      <c r="T852" s="1" t="str">
        <f t="shared" si="244"/>
        <v/>
      </c>
      <c r="U852" s="47"/>
      <c r="V852" s="1" t="str">
        <f t="shared" si="245"/>
        <v/>
      </c>
      <c r="W852" s="47"/>
      <c r="X852" s="1" t="str">
        <f t="shared" si="246"/>
        <v/>
      </c>
      <c r="Y852" s="47"/>
      <c r="Z852" s="1" t="str">
        <f t="shared" si="247"/>
        <v/>
      </c>
      <c r="AA852" s="47"/>
      <c r="AB852" s="1" t="str">
        <f t="shared" si="248"/>
        <v/>
      </c>
      <c r="AC852" s="47"/>
      <c r="AD852" s="1" t="str">
        <f t="shared" si="249"/>
        <v/>
      </c>
      <c r="AE852" s="47"/>
      <c r="AF852" s="1" t="str">
        <f t="shared" si="250"/>
        <v/>
      </c>
      <c r="AG852" s="47"/>
    </row>
    <row r="853" spans="1:33">
      <c r="A853">
        <f t="shared" si="234"/>
        <v>0</v>
      </c>
      <c r="B853" s="2" t="str">
        <f t="shared" si="251"/>
        <v/>
      </c>
      <c r="C853" s="4" t="str">
        <f t="shared" si="235"/>
        <v/>
      </c>
      <c r="D853" s="3" t="str">
        <f t="shared" si="236"/>
        <v/>
      </c>
      <c r="E853" s="47"/>
      <c r="F853" s="3" t="str">
        <f t="shared" si="237"/>
        <v/>
      </c>
      <c r="G853" s="47"/>
      <c r="H853" s="3" t="str">
        <f t="shared" si="238"/>
        <v/>
      </c>
      <c r="I853" s="47"/>
      <c r="J853" s="3" t="str">
        <f t="shared" si="239"/>
        <v/>
      </c>
      <c r="K853" s="47"/>
      <c r="L853" s="3" t="str">
        <f t="shared" si="240"/>
        <v/>
      </c>
      <c r="M853" s="47"/>
      <c r="N853" s="3" t="str">
        <f t="shared" si="241"/>
        <v/>
      </c>
      <c r="O853" s="47"/>
      <c r="P853" s="3" t="str">
        <f t="shared" si="242"/>
        <v/>
      </c>
      <c r="Q853" s="47"/>
      <c r="R853" s="3" t="str">
        <f t="shared" si="243"/>
        <v/>
      </c>
      <c r="S853" s="47"/>
      <c r="T853" s="1" t="str">
        <f t="shared" si="244"/>
        <v/>
      </c>
      <c r="U853" s="47"/>
      <c r="V853" s="1" t="str">
        <f t="shared" si="245"/>
        <v/>
      </c>
      <c r="W853" s="47"/>
      <c r="X853" s="1" t="str">
        <f t="shared" si="246"/>
        <v/>
      </c>
      <c r="Y853" s="47"/>
      <c r="Z853" s="1" t="str">
        <f t="shared" si="247"/>
        <v/>
      </c>
      <c r="AA853" s="47"/>
      <c r="AB853" s="1" t="str">
        <f t="shared" si="248"/>
        <v/>
      </c>
      <c r="AC853" s="47"/>
      <c r="AD853" s="1" t="str">
        <f t="shared" si="249"/>
        <v/>
      </c>
      <c r="AE853" s="47"/>
      <c r="AF853" s="1" t="str">
        <f t="shared" si="250"/>
        <v/>
      </c>
      <c r="AG853" s="47"/>
    </row>
    <row r="854" spans="1:33">
      <c r="A854">
        <f t="shared" si="234"/>
        <v>0</v>
      </c>
      <c r="B854" s="2" t="str">
        <f t="shared" si="251"/>
        <v/>
      </c>
      <c r="C854" s="4" t="str">
        <f t="shared" si="235"/>
        <v/>
      </c>
      <c r="D854" s="3" t="str">
        <f t="shared" si="236"/>
        <v/>
      </c>
      <c r="E854" s="47"/>
      <c r="F854" s="3" t="str">
        <f t="shared" si="237"/>
        <v/>
      </c>
      <c r="G854" s="47"/>
      <c r="H854" s="3" t="str">
        <f t="shared" si="238"/>
        <v/>
      </c>
      <c r="I854" s="47"/>
      <c r="J854" s="3" t="str">
        <f t="shared" si="239"/>
        <v/>
      </c>
      <c r="K854" s="47"/>
      <c r="L854" s="3" t="str">
        <f t="shared" si="240"/>
        <v/>
      </c>
      <c r="M854" s="47"/>
      <c r="N854" s="3" t="str">
        <f t="shared" si="241"/>
        <v/>
      </c>
      <c r="O854" s="47"/>
      <c r="P854" s="3" t="str">
        <f t="shared" si="242"/>
        <v/>
      </c>
      <c r="Q854" s="47"/>
      <c r="R854" s="3" t="str">
        <f t="shared" si="243"/>
        <v/>
      </c>
      <c r="S854" s="47"/>
      <c r="T854" s="1" t="str">
        <f t="shared" si="244"/>
        <v/>
      </c>
      <c r="U854" s="47"/>
      <c r="V854" s="1" t="str">
        <f t="shared" si="245"/>
        <v/>
      </c>
      <c r="W854" s="47"/>
      <c r="X854" s="1" t="str">
        <f t="shared" si="246"/>
        <v/>
      </c>
      <c r="Y854" s="47"/>
      <c r="Z854" s="1" t="str">
        <f t="shared" si="247"/>
        <v/>
      </c>
      <c r="AA854" s="47"/>
      <c r="AB854" s="1" t="str">
        <f t="shared" si="248"/>
        <v/>
      </c>
      <c r="AC854" s="47"/>
      <c r="AD854" s="1" t="str">
        <f t="shared" si="249"/>
        <v/>
      </c>
      <c r="AE854" s="47"/>
      <c r="AF854" s="1" t="str">
        <f t="shared" si="250"/>
        <v/>
      </c>
      <c r="AG854" s="47"/>
    </row>
    <row r="855" spans="1:33">
      <c r="A855">
        <f t="shared" si="234"/>
        <v>0</v>
      </c>
      <c r="B855" s="2" t="str">
        <f t="shared" si="251"/>
        <v/>
      </c>
      <c r="C855" s="4" t="str">
        <f t="shared" si="235"/>
        <v/>
      </c>
      <c r="D855" s="3" t="str">
        <f t="shared" si="236"/>
        <v/>
      </c>
      <c r="E855" s="47"/>
      <c r="F855" s="3" t="str">
        <f t="shared" si="237"/>
        <v/>
      </c>
      <c r="G855" s="47"/>
      <c r="H855" s="3" t="str">
        <f t="shared" si="238"/>
        <v/>
      </c>
      <c r="I855" s="47"/>
      <c r="J855" s="3" t="str">
        <f t="shared" si="239"/>
        <v/>
      </c>
      <c r="K855" s="47"/>
      <c r="L855" s="3" t="str">
        <f t="shared" si="240"/>
        <v/>
      </c>
      <c r="M855" s="47"/>
      <c r="N855" s="3" t="str">
        <f t="shared" si="241"/>
        <v/>
      </c>
      <c r="O855" s="47"/>
      <c r="P855" s="3" t="str">
        <f t="shared" si="242"/>
        <v/>
      </c>
      <c r="Q855" s="47"/>
      <c r="R855" s="3" t="str">
        <f t="shared" si="243"/>
        <v/>
      </c>
      <c r="S855" s="47"/>
      <c r="T855" s="1" t="str">
        <f t="shared" si="244"/>
        <v/>
      </c>
      <c r="U855" s="47"/>
      <c r="V855" s="1" t="str">
        <f t="shared" si="245"/>
        <v/>
      </c>
      <c r="W855" s="47"/>
      <c r="X855" s="1" t="str">
        <f t="shared" si="246"/>
        <v/>
      </c>
      <c r="Y855" s="47"/>
      <c r="Z855" s="1" t="str">
        <f t="shared" si="247"/>
        <v/>
      </c>
      <c r="AA855" s="47"/>
      <c r="AB855" s="1" t="str">
        <f t="shared" si="248"/>
        <v/>
      </c>
      <c r="AC855" s="47"/>
      <c r="AD855" s="1" t="str">
        <f t="shared" si="249"/>
        <v/>
      </c>
      <c r="AE855" s="47"/>
      <c r="AF855" s="1" t="str">
        <f t="shared" si="250"/>
        <v/>
      </c>
      <c r="AG855" s="47"/>
    </row>
    <row r="856" spans="1:33">
      <c r="A856">
        <f t="shared" si="234"/>
        <v>0</v>
      </c>
      <c r="B856" s="2" t="str">
        <f t="shared" si="251"/>
        <v/>
      </c>
      <c r="C856" s="4" t="str">
        <f t="shared" si="235"/>
        <v/>
      </c>
      <c r="D856" s="3" t="str">
        <f t="shared" si="236"/>
        <v/>
      </c>
      <c r="E856" s="47"/>
      <c r="F856" s="3" t="str">
        <f t="shared" si="237"/>
        <v/>
      </c>
      <c r="G856" s="47"/>
      <c r="H856" s="3" t="str">
        <f t="shared" si="238"/>
        <v/>
      </c>
      <c r="I856" s="47"/>
      <c r="J856" s="3" t="str">
        <f t="shared" si="239"/>
        <v/>
      </c>
      <c r="K856" s="47"/>
      <c r="L856" s="3" t="str">
        <f t="shared" si="240"/>
        <v/>
      </c>
      <c r="M856" s="47"/>
      <c r="N856" s="3" t="str">
        <f t="shared" si="241"/>
        <v/>
      </c>
      <c r="O856" s="47"/>
      <c r="P856" s="3" t="str">
        <f t="shared" si="242"/>
        <v/>
      </c>
      <c r="Q856" s="47"/>
      <c r="R856" s="3" t="str">
        <f t="shared" si="243"/>
        <v/>
      </c>
      <c r="S856" s="47"/>
      <c r="T856" s="1" t="str">
        <f t="shared" si="244"/>
        <v/>
      </c>
      <c r="U856" s="47"/>
      <c r="V856" s="1" t="str">
        <f t="shared" si="245"/>
        <v/>
      </c>
      <c r="W856" s="47"/>
      <c r="X856" s="1" t="str">
        <f t="shared" si="246"/>
        <v/>
      </c>
      <c r="Y856" s="47"/>
      <c r="Z856" s="1" t="str">
        <f t="shared" si="247"/>
        <v/>
      </c>
      <c r="AA856" s="47"/>
      <c r="AB856" s="1" t="str">
        <f t="shared" si="248"/>
        <v/>
      </c>
      <c r="AC856" s="47"/>
      <c r="AD856" s="1" t="str">
        <f t="shared" si="249"/>
        <v/>
      </c>
      <c r="AE856" s="47"/>
      <c r="AF856" s="1" t="str">
        <f t="shared" si="250"/>
        <v/>
      </c>
      <c r="AG856" s="47"/>
    </row>
    <row r="857" spans="1:33">
      <c r="A857">
        <f t="shared" si="234"/>
        <v>0</v>
      </c>
      <c r="B857" s="2" t="str">
        <f t="shared" si="251"/>
        <v/>
      </c>
      <c r="C857" s="4" t="str">
        <f t="shared" si="235"/>
        <v/>
      </c>
      <c r="D857" s="3" t="str">
        <f t="shared" si="236"/>
        <v/>
      </c>
      <c r="E857" s="47"/>
      <c r="F857" s="3" t="str">
        <f t="shared" si="237"/>
        <v/>
      </c>
      <c r="G857" s="47"/>
      <c r="H857" s="3" t="str">
        <f t="shared" si="238"/>
        <v/>
      </c>
      <c r="I857" s="47"/>
      <c r="J857" s="3" t="str">
        <f t="shared" si="239"/>
        <v/>
      </c>
      <c r="K857" s="47"/>
      <c r="L857" s="3" t="str">
        <f t="shared" si="240"/>
        <v/>
      </c>
      <c r="M857" s="47"/>
      <c r="N857" s="3" t="str">
        <f t="shared" si="241"/>
        <v/>
      </c>
      <c r="O857" s="47"/>
      <c r="P857" s="3" t="str">
        <f t="shared" si="242"/>
        <v/>
      </c>
      <c r="Q857" s="47"/>
      <c r="R857" s="3" t="str">
        <f t="shared" si="243"/>
        <v/>
      </c>
      <c r="S857" s="47"/>
      <c r="T857" s="1" t="str">
        <f t="shared" si="244"/>
        <v/>
      </c>
      <c r="U857" s="47"/>
      <c r="V857" s="1" t="str">
        <f t="shared" si="245"/>
        <v/>
      </c>
      <c r="W857" s="47"/>
      <c r="X857" s="1" t="str">
        <f t="shared" si="246"/>
        <v/>
      </c>
      <c r="Y857" s="47"/>
      <c r="Z857" s="1" t="str">
        <f t="shared" si="247"/>
        <v/>
      </c>
      <c r="AA857" s="47"/>
      <c r="AB857" s="1" t="str">
        <f t="shared" si="248"/>
        <v/>
      </c>
      <c r="AC857" s="47"/>
      <c r="AD857" s="1" t="str">
        <f t="shared" si="249"/>
        <v/>
      </c>
      <c r="AE857" s="47"/>
      <c r="AF857" s="1" t="str">
        <f t="shared" si="250"/>
        <v/>
      </c>
      <c r="AG857" s="47"/>
    </row>
    <row r="858" spans="1:33">
      <c r="A858">
        <f t="shared" si="234"/>
        <v>0</v>
      </c>
      <c r="B858" s="2" t="str">
        <f t="shared" si="251"/>
        <v/>
      </c>
      <c r="C858" s="4" t="str">
        <f t="shared" si="235"/>
        <v/>
      </c>
      <c r="D858" s="3" t="str">
        <f t="shared" si="236"/>
        <v/>
      </c>
      <c r="E858" s="47"/>
      <c r="F858" s="3" t="str">
        <f t="shared" si="237"/>
        <v/>
      </c>
      <c r="G858" s="47"/>
      <c r="H858" s="3" t="str">
        <f t="shared" si="238"/>
        <v/>
      </c>
      <c r="I858" s="47"/>
      <c r="J858" s="3" t="str">
        <f t="shared" si="239"/>
        <v/>
      </c>
      <c r="K858" s="47"/>
      <c r="L858" s="3" t="str">
        <f t="shared" si="240"/>
        <v/>
      </c>
      <c r="M858" s="47"/>
      <c r="N858" s="3" t="str">
        <f t="shared" si="241"/>
        <v/>
      </c>
      <c r="O858" s="47"/>
      <c r="P858" s="3" t="str">
        <f t="shared" si="242"/>
        <v/>
      </c>
      <c r="Q858" s="47"/>
      <c r="R858" s="3" t="str">
        <f t="shared" si="243"/>
        <v/>
      </c>
      <c r="S858" s="47"/>
      <c r="T858" s="1" t="str">
        <f t="shared" si="244"/>
        <v/>
      </c>
      <c r="U858" s="47"/>
      <c r="V858" s="1" t="str">
        <f t="shared" si="245"/>
        <v/>
      </c>
      <c r="W858" s="47"/>
      <c r="X858" s="1" t="str">
        <f t="shared" si="246"/>
        <v/>
      </c>
      <c r="Y858" s="47"/>
      <c r="Z858" s="1" t="str">
        <f t="shared" si="247"/>
        <v/>
      </c>
      <c r="AA858" s="47"/>
      <c r="AB858" s="1" t="str">
        <f t="shared" si="248"/>
        <v/>
      </c>
      <c r="AC858" s="47"/>
      <c r="AD858" s="1" t="str">
        <f t="shared" si="249"/>
        <v/>
      </c>
      <c r="AE858" s="47"/>
      <c r="AF858" s="1" t="str">
        <f t="shared" si="250"/>
        <v/>
      </c>
      <c r="AG858" s="47"/>
    </row>
    <row r="859" spans="1:33">
      <c r="A859">
        <f t="shared" si="234"/>
        <v>0</v>
      </c>
      <c r="B859" s="2" t="str">
        <f t="shared" si="251"/>
        <v/>
      </c>
      <c r="C859" s="4" t="str">
        <f t="shared" si="235"/>
        <v/>
      </c>
      <c r="D859" s="3" t="str">
        <f t="shared" si="236"/>
        <v/>
      </c>
      <c r="E859" s="47"/>
      <c r="F859" s="3" t="str">
        <f t="shared" si="237"/>
        <v/>
      </c>
      <c r="G859" s="47"/>
      <c r="H859" s="3" t="str">
        <f t="shared" si="238"/>
        <v/>
      </c>
      <c r="I859" s="47"/>
      <c r="J859" s="3" t="str">
        <f t="shared" si="239"/>
        <v/>
      </c>
      <c r="K859" s="47"/>
      <c r="L859" s="3" t="str">
        <f t="shared" si="240"/>
        <v/>
      </c>
      <c r="M859" s="47"/>
      <c r="N859" s="3" t="str">
        <f t="shared" si="241"/>
        <v/>
      </c>
      <c r="O859" s="47"/>
      <c r="P859" s="3" t="str">
        <f t="shared" si="242"/>
        <v/>
      </c>
      <c r="Q859" s="47"/>
      <c r="R859" s="3" t="str">
        <f t="shared" si="243"/>
        <v/>
      </c>
      <c r="S859" s="47"/>
      <c r="T859" s="1" t="str">
        <f t="shared" si="244"/>
        <v/>
      </c>
      <c r="U859" s="47"/>
      <c r="V859" s="1" t="str">
        <f t="shared" si="245"/>
        <v/>
      </c>
      <c r="W859" s="47"/>
      <c r="X859" s="1" t="str">
        <f t="shared" si="246"/>
        <v/>
      </c>
      <c r="Y859" s="47"/>
      <c r="Z859" s="1" t="str">
        <f t="shared" si="247"/>
        <v/>
      </c>
      <c r="AA859" s="47"/>
      <c r="AB859" s="1" t="str">
        <f t="shared" si="248"/>
        <v/>
      </c>
      <c r="AC859" s="47"/>
      <c r="AD859" s="1" t="str">
        <f t="shared" si="249"/>
        <v/>
      </c>
      <c r="AE859" s="47"/>
      <c r="AF859" s="1" t="str">
        <f t="shared" si="250"/>
        <v/>
      </c>
      <c r="AG859" s="47"/>
    </row>
    <row r="860" spans="1:33">
      <c r="A860">
        <f t="shared" si="234"/>
        <v>0</v>
      </c>
      <c r="B860" s="2" t="str">
        <f t="shared" si="251"/>
        <v/>
      </c>
      <c r="C860" s="4" t="str">
        <f t="shared" si="235"/>
        <v/>
      </c>
      <c r="D860" s="3" t="str">
        <f t="shared" si="236"/>
        <v/>
      </c>
      <c r="E860" s="47"/>
      <c r="F860" s="3" t="str">
        <f t="shared" si="237"/>
        <v/>
      </c>
      <c r="G860" s="47"/>
      <c r="H860" s="3" t="str">
        <f t="shared" si="238"/>
        <v/>
      </c>
      <c r="I860" s="47"/>
      <c r="J860" s="3" t="str">
        <f t="shared" si="239"/>
        <v/>
      </c>
      <c r="K860" s="47"/>
      <c r="L860" s="3" t="str">
        <f t="shared" si="240"/>
        <v/>
      </c>
      <c r="M860" s="47"/>
      <c r="N860" s="3" t="str">
        <f t="shared" si="241"/>
        <v/>
      </c>
      <c r="O860" s="47"/>
      <c r="P860" s="3" t="str">
        <f t="shared" si="242"/>
        <v/>
      </c>
      <c r="Q860" s="47"/>
      <c r="R860" s="3" t="str">
        <f t="shared" si="243"/>
        <v/>
      </c>
      <c r="S860" s="47"/>
      <c r="T860" s="1" t="str">
        <f t="shared" si="244"/>
        <v/>
      </c>
      <c r="U860" s="47"/>
      <c r="V860" s="1" t="str">
        <f t="shared" si="245"/>
        <v/>
      </c>
      <c r="W860" s="47"/>
      <c r="X860" s="1" t="str">
        <f t="shared" si="246"/>
        <v/>
      </c>
      <c r="Y860" s="47"/>
      <c r="Z860" s="1" t="str">
        <f t="shared" si="247"/>
        <v/>
      </c>
      <c r="AA860" s="47"/>
      <c r="AB860" s="1" t="str">
        <f t="shared" si="248"/>
        <v/>
      </c>
      <c r="AC860" s="47"/>
      <c r="AD860" s="1" t="str">
        <f t="shared" si="249"/>
        <v/>
      </c>
      <c r="AE860" s="47"/>
      <c r="AF860" s="1" t="str">
        <f t="shared" si="250"/>
        <v/>
      </c>
      <c r="AG860" s="47"/>
    </row>
    <row r="861" spans="1:33">
      <c r="A861">
        <f t="shared" si="234"/>
        <v>0</v>
      </c>
      <c r="B861" s="2" t="str">
        <f t="shared" si="251"/>
        <v/>
      </c>
      <c r="C861" s="4" t="str">
        <f t="shared" si="235"/>
        <v/>
      </c>
      <c r="D861" s="3" t="str">
        <f t="shared" si="236"/>
        <v/>
      </c>
      <c r="E861" s="47"/>
      <c r="F861" s="3" t="str">
        <f t="shared" si="237"/>
        <v/>
      </c>
      <c r="G861" s="47"/>
      <c r="H861" s="3" t="str">
        <f t="shared" si="238"/>
        <v/>
      </c>
      <c r="I861" s="47"/>
      <c r="J861" s="3" t="str">
        <f t="shared" si="239"/>
        <v/>
      </c>
      <c r="K861" s="47"/>
      <c r="L861" s="3" t="str">
        <f t="shared" si="240"/>
        <v/>
      </c>
      <c r="M861" s="47"/>
      <c r="N861" s="3" t="str">
        <f t="shared" si="241"/>
        <v/>
      </c>
      <c r="O861" s="47"/>
      <c r="P861" s="3" t="str">
        <f t="shared" si="242"/>
        <v/>
      </c>
      <c r="Q861" s="47"/>
      <c r="R861" s="3" t="str">
        <f t="shared" si="243"/>
        <v/>
      </c>
      <c r="S861" s="47"/>
      <c r="T861" s="1" t="str">
        <f t="shared" si="244"/>
        <v/>
      </c>
      <c r="U861" s="47"/>
      <c r="V861" s="1" t="str">
        <f t="shared" si="245"/>
        <v/>
      </c>
      <c r="W861" s="47"/>
      <c r="X861" s="1" t="str">
        <f t="shared" si="246"/>
        <v/>
      </c>
      <c r="Y861" s="47"/>
      <c r="Z861" s="1" t="str">
        <f t="shared" si="247"/>
        <v/>
      </c>
      <c r="AA861" s="47"/>
      <c r="AB861" s="1" t="str">
        <f t="shared" si="248"/>
        <v/>
      </c>
      <c r="AC861" s="47"/>
      <c r="AD861" s="1" t="str">
        <f t="shared" si="249"/>
        <v/>
      </c>
      <c r="AE861" s="47"/>
      <c r="AF861" s="1" t="str">
        <f t="shared" si="250"/>
        <v/>
      </c>
      <c r="AG861" s="47"/>
    </row>
    <row r="862" spans="1:33">
      <c r="A862">
        <f t="shared" si="234"/>
        <v>0</v>
      </c>
      <c r="B862" s="2" t="str">
        <f t="shared" si="251"/>
        <v/>
      </c>
      <c r="C862" s="4" t="str">
        <f t="shared" si="235"/>
        <v/>
      </c>
      <c r="D862" s="3" t="str">
        <f t="shared" si="236"/>
        <v/>
      </c>
      <c r="E862" s="47"/>
      <c r="F862" s="3" t="str">
        <f t="shared" si="237"/>
        <v/>
      </c>
      <c r="G862" s="47"/>
      <c r="H862" s="3" t="str">
        <f t="shared" si="238"/>
        <v/>
      </c>
      <c r="I862" s="47"/>
      <c r="J862" s="3" t="str">
        <f t="shared" si="239"/>
        <v/>
      </c>
      <c r="K862" s="47"/>
      <c r="L862" s="3" t="str">
        <f t="shared" si="240"/>
        <v/>
      </c>
      <c r="M862" s="47"/>
      <c r="N862" s="3" t="str">
        <f t="shared" si="241"/>
        <v/>
      </c>
      <c r="O862" s="47"/>
      <c r="P862" s="3" t="str">
        <f t="shared" si="242"/>
        <v/>
      </c>
      <c r="Q862" s="47"/>
      <c r="R862" s="3" t="str">
        <f t="shared" si="243"/>
        <v/>
      </c>
      <c r="S862" s="47"/>
      <c r="T862" s="1" t="str">
        <f t="shared" si="244"/>
        <v/>
      </c>
      <c r="U862" s="47"/>
      <c r="V862" s="1" t="str">
        <f t="shared" si="245"/>
        <v/>
      </c>
      <c r="W862" s="47"/>
      <c r="X862" s="1" t="str">
        <f t="shared" si="246"/>
        <v/>
      </c>
      <c r="Y862" s="47"/>
      <c r="Z862" s="1" t="str">
        <f t="shared" si="247"/>
        <v/>
      </c>
      <c r="AA862" s="47"/>
      <c r="AB862" s="1" t="str">
        <f t="shared" si="248"/>
        <v/>
      </c>
      <c r="AC862" s="47"/>
      <c r="AD862" s="1" t="str">
        <f t="shared" si="249"/>
        <v/>
      </c>
      <c r="AE862" s="47"/>
      <c r="AF862" s="1" t="str">
        <f t="shared" si="250"/>
        <v/>
      </c>
      <c r="AG862" s="47"/>
    </row>
    <row r="863" spans="1:33">
      <c r="A863">
        <f t="shared" si="234"/>
        <v>0</v>
      </c>
      <c r="B863" s="2" t="str">
        <f t="shared" si="251"/>
        <v/>
      </c>
      <c r="C863" s="4" t="str">
        <f t="shared" si="235"/>
        <v/>
      </c>
      <c r="D863" s="3" t="str">
        <f t="shared" si="236"/>
        <v/>
      </c>
      <c r="E863" s="47"/>
      <c r="F863" s="3" t="str">
        <f t="shared" si="237"/>
        <v/>
      </c>
      <c r="G863" s="47"/>
      <c r="H863" s="3" t="str">
        <f t="shared" si="238"/>
        <v/>
      </c>
      <c r="I863" s="47"/>
      <c r="J863" s="3" t="str">
        <f t="shared" si="239"/>
        <v/>
      </c>
      <c r="K863" s="47"/>
      <c r="L863" s="3" t="str">
        <f t="shared" si="240"/>
        <v/>
      </c>
      <c r="M863" s="47"/>
      <c r="N863" s="3" t="str">
        <f t="shared" si="241"/>
        <v/>
      </c>
      <c r="O863" s="47"/>
      <c r="P863" s="3" t="str">
        <f t="shared" si="242"/>
        <v/>
      </c>
      <c r="Q863" s="47"/>
      <c r="R863" s="3" t="str">
        <f t="shared" si="243"/>
        <v/>
      </c>
      <c r="S863" s="47"/>
      <c r="T863" s="1" t="str">
        <f t="shared" si="244"/>
        <v/>
      </c>
      <c r="U863" s="47"/>
      <c r="V863" s="1" t="str">
        <f t="shared" si="245"/>
        <v/>
      </c>
      <c r="W863" s="47"/>
      <c r="X863" s="1" t="str">
        <f t="shared" si="246"/>
        <v/>
      </c>
      <c r="Y863" s="47"/>
      <c r="Z863" s="1" t="str">
        <f t="shared" si="247"/>
        <v/>
      </c>
      <c r="AA863" s="47"/>
      <c r="AB863" s="1" t="str">
        <f t="shared" si="248"/>
        <v/>
      </c>
      <c r="AC863" s="47"/>
      <c r="AD863" s="1" t="str">
        <f t="shared" si="249"/>
        <v/>
      </c>
      <c r="AE863" s="47"/>
      <c r="AF863" s="1" t="str">
        <f t="shared" si="250"/>
        <v/>
      </c>
      <c r="AG863" s="47"/>
    </row>
    <row r="864" spans="1:33">
      <c r="A864">
        <f t="shared" si="234"/>
        <v>0</v>
      </c>
      <c r="B864" s="2" t="str">
        <f t="shared" si="251"/>
        <v/>
      </c>
      <c r="C864" s="4" t="str">
        <f t="shared" si="235"/>
        <v/>
      </c>
      <c r="D864" s="3" t="str">
        <f t="shared" si="236"/>
        <v/>
      </c>
      <c r="E864" s="47"/>
      <c r="F864" s="3" t="str">
        <f t="shared" si="237"/>
        <v/>
      </c>
      <c r="G864" s="47"/>
      <c r="H864" s="3" t="str">
        <f t="shared" si="238"/>
        <v/>
      </c>
      <c r="I864" s="47"/>
      <c r="J864" s="3" t="str">
        <f t="shared" si="239"/>
        <v/>
      </c>
      <c r="K864" s="47"/>
      <c r="L864" s="3" t="str">
        <f t="shared" si="240"/>
        <v/>
      </c>
      <c r="M864" s="47"/>
      <c r="N864" s="3" t="str">
        <f t="shared" si="241"/>
        <v/>
      </c>
      <c r="O864" s="47"/>
      <c r="P864" s="3" t="str">
        <f t="shared" si="242"/>
        <v/>
      </c>
      <c r="Q864" s="47"/>
      <c r="R864" s="3" t="str">
        <f t="shared" si="243"/>
        <v/>
      </c>
      <c r="S864" s="47"/>
      <c r="T864" s="1" t="str">
        <f t="shared" si="244"/>
        <v/>
      </c>
      <c r="U864" s="47"/>
      <c r="V864" s="1" t="str">
        <f t="shared" si="245"/>
        <v/>
      </c>
      <c r="W864" s="47"/>
      <c r="X864" s="1" t="str">
        <f t="shared" si="246"/>
        <v/>
      </c>
      <c r="Y864" s="47"/>
      <c r="Z864" s="1" t="str">
        <f t="shared" si="247"/>
        <v/>
      </c>
      <c r="AA864" s="47"/>
      <c r="AB864" s="1" t="str">
        <f t="shared" si="248"/>
        <v/>
      </c>
      <c r="AC864" s="47"/>
      <c r="AD864" s="1" t="str">
        <f t="shared" si="249"/>
        <v/>
      </c>
      <c r="AE864" s="47"/>
      <c r="AF864" s="1" t="str">
        <f t="shared" si="250"/>
        <v/>
      </c>
      <c r="AG864" s="47"/>
    </row>
    <row r="865" spans="1:33">
      <c r="A865">
        <f t="shared" si="234"/>
        <v>0</v>
      </c>
      <c r="B865" s="2" t="str">
        <f t="shared" si="251"/>
        <v/>
      </c>
      <c r="C865" s="4" t="str">
        <f t="shared" si="235"/>
        <v/>
      </c>
      <c r="D865" s="3" t="str">
        <f t="shared" si="236"/>
        <v/>
      </c>
      <c r="E865" s="47"/>
      <c r="F865" s="3" t="str">
        <f t="shared" si="237"/>
        <v/>
      </c>
      <c r="G865" s="47"/>
      <c r="H865" s="3" t="str">
        <f t="shared" si="238"/>
        <v/>
      </c>
      <c r="I865" s="47"/>
      <c r="J865" s="3" t="str">
        <f t="shared" si="239"/>
        <v/>
      </c>
      <c r="K865" s="47"/>
      <c r="L865" s="3" t="str">
        <f t="shared" si="240"/>
        <v/>
      </c>
      <c r="M865" s="47"/>
      <c r="N865" s="3" t="str">
        <f t="shared" si="241"/>
        <v/>
      </c>
      <c r="O865" s="47"/>
      <c r="P865" s="3" t="str">
        <f t="shared" si="242"/>
        <v/>
      </c>
      <c r="Q865" s="47"/>
      <c r="R865" s="3" t="str">
        <f t="shared" si="243"/>
        <v/>
      </c>
      <c r="S865" s="47"/>
      <c r="T865" s="1" t="str">
        <f t="shared" si="244"/>
        <v/>
      </c>
      <c r="U865" s="47"/>
      <c r="V865" s="1" t="str">
        <f t="shared" si="245"/>
        <v/>
      </c>
      <c r="W865" s="47"/>
      <c r="X865" s="1" t="str">
        <f t="shared" si="246"/>
        <v/>
      </c>
      <c r="Y865" s="47"/>
      <c r="Z865" s="1" t="str">
        <f t="shared" si="247"/>
        <v/>
      </c>
      <c r="AA865" s="47"/>
      <c r="AB865" s="1" t="str">
        <f t="shared" si="248"/>
        <v/>
      </c>
      <c r="AC865" s="47"/>
      <c r="AD865" s="1" t="str">
        <f t="shared" si="249"/>
        <v/>
      </c>
      <c r="AE865" s="47"/>
      <c r="AF865" s="1" t="str">
        <f t="shared" si="250"/>
        <v/>
      </c>
      <c r="AG865" s="47"/>
    </row>
    <row r="866" spans="1:33">
      <c r="A866">
        <f t="shared" si="234"/>
        <v>0</v>
      </c>
      <c r="B866" s="2" t="str">
        <f t="shared" si="251"/>
        <v/>
      </c>
      <c r="C866" s="4" t="str">
        <f t="shared" si="235"/>
        <v/>
      </c>
      <c r="D866" s="3" t="str">
        <f t="shared" si="236"/>
        <v/>
      </c>
      <c r="E866" s="47"/>
      <c r="F866" s="3" t="str">
        <f t="shared" si="237"/>
        <v/>
      </c>
      <c r="G866" s="47"/>
      <c r="H866" s="3" t="str">
        <f t="shared" si="238"/>
        <v/>
      </c>
      <c r="I866" s="47"/>
      <c r="J866" s="3" t="str">
        <f t="shared" si="239"/>
        <v/>
      </c>
      <c r="K866" s="47"/>
      <c r="L866" s="3" t="str">
        <f t="shared" si="240"/>
        <v/>
      </c>
      <c r="M866" s="47"/>
      <c r="N866" s="3" t="str">
        <f t="shared" si="241"/>
        <v/>
      </c>
      <c r="O866" s="47"/>
      <c r="P866" s="3" t="str">
        <f t="shared" si="242"/>
        <v/>
      </c>
      <c r="Q866" s="47"/>
      <c r="R866" s="3" t="str">
        <f t="shared" si="243"/>
        <v/>
      </c>
      <c r="S866" s="47"/>
      <c r="T866" s="1" t="str">
        <f t="shared" si="244"/>
        <v/>
      </c>
      <c r="U866" s="47"/>
      <c r="V866" s="1" t="str">
        <f t="shared" si="245"/>
        <v/>
      </c>
      <c r="W866" s="47"/>
      <c r="X866" s="1" t="str">
        <f t="shared" si="246"/>
        <v/>
      </c>
      <c r="Y866" s="47"/>
      <c r="Z866" s="1" t="str">
        <f t="shared" si="247"/>
        <v/>
      </c>
      <c r="AA866" s="47"/>
      <c r="AB866" s="1" t="str">
        <f t="shared" si="248"/>
        <v/>
      </c>
      <c r="AC866" s="47"/>
      <c r="AD866" s="1" t="str">
        <f t="shared" si="249"/>
        <v/>
      </c>
      <c r="AE866" s="47"/>
      <c r="AF866" s="1" t="str">
        <f t="shared" si="250"/>
        <v/>
      </c>
      <c r="AG866" s="47"/>
    </row>
    <row r="867" spans="1:33">
      <c r="A867">
        <f t="shared" si="234"/>
        <v>0</v>
      </c>
      <c r="B867" s="2" t="str">
        <f t="shared" si="251"/>
        <v/>
      </c>
      <c r="C867" s="4" t="str">
        <f t="shared" si="235"/>
        <v/>
      </c>
      <c r="D867" s="3" t="str">
        <f t="shared" si="236"/>
        <v/>
      </c>
      <c r="E867" s="47"/>
      <c r="F867" s="3" t="str">
        <f t="shared" si="237"/>
        <v/>
      </c>
      <c r="G867" s="47"/>
      <c r="H867" s="3" t="str">
        <f t="shared" si="238"/>
        <v/>
      </c>
      <c r="I867" s="47"/>
      <c r="J867" s="3" t="str">
        <f t="shared" si="239"/>
        <v/>
      </c>
      <c r="K867" s="47"/>
      <c r="L867" s="3" t="str">
        <f t="shared" si="240"/>
        <v/>
      </c>
      <c r="M867" s="47"/>
      <c r="N867" s="3" t="str">
        <f t="shared" si="241"/>
        <v/>
      </c>
      <c r="O867" s="47"/>
      <c r="P867" s="3" t="str">
        <f t="shared" si="242"/>
        <v/>
      </c>
      <c r="Q867" s="47"/>
      <c r="R867" s="3" t="str">
        <f t="shared" si="243"/>
        <v/>
      </c>
      <c r="S867" s="47"/>
      <c r="T867" s="1" t="str">
        <f t="shared" si="244"/>
        <v/>
      </c>
      <c r="U867" s="47"/>
      <c r="V867" s="1" t="str">
        <f t="shared" si="245"/>
        <v/>
      </c>
      <c r="W867" s="47"/>
      <c r="X867" s="1" t="str">
        <f t="shared" si="246"/>
        <v/>
      </c>
      <c r="Y867" s="47"/>
      <c r="Z867" s="1" t="str">
        <f t="shared" si="247"/>
        <v/>
      </c>
      <c r="AA867" s="47"/>
      <c r="AB867" s="1" t="str">
        <f t="shared" si="248"/>
        <v/>
      </c>
      <c r="AC867" s="47"/>
      <c r="AD867" s="1" t="str">
        <f t="shared" si="249"/>
        <v/>
      </c>
      <c r="AE867" s="47"/>
      <c r="AF867" s="1" t="str">
        <f t="shared" si="250"/>
        <v/>
      </c>
      <c r="AG867" s="47"/>
    </row>
    <row r="868" spans="1:33">
      <c r="A868">
        <f t="shared" si="234"/>
        <v>0</v>
      </c>
      <c r="B868" s="2" t="str">
        <f t="shared" si="251"/>
        <v/>
      </c>
      <c r="C868" s="4" t="str">
        <f t="shared" si="235"/>
        <v/>
      </c>
      <c r="D868" s="3" t="str">
        <f t="shared" si="236"/>
        <v/>
      </c>
      <c r="E868" s="47"/>
      <c r="F868" s="3" t="str">
        <f t="shared" si="237"/>
        <v/>
      </c>
      <c r="G868" s="47"/>
      <c r="H868" s="3" t="str">
        <f t="shared" si="238"/>
        <v/>
      </c>
      <c r="I868" s="47"/>
      <c r="J868" s="3" t="str">
        <f t="shared" si="239"/>
        <v/>
      </c>
      <c r="K868" s="47"/>
      <c r="L868" s="3" t="str">
        <f t="shared" si="240"/>
        <v/>
      </c>
      <c r="M868" s="47"/>
      <c r="N868" s="3" t="str">
        <f t="shared" si="241"/>
        <v/>
      </c>
      <c r="O868" s="47"/>
      <c r="P868" s="3" t="str">
        <f t="shared" si="242"/>
        <v/>
      </c>
      <c r="Q868" s="47"/>
      <c r="R868" s="3" t="str">
        <f t="shared" si="243"/>
        <v/>
      </c>
      <c r="S868" s="47"/>
      <c r="T868" s="1" t="str">
        <f t="shared" si="244"/>
        <v/>
      </c>
      <c r="U868" s="47"/>
      <c r="V868" s="1" t="str">
        <f t="shared" si="245"/>
        <v/>
      </c>
      <c r="W868" s="47"/>
      <c r="X868" s="1" t="str">
        <f t="shared" si="246"/>
        <v/>
      </c>
      <c r="Y868" s="47"/>
      <c r="Z868" s="1" t="str">
        <f t="shared" si="247"/>
        <v/>
      </c>
      <c r="AA868" s="47"/>
      <c r="AB868" s="1" t="str">
        <f t="shared" si="248"/>
        <v/>
      </c>
      <c r="AC868" s="47"/>
      <c r="AD868" s="1" t="str">
        <f t="shared" si="249"/>
        <v/>
      </c>
      <c r="AE868" s="47"/>
      <c r="AF868" s="1" t="str">
        <f t="shared" si="250"/>
        <v/>
      </c>
      <c r="AG868" s="47"/>
    </row>
    <row r="869" spans="1:33">
      <c r="A869">
        <f t="shared" si="234"/>
        <v>0</v>
      </c>
      <c r="B869" s="2" t="str">
        <f t="shared" si="251"/>
        <v/>
      </c>
      <c r="C869" s="4" t="str">
        <f t="shared" si="235"/>
        <v/>
      </c>
      <c r="D869" s="3" t="str">
        <f t="shared" si="236"/>
        <v/>
      </c>
      <c r="E869" s="47"/>
      <c r="F869" s="3" t="str">
        <f t="shared" si="237"/>
        <v/>
      </c>
      <c r="G869" s="47"/>
      <c r="H869" s="3" t="str">
        <f t="shared" si="238"/>
        <v/>
      </c>
      <c r="I869" s="47"/>
      <c r="J869" s="3" t="str">
        <f t="shared" si="239"/>
        <v/>
      </c>
      <c r="K869" s="47"/>
      <c r="L869" s="3" t="str">
        <f t="shared" si="240"/>
        <v/>
      </c>
      <c r="M869" s="47"/>
      <c r="N869" s="3" t="str">
        <f t="shared" si="241"/>
        <v/>
      </c>
      <c r="O869" s="47"/>
      <c r="P869" s="3" t="str">
        <f t="shared" si="242"/>
        <v/>
      </c>
      <c r="Q869" s="47"/>
      <c r="R869" s="3" t="str">
        <f t="shared" si="243"/>
        <v/>
      </c>
      <c r="S869" s="47"/>
      <c r="T869" s="1" t="str">
        <f t="shared" si="244"/>
        <v/>
      </c>
      <c r="U869" s="47"/>
      <c r="V869" s="1" t="str">
        <f t="shared" si="245"/>
        <v/>
      </c>
      <c r="W869" s="47"/>
      <c r="X869" s="1" t="str">
        <f t="shared" si="246"/>
        <v/>
      </c>
      <c r="Y869" s="47"/>
      <c r="Z869" s="1" t="str">
        <f t="shared" si="247"/>
        <v/>
      </c>
      <c r="AA869" s="47"/>
      <c r="AB869" s="1" t="str">
        <f t="shared" si="248"/>
        <v/>
      </c>
      <c r="AC869" s="47"/>
      <c r="AD869" s="1" t="str">
        <f t="shared" si="249"/>
        <v/>
      </c>
      <c r="AE869" s="47"/>
      <c r="AF869" s="1" t="str">
        <f t="shared" si="250"/>
        <v/>
      </c>
      <c r="AG869" s="47"/>
    </row>
    <row r="870" spans="1:33">
      <c r="A870">
        <f t="shared" si="234"/>
        <v>0</v>
      </c>
      <c r="B870" s="2" t="str">
        <f t="shared" si="251"/>
        <v/>
      </c>
      <c r="C870" s="4" t="str">
        <f t="shared" si="235"/>
        <v/>
      </c>
      <c r="D870" s="3" t="str">
        <f t="shared" si="236"/>
        <v/>
      </c>
      <c r="E870" s="47"/>
      <c r="F870" s="3" t="str">
        <f t="shared" si="237"/>
        <v/>
      </c>
      <c r="G870" s="47"/>
      <c r="H870" s="3" t="str">
        <f t="shared" si="238"/>
        <v/>
      </c>
      <c r="I870" s="47"/>
      <c r="J870" s="3" t="str">
        <f t="shared" si="239"/>
        <v/>
      </c>
      <c r="K870" s="47"/>
      <c r="L870" s="3" t="str">
        <f t="shared" si="240"/>
        <v/>
      </c>
      <c r="M870" s="47"/>
      <c r="N870" s="3" t="str">
        <f t="shared" si="241"/>
        <v/>
      </c>
      <c r="O870" s="47"/>
      <c r="P870" s="3" t="str">
        <f t="shared" si="242"/>
        <v/>
      </c>
      <c r="Q870" s="47"/>
      <c r="R870" s="3" t="str">
        <f t="shared" si="243"/>
        <v/>
      </c>
      <c r="S870" s="47"/>
      <c r="T870" s="1" t="str">
        <f t="shared" si="244"/>
        <v/>
      </c>
      <c r="U870" s="47"/>
      <c r="V870" s="1" t="str">
        <f t="shared" si="245"/>
        <v/>
      </c>
      <c r="W870" s="47"/>
      <c r="X870" s="1" t="str">
        <f t="shared" si="246"/>
        <v/>
      </c>
      <c r="Y870" s="47"/>
      <c r="Z870" s="1" t="str">
        <f t="shared" si="247"/>
        <v/>
      </c>
      <c r="AA870" s="47"/>
      <c r="AB870" s="1" t="str">
        <f t="shared" si="248"/>
        <v/>
      </c>
      <c r="AC870" s="47"/>
      <c r="AD870" s="1" t="str">
        <f t="shared" si="249"/>
        <v/>
      </c>
      <c r="AE870" s="47"/>
      <c r="AF870" s="1" t="str">
        <f t="shared" si="250"/>
        <v/>
      </c>
      <c r="AG870" s="47"/>
    </row>
    <row r="871" spans="1:33">
      <c r="A871">
        <f t="shared" si="234"/>
        <v>0</v>
      </c>
      <c r="B871" s="2" t="str">
        <f t="shared" si="251"/>
        <v/>
      </c>
      <c r="C871" s="4" t="str">
        <f t="shared" si="235"/>
        <v/>
      </c>
      <c r="D871" s="3" t="str">
        <f t="shared" si="236"/>
        <v/>
      </c>
      <c r="E871" s="47"/>
      <c r="F871" s="3" t="str">
        <f t="shared" si="237"/>
        <v/>
      </c>
      <c r="G871" s="47"/>
      <c r="H871" s="3" t="str">
        <f t="shared" si="238"/>
        <v/>
      </c>
      <c r="I871" s="47"/>
      <c r="J871" s="3" t="str">
        <f t="shared" si="239"/>
        <v/>
      </c>
      <c r="K871" s="47"/>
      <c r="L871" s="3" t="str">
        <f t="shared" si="240"/>
        <v/>
      </c>
      <c r="M871" s="47"/>
      <c r="N871" s="3" t="str">
        <f t="shared" si="241"/>
        <v/>
      </c>
      <c r="O871" s="47"/>
      <c r="P871" s="3" t="str">
        <f t="shared" si="242"/>
        <v/>
      </c>
      <c r="Q871" s="47"/>
      <c r="R871" s="3" t="str">
        <f t="shared" si="243"/>
        <v/>
      </c>
      <c r="S871" s="47"/>
      <c r="T871" s="1" t="str">
        <f t="shared" si="244"/>
        <v/>
      </c>
      <c r="U871" s="47"/>
      <c r="V871" s="1" t="str">
        <f t="shared" si="245"/>
        <v/>
      </c>
      <c r="W871" s="47"/>
      <c r="X871" s="1" t="str">
        <f t="shared" si="246"/>
        <v/>
      </c>
      <c r="Y871" s="47"/>
      <c r="Z871" s="1" t="str">
        <f t="shared" si="247"/>
        <v/>
      </c>
      <c r="AA871" s="47"/>
      <c r="AB871" s="1" t="str">
        <f t="shared" si="248"/>
        <v/>
      </c>
      <c r="AC871" s="47"/>
      <c r="AD871" s="1" t="str">
        <f t="shared" si="249"/>
        <v/>
      </c>
      <c r="AE871" s="47"/>
      <c r="AF871" s="1" t="str">
        <f t="shared" si="250"/>
        <v/>
      </c>
      <c r="AG871" s="47"/>
    </row>
    <row r="872" spans="1:33">
      <c r="A872">
        <f t="shared" si="234"/>
        <v>0</v>
      </c>
      <c r="B872" s="2" t="str">
        <f t="shared" si="251"/>
        <v/>
      </c>
      <c r="C872" s="4" t="str">
        <f t="shared" si="235"/>
        <v/>
      </c>
      <c r="D872" s="3" t="str">
        <f t="shared" si="236"/>
        <v/>
      </c>
      <c r="E872" s="47"/>
      <c r="F872" s="3" t="str">
        <f t="shared" si="237"/>
        <v/>
      </c>
      <c r="G872" s="47"/>
      <c r="H872" s="3" t="str">
        <f t="shared" si="238"/>
        <v/>
      </c>
      <c r="I872" s="47"/>
      <c r="J872" s="3" t="str">
        <f t="shared" si="239"/>
        <v/>
      </c>
      <c r="K872" s="47"/>
      <c r="L872" s="3" t="str">
        <f t="shared" si="240"/>
        <v/>
      </c>
      <c r="M872" s="47"/>
      <c r="N872" s="3" t="str">
        <f t="shared" si="241"/>
        <v/>
      </c>
      <c r="O872" s="47"/>
      <c r="P872" s="3" t="str">
        <f t="shared" si="242"/>
        <v/>
      </c>
      <c r="Q872" s="47"/>
      <c r="R872" s="3" t="str">
        <f t="shared" si="243"/>
        <v/>
      </c>
      <c r="S872" s="47"/>
      <c r="T872" s="1" t="str">
        <f t="shared" si="244"/>
        <v/>
      </c>
      <c r="U872" s="47"/>
      <c r="V872" s="1" t="str">
        <f t="shared" si="245"/>
        <v/>
      </c>
      <c r="W872" s="47"/>
      <c r="X872" s="1" t="str">
        <f t="shared" si="246"/>
        <v/>
      </c>
      <c r="Y872" s="47"/>
      <c r="Z872" s="1" t="str">
        <f t="shared" si="247"/>
        <v/>
      </c>
      <c r="AA872" s="47"/>
      <c r="AB872" s="1" t="str">
        <f t="shared" si="248"/>
        <v/>
      </c>
      <c r="AC872" s="47"/>
      <c r="AD872" s="1" t="str">
        <f t="shared" si="249"/>
        <v/>
      </c>
      <c r="AE872" s="47"/>
      <c r="AF872" s="1" t="str">
        <f t="shared" si="250"/>
        <v/>
      </c>
      <c r="AG872" s="47"/>
    </row>
    <row r="873" spans="1:33">
      <c r="A873">
        <f t="shared" si="234"/>
        <v>0</v>
      </c>
      <c r="B873" s="2" t="str">
        <f t="shared" si="251"/>
        <v/>
      </c>
      <c r="C873" s="4" t="str">
        <f t="shared" si="235"/>
        <v/>
      </c>
      <c r="D873" s="3" t="str">
        <f t="shared" si="236"/>
        <v/>
      </c>
      <c r="E873" s="47"/>
      <c r="F873" s="3" t="str">
        <f t="shared" si="237"/>
        <v/>
      </c>
      <c r="G873" s="47"/>
      <c r="H873" s="3" t="str">
        <f t="shared" si="238"/>
        <v/>
      </c>
      <c r="I873" s="47"/>
      <c r="J873" s="3" t="str">
        <f t="shared" si="239"/>
        <v/>
      </c>
      <c r="K873" s="47"/>
      <c r="L873" s="3" t="str">
        <f t="shared" si="240"/>
        <v/>
      </c>
      <c r="M873" s="47"/>
      <c r="N873" s="3" t="str">
        <f t="shared" si="241"/>
        <v/>
      </c>
      <c r="O873" s="47"/>
      <c r="P873" s="3" t="str">
        <f t="shared" si="242"/>
        <v/>
      </c>
      <c r="Q873" s="47"/>
      <c r="R873" s="3" t="str">
        <f t="shared" si="243"/>
        <v/>
      </c>
      <c r="S873" s="47"/>
      <c r="T873" s="1" t="str">
        <f t="shared" si="244"/>
        <v/>
      </c>
      <c r="U873" s="47"/>
      <c r="V873" s="1" t="str">
        <f t="shared" si="245"/>
        <v/>
      </c>
      <c r="W873" s="47"/>
      <c r="X873" s="1" t="str">
        <f t="shared" si="246"/>
        <v/>
      </c>
      <c r="Y873" s="47"/>
      <c r="Z873" s="1" t="str">
        <f t="shared" si="247"/>
        <v/>
      </c>
      <c r="AA873" s="47"/>
      <c r="AB873" s="1" t="str">
        <f t="shared" si="248"/>
        <v/>
      </c>
      <c r="AC873" s="47"/>
      <c r="AD873" s="1" t="str">
        <f t="shared" si="249"/>
        <v/>
      </c>
      <c r="AE873" s="47"/>
      <c r="AF873" s="1" t="str">
        <f t="shared" si="250"/>
        <v/>
      </c>
      <c r="AG873" s="47"/>
    </row>
    <row r="874" spans="1:33">
      <c r="A874">
        <f t="shared" si="234"/>
        <v>0</v>
      </c>
      <c r="B874" s="2" t="str">
        <f t="shared" si="251"/>
        <v/>
      </c>
      <c r="C874" s="4" t="str">
        <f t="shared" si="235"/>
        <v/>
      </c>
      <c r="D874" s="3" t="str">
        <f t="shared" si="236"/>
        <v/>
      </c>
      <c r="E874" s="47"/>
      <c r="F874" s="3" t="str">
        <f t="shared" si="237"/>
        <v/>
      </c>
      <c r="G874" s="47"/>
      <c r="H874" s="3" t="str">
        <f t="shared" si="238"/>
        <v/>
      </c>
      <c r="I874" s="47"/>
      <c r="J874" s="3" t="str">
        <f t="shared" si="239"/>
        <v/>
      </c>
      <c r="K874" s="47"/>
      <c r="L874" s="3" t="str">
        <f t="shared" si="240"/>
        <v/>
      </c>
      <c r="M874" s="47"/>
      <c r="N874" s="3" t="str">
        <f t="shared" si="241"/>
        <v/>
      </c>
      <c r="O874" s="47"/>
      <c r="P874" s="3" t="str">
        <f t="shared" si="242"/>
        <v/>
      </c>
      <c r="Q874" s="47"/>
      <c r="R874" s="3" t="str">
        <f t="shared" si="243"/>
        <v/>
      </c>
      <c r="S874" s="47"/>
      <c r="T874" s="1" t="str">
        <f t="shared" si="244"/>
        <v/>
      </c>
      <c r="U874" s="47"/>
      <c r="V874" s="1" t="str">
        <f t="shared" si="245"/>
        <v/>
      </c>
      <c r="W874" s="47"/>
      <c r="X874" s="1" t="str">
        <f t="shared" si="246"/>
        <v/>
      </c>
      <c r="Y874" s="47"/>
      <c r="Z874" s="1" t="str">
        <f t="shared" si="247"/>
        <v/>
      </c>
      <c r="AA874" s="47"/>
      <c r="AB874" s="1" t="str">
        <f t="shared" si="248"/>
        <v/>
      </c>
      <c r="AC874" s="47"/>
      <c r="AD874" s="1" t="str">
        <f t="shared" si="249"/>
        <v/>
      </c>
      <c r="AE874" s="47"/>
      <c r="AF874" s="1" t="str">
        <f t="shared" si="250"/>
        <v/>
      </c>
      <c r="AG874" s="47"/>
    </row>
    <row r="875" spans="1:33">
      <c r="A875">
        <f t="shared" si="234"/>
        <v>0</v>
      </c>
      <c r="B875" s="2" t="str">
        <f t="shared" si="251"/>
        <v/>
      </c>
      <c r="C875" s="4" t="str">
        <f t="shared" si="235"/>
        <v/>
      </c>
      <c r="D875" s="3" t="str">
        <f t="shared" si="236"/>
        <v/>
      </c>
      <c r="E875" s="47"/>
      <c r="F875" s="3" t="str">
        <f t="shared" si="237"/>
        <v/>
      </c>
      <c r="G875" s="47"/>
      <c r="H875" s="3" t="str">
        <f t="shared" si="238"/>
        <v/>
      </c>
      <c r="I875" s="47"/>
      <c r="J875" s="3" t="str">
        <f t="shared" si="239"/>
        <v/>
      </c>
      <c r="K875" s="47"/>
      <c r="L875" s="3" t="str">
        <f t="shared" si="240"/>
        <v/>
      </c>
      <c r="M875" s="47"/>
      <c r="N875" s="3" t="str">
        <f t="shared" si="241"/>
        <v/>
      </c>
      <c r="O875" s="47"/>
      <c r="P875" s="3" t="str">
        <f t="shared" si="242"/>
        <v/>
      </c>
      <c r="Q875" s="47"/>
      <c r="R875" s="3" t="str">
        <f t="shared" si="243"/>
        <v/>
      </c>
      <c r="S875" s="47"/>
      <c r="T875" s="1" t="str">
        <f t="shared" si="244"/>
        <v/>
      </c>
      <c r="U875" s="47"/>
      <c r="V875" s="1" t="str">
        <f t="shared" si="245"/>
        <v/>
      </c>
      <c r="W875" s="47"/>
      <c r="X875" s="1" t="str">
        <f t="shared" si="246"/>
        <v/>
      </c>
      <c r="Y875" s="47"/>
      <c r="Z875" s="1" t="str">
        <f t="shared" si="247"/>
        <v/>
      </c>
      <c r="AA875" s="47"/>
      <c r="AB875" s="1" t="str">
        <f t="shared" si="248"/>
        <v/>
      </c>
      <c r="AC875" s="47"/>
      <c r="AD875" s="1" t="str">
        <f t="shared" si="249"/>
        <v/>
      </c>
      <c r="AE875" s="47"/>
      <c r="AF875" s="1" t="str">
        <f t="shared" si="250"/>
        <v/>
      </c>
      <c r="AG875" s="47"/>
    </row>
    <row r="876" spans="1:33">
      <c r="A876">
        <f t="shared" si="234"/>
        <v>0</v>
      </c>
      <c r="B876" s="2" t="str">
        <f t="shared" si="251"/>
        <v/>
      </c>
      <c r="C876" s="4" t="str">
        <f t="shared" si="235"/>
        <v/>
      </c>
      <c r="D876" s="3" t="str">
        <f t="shared" si="236"/>
        <v/>
      </c>
      <c r="E876" s="47"/>
      <c r="F876" s="3" t="str">
        <f t="shared" si="237"/>
        <v/>
      </c>
      <c r="G876" s="47"/>
      <c r="H876" s="3" t="str">
        <f t="shared" si="238"/>
        <v/>
      </c>
      <c r="I876" s="47"/>
      <c r="J876" s="3" t="str">
        <f t="shared" si="239"/>
        <v/>
      </c>
      <c r="K876" s="47"/>
      <c r="L876" s="3" t="str">
        <f t="shared" si="240"/>
        <v/>
      </c>
      <c r="M876" s="47"/>
      <c r="N876" s="3" t="str">
        <f t="shared" si="241"/>
        <v/>
      </c>
      <c r="O876" s="47"/>
      <c r="P876" s="3" t="str">
        <f t="shared" si="242"/>
        <v/>
      </c>
      <c r="Q876" s="47"/>
      <c r="R876" s="3" t="str">
        <f t="shared" si="243"/>
        <v/>
      </c>
      <c r="S876" s="47"/>
      <c r="T876" s="1" t="str">
        <f t="shared" si="244"/>
        <v/>
      </c>
      <c r="U876" s="47"/>
      <c r="V876" s="1" t="str">
        <f t="shared" si="245"/>
        <v/>
      </c>
      <c r="W876" s="47"/>
      <c r="X876" s="1" t="str">
        <f t="shared" si="246"/>
        <v/>
      </c>
      <c r="Y876" s="47"/>
      <c r="Z876" s="1" t="str">
        <f t="shared" si="247"/>
        <v/>
      </c>
      <c r="AA876" s="47"/>
      <c r="AB876" s="1" t="str">
        <f t="shared" si="248"/>
        <v/>
      </c>
      <c r="AC876" s="47"/>
      <c r="AD876" s="1" t="str">
        <f t="shared" si="249"/>
        <v/>
      </c>
      <c r="AE876" s="47"/>
      <c r="AF876" s="1" t="str">
        <f t="shared" si="250"/>
        <v/>
      </c>
      <c r="AG876" s="47"/>
    </row>
    <row r="877" spans="1:33">
      <c r="A877">
        <f t="shared" si="234"/>
        <v>0</v>
      </c>
      <c r="B877" s="2" t="str">
        <f t="shared" si="251"/>
        <v/>
      </c>
      <c r="C877" s="4" t="str">
        <f t="shared" si="235"/>
        <v/>
      </c>
      <c r="D877" s="3" t="str">
        <f t="shared" si="236"/>
        <v/>
      </c>
      <c r="E877" s="47"/>
      <c r="F877" s="3" t="str">
        <f t="shared" si="237"/>
        <v/>
      </c>
      <c r="G877" s="47"/>
      <c r="H877" s="3" t="str">
        <f t="shared" si="238"/>
        <v/>
      </c>
      <c r="I877" s="47"/>
      <c r="J877" s="3" t="str">
        <f t="shared" si="239"/>
        <v/>
      </c>
      <c r="K877" s="47"/>
      <c r="L877" s="3" t="str">
        <f t="shared" si="240"/>
        <v/>
      </c>
      <c r="M877" s="47"/>
      <c r="N877" s="3" t="str">
        <f t="shared" si="241"/>
        <v/>
      </c>
      <c r="O877" s="47"/>
      <c r="P877" s="3" t="str">
        <f t="shared" si="242"/>
        <v/>
      </c>
      <c r="Q877" s="47"/>
      <c r="R877" s="3" t="str">
        <f t="shared" si="243"/>
        <v/>
      </c>
      <c r="S877" s="47"/>
      <c r="T877" s="1" t="str">
        <f t="shared" si="244"/>
        <v/>
      </c>
      <c r="U877" s="47"/>
      <c r="V877" s="1" t="str">
        <f t="shared" si="245"/>
        <v/>
      </c>
      <c r="W877" s="47"/>
      <c r="X877" s="1" t="str">
        <f t="shared" si="246"/>
        <v/>
      </c>
      <c r="Y877" s="47"/>
      <c r="Z877" s="1" t="str">
        <f t="shared" si="247"/>
        <v/>
      </c>
      <c r="AA877" s="47"/>
      <c r="AB877" s="1" t="str">
        <f t="shared" si="248"/>
        <v/>
      </c>
      <c r="AC877" s="47"/>
      <c r="AD877" s="1" t="str">
        <f t="shared" si="249"/>
        <v/>
      </c>
      <c r="AE877" s="47"/>
      <c r="AF877" s="1" t="str">
        <f t="shared" si="250"/>
        <v/>
      </c>
      <c r="AG877" s="47"/>
    </row>
    <row r="878" spans="1:33">
      <c r="A878">
        <f t="shared" si="234"/>
        <v>0</v>
      </c>
      <c r="B878" s="2" t="str">
        <f t="shared" si="251"/>
        <v/>
      </c>
      <c r="C878" s="4" t="str">
        <f t="shared" si="235"/>
        <v/>
      </c>
      <c r="D878" s="3" t="str">
        <f t="shared" si="236"/>
        <v/>
      </c>
      <c r="E878" s="47"/>
      <c r="F878" s="3" t="str">
        <f t="shared" si="237"/>
        <v/>
      </c>
      <c r="G878" s="47"/>
      <c r="H878" s="3" t="str">
        <f t="shared" si="238"/>
        <v/>
      </c>
      <c r="I878" s="47"/>
      <c r="J878" s="3" t="str">
        <f t="shared" si="239"/>
        <v/>
      </c>
      <c r="K878" s="47"/>
      <c r="L878" s="3" t="str">
        <f t="shared" si="240"/>
        <v/>
      </c>
      <c r="M878" s="47"/>
      <c r="N878" s="3" t="str">
        <f t="shared" si="241"/>
        <v/>
      </c>
      <c r="O878" s="47"/>
      <c r="P878" s="3" t="str">
        <f t="shared" si="242"/>
        <v/>
      </c>
      <c r="Q878" s="47"/>
      <c r="R878" s="3" t="str">
        <f t="shared" si="243"/>
        <v/>
      </c>
      <c r="S878" s="47"/>
      <c r="T878" s="1" t="str">
        <f t="shared" si="244"/>
        <v/>
      </c>
      <c r="U878" s="47"/>
      <c r="V878" s="1" t="str">
        <f t="shared" si="245"/>
        <v/>
      </c>
      <c r="W878" s="47"/>
      <c r="X878" s="1" t="str">
        <f t="shared" si="246"/>
        <v/>
      </c>
      <c r="Y878" s="47"/>
      <c r="Z878" s="1" t="str">
        <f t="shared" si="247"/>
        <v/>
      </c>
      <c r="AA878" s="47"/>
      <c r="AB878" s="1" t="str">
        <f t="shared" si="248"/>
        <v/>
      </c>
      <c r="AC878" s="47"/>
      <c r="AD878" s="1" t="str">
        <f t="shared" si="249"/>
        <v/>
      </c>
      <c r="AE878" s="47"/>
      <c r="AF878" s="1" t="str">
        <f t="shared" si="250"/>
        <v/>
      </c>
      <c r="AG878" s="47"/>
    </row>
    <row r="879" spans="1:33">
      <c r="A879">
        <f t="shared" si="234"/>
        <v>0</v>
      </c>
      <c r="B879" s="2" t="str">
        <f t="shared" si="251"/>
        <v/>
      </c>
      <c r="C879" s="4" t="str">
        <f t="shared" si="235"/>
        <v/>
      </c>
      <c r="D879" s="3" t="str">
        <f t="shared" si="236"/>
        <v/>
      </c>
      <c r="E879" s="47"/>
      <c r="F879" s="3" t="str">
        <f t="shared" si="237"/>
        <v/>
      </c>
      <c r="G879" s="47"/>
      <c r="H879" s="3" t="str">
        <f t="shared" si="238"/>
        <v/>
      </c>
      <c r="I879" s="47"/>
      <c r="J879" s="3" t="str">
        <f t="shared" si="239"/>
        <v/>
      </c>
      <c r="K879" s="47"/>
      <c r="L879" s="3" t="str">
        <f t="shared" si="240"/>
        <v/>
      </c>
      <c r="M879" s="47"/>
      <c r="N879" s="3" t="str">
        <f t="shared" si="241"/>
        <v/>
      </c>
      <c r="O879" s="47"/>
      <c r="P879" s="3" t="str">
        <f t="shared" si="242"/>
        <v/>
      </c>
      <c r="Q879" s="47"/>
      <c r="R879" s="3" t="str">
        <f t="shared" si="243"/>
        <v/>
      </c>
      <c r="S879" s="47"/>
      <c r="T879" s="1" t="str">
        <f t="shared" si="244"/>
        <v/>
      </c>
      <c r="U879" s="47"/>
      <c r="V879" s="1" t="str">
        <f t="shared" si="245"/>
        <v/>
      </c>
      <c r="W879" s="47"/>
      <c r="X879" s="1" t="str">
        <f t="shared" si="246"/>
        <v/>
      </c>
      <c r="Y879" s="47"/>
      <c r="Z879" s="1" t="str">
        <f t="shared" si="247"/>
        <v/>
      </c>
      <c r="AA879" s="47"/>
      <c r="AB879" s="1" t="str">
        <f t="shared" si="248"/>
        <v/>
      </c>
      <c r="AC879" s="47"/>
      <c r="AD879" s="1" t="str">
        <f t="shared" si="249"/>
        <v/>
      </c>
      <c r="AE879" s="47"/>
      <c r="AF879" s="1" t="str">
        <f t="shared" si="250"/>
        <v/>
      </c>
      <c r="AG879" s="47"/>
    </row>
    <row r="880" spans="1:33">
      <c r="A880">
        <f t="shared" si="234"/>
        <v>0</v>
      </c>
      <c r="B880" s="2" t="str">
        <f t="shared" si="251"/>
        <v/>
      </c>
      <c r="C880" s="4" t="str">
        <f t="shared" si="235"/>
        <v/>
      </c>
      <c r="D880" s="3" t="str">
        <f t="shared" si="236"/>
        <v/>
      </c>
      <c r="E880" s="47"/>
      <c r="F880" s="3" t="str">
        <f t="shared" si="237"/>
        <v/>
      </c>
      <c r="G880" s="47"/>
      <c r="H880" s="3" t="str">
        <f t="shared" si="238"/>
        <v/>
      </c>
      <c r="I880" s="47"/>
      <c r="J880" s="3" t="str">
        <f t="shared" si="239"/>
        <v/>
      </c>
      <c r="K880" s="47"/>
      <c r="L880" s="3" t="str">
        <f t="shared" si="240"/>
        <v/>
      </c>
      <c r="M880" s="47"/>
      <c r="N880" s="3" t="str">
        <f t="shared" si="241"/>
        <v/>
      </c>
      <c r="O880" s="47"/>
      <c r="P880" s="3" t="str">
        <f t="shared" si="242"/>
        <v/>
      </c>
      <c r="Q880" s="47"/>
      <c r="R880" s="3" t="str">
        <f t="shared" si="243"/>
        <v/>
      </c>
      <c r="S880" s="47"/>
      <c r="T880" s="1" t="str">
        <f t="shared" si="244"/>
        <v/>
      </c>
      <c r="U880" s="47"/>
      <c r="V880" s="1" t="str">
        <f t="shared" si="245"/>
        <v/>
      </c>
      <c r="W880" s="47"/>
      <c r="X880" s="1" t="str">
        <f t="shared" si="246"/>
        <v/>
      </c>
      <c r="Y880" s="47"/>
      <c r="Z880" s="1" t="str">
        <f t="shared" si="247"/>
        <v/>
      </c>
      <c r="AA880" s="47"/>
      <c r="AB880" s="1" t="str">
        <f t="shared" si="248"/>
        <v/>
      </c>
      <c r="AC880" s="47"/>
      <c r="AD880" s="1" t="str">
        <f t="shared" si="249"/>
        <v/>
      </c>
      <c r="AE880" s="47"/>
      <c r="AF880" s="1" t="str">
        <f t="shared" si="250"/>
        <v/>
      </c>
      <c r="AG880" s="47"/>
    </row>
    <row r="881" spans="1:33">
      <c r="A881">
        <f t="shared" si="234"/>
        <v>0</v>
      </c>
      <c r="B881" s="2" t="str">
        <f t="shared" si="251"/>
        <v/>
      </c>
      <c r="C881" s="4" t="str">
        <f t="shared" si="235"/>
        <v/>
      </c>
      <c r="D881" s="3" t="str">
        <f t="shared" si="236"/>
        <v/>
      </c>
      <c r="E881" s="47"/>
      <c r="F881" s="3" t="str">
        <f t="shared" si="237"/>
        <v/>
      </c>
      <c r="G881" s="47"/>
      <c r="H881" s="3" t="str">
        <f t="shared" si="238"/>
        <v/>
      </c>
      <c r="I881" s="47"/>
      <c r="J881" s="3" t="str">
        <f t="shared" si="239"/>
        <v/>
      </c>
      <c r="K881" s="47"/>
      <c r="L881" s="3" t="str">
        <f t="shared" si="240"/>
        <v/>
      </c>
      <c r="M881" s="47"/>
      <c r="N881" s="3" t="str">
        <f t="shared" si="241"/>
        <v/>
      </c>
      <c r="O881" s="47"/>
      <c r="P881" s="3" t="str">
        <f t="shared" si="242"/>
        <v/>
      </c>
      <c r="Q881" s="47"/>
      <c r="R881" s="3" t="str">
        <f t="shared" si="243"/>
        <v/>
      </c>
      <c r="S881" s="47"/>
      <c r="T881" s="1" t="str">
        <f t="shared" si="244"/>
        <v/>
      </c>
      <c r="U881" s="47"/>
      <c r="V881" s="1" t="str">
        <f t="shared" si="245"/>
        <v/>
      </c>
      <c r="W881" s="47"/>
      <c r="X881" s="1" t="str">
        <f t="shared" si="246"/>
        <v/>
      </c>
      <c r="Y881" s="47"/>
      <c r="Z881" s="1" t="str">
        <f t="shared" si="247"/>
        <v/>
      </c>
      <c r="AA881" s="47"/>
      <c r="AB881" s="1" t="str">
        <f t="shared" si="248"/>
        <v/>
      </c>
      <c r="AC881" s="47"/>
      <c r="AD881" s="1" t="str">
        <f t="shared" si="249"/>
        <v/>
      </c>
      <c r="AE881" s="47"/>
      <c r="AF881" s="1" t="str">
        <f t="shared" si="250"/>
        <v/>
      </c>
      <c r="AG881" s="47"/>
    </row>
    <row r="882" spans="1:33">
      <c r="A882">
        <f t="shared" si="234"/>
        <v>0</v>
      </c>
      <c r="B882" s="2" t="str">
        <f t="shared" si="251"/>
        <v/>
      </c>
      <c r="C882" s="4" t="str">
        <f t="shared" si="235"/>
        <v/>
      </c>
      <c r="D882" s="3" t="str">
        <f t="shared" si="236"/>
        <v/>
      </c>
      <c r="E882" s="47"/>
      <c r="F882" s="3" t="str">
        <f t="shared" si="237"/>
        <v/>
      </c>
      <c r="G882" s="47"/>
      <c r="H882" s="3" t="str">
        <f t="shared" si="238"/>
        <v/>
      </c>
      <c r="I882" s="47"/>
      <c r="J882" s="3" t="str">
        <f t="shared" si="239"/>
        <v/>
      </c>
      <c r="K882" s="47"/>
      <c r="L882" s="3" t="str">
        <f t="shared" si="240"/>
        <v/>
      </c>
      <c r="M882" s="47"/>
      <c r="N882" s="3" t="str">
        <f t="shared" si="241"/>
        <v/>
      </c>
      <c r="O882" s="47"/>
      <c r="P882" s="3" t="str">
        <f t="shared" si="242"/>
        <v/>
      </c>
      <c r="Q882" s="47"/>
      <c r="R882" s="3" t="str">
        <f t="shared" si="243"/>
        <v/>
      </c>
      <c r="S882" s="47"/>
      <c r="T882" s="1" t="str">
        <f t="shared" si="244"/>
        <v/>
      </c>
      <c r="U882" s="47"/>
      <c r="V882" s="1" t="str">
        <f t="shared" si="245"/>
        <v/>
      </c>
      <c r="W882" s="47"/>
      <c r="X882" s="1" t="str">
        <f t="shared" si="246"/>
        <v/>
      </c>
      <c r="Y882" s="47"/>
      <c r="Z882" s="1" t="str">
        <f t="shared" si="247"/>
        <v/>
      </c>
      <c r="AA882" s="47"/>
      <c r="AB882" s="1" t="str">
        <f t="shared" si="248"/>
        <v/>
      </c>
      <c r="AC882" s="47"/>
      <c r="AD882" s="1" t="str">
        <f t="shared" si="249"/>
        <v/>
      </c>
      <c r="AE882" s="47"/>
      <c r="AF882" s="1" t="str">
        <f t="shared" si="250"/>
        <v/>
      </c>
      <c r="AG882" s="47"/>
    </row>
    <row r="883" spans="1:33">
      <c r="A883">
        <f t="shared" si="234"/>
        <v>0</v>
      </c>
      <c r="B883" s="2" t="str">
        <f t="shared" si="251"/>
        <v/>
      </c>
      <c r="C883" s="4" t="str">
        <f t="shared" si="235"/>
        <v/>
      </c>
      <c r="D883" s="3" t="str">
        <f t="shared" si="236"/>
        <v/>
      </c>
      <c r="E883" s="47"/>
      <c r="F883" s="3" t="str">
        <f t="shared" si="237"/>
        <v/>
      </c>
      <c r="G883" s="47"/>
      <c r="H883" s="3" t="str">
        <f t="shared" si="238"/>
        <v/>
      </c>
      <c r="I883" s="47"/>
      <c r="J883" s="3" t="str">
        <f t="shared" si="239"/>
        <v/>
      </c>
      <c r="K883" s="47"/>
      <c r="L883" s="3" t="str">
        <f t="shared" si="240"/>
        <v/>
      </c>
      <c r="M883" s="47"/>
      <c r="N883" s="3" t="str">
        <f t="shared" si="241"/>
        <v/>
      </c>
      <c r="O883" s="47"/>
      <c r="P883" s="3" t="str">
        <f t="shared" si="242"/>
        <v/>
      </c>
      <c r="Q883" s="47"/>
      <c r="R883" s="3" t="str">
        <f t="shared" si="243"/>
        <v/>
      </c>
      <c r="S883" s="47"/>
      <c r="T883" s="1" t="str">
        <f t="shared" si="244"/>
        <v/>
      </c>
      <c r="U883" s="47"/>
      <c r="V883" s="1" t="str">
        <f t="shared" si="245"/>
        <v/>
      </c>
      <c r="W883" s="47"/>
      <c r="X883" s="1" t="str">
        <f t="shared" si="246"/>
        <v/>
      </c>
      <c r="Y883" s="47"/>
      <c r="Z883" s="1" t="str">
        <f t="shared" si="247"/>
        <v/>
      </c>
      <c r="AA883" s="47"/>
      <c r="AB883" s="1" t="str">
        <f t="shared" si="248"/>
        <v/>
      </c>
      <c r="AC883" s="47"/>
      <c r="AD883" s="1" t="str">
        <f t="shared" si="249"/>
        <v/>
      </c>
      <c r="AE883" s="47"/>
      <c r="AF883" s="1" t="str">
        <f t="shared" si="250"/>
        <v/>
      </c>
      <c r="AG883" s="47"/>
    </row>
    <row r="884" spans="1:33">
      <c r="A884">
        <f t="shared" si="234"/>
        <v>0</v>
      </c>
      <c r="B884" s="2" t="str">
        <f t="shared" si="251"/>
        <v/>
      </c>
      <c r="C884" s="4" t="str">
        <f t="shared" si="235"/>
        <v/>
      </c>
      <c r="D884" s="3" t="str">
        <f t="shared" si="236"/>
        <v/>
      </c>
      <c r="E884" s="47"/>
      <c r="F884" s="3" t="str">
        <f t="shared" si="237"/>
        <v/>
      </c>
      <c r="G884" s="47"/>
      <c r="H884" s="3" t="str">
        <f t="shared" si="238"/>
        <v/>
      </c>
      <c r="I884" s="47"/>
      <c r="J884" s="3" t="str">
        <f t="shared" si="239"/>
        <v/>
      </c>
      <c r="K884" s="47"/>
      <c r="L884" s="3" t="str">
        <f t="shared" si="240"/>
        <v/>
      </c>
      <c r="M884" s="47"/>
      <c r="N884" s="3" t="str">
        <f t="shared" si="241"/>
        <v/>
      </c>
      <c r="O884" s="47"/>
      <c r="P884" s="3" t="str">
        <f t="shared" si="242"/>
        <v/>
      </c>
      <c r="Q884" s="47"/>
      <c r="R884" s="3" t="str">
        <f t="shared" si="243"/>
        <v/>
      </c>
      <c r="S884" s="47"/>
      <c r="T884" s="1" t="str">
        <f t="shared" si="244"/>
        <v/>
      </c>
      <c r="U884" s="47"/>
      <c r="V884" s="1" t="str">
        <f t="shared" si="245"/>
        <v/>
      </c>
      <c r="W884" s="47"/>
      <c r="X884" s="1" t="str">
        <f t="shared" si="246"/>
        <v/>
      </c>
      <c r="Y884" s="47"/>
      <c r="Z884" s="1" t="str">
        <f t="shared" si="247"/>
        <v/>
      </c>
      <c r="AA884" s="47"/>
      <c r="AB884" s="1" t="str">
        <f t="shared" si="248"/>
        <v/>
      </c>
      <c r="AC884" s="47"/>
      <c r="AD884" s="1" t="str">
        <f t="shared" si="249"/>
        <v/>
      </c>
      <c r="AE884" s="47"/>
      <c r="AF884" s="1" t="str">
        <f t="shared" si="250"/>
        <v/>
      </c>
      <c r="AG884" s="47"/>
    </row>
    <row r="885" spans="1:33">
      <c r="A885">
        <f t="shared" si="234"/>
        <v>0</v>
      </c>
      <c r="B885" s="2" t="str">
        <f t="shared" si="251"/>
        <v/>
      </c>
      <c r="C885" s="4" t="str">
        <f t="shared" si="235"/>
        <v/>
      </c>
      <c r="D885" s="3" t="str">
        <f t="shared" si="236"/>
        <v/>
      </c>
      <c r="E885" s="47"/>
      <c r="F885" s="3" t="str">
        <f t="shared" si="237"/>
        <v/>
      </c>
      <c r="G885" s="47"/>
      <c r="H885" s="3" t="str">
        <f t="shared" si="238"/>
        <v/>
      </c>
      <c r="I885" s="47"/>
      <c r="J885" s="3" t="str">
        <f t="shared" si="239"/>
        <v/>
      </c>
      <c r="K885" s="47"/>
      <c r="L885" s="3" t="str">
        <f t="shared" si="240"/>
        <v/>
      </c>
      <c r="M885" s="47"/>
      <c r="N885" s="3" t="str">
        <f t="shared" si="241"/>
        <v/>
      </c>
      <c r="O885" s="47"/>
      <c r="P885" s="3" t="str">
        <f t="shared" si="242"/>
        <v/>
      </c>
      <c r="Q885" s="47"/>
      <c r="R885" s="3" t="str">
        <f t="shared" si="243"/>
        <v/>
      </c>
      <c r="S885" s="47"/>
      <c r="T885" s="1" t="str">
        <f t="shared" si="244"/>
        <v/>
      </c>
      <c r="U885" s="47"/>
      <c r="V885" s="1" t="str">
        <f t="shared" si="245"/>
        <v/>
      </c>
      <c r="W885" s="47"/>
      <c r="X885" s="1" t="str">
        <f t="shared" si="246"/>
        <v/>
      </c>
      <c r="Y885" s="47"/>
      <c r="Z885" s="1" t="str">
        <f t="shared" si="247"/>
        <v/>
      </c>
      <c r="AA885" s="47"/>
      <c r="AB885" s="1" t="str">
        <f t="shared" si="248"/>
        <v/>
      </c>
      <c r="AC885" s="47"/>
      <c r="AD885" s="1" t="str">
        <f t="shared" si="249"/>
        <v/>
      </c>
      <c r="AE885" s="47"/>
      <c r="AF885" s="1" t="str">
        <f t="shared" si="250"/>
        <v/>
      </c>
      <c r="AG885" s="47"/>
    </row>
    <row r="886" spans="1:33">
      <c r="A886">
        <f t="shared" si="234"/>
        <v>0</v>
      </c>
      <c r="B886" s="2" t="str">
        <f t="shared" si="251"/>
        <v/>
      </c>
      <c r="C886" s="4" t="str">
        <f t="shared" si="235"/>
        <v/>
      </c>
      <c r="D886" s="3" t="str">
        <f t="shared" si="236"/>
        <v/>
      </c>
      <c r="E886" s="47"/>
      <c r="F886" s="3" t="str">
        <f t="shared" si="237"/>
        <v/>
      </c>
      <c r="G886" s="47"/>
      <c r="H886" s="3" t="str">
        <f t="shared" si="238"/>
        <v/>
      </c>
      <c r="I886" s="47"/>
      <c r="J886" s="3" t="str">
        <f t="shared" si="239"/>
        <v/>
      </c>
      <c r="K886" s="47"/>
      <c r="L886" s="3" t="str">
        <f t="shared" si="240"/>
        <v/>
      </c>
      <c r="M886" s="47"/>
      <c r="N886" s="3" t="str">
        <f t="shared" si="241"/>
        <v/>
      </c>
      <c r="O886" s="47"/>
      <c r="P886" s="3" t="str">
        <f t="shared" si="242"/>
        <v/>
      </c>
      <c r="Q886" s="47"/>
      <c r="R886" s="3" t="str">
        <f t="shared" si="243"/>
        <v/>
      </c>
      <c r="S886" s="47"/>
      <c r="T886" s="1" t="str">
        <f t="shared" si="244"/>
        <v/>
      </c>
      <c r="U886" s="47"/>
      <c r="V886" s="1" t="str">
        <f t="shared" si="245"/>
        <v/>
      </c>
      <c r="W886" s="47"/>
      <c r="X886" s="1" t="str">
        <f t="shared" si="246"/>
        <v/>
      </c>
      <c r="Y886" s="47"/>
      <c r="Z886" s="1" t="str">
        <f t="shared" si="247"/>
        <v/>
      </c>
      <c r="AA886" s="47"/>
      <c r="AB886" s="1" t="str">
        <f t="shared" si="248"/>
        <v/>
      </c>
      <c r="AC886" s="47"/>
      <c r="AD886" s="1" t="str">
        <f t="shared" si="249"/>
        <v/>
      </c>
      <c r="AE886" s="47"/>
      <c r="AF886" s="1" t="str">
        <f t="shared" si="250"/>
        <v/>
      </c>
      <c r="AG886" s="47"/>
    </row>
    <row r="887" spans="1:33">
      <c r="A887">
        <f t="shared" si="234"/>
        <v>0</v>
      </c>
      <c r="B887" s="2" t="str">
        <f t="shared" si="251"/>
        <v/>
      </c>
      <c r="C887" s="4" t="str">
        <f t="shared" si="235"/>
        <v/>
      </c>
      <c r="D887" s="3" t="str">
        <f t="shared" si="236"/>
        <v/>
      </c>
      <c r="E887" s="47"/>
      <c r="F887" s="3" t="str">
        <f t="shared" si="237"/>
        <v/>
      </c>
      <c r="G887" s="47"/>
      <c r="H887" s="3" t="str">
        <f t="shared" si="238"/>
        <v/>
      </c>
      <c r="I887" s="47"/>
      <c r="J887" s="3" t="str">
        <f t="shared" si="239"/>
        <v/>
      </c>
      <c r="K887" s="47"/>
      <c r="L887" s="3" t="str">
        <f t="shared" si="240"/>
        <v/>
      </c>
      <c r="M887" s="47"/>
      <c r="N887" s="3" t="str">
        <f t="shared" si="241"/>
        <v/>
      </c>
      <c r="O887" s="47"/>
      <c r="P887" s="3" t="str">
        <f t="shared" si="242"/>
        <v/>
      </c>
      <c r="Q887" s="47"/>
      <c r="R887" s="3" t="str">
        <f t="shared" si="243"/>
        <v/>
      </c>
      <c r="S887" s="47"/>
      <c r="T887" s="1" t="str">
        <f t="shared" si="244"/>
        <v/>
      </c>
      <c r="U887" s="47"/>
      <c r="V887" s="1" t="str">
        <f t="shared" si="245"/>
        <v/>
      </c>
      <c r="W887" s="47"/>
      <c r="X887" s="1" t="str">
        <f t="shared" si="246"/>
        <v/>
      </c>
      <c r="Y887" s="47"/>
      <c r="Z887" s="1" t="str">
        <f t="shared" si="247"/>
        <v/>
      </c>
      <c r="AA887" s="47"/>
      <c r="AB887" s="1" t="str">
        <f t="shared" si="248"/>
        <v/>
      </c>
      <c r="AC887" s="47"/>
      <c r="AD887" s="1" t="str">
        <f t="shared" si="249"/>
        <v/>
      </c>
      <c r="AE887" s="47"/>
      <c r="AF887" s="1" t="str">
        <f t="shared" si="250"/>
        <v/>
      </c>
      <c r="AG887" s="47"/>
    </row>
    <row r="888" spans="1:33">
      <c r="A888">
        <f t="shared" si="234"/>
        <v>0</v>
      </c>
      <c r="B888" s="2" t="str">
        <f t="shared" si="251"/>
        <v/>
      </c>
      <c r="C888" s="4" t="str">
        <f t="shared" si="235"/>
        <v/>
      </c>
      <c r="D888" s="3" t="str">
        <f t="shared" si="236"/>
        <v/>
      </c>
      <c r="E888" s="47"/>
      <c r="F888" s="3" t="str">
        <f t="shared" si="237"/>
        <v/>
      </c>
      <c r="G888" s="47"/>
      <c r="H888" s="3" t="str">
        <f t="shared" si="238"/>
        <v/>
      </c>
      <c r="I888" s="47"/>
      <c r="J888" s="3" t="str">
        <f t="shared" si="239"/>
        <v/>
      </c>
      <c r="K888" s="47"/>
      <c r="L888" s="3" t="str">
        <f t="shared" si="240"/>
        <v/>
      </c>
      <c r="M888" s="47"/>
      <c r="N888" s="3" t="str">
        <f t="shared" si="241"/>
        <v/>
      </c>
      <c r="O888" s="47"/>
      <c r="P888" s="3" t="str">
        <f t="shared" si="242"/>
        <v/>
      </c>
      <c r="Q888" s="47"/>
      <c r="R888" s="3" t="str">
        <f t="shared" si="243"/>
        <v/>
      </c>
      <c r="S888" s="47"/>
      <c r="T888" s="1" t="str">
        <f t="shared" si="244"/>
        <v/>
      </c>
      <c r="U888" s="47"/>
      <c r="V888" s="1" t="str">
        <f t="shared" si="245"/>
        <v/>
      </c>
      <c r="W888" s="47"/>
      <c r="X888" s="1" t="str">
        <f t="shared" si="246"/>
        <v/>
      </c>
      <c r="Y888" s="47"/>
      <c r="Z888" s="1" t="str">
        <f t="shared" si="247"/>
        <v/>
      </c>
      <c r="AA888" s="47"/>
      <c r="AB888" s="1" t="str">
        <f t="shared" si="248"/>
        <v/>
      </c>
      <c r="AC888" s="47"/>
      <c r="AD888" s="1" t="str">
        <f t="shared" si="249"/>
        <v/>
      </c>
      <c r="AE888" s="47"/>
      <c r="AF888" s="1" t="str">
        <f t="shared" si="250"/>
        <v/>
      </c>
      <c r="AG888" s="47"/>
    </row>
    <row r="889" spans="1:33">
      <c r="A889">
        <f t="shared" si="234"/>
        <v>0</v>
      </c>
      <c r="B889" s="2" t="str">
        <f t="shared" si="251"/>
        <v/>
      </c>
      <c r="C889" s="4" t="str">
        <f t="shared" si="235"/>
        <v/>
      </c>
      <c r="D889" s="3" t="str">
        <f t="shared" si="236"/>
        <v/>
      </c>
      <c r="E889" s="47"/>
      <c r="F889" s="3" t="str">
        <f t="shared" si="237"/>
        <v/>
      </c>
      <c r="G889" s="47"/>
      <c r="H889" s="3" t="str">
        <f t="shared" si="238"/>
        <v/>
      </c>
      <c r="I889" s="47"/>
      <c r="J889" s="3" t="str">
        <f t="shared" si="239"/>
        <v/>
      </c>
      <c r="K889" s="47"/>
      <c r="L889" s="3" t="str">
        <f t="shared" si="240"/>
        <v/>
      </c>
      <c r="M889" s="47"/>
      <c r="N889" s="3" t="str">
        <f t="shared" si="241"/>
        <v/>
      </c>
      <c r="O889" s="47"/>
      <c r="P889" s="3" t="str">
        <f t="shared" si="242"/>
        <v/>
      </c>
      <c r="Q889" s="47"/>
      <c r="R889" s="3" t="str">
        <f t="shared" si="243"/>
        <v/>
      </c>
      <c r="S889" s="47"/>
      <c r="T889" s="1" t="str">
        <f t="shared" si="244"/>
        <v/>
      </c>
      <c r="U889" s="47"/>
      <c r="V889" s="1" t="str">
        <f t="shared" si="245"/>
        <v/>
      </c>
      <c r="W889" s="47"/>
      <c r="X889" s="1" t="str">
        <f t="shared" si="246"/>
        <v/>
      </c>
      <c r="Y889" s="47"/>
      <c r="Z889" s="1" t="str">
        <f t="shared" si="247"/>
        <v/>
      </c>
      <c r="AA889" s="47"/>
      <c r="AB889" s="1" t="str">
        <f t="shared" si="248"/>
        <v/>
      </c>
      <c r="AC889" s="47"/>
      <c r="AD889" s="1" t="str">
        <f t="shared" si="249"/>
        <v/>
      </c>
      <c r="AE889" s="47"/>
      <c r="AF889" s="1" t="str">
        <f t="shared" si="250"/>
        <v/>
      </c>
      <c r="AG889" s="47"/>
    </row>
    <row r="890" spans="1:33">
      <c r="A890">
        <f t="shared" si="234"/>
        <v>0</v>
      </c>
      <c r="B890" s="2" t="str">
        <f t="shared" si="251"/>
        <v/>
      </c>
      <c r="C890" s="4" t="str">
        <f t="shared" si="235"/>
        <v/>
      </c>
      <c r="D890" s="3" t="str">
        <f t="shared" si="236"/>
        <v/>
      </c>
      <c r="E890" s="47"/>
      <c r="F890" s="3" t="str">
        <f t="shared" si="237"/>
        <v/>
      </c>
      <c r="G890" s="47"/>
      <c r="H890" s="3" t="str">
        <f t="shared" si="238"/>
        <v/>
      </c>
      <c r="I890" s="47"/>
      <c r="J890" s="3" t="str">
        <f t="shared" si="239"/>
        <v/>
      </c>
      <c r="K890" s="47"/>
      <c r="L890" s="3" t="str">
        <f t="shared" si="240"/>
        <v/>
      </c>
      <c r="M890" s="47"/>
      <c r="N890" s="3" t="str">
        <f t="shared" si="241"/>
        <v/>
      </c>
      <c r="O890" s="47"/>
      <c r="P890" s="3" t="str">
        <f t="shared" si="242"/>
        <v/>
      </c>
      <c r="Q890" s="47"/>
      <c r="R890" s="3" t="str">
        <f t="shared" si="243"/>
        <v/>
      </c>
      <c r="S890" s="47"/>
      <c r="T890" s="1" t="str">
        <f t="shared" si="244"/>
        <v/>
      </c>
      <c r="U890" s="47"/>
      <c r="V890" s="1" t="str">
        <f t="shared" si="245"/>
        <v/>
      </c>
      <c r="W890" s="47"/>
      <c r="X890" s="1" t="str">
        <f t="shared" si="246"/>
        <v/>
      </c>
      <c r="Y890" s="47"/>
      <c r="Z890" s="1" t="str">
        <f t="shared" si="247"/>
        <v/>
      </c>
      <c r="AA890" s="47"/>
      <c r="AB890" s="1" t="str">
        <f t="shared" si="248"/>
        <v/>
      </c>
      <c r="AC890" s="47"/>
      <c r="AD890" s="1" t="str">
        <f t="shared" si="249"/>
        <v/>
      </c>
      <c r="AE890" s="47"/>
      <c r="AF890" s="1" t="str">
        <f t="shared" si="250"/>
        <v/>
      </c>
      <c r="AG890" s="47"/>
    </row>
    <row r="891" spans="1:33">
      <c r="A891">
        <f t="shared" si="234"/>
        <v>0</v>
      </c>
      <c r="B891" s="2" t="str">
        <f t="shared" si="251"/>
        <v/>
      </c>
      <c r="C891" s="4" t="str">
        <f t="shared" si="235"/>
        <v/>
      </c>
      <c r="D891" s="3" t="str">
        <f t="shared" si="236"/>
        <v/>
      </c>
      <c r="E891" s="47"/>
      <c r="F891" s="3" t="str">
        <f t="shared" si="237"/>
        <v/>
      </c>
      <c r="G891" s="47"/>
      <c r="H891" s="3" t="str">
        <f t="shared" si="238"/>
        <v/>
      </c>
      <c r="I891" s="47"/>
      <c r="J891" s="3" t="str">
        <f t="shared" si="239"/>
        <v/>
      </c>
      <c r="K891" s="47"/>
      <c r="L891" s="3" t="str">
        <f t="shared" si="240"/>
        <v/>
      </c>
      <c r="M891" s="47"/>
      <c r="N891" s="3" t="str">
        <f t="shared" si="241"/>
        <v/>
      </c>
      <c r="O891" s="47"/>
      <c r="P891" s="3" t="str">
        <f t="shared" si="242"/>
        <v/>
      </c>
      <c r="Q891" s="47"/>
      <c r="R891" s="3" t="str">
        <f t="shared" si="243"/>
        <v/>
      </c>
      <c r="S891" s="47"/>
      <c r="T891" s="1" t="str">
        <f t="shared" si="244"/>
        <v/>
      </c>
      <c r="U891" s="47"/>
      <c r="V891" s="1" t="str">
        <f t="shared" si="245"/>
        <v/>
      </c>
      <c r="W891" s="47"/>
      <c r="X891" s="1" t="str">
        <f t="shared" si="246"/>
        <v/>
      </c>
      <c r="Y891" s="47"/>
      <c r="Z891" s="1" t="str">
        <f t="shared" si="247"/>
        <v/>
      </c>
      <c r="AA891" s="47"/>
      <c r="AB891" s="1" t="str">
        <f t="shared" si="248"/>
        <v/>
      </c>
      <c r="AC891" s="47"/>
      <c r="AD891" s="1" t="str">
        <f t="shared" si="249"/>
        <v/>
      </c>
      <c r="AE891" s="47"/>
      <c r="AF891" s="1" t="str">
        <f t="shared" si="250"/>
        <v/>
      </c>
      <c r="AG891" s="47"/>
    </row>
    <row r="892" spans="1:33">
      <c r="A892">
        <f t="shared" si="234"/>
        <v>0</v>
      </c>
      <c r="B892" s="2" t="str">
        <f t="shared" si="251"/>
        <v/>
      </c>
      <c r="C892" s="4" t="str">
        <f t="shared" si="235"/>
        <v/>
      </c>
      <c r="D892" s="3" t="str">
        <f t="shared" si="236"/>
        <v/>
      </c>
      <c r="E892" s="47"/>
      <c r="F892" s="3" t="str">
        <f t="shared" si="237"/>
        <v/>
      </c>
      <c r="G892" s="47"/>
      <c r="H892" s="3" t="str">
        <f t="shared" si="238"/>
        <v/>
      </c>
      <c r="I892" s="47"/>
      <c r="J892" s="3" t="str">
        <f t="shared" si="239"/>
        <v/>
      </c>
      <c r="K892" s="47"/>
      <c r="L892" s="3" t="str">
        <f t="shared" si="240"/>
        <v/>
      </c>
      <c r="M892" s="47"/>
      <c r="N892" s="3" t="str">
        <f t="shared" si="241"/>
        <v/>
      </c>
      <c r="O892" s="47"/>
      <c r="P892" s="3" t="str">
        <f t="shared" si="242"/>
        <v/>
      </c>
      <c r="Q892" s="47"/>
      <c r="R892" s="3" t="str">
        <f t="shared" si="243"/>
        <v/>
      </c>
      <c r="S892" s="47"/>
      <c r="T892" s="1" t="str">
        <f t="shared" si="244"/>
        <v/>
      </c>
      <c r="U892" s="47"/>
      <c r="V892" s="1" t="str">
        <f t="shared" si="245"/>
        <v/>
      </c>
      <c r="W892" s="47"/>
      <c r="X892" s="1" t="str">
        <f t="shared" si="246"/>
        <v/>
      </c>
      <c r="Y892" s="47"/>
      <c r="Z892" s="1" t="str">
        <f t="shared" si="247"/>
        <v/>
      </c>
      <c r="AA892" s="47"/>
      <c r="AB892" s="1" t="str">
        <f t="shared" si="248"/>
        <v/>
      </c>
      <c r="AC892" s="47"/>
      <c r="AD892" s="1" t="str">
        <f t="shared" si="249"/>
        <v/>
      </c>
      <c r="AE892" s="47"/>
      <c r="AF892" s="1" t="str">
        <f t="shared" si="250"/>
        <v/>
      </c>
      <c r="AG892" s="47"/>
    </row>
    <row r="893" spans="1:33">
      <c r="A893">
        <f t="shared" si="234"/>
        <v>0</v>
      </c>
      <c r="B893" s="2" t="str">
        <f t="shared" si="251"/>
        <v/>
      </c>
      <c r="C893" s="4" t="str">
        <f t="shared" si="235"/>
        <v/>
      </c>
      <c r="D893" s="3" t="str">
        <f t="shared" si="236"/>
        <v/>
      </c>
      <c r="E893" s="47"/>
      <c r="F893" s="3" t="str">
        <f t="shared" si="237"/>
        <v/>
      </c>
      <c r="G893" s="47"/>
      <c r="H893" s="3" t="str">
        <f t="shared" si="238"/>
        <v/>
      </c>
      <c r="I893" s="47"/>
      <c r="J893" s="3" t="str">
        <f t="shared" si="239"/>
        <v/>
      </c>
      <c r="K893" s="47"/>
      <c r="L893" s="3" t="str">
        <f t="shared" si="240"/>
        <v/>
      </c>
      <c r="M893" s="47"/>
      <c r="N893" s="3" t="str">
        <f t="shared" si="241"/>
        <v/>
      </c>
      <c r="O893" s="47"/>
      <c r="P893" s="3" t="str">
        <f t="shared" si="242"/>
        <v/>
      </c>
      <c r="Q893" s="47"/>
      <c r="R893" s="3" t="str">
        <f t="shared" si="243"/>
        <v/>
      </c>
      <c r="S893" s="47"/>
      <c r="T893" s="1" t="str">
        <f t="shared" si="244"/>
        <v/>
      </c>
      <c r="U893" s="47"/>
      <c r="V893" s="1" t="str">
        <f t="shared" si="245"/>
        <v/>
      </c>
      <c r="W893" s="47"/>
      <c r="X893" s="1" t="str">
        <f t="shared" si="246"/>
        <v/>
      </c>
      <c r="Y893" s="47"/>
      <c r="Z893" s="1" t="str">
        <f t="shared" si="247"/>
        <v/>
      </c>
      <c r="AA893" s="47"/>
      <c r="AB893" s="1" t="str">
        <f t="shared" si="248"/>
        <v/>
      </c>
      <c r="AC893" s="47"/>
      <c r="AD893" s="1" t="str">
        <f t="shared" si="249"/>
        <v/>
      </c>
      <c r="AE893" s="47"/>
      <c r="AF893" s="1" t="str">
        <f t="shared" si="250"/>
        <v/>
      </c>
      <c r="AG893" s="47"/>
    </row>
    <row r="894" spans="1:33">
      <c r="A894">
        <f t="shared" si="234"/>
        <v>0</v>
      </c>
      <c r="B894" s="2" t="str">
        <f t="shared" si="251"/>
        <v/>
      </c>
      <c r="C894" s="4" t="str">
        <f t="shared" si="235"/>
        <v/>
      </c>
      <c r="D894" s="3" t="str">
        <f t="shared" si="236"/>
        <v/>
      </c>
      <c r="E894" s="47"/>
      <c r="F894" s="3" t="str">
        <f t="shared" si="237"/>
        <v/>
      </c>
      <c r="G894" s="47"/>
      <c r="H894" s="3" t="str">
        <f t="shared" si="238"/>
        <v/>
      </c>
      <c r="I894" s="47"/>
      <c r="J894" s="3" t="str">
        <f t="shared" si="239"/>
        <v/>
      </c>
      <c r="K894" s="47"/>
      <c r="L894" s="3" t="str">
        <f t="shared" si="240"/>
        <v/>
      </c>
      <c r="M894" s="47"/>
      <c r="N894" s="3" t="str">
        <f t="shared" si="241"/>
        <v/>
      </c>
      <c r="O894" s="47"/>
      <c r="P894" s="3" t="str">
        <f t="shared" si="242"/>
        <v/>
      </c>
      <c r="Q894" s="47"/>
      <c r="R894" s="3" t="str">
        <f t="shared" si="243"/>
        <v/>
      </c>
      <c r="S894" s="47"/>
      <c r="T894" s="1" t="str">
        <f t="shared" si="244"/>
        <v/>
      </c>
      <c r="U894" s="47"/>
      <c r="V894" s="1" t="str">
        <f t="shared" si="245"/>
        <v/>
      </c>
      <c r="W894" s="47"/>
      <c r="X894" s="1" t="str">
        <f t="shared" si="246"/>
        <v/>
      </c>
      <c r="Y894" s="47"/>
      <c r="Z894" s="1" t="str">
        <f t="shared" si="247"/>
        <v/>
      </c>
      <c r="AA894" s="47"/>
      <c r="AB894" s="1" t="str">
        <f t="shared" si="248"/>
        <v/>
      </c>
      <c r="AC894" s="47"/>
      <c r="AD894" s="1" t="str">
        <f t="shared" si="249"/>
        <v/>
      </c>
      <c r="AE894" s="47"/>
      <c r="AF894" s="1" t="str">
        <f t="shared" si="250"/>
        <v/>
      </c>
      <c r="AG894" s="47"/>
    </row>
    <row r="895" spans="1:33">
      <c r="A895">
        <f t="shared" si="234"/>
        <v>0</v>
      </c>
      <c r="B895" s="2" t="str">
        <f t="shared" si="251"/>
        <v/>
      </c>
      <c r="C895" s="4" t="str">
        <f t="shared" si="235"/>
        <v/>
      </c>
      <c r="D895" s="3" t="str">
        <f t="shared" si="236"/>
        <v/>
      </c>
      <c r="E895" s="47"/>
      <c r="F895" s="3" t="str">
        <f t="shared" si="237"/>
        <v/>
      </c>
      <c r="G895" s="47"/>
      <c r="H895" s="3" t="str">
        <f t="shared" si="238"/>
        <v/>
      </c>
      <c r="I895" s="47"/>
      <c r="J895" s="3" t="str">
        <f t="shared" si="239"/>
        <v/>
      </c>
      <c r="K895" s="47"/>
      <c r="L895" s="3" t="str">
        <f t="shared" si="240"/>
        <v/>
      </c>
      <c r="M895" s="47"/>
      <c r="N895" s="3" t="str">
        <f t="shared" si="241"/>
        <v/>
      </c>
      <c r="O895" s="47"/>
      <c r="P895" s="3" t="str">
        <f t="shared" si="242"/>
        <v/>
      </c>
      <c r="Q895" s="47"/>
      <c r="R895" s="3" t="str">
        <f t="shared" si="243"/>
        <v/>
      </c>
      <c r="S895" s="47"/>
      <c r="T895" s="1" t="str">
        <f t="shared" si="244"/>
        <v/>
      </c>
      <c r="U895" s="47"/>
      <c r="V895" s="1" t="str">
        <f t="shared" si="245"/>
        <v/>
      </c>
      <c r="W895" s="47"/>
      <c r="X895" s="1" t="str">
        <f t="shared" si="246"/>
        <v/>
      </c>
      <c r="Y895" s="47"/>
      <c r="Z895" s="1" t="str">
        <f t="shared" si="247"/>
        <v/>
      </c>
      <c r="AA895" s="47"/>
      <c r="AB895" s="1" t="str">
        <f t="shared" si="248"/>
        <v/>
      </c>
      <c r="AC895" s="47"/>
      <c r="AD895" s="1" t="str">
        <f t="shared" si="249"/>
        <v/>
      </c>
      <c r="AE895" s="47"/>
      <c r="AF895" s="1" t="str">
        <f t="shared" si="250"/>
        <v/>
      </c>
      <c r="AG895" s="47"/>
    </row>
    <row r="896" spans="1:33">
      <c r="A896">
        <f t="shared" si="234"/>
        <v>0</v>
      </c>
      <c r="B896" s="2" t="str">
        <f t="shared" si="251"/>
        <v/>
      </c>
      <c r="C896" s="4" t="str">
        <f t="shared" si="235"/>
        <v/>
      </c>
      <c r="D896" s="3" t="str">
        <f t="shared" si="236"/>
        <v/>
      </c>
      <c r="E896" s="47"/>
      <c r="F896" s="3" t="str">
        <f t="shared" si="237"/>
        <v/>
      </c>
      <c r="G896" s="47"/>
      <c r="H896" s="3" t="str">
        <f t="shared" si="238"/>
        <v/>
      </c>
      <c r="I896" s="47"/>
      <c r="J896" s="3" t="str">
        <f t="shared" si="239"/>
        <v/>
      </c>
      <c r="K896" s="47"/>
      <c r="L896" s="3" t="str">
        <f t="shared" si="240"/>
        <v/>
      </c>
      <c r="M896" s="47"/>
      <c r="N896" s="3" t="str">
        <f t="shared" si="241"/>
        <v/>
      </c>
      <c r="O896" s="47"/>
      <c r="P896" s="3" t="str">
        <f t="shared" si="242"/>
        <v/>
      </c>
      <c r="Q896" s="47"/>
      <c r="R896" s="3" t="str">
        <f t="shared" si="243"/>
        <v/>
      </c>
      <c r="S896" s="47"/>
      <c r="T896" s="1" t="str">
        <f t="shared" si="244"/>
        <v/>
      </c>
      <c r="U896" s="47"/>
      <c r="V896" s="1" t="str">
        <f t="shared" si="245"/>
        <v/>
      </c>
      <c r="W896" s="47"/>
      <c r="X896" s="1" t="str">
        <f t="shared" si="246"/>
        <v/>
      </c>
      <c r="Y896" s="47"/>
      <c r="Z896" s="1" t="str">
        <f t="shared" si="247"/>
        <v/>
      </c>
      <c r="AA896" s="47"/>
      <c r="AB896" s="1" t="str">
        <f t="shared" si="248"/>
        <v/>
      </c>
      <c r="AC896" s="47"/>
      <c r="AD896" s="1" t="str">
        <f t="shared" si="249"/>
        <v/>
      </c>
      <c r="AE896" s="47"/>
      <c r="AF896" s="1" t="str">
        <f t="shared" si="250"/>
        <v/>
      </c>
      <c r="AG896" s="47"/>
    </row>
    <row r="897" spans="1:33">
      <c r="A897">
        <f t="shared" si="234"/>
        <v>0</v>
      </c>
      <c r="B897" s="2" t="str">
        <f t="shared" si="251"/>
        <v/>
      </c>
      <c r="C897" s="4" t="str">
        <f t="shared" si="235"/>
        <v/>
      </c>
      <c r="D897" s="3" t="str">
        <f t="shared" si="236"/>
        <v/>
      </c>
      <c r="E897" s="47"/>
      <c r="F897" s="3" t="str">
        <f t="shared" si="237"/>
        <v/>
      </c>
      <c r="G897" s="47"/>
      <c r="H897" s="3" t="str">
        <f t="shared" si="238"/>
        <v/>
      </c>
      <c r="I897" s="47"/>
      <c r="J897" s="3" t="str">
        <f t="shared" si="239"/>
        <v/>
      </c>
      <c r="K897" s="47"/>
      <c r="L897" s="3" t="str">
        <f t="shared" si="240"/>
        <v/>
      </c>
      <c r="M897" s="47"/>
      <c r="N897" s="3" t="str">
        <f t="shared" si="241"/>
        <v/>
      </c>
      <c r="O897" s="47"/>
      <c r="P897" s="3" t="str">
        <f t="shared" si="242"/>
        <v/>
      </c>
      <c r="Q897" s="47"/>
      <c r="R897" s="3" t="str">
        <f t="shared" si="243"/>
        <v/>
      </c>
      <c r="S897" s="47"/>
      <c r="T897" s="1" t="str">
        <f t="shared" si="244"/>
        <v/>
      </c>
      <c r="U897" s="47"/>
      <c r="V897" s="1" t="str">
        <f t="shared" si="245"/>
        <v/>
      </c>
      <c r="W897" s="47"/>
      <c r="X897" s="1" t="str">
        <f t="shared" si="246"/>
        <v/>
      </c>
      <c r="Y897" s="47"/>
      <c r="Z897" s="1" t="str">
        <f t="shared" si="247"/>
        <v/>
      </c>
      <c r="AA897" s="47"/>
      <c r="AB897" s="1" t="str">
        <f t="shared" si="248"/>
        <v/>
      </c>
      <c r="AC897" s="47"/>
      <c r="AD897" s="1" t="str">
        <f t="shared" si="249"/>
        <v/>
      </c>
      <c r="AE897" s="47"/>
      <c r="AF897" s="1" t="str">
        <f t="shared" si="250"/>
        <v/>
      </c>
      <c r="AG897" s="47"/>
    </row>
    <row r="898" spans="1:33">
      <c r="A898">
        <f t="shared" si="234"/>
        <v>0</v>
      </c>
      <c r="B898" s="2" t="str">
        <f t="shared" si="251"/>
        <v/>
      </c>
      <c r="C898" s="4" t="str">
        <f t="shared" si="235"/>
        <v/>
      </c>
      <c r="D898" s="3" t="str">
        <f t="shared" si="236"/>
        <v/>
      </c>
      <c r="E898" s="47"/>
      <c r="F898" s="3" t="str">
        <f t="shared" si="237"/>
        <v/>
      </c>
      <c r="G898" s="47"/>
      <c r="H898" s="3" t="str">
        <f t="shared" si="238"/>
        <v/>
      </c>
      <c r="I898" s="47"/>
      <c r="J898" s="3" t="str">
        <f t="shared" si="239"/>
        <v/>
      </c>
      <c r="K898" s="47"/>
      <c r="L898" s="3" t="str">
        <f t="shared" si="240"/>
        <v/>
      </c>
      <c r="M898" s="47"/>
      <c r="N898" s="3" t="str">
        <f t="shared" si="241"/>
        <v/>
      </c>
      <c r="O898" s="47"/>
      <c r="P898" s="3" t="str">
        <f t="shared" si="242"/>
        <v/>
      </c>
      <c r="Q898" s="47"/>
      <c r="R898" s="3" t="str">
        <f t="shared" si="243"/>
        <v/>
      </c>
      <c r="S898" s="47"/>
      <c r="T898" s="1" t="str">
        <f t="shared" si="244"/>
        <v/>
      </c>
      <c r="U898" s="47"/>
      <c r="V898" s="1" t="str">
        <f t="shared" si="245"/>
        <v/>
      </c>
      <c r="W898" s="47"/>
      <c r="X898" s="1" t="str">
        <f t="shared" si="246"/>
        <v/>
      </c>
      <c r="Y898" s="47"/>
      <c r="Z898" s="1" t="str">
        <f t="shared" si="247"/>
        <v/>
      </c>
      <c r="AA898" s="47"/>
      <c r="AB898" s="1" t="str">
        <f t="shared" si="248"/>
        <v/>
      </c>
      <c r="AC898" s="47"/>
      <c r="AD898" s="1" t="str">
        <f t="shared" si="249"/>
        <v/>
      </c>
      <c r="AE898" s="47"/>
      <c r="AF898" s="1" t="str">
        <f t="shared" si="250"/>
        <v/>
      </c>
      <c r="AG898" s="47"/>
    </row>
    <row r="899" spans="1:33">
      <c r="A899">
        <f t="shared" si="234"/>
        <v>0</v>
      </c>
      <c r="B899" s="2" t="str">
        <f t="shared" si="251"/>
        <v/>
      </c>
      <c r="C899" s="4" t="str">
        <f t="shared" si="235"/>
        <v/>
      </c>
      <c r="D899" s="3" t="str">
        <f t="shared" si="236"/>
        <v/>
      </c>
      <c r="E899" s="47"/>
      <c r="F899" s="3" t="str">
        <f t="shared" si="237"/>
        <v/>
      </c>
      <c r="G899" s="47"/>
      <c r="H899" s="3" t="str">
        <f t="shared" si="238"/>
        <v/>
      </c>
      <c r="I899" s="47"/>
      <c r="J899" s="3" t="str">
        <f t="shared" si="239"/>
        <v/>
      </c>
      <c r="K899" s="47"/>
      <c r="L899" s="3" t="str">
        <f t="shared" si="240"/>
        <v/>
      </c>
      <c r="M899" s="47"/>
      <c r="N899" s="3" t="str">
        <f t="shared" si="241"/>
        <v/>
      </c>
      <c r="O899" s="47"/>
      <c r="P899" s="3" t="str">
        <f t="shared" si="242"/>
        <v/>
      </c>
      <c r="Q899" s="47"/>
      <c r="R899" s="3" t="str">
        <f t="shared" si="243"/>
        <v/>
      </c>
      <c r="S899" s="47"/>
      <c r="T899" s="1" t="str">
        <f t="shared" si="244"/>
        <v/>
      </c>
      <c r="U899" s="47"/>
      <c r="V899" s="1" t="str">
        <f t="shared" si="245"/>
        <v/>
      </c>
      <c r="W899" s="47"/>
      <c r="X899" s="1" t="str">
        <f t="shared" si="246"/>
        <v/>
      </c>
      <c r="Y899" s="47"/>
      <c r="Z899" s="1" t="str">
        <f t="shared" si="247"/>
        <v/>
      </c>
      <c r="AA899" s="47"/>
      <c r="AB899" s="1" t="str">
        <f t="shared" si="248"/>
        <v/>
      </c>
      <c r="AC899" s="47"/>
      <c r="AD899" s="1" t="str">
        <f t="shared" si="249"/>
        <v/>
      </c>
      <c r="AE899" s="47"/>
      <c r="AF899" s="1" t="str">
        <f t="shared" si="250"/>
        <v/>
      </c>
      <c r="AG899" s="47"/>
    </row>
    <row r="900" spans="1:33">
      <c r="A900">
        <f t="shared" si="234"/>
        <v>0</v>
      </c>
      <c r="B900" s="2" t="str">
        <f t="shared" si="251"/>
        <v/>
      </c>
      <c r="C900" s="4" t="str">
        <f t="shared" si="235"/>
        <v/>
      </c>
      <c r="D900" s="3" t="str">
        <f t="shared" si="236"/>
        <v/>
      </c>
      <c r="E900" s="47"/>
      <c r="F900" s="3" t="str">
        <f t="shared" si="237"/>
        <v/>
      </c>
      <c r="G900" s="47"/>
      <c r="H900" s="3" t="str">
        <f t="shared" si="238"/>
        <v/>
      </c>
      <c r="I900" s="47"/>
      <c r="J900" s="3" t="str">
        <f t="shared" si="239"/>
        <v/>
      </c>
      <c r="K900" s="47"/>
      <c r="L900" s="3" t="str">
        <f t="shared" si="240"/>
        <v/>
      </c>
      <c r="M900" s="47"/>
      <c r="N900" s="3" t="str">
        <f t="shared" si="241"/>
        <v/>
      </c>
      <c r="O900" s="47"/>
      <c r="P900" s="3" t="str">
        <f t="shared" si="242"/>
        <v/>
      </c>
      <c r="Q900" s="47"/>
      <c r="R900" s="3" t="str">
        <f t="shared" si="243"/>
        <v/>
      </c>
      <c r="S900" s="47"/>
      <c r="T900" s="1" t="str">
        <f t="shared" si="244"/>
        <v/>
      </c>
      <c r="U900" s="47"/>
      <c r="V900" s="1" t="str">
        <f t="shared" si="245"/>
        <v/>
      </c>
      <c r="W900" s="47"/>
      <c r="X900" s="1" t="str">
        <f t="shared" si="246"/>
        <v/>
      </c>
      <c r="Y900" s="47"/>
      <c r="Z900" s="1" t="str">
        <f t="shared" si="247"/>
        <v/>
      </c>
      <c r="AA900" s="47"/>
      <c r="AB900" s="1" t="str">
        <f t="shared" si="248"/>
        <v/>
      </c>
      <c r="AC900" s="47"/>
      <c r="AD900" s="1" t="str">
        <f t="shared" si="249"/>
        <v/>
      </c>
      <c r="AE900" s="47"/>
      <c r="AF900" s="1" t="str">
        <f t="shared" si="250"/>
        <v/>
      </c>
      <c r="AG900" s="47"/>
    </row>
    <row r="901" spans="1:33">
      <c r="A901">
        <f t="shared" si="234"/>
        <v>0</v>
      </c>
      <c r="B901" s="2" t="str">
        <f t="shared" si="251"/>
        <v/>
      </c>
      <c r="C901" s="4" t="str">
        <f t="shared" si="235"/>
        <v/>
      </c>
      <c r="D901" s="3" t="str">
        <f t="shared" si="236"/>
        <v/>
      </c>
      <c r="E901" s="47"/>
      <c r="F901" s="3" t="str">
        <f t="shared" si="237"/>
        <v/>
      </c>
      <c r="G901" s="47"/>
      <c r="H901" s="3" t="str">
        <f t="shared" si="238"/>
        <v/>
      </c>
      <c r="I901" s="47"/>
      <c r="J901" s="3" t="str">
        <f t="shared" si="239"/>
        <v/>
      </c>
      <c r="K901" s="47"/>
      <c r="L901" s="3" t="str">
        <f t="shared" si="240"/>
        <v/>
      </c>
      <c r="M901" s="47"/>
      <c r="N901" s="3" t="str">
        <f t="shared" si="241"/>
        <v/>
      </c>
      <c r="O901" s="47"/>
      <c r="P901" s="3" t="str">
        <f t="shared" si="242"/>
        <v/>
      </c>
      <c r="Q901" s="47"/>
      <c r="R901" s="3" t="str">
        <f t="shared" si="243"/>
        <v/>
      </c>
      <c r="S901" s="47"/>
      <c r="T901" s="1" t="str">
        <f t="shared" si="244"/>
        <v/>
      </c>
      <c r="U901" s="47"/>
      <c r="V901" s="1" t="str">
        <f t="shared" si="245"/>
        <v/>
      </c>
      <c r="W901" s="47"/>
      <c r="X901" s="1" t="str">
        <f t="shared" si="246"/>
        <v/>
      </c>
      <c r="Y901" s="47"/>
      <c r="Z901" s="1" t="str">
        <f t="shared" si="247"/>
        <v/>
      </c>
      <c r="AA901" s="47"/>
      <c r="AB901" s="1" t="str">
        <f t="shared" si="248"/>
        <v/>
      </c>
      <c r="AC901" s="47"/>
      <c r="AD901" s="1" t="str">
        <f t="shared" si="249"/>
        <v/>
      </c>
      <c r="AE901" s="47"/>
      <c r="AF901" s="1" t="str">
        <f t="shared" si="250"/>
        <v/>
      </c>
      <c r="AG901" s="47"/>
    </row>
    <row r="902" spans="1:33">
      <c r="A902">
        <f t="shared" si="234"/>
        <v>0</v>
      </c>
      <c r="B902" s="2" t="str">
        <f t="shared" si="251"/>
        <v/>
      </c>
      <c r="C902" s="4" t="str">
        <f t="shared" si="235"/>
        <v/>
      </c>
      <c r="D902" s="3" t="str">
        <f t="shared" si="236"/>
        <v/>
      </c>
      <c r="E902" s="47"/>
      <c r="F902" s="3" t="str">
        <f t="shared" si="237"/>
        <v/>
      </c>
      <c r="G902" s="47"/>
      <c r="H902" s="3" t="str">
        <f t="shared" si="238"/>
        <v/>
      </c>
      <c r="I902" s="47"/>
      <c r="J902" s="3" t="str">
        <f t="shared" si="239"/>
        <v/>
      </c>
      <c r="K902" s="47"/>
      <c r="L902" s="3" t="str">
        <f t="shared" si="240"/>
        <v/>
      </c>
      <c r="M902" s="47"/>
      <c r="N902" s="3" t="str">
        <f t="shared" si="241"/>
        <v/>
      </c>
      <c r="O902" s="47"/>
      <c r="P902" s="3" t="str">
        <f t="shared" si="242"/>
        <v/>
      </c>
      <c r="Q902" s="47"/>
      <c r="R902" s="3" t="str">
        <f t="shared" si="243"/>
        <v/>
      </c>
      <c r="S902" s="47"/>
      <c r="T902" s="1" t="str">
        <f t="shared" si="244"/>
        <v/>
      </c>
      <c r="U902" s="47"/>
      <c r="V902" s="1" t="str">
        <f t="shared" si="245"/>
        <v/>
      </c>
      <c r="W902" s="47"/>
      <c r="X902" s="1" t="str">
        <f t="shared" si="246"/>
        <v/>
      </c>
      <c r="Y902" s="47"/>
      <c r="Z902" s="1" t="str">
        <f t="shared" si="247"/>
        <v/>
      </c>
      <c r="AA902" s="47"/>
      <c r="AB902" s="1" t="str">
        <f t="shared" si="248"/>
        <v/>
      </c>
      <c r="AC902" s="47"/>
      <c r="AD902" s="1" t="str">
        <f t="shared" si="249"/>
        <v/>
      </c>
      <c r="AE902" s="47"/>
      <c r="AF902" s="1" t="str">
        <f t="shared" si="250"/>
        <v/>
      </c>
      <c r="AG902" s="47"/>
    </row>
    <row r="903" spans="1:33">
      <c r="A903">
        <f t="shared" ref="A903:A966" si="252">$C$1</f>
        <v>0</v>
      </c>
      <c r="B903" s="2" t="str">
        <f t="shared" si="251"/>
        <v/>
      </c>
      <c r="C903" s="4" t="str">
        <f t="shared" si="235"/>
        <v/>
      </c>
      <c r="D903" s="3" t="str">
        <f t="shared" si="236"/>
        <v/>
      </c>
      <c r="E903" s="47"/>
      <c r="F903" s="3" t="str">
        <f t="shared" si="237"/>
        <v/>
      </c>
      <c r="G903" s="47"/>
      <c r="H903" s="3" t="str">
        <f t="shared" si="238"/>
        <v/>
      </c>
      <c r="I903" s="47"/>
      <c r="J903" s="3" t="str">
        <f t="shared" si="239"/>
        <v/>
      </c>
      <c r="K903" s="47"/>
      <c r="L903" s="3" t="str">
        <f t="shared" si="240"/>
        <v/>
      </c>
      <c r="M903" s="47"/>
      <c r="N903" s="3" t="str">
        <f t="shared" si="241"/>
        <v/>
      </c>
      <c r="O903" s="47"/>
      <c r="P903" s="3" t="str">
        <f t="shared" si="242"/>
        <v/>
      </c>
      <c r="Q903" s="47"/>
      <c r="R903" s="3" t="str">
        <f t="shared" si="243"/>
        <v/>
      </c>
      <c r="S903" s="47"/>
      <c r="T903" s="1" t="str">
        <f t="shared" si="244"/>
        <v/>
      </c>
      <c r="U903" s="47"/>
      <c r="V903" s="1" t="str">
        <f t="shared" si="245"/>
        <v/>
      </c>
      <c r="W903" s="47"/>
      <c r="X903" s="1" t="str">
        <f t="shared" si="246"/>
        <v/>
      </c>
      <c r="Y903" s="47"/>
      <c r="Z903" s="1" t="str">
        <f t="shared" si="247"/>
        <v/>
      </c>
      <c r="AA903" s="47"/>
      <c r="AB903" s="1" t="str">
        <f t="shared" si="248"/>
        <v/>
      </c>
      <c r="AC903" s="47"/>
      <c r="AD903" s="1" t="str">
        <f t="shared" si="249"/>
        <v/>
      </c>
      <c r="AE903" s="47"/>
      <c r="AF903" s="1" t="str">
        <f t="shared" si="250"/>
        <v/>
      </c>
      <c r="AG903" s="47"/>
    </row>
    <row r="904" spans="1:33">
      <c r="A904">
        <f t="shared" si="252"/>
        <v>0</v>
      </c>
      <c r="B904" s="2" t="str">
        <f t="shared" si="251"/>
        <v/>
      </c>
      <c r="C904" s="4" t="str">
        <f t="shared" ref="C904:C967" si="253">TEXT(B904,"AAA")</f>
        <v/>
      </c>
      <c r="D904" s="3" t="str">
        <f t="shared" ref="D904:D967" si="254">IF(NOT(AND($F$3&lt;=B904,B904&lt;=$F$4)),"",$F$2&amp;"")</f>
        <v/>
      </c>
      <c r="E904" s="47"/>
      <c r="F904" s="3" t="str">
        <f t="shared" ref="F904:F967" si="255">IF(NOT(AND($G$3&lt;=B904,B904&lt;=$G$4)),"",$G$2&amp;"")</f>
        <v/>
      </c>
      <c r="G904" s="47"/>
      <c r="H904" s="3" t="str">
        <f t="shared" ref="H904:H967" si="256">IF(NOT(AND($H$3&lt;=B904,B904&lt;=$H$4)),"",$H$2&amp;"")</f>
        <v/>
      </c>
      <c r="I904" s="47"/>
      <c r="J904" s="3" t="str">
        <f t="shared" ref="J904:J967" si="257">IF(NOT(AND($I$3&lt;=B904,B904&lt;=$I$4)),"",$I$2&amp;"")</f>
        <v/>
      </c>
      <c r="K904" s="47"/>
      <c r="L904" s="3" t="str">
        <f t="shared" ref="L904:L967" si="258">IF(NOT(AND($J$3&lt;=B904,B904&lt;=$J$4)),"",$J$2&amp;"")</f>
        <v/>
      </c>
      <c r="M904" s="47"/>
      <c r="N904" s="3" t="str">
        <f t="shared" ref="N904:N967" si="259">IF(NOT(AND($K$3&lt;=B904,B904&lt;=$K$4)),"",$K$2&amp;"")</f>
        <v/>
      </c>
      <c r="O904" s="47"/>
      <c r="P904" s="3" t="str">
        <f t="shared" ref="P904:P967" si="260">IF(NOT(AND($L$3&lt;=B904,B904&lt;=$L$4)),"",$L$2&amp;"")</f>
        <v/>
      </c>
      <c r="Q904" s="47"/>
      <c r="R904" s="3" t="str">
        <f t="shared" ref="R904:R967" si="261">IF(NOT(AND($M$3&lt;=B904,B904&lt;=$M$4)),"",$M$2&amp;"")</f>
        <v/>
      </c>
      <c r="S904" s="47"/>
      <c r="T904" s="1" t="str">
        <f t="shared" ref="T904:T967" si="262">IF(NOT(AND($N$3&lt;=B904,B904&lt;=$N$4)),"",$N$2&amp;"")</f>
        <v/>
      </c>
      <c r="U904" s="47"/>
      <c r="V904" s="1" t="str">
        <f t="shared" ref="V904:V967" si="263">IF(NOT(AND($O$3&lt;=B904,B904&lt;=$O$4)),"",$O$2&amp;"")</f>
        <v/>
      </c>
      <c r="W904" s="47"/>
      <c r="X904" s="1" t="str">
        <f t="shared" ref="X904:X967" si="264">IF(NOT(AND($P$3&lt;=B904,B904&lt;=$P$4)),"",$P$2&amp;"")</f>
        <v/>
      </c>
      <c r="Y904" s="47"/>
      <c r="Z904" s="1" t="str">
        <f t="shared" ref="Z904:Z967" si="265">IF(NOT(AND($Q$3&lt;=B904,B904&lt;=$Q$4)),"",$Q$2&amp;"")</f>
        <v/>
      </c>
      <c r="AA904" s="47"/>
      <c r="AB904" s="1" t="str">
        <f t="shared" ref="AB904:AB967" si="266">IF(NOT(AND($R$3&lt;=B904,B904&lt;=$R$4)),"",$R$2&amp;"")</f>
        <v/>
      </c>
      <c r="AC904" s="47"/>
      <c r="AD904" s="1" t="str">
        <f t="shared" ref="AD904:AD967" si="267">IF(NOT(AND($S$3&lt;=B904,B904&lt;=$S$4)),"",$S$2&amp;"")</f>
        <v/>
      </c>
      <c r="AE904" s="47"/>
      <c r="AF904" s="1" t="str">
        <f t="shared" ref="AF904:AF967" si="268">IF(NOT(AND($T$3&lt;=B904,B904&lt;=$T$4)),"",$T$2&amp;"")</f>
        <v/>
      </c>
      <c r="AG904" s="47"/>
    </row>
    <row r="905" spans="1:33">
      <c r="A905">
        <f t="shared" si="252"/>
        <v>0</v>
      </c>
      <c r="B905" s="2" t="str">
        <f t="shared" ref="B905:B968" si="269">IFERROR(IF(B904+1&gt;$C$3,"",B904+1),"")</f>
        <v/>
      </c>
      <c r="C905" s="4" t="str">
        <f t="shared" si="253"/>
        <v/>
      </c>
      <c r="D905" s="3" t="str">
        <f t="shared" si="254"/>
        <v/>
      </c>
      <c r="E905" s="47"/>
      <c r="F905" s="3" t="str">
        <f t="shared" si="255"/>
        <v/>
      </c>
      <c r="G905" s="47"/>
      <c r="H905" s="3" t="str">
        <f t="shared" si="256"/>
        <v/>
      </c>
      <c r="I905" s="47"/>
      <c r="J905" s="3" t="str">
        <f t="shared" si="257"/>
        <v/>
      </c>
      <c r="K905" s="47"/>
      <c r="L905" s="3" t="str">
        <f t="shared" si="258"/>
        <v/>
      </c>
      <c r="M905" s="47"/>
      <c r="N905" s="3" t="str">
        <f t="shared" si="259"/>
        <v/>
      </c>
      <c r="O905" s="47"/>
      <c r="P905" s="3" t="str">
        <f t="shared" si="260"/>
        <v/>
      </c>
      <c r="Q905" s="47"/>
      <c r="R905" s="3" t="str">
        <f t="shared" si="261"/>
        <v/>
      </c>
      <c r="S905" s="47"/>
      <c r="T905" s="1" t="str">
        <f t="shared" si="262"/>
        <v/>
      </c>
      <c r="U905" s="47"/>
      <c r="V905" s="1" t="str">
        <f t="shared" si="263"/>
        <v/>
      </c>
      <c r="W905" s="47"/>
      <c r="X905" s="1" t="str">
        <f t="shared" si="264"/>
        <v/>
      </c>
      <c r="Y905" s="47"/>
      <c r="Z905" s="1" t="str">
        <f t="shared" si="265"/>
        <v/>
      </c>
      <c r="AA905" s="47"/>
      <c r="AB905" s="1" t="str">
        <f t="shared" si="266"/>
        <v/>
      </c>
      <c r="AC905" s="47"/>
      <c r="AD905" s="1" t="str">
        <f t="shared" si="267"/>
        <v/>
      </c>
      <c r="AE905" s="47"/>
      <c r="AF905" s="1" t="str">
        <f t="shared" si="268"/>
        <v/>
      </c>
      <c r="AG905" s="47"/>
    </row>
    <row r="906" spans="1:33">
      <c r="A906">
        <f t="shared" si="252"/>
        <v>0</v>
      </c>
      <c r="B906" s="2" t="str">
        <f t="shared" si="269"/>
        <v/>
      </c>
      <c r="C906" s="4" t="str">
        <f t="shared" si="253"/>
        <v/>
      </c>
      <c r="D906" s="3" t="str">
        <f t="shared" si="254"/>
        <v/>
      </c>
      <c r="E906" s="47"/>
      <c r="F906" s="3" t="str">
        <f t="shared" si="255"/>
        <v/>
      </c>
      <c r="G906" s="47"/>
      <c r="H906" s="3" t="str">
        <f t="shared" si="256"/>
        <v/>
      </c>
      <c r="I906" s="47"/>
      <c r="J906" s="3" t="str">
        <f t="shared" si="257"/>
        <v/>
      </c>
      <c r="K906" s="47"/>
      <c r="L906" s="3" t="str">
        <f t="shared" si="258"/>
        <v/>
      </c>
      <c r="M906" s="47"/>
      <c r="N906" s="3" t="str">
        <f t="shared" si="259"/>
        <v/>
      </c>
      <c r="O906" s="47"/>
      <c r="P906" s="3" t="str">
        <f t="shared" si="260"/>
        <v/>
      </c>
      <c r="Q906" s="47"/>
      <c r="R906" s="3" t="str">
        <f t="shared" si="261"/>
        <v/>
      </c>
      <c r="S906" s="47"/>
      <c r="T906" s="1" t="str">
        <f t="shared" si="262"/>
        <v/>
      </c>
      <c r="U906" s="47"/>
      <c r="V906" s="1" t="str">
        <f t="shared" si="263"/>
        <v/>
      </c>
      <c r="W906" s="47"/>
      <c r="X906" s="1" t="str">
        <f t="shared" si="264"/>
        <v/>
      </c>
      <c r="Y906" s="47"/>
      <c r="Z906" s="1" t="str">
        <f t="shared" si="265"/>
        <v/>
      </c>
      <c r="AA906" s="47"/>
      <c r="AB906" s="1" t="str">
        <f t="shared" si="266"/>
        <v/>
      </c>
      <c r="AC906" s="47"/>
      <c r="AD906" s="1" t="str">
        <f t="shared" si="267"/>
        <v/>
      </c>
      <c r="AE906" s="47"/>
      <c r="AF906" s="1" t="str">
        <f t="shared" si="268"/>
        <v/>
      </c>
      <c r="AG906" s="47"/>
    </row>
    <row r="907" spans="1:33">
      <c r="A907">
        <f t="shared" si="252"/>
        <v>0</v>
      </c>
      <c r="B907" s="2" t="str">
        <f t="shared" si="269"/>
        <v/>
      </c>
      <c r="C907" s="4" t="str">
        <f t="shared" si="253"/>
        <v/>
      </c>
      <c r="D907" s="3" t="str">
        <f t="shared" si="254"/>
        <v/>
      </c>
      <c r="E907" s="47"/>
      <c r="F907" s="3" t="str">
        <f t="shared" si="255"/>
        <v/>
      </c>
      <c r="G907" s="47"/>
      <c r="H907" s="3" t="str">
        <f t="shared" si="256"/>
        <v/>
      </c>
      <c r="I907" s="47"/>
      <c r="J907" s="3" t="str">
        <f t="shared" si="257"/>
        <v/>
      </c>
      <c r="K907" s="47"/>
      <c r="L907" s="3" t="str">
        <f t="shared" si="258"/>
        <v/>
      </c>
      <c r="M907" s="47"/>
      <c r="N907" s="3" t="str">
        <f t="shared" si="259"/>
        <v/>
      </c>
      <c r="O907" s="47"/>
      <c r="P907" s="3" t="str">
        <f t="shared" si="260"/>
        <v/>
      </c>
      <c r="Q907" s="47"/>
      <c r="R907" s="3" t="str">
        <f t="shared" si="261"/>
        <v/>
      </c>
      <c r="S907" s="47"/>
      <c r="T907" s="1" t="str">
        <f t="shared" si="262"/>
        <v/>
      </c>
      <c r="U907" s="47"/>
      <c r="V907" s="1" t="str">
        <f t="shared" si="263"/>
        <v/>
      </c>
      <c r="W907" s="47"/>
      <c r="X907" s="1" t="str">
        <f t="shared" si="264"/>
        <v/>
      </c>
      <c r="Y907" s="47"/>
      <c r="Z907" s="1" t="str">
        <f t="shared" si="265"/>
        <v/>
      </c>
      <c r="AA907" s="47"/>
      <c r="AB907" s="1" t="str">
        <f t="shared" si="266"/>
        <v/>
      </c>
      <c r="AC907" s="47"/>
      <c r="AD907" s="1" t="str">
        <f t="shared" si="267"/>
        <v/>
      </c>
      <c r="AE907" s="47"/>
      <c r="AF907" s="1" t="str">
        <f t="shared" si="268"/>
        <v/>
      </c>
      <c r="AG907" s="47"/>
    </row>
    <row r="908" spans="1:33">
      <c r="A908">
        <f t="shared" si="252"/>
        <v>0</v>
      </c>
      <c r="B908" s="2" t="str">
        <f t="shared" si="269"/>
        <v/>
      </c>
      <c r="C908" s="4" t="str">
        <f t="shared" si="253"/>
        <v/>
      </c>
      <c r="D908" s="3" t="str">
        <f t="shared" si="254"/>
        <v/>
      </c>
      <c r="E908" s="47"/>
      <c r="F908" s="3" t="str">
        <f t="shared" si="255"/>
        <v/>
      </c>
      <c r="G908" s="47"/>
      <c r="H908" s="3" t="str">
        <f t="shared" si="256"/>
        <v/>
      </c>
      <c r="I908" s="47"/>
      <c r="J908" s="3" t="str">
        <f t="shared" si="257"/>
        <v/>
      </c>
      <c r="K908" s="47"/>
      <c r="L908" s="3" t="str">
        <f t="shared" si="258"/>
        <v/>
      </c>
      <c r="M908" s="47"/>
      <c r="N908" s="3" t="str">
        <f t="shared" si="259"/>
        <v/>
      </c>
      <c r="O908" s="47"/>
      <c r="P908" s="3" t="str">
        <f t="shared" si="260"/>
        <v/>
      </c>
      <c r="Q908" s="47"/>
      <c r="R908" s="3" t="str">
        <f t="shared" si="261"/>
        <v/>
      </c>
      <c r="S908" s="47"/>
      <c r="T908" s="1" t="str">
        <f t="shared" si="262"/>
        <v/>
      </c>
      <c r="U908" s="47"/>
      <c r="V908" s="1" t="str">
        <f t="shared" si="263"/>
        <v/>
      </c>
      <c r="W908" s="47"/>
      <c r="X908" s="1" t="str">
        <f t="shared" si="264"/>
        <v/>
      </c>
      <c r="Y908" s="47"/>
      <c r="Z908" s="1" t="str">
        <f t="shared" si="265"/>
        <v/>
      </c>
      <c r="AA908" s="47"/>
      <c r="AB908" s="1" t="str">
        <f t="shared" si="266"/>
        <v/>
      </c>
      <c r="AC908" s="47"/>
      <c r="AD908" s="1" t="str">
        <f t="shared" si="267"/>
        <v/>
      </c>
      <c r="AE908" s="47"/>
      <c r="AF908" s="1" t="str">
        <f t="shared" si="268"/>
        <v/>
      </c>
      <c r="AG908" s="47"/>
    </row>
    <row r="909" spans="1:33">
      <c r="A909">
        <f t="shared" si="252"/>
        <v>0</v>
      </c>
      <c r="B909" s="2" t="str">
        <f t="shared" si="269"/>
        <v/>
      </c>
      <c r="C909" s="4" t="str">
        <f t="shared" si="253"/>
        <v/>
      </c>
      <c r="D909" s="3" t="str">
        <f t="shared" si="254"/>
        <v/>
      </c>
      <c r="E909" s="47"/>
      <c r="F909" s="3" t="str">
        <f t="shared" si="255"/>
        <v/>
      </c>
      <c r="G909" s="47"/>
      <c r="H909" s="3" t="str">
        <f t="shared" si="256"/>
        <v/>
      </c>
      <c r="I909" s="47"/>
      <c r="J909" s="3" t="str">
        <f t="shared" si="257"/>
        <v/>
      </c>
      <c r="K909" s="47"/>
      <c r="L909" s="3" t="str">
        <f t="shared" si="258"/>
        <v/>
      </c>
      <c r="M909" s="47"/>
      <c r="N909" s="3" t="str">
        <f t="shared" si="259"/>
        <v/>
      </c>
      <c r="O909" s="47"/>
      <c r="P909" s="3" t="str">
        <f t="shared" si="260"/>
        <v/>
      </c>
      <c r="Q909" s="47"/>
      <c r="R909" s="3" t="str">
        <f t="shared" si="261"/>
        <v/>
      </c>
      <c r="S909" s="47"/>
      <c r="T909" s="1" t="str">
        <f t="shared" si="262"/>
        <v/>
      </c>
      <c r="U909" s="47"/>
      <c r="V909" s="1" t="str">
        <f t="shared" si="263"/>
        <v/>
      </c>
      <c r="W909" s="47"/>
      <c r="X909" s="1" t="str">
        <f t="shared" si="264"/>
        <v/>
      </c>
      <c r="Y909" s="47"/>
      <c r="Z909" s="1" t="str">
        <f t="shared" si="265"/>
        <v/>
      </c>
      <c r="AA909" s="47"/>
      <c r="AB909" s="1" t="str">
        <f t="shared" si="266"/>
        <v/>
      </c>
      <c r="AC909" s="47"/>
      <c r="AD909" s="1" t="str">
        <f t="shared" si="267"/>
        <v/>
      </c>
      <c r="AE909" s="47"/>
      <c r="AF909" s="1" t="str">
        <f t="shared" si="268"/>
        <v/>
      </c>
      <c r="AG909" s="47"/>
    </row>
    <row r="910" spans="1:33">
      <c r="A910">
        <f t="shared" si="252"/>
        <v>0</v>
      </c>
      <c r="B910" s="2" t="str">
        <f t="shared" si="269"/>
        <v/>
      </c>
      <c r="C910" s="4" t="str">
        <f t="shared" si="253"/>
        <v/>
      </c>
      <c r="D910" s="3" t="str">
        <f t="shared" si="254"/>
        <v/>
      </c>
      <c r="E910" s="47"/>
      <c r="F910" s="3" t="str">
        <f t="shared" si="255"/>
        <v/>
      </c>
      <c r="G910" s="47"/>
      <c r="H910" s="3" t="str">
        <f t="shared" si="256"/>
        <v/>
      </c>
      <c r="I910" s="47"/>
      <c r="J910" s="3" t="str">
        <f t="shared" si="257"/>
        <v/>
      </c>
      <c r="K910" s="47"/>
      <c r="L910" s="3" t="str">
        <f t="shared" si="258"/>
        <v/>
      </c>
      <c r="M910" s="47"/>
      <c r="N910" s="3" t="str">
        <f t="shared" si="259"/>
        <v/>
      </c>
      <c r="O910" s="47"/>
      <c r="P910" s="3" t="str">
        <f t="shared" si="260"/>
        <v/>
      </c>
      <c r="Q910" s="47"/>
      <c r="R910" s="3" t="str">
        <f t="shared" si="261"/>
        <v/>
      </c>
      <c r="S910" s="47"/>
      <c r="T910" s="1" t="str">
        <f t="shared" si="262"/>
        <v/>
      </c>
      <c r="U910" s="47"/>
      <c r="V910" s="1" t="str">
        <f t="shared" si="263"/>
        <v/>
      </c>
      <c r="W910" s="47"/>
      <c r="X910" s="1" t="str">
        <f t="shared" si="264"/>
        <v/>
      </c>
      <c r="Y910" s="47"/>
      <c r="Z910" s="1" t="str">
        <f t="shared" si="265"/>
        <v/>
      </c>
      <c r="AA910" s="47"/>
      <c r="AB910" s="1" t="str">
        <f t="shared" si="266"/>
        <v/>
      </c>
      <c r="AC910" s="47"/>
      <c r="AD910" s="1" t="str">
        <f t="shared" si="267"/>
        <v/>
      </c>
      <c r="AE910" s="47"/>
      <c r="AF910" s="1" t="str">
        <f t="shared" si="268"/>
        <v/>
      </c>
      <c r="AG910" s="47"/>
    </row>
    <row r="911" spans="1:33">
      <c r="A911">
        <f t="shared" si="252"/>
        <v>0</v>
      </c>
      <c r="B911" s="2" t="str">
        <f t="shared" si="269"/>
        <v/>
      </c>
      <c r="C911" s="4" t="str">
        <f t="shared" si="253"/>
        <v/>
      </c>
      <c r="D911" s="3" t="str">
        <f t="shared" si="254"/>
        <v/>
      </c>
      <c r="E911" s="47"/>
      <c r="F911" s="3" t="str">
        <f t="shared" si="255"/>
        <v/>
      </c>
      <c r="G911" s="47"/>
      <c r="H911" s="3" t="str">
        <f t="shared" si="256"/>
        <v/>
      </c>
      <c r="I911" s="47"/>
      <c r="J911" s="3" t="str">
        <f t="shared" si="257"/>
        <v/>
      </c>
      <c r="K911" s="47"/>
      <c r="L911" s="3" t="str">
        <f t="shared" si="258"/>
        <v/>
      </c>
      <c r="M911" s="47"/>
      <c r="N911" s="3" t="str">
        <f t="shared" si="259"/>
        <v/>
      </c>
      <c r="O911" s="47"/>
      <c r="P911" s="3" t="str">
        <f t="shared" si="260"/>
        <v/>
      </c>
      <c r="Q911" s="47"/>
      <c r="R911" s="3" t="str">
        <f t="shared" si="261"/>
        <v/>
      </c>
      <c r="S911" s="47"/>
      <c r="T911" s="1" t="str">
        <f t="shared" si="262"/>
        <v/>
      </c>
      <c r="U911" s="47"/>
      <c r="V911" s="1" t="str">
        <f t="shared" si="263"/>
        <v/>
      </c>
      <c r="W911" s="47"/>
      <c r="X911" s="1" t="str">
        <f t="shared" si="264"/>
        <v/>
      </c>
      <c r="Y911" s="47"/>
      <c r="Z911" s="1" t="str">
        <f t="shared" si="265"/>
        <v/>
      </c>
      <c r="AA911" s="47"/>
      <c r="AB911" s="1" t="str">
        <f t="shared" si="266"/>
        <v/>
      </c>
      <c r="AC911" s="47"/>
      <c r="AD911" s="1" t="str">
        <f t="shared" si="267"/>
        <v/>
      </c>
      <c r="AE911" s="47"/>
      <c r="AF911" s="1" t="str">
        <f t="shared" si="268"/>
        <v/>
      </c>
      <c r="AG911" s="47"/>
    </row>
    <row r="912" spans="1:33">
      <c r="A912">
        <f t="shared" si="252"/>
        <v>0</v>
      </c>
      <c r="B912" s="2" t="str">
        <f t="shared" si="269"/>
        <v/>
      </c>
      <c r="C912" s="4" t="str">
        <f t="shared" si="253"/>
        <v/>
      </c>
      <c r="D912" s="3" t="str">
        <f t="shared" si="254"/>
        <v/>
      </c>
      <c r="E912" s="47"/>
      <c r="F912" s="3" t="str">
        <f t="shared" si="255"/>
        <v/>
      </c>
      <c r="G912" s="47"/>
      <c r="H912" s="3" t="str">
        <f t="shared" si="256"/>
        <v/>
      </c>
      <c r="I912" s="47"/>
      <c r="J912" s="3" t="str">
        <f t="shared" si="257"/>
        <v/>
      </c>
      <c r="K912" s="47"/>
      <c r="L912" s="3" t="str">
        <f t="shared" si="258"/>
        <v/>
      </c>
      <c r="M912" s="47"/>
      <c r="N912" s="3" t="str">
        <f t="shared" si="259"/>
        <v/>
      </c>
      <c r="O912" s="47"/>
      <c r="P912" s="3" t="str">
        <f t="shared" si="260"/>
        <v/>
      </c>
      <c r="Q912" s="47"/>
      <c r="R912" s="3" t="str">
        <f t="shared" si="261"/>
        <v/>
      </c>
      <c r="S912" s="47"/>
      <c r="T912" s="1" t="str">
        <f t="shared" si="262"/>
        <v/>
      </c>
      <c r="U912" s="47"/>
      <c r="V912" s="1" t="str">
        <f t="shared" si="263"/>
        <v/>
      </c>
      <c r="W912" s="47"/>
      <c r="X912" s="1" t="str">
        <f t="shared" si="264"/>
        <v/>
      </c>
      <c r="Y912" s="47"/>
      <c r="Z912" s="1" t="str">
        <f t="shared" si="265"/>
        <v/>
      </c>
      <c r="AA912" s="47"/>
      <c r="AB912" s="1" t="str">
        <f t="shared" si="266"/>
        <v/>
      </c>
      <c r="AC912" s="47"/>
      <c r="AD912" s="1" t="str">
        <f t="shared" si="267"/>
        <v/>
      </c>
      <c r="AE912" s="47"/>
      <c r="AF912" s="1" t="str">
        <f t="shared" si="268"/>
        <v/>
      </c>
      <c r="AG912" s="47"/>
    </row>
    <row r="913" spans="1:33">
      <c r="A913">
        <f t="shared" si="252"/>
        <v>0</v>
      </c>
      <c r="B913" s="2" t="str">
        <f t="shared" si="269"/>
        <v/>
      </c>
      <c r="C913" s="4" t="str">
        <f t="shared" si="253"/>
        <v/>
      </c>
      <c r="D913" s="3" t="str">
        <f t="shared" si="254"/>
        <v/>
      </c>
      <c r="E913" s="47"/>
      <c r="F913" s="3" t="str">
        <f t="shared" si="255"/>
        <v/>
      </c>
      <c r="G913" s="47"/>
      <c r="H913" s="3" t="str">
        <f t="shared" si="256"/>
        <v/>
      </c>
      <c r="I913" s="47"/>
      <c r="J913" s="3" t="str">
        <f t="shared" si="257"/>
        <v/>
      </c>
      <c r="K913" s="47"/>
      <c r="L913" s="3" t="str">
        <f t="shared" si="258"/>
        <v/>
      </c>
      <c r="M913" s="47"/>
      <c r="N913" s="3" t="str">
        <f t="shared" si="259"/>
        <v/>
      </c>
      <c r="O913" s="47"/>
      <c r="P913" s="3" t="str">
        <f t="shared" si="260"/>
        <v/>
      </c>
      <c r="Q913" s="47"/>
      <c r="R913" s="3" t="str">
        <f t="shared" si="261"/>
        <v/>
      </c>
      <c r="S913" s="47"/>
      <c r="T913" s="1" t="str">
        <f t="shared" si="262"/>
        <v/>
      </c>
      <c r="U913" s="47"/>
      <c r="V913" s="1" t="str">
        <f t="shared" si="263"/>
        <v/>
      </c>
      <c r="W913" s="47"/>
      <c r="X913" s="1" t="str">
        <f t="shared" si="264"/>
        <v/>
      </c>
      <c r="Y913" s="47"/>
      <c r="Z913" s="1" t="str">
        <f t="shared" si="265"/>
        <v/>
      </c>
      <c r="AA913" s="47"/>
      <c r="AB913" s="1" t="str">
        <f t="shared" si="266"/>
        <v/>
      </c>
      <c r="AC913" s="47"/>
      <c r="AD913" s="1" t="str">
        <f t="shared" si="267"/>
        <v/>
      </c>
      <c r="AE913" s="47"/>
      <c r="AF913" s="1" t="str">
        <f t="shared" si="268"/>
        <v/>
      </c>
      <c r="AG913" s="47"/>
    </row>
    <row r="914" spans="1:33">
      <c r="A914">
        <f t="shared" si="252"/>
        <v>0</v>
      </c>
      <c r="B914" s="2" t="str">
        <f t="shared" si="269"/>
        <v/>
      </c>
      <c r="C914" s="4" t="str">
        <f t="shared" si="253"/>
        <v/>
      </c>
      <c r="D914" s="3" t="str">
        <f t="shared" si="254"/>
        <v/>
      </c>
      <c r="E914" s="47"/>
      <c r="F914" s="3" t="str">
        <f t="shared" si="255"/>
        <v/>
      </c>
      <c r="G914" s="47"/>
      <c r="H914" s="3" t="str">
        <f t="shared" si="256"/>
        <v/>
      </c>
      <c r="I914" s="47"/>
      <c r="J914" s="3" t="str">
        <f t="shared" si="257"/>
        <v/>
      </c>
      <c r="K914" s="47"/>
      <c r="L914" s="3" t="str">
        <f t="shared" si="258"/>
        <v/>
      </c>
      <c r="M914" s="47"/>
      <c r="N914" s="3" t="str">
        <f t="shared" si="259"/>
        <v/>
      </c>
      <c r="O914" s="47"/>
      <c r="P914" s="3" t="str">
        <f t="shared" si="260"/>
        <v/>
      </c>
      <c r="Q914" s="47"/>
      <c r="R914" s="3" t="str">
        <f t="shared" si="261"/>
        <v/>
      </c>
      <c r="S914" s="47"/>
      <c r="T914" s="1" t="str">
        <f t="shared" si="262"/>
        <v/>
      </c>
      <c r="U914" s="47"/>
      <c r="V914" s="1" t="str">
        <f t="shared" si="263"/>
        <v/>
      </c>
      <c r="W914" s="47"/>
      <c r="X914" s="1" t="str">
        <f t="shared" si="264"/>
        <v/>
      </c>
      <c r="Y914" s="47"/>
      <c r="Z914" s="1" t="str">
        <f t="shared" si="265"/>
        <v/>
      </c>
      <c r="AA914" s="47"/>
      <c r="AB914" s="1" t="str">
        <f t="shared" si="266"/>
        <v/>
      </c>
      <c r="AC914" s="47"/>
      <c r="AD914" s="1" t="str">
        <f t="shared" si="267"/>
        <v/>
      </c>
      <c r="AE914" s="47"/>
      <c r="AF914" s="1" t="str">
        <f t="shared" si="268"/>
        <v/>
      </c>
      <c r="AG914" s="47"/>
    </row>
    <row r="915" spans="1:33">
      <c r="A915">
        <f t="shared" si="252"/>
        <v>0</v>
      </c>
      <c r="B915" s="2" t="str">
        <f t="shared" si="269"/>
        <v/>
      </c>
      <c r="C915" s="4" t="str">
        <f t="shared" si="253"/>
        <v/>
      </c>
      <c r="D915" s="3" t="str">
        <f t="shared" si="254"/>
        <v/>
      </c>
      <c r="E915" s="47"/>
      <c r="F915" s="3" t="str">
        <f t="shared" si="255"/>
        <v/>
      </c>
      <c r="G915" s="47"/>
      <c r="H915" s="3" t="str">
        <f t="shared" si="256"/>
        <v/>
      </c>
      <c r="I915" s="47"/>
      <c r="J915" s="3" t="str">
        <f t="shared" si="257"/>
        <v/>
      </c>
      <c r="K915" s="47"/>
      <c r="L915" s="3" t="str">
        <f t="shared" si="258"/>
        <v/>
      </c>
      <c r="M915" s="47"/>
      <c r="N915" s="3" t="str">
        <f t="shared" si="259"/>
        <v/>
      </c>
      <c r="O915" s="47"/>
      <c r="P915" s="3" t="str">
        <f t="shared" si="260"/>
        <v/>
      </c>
      <c r="Q915" s="47"/>
      <c r="R915" s="3" t="str">
        <f t="shared" si="261"/>
        <v/>
      </c>
      <c r="S915" s="47"/>
      <c r="T915" s="1" t="str">
        <f t="shared" si="262"/>
        <v/>
      </c>
      <c r="U915" s="47"/>
      <c r="V915" s="1" t="str">
        <f t="shared" si="263"/>
        <v/>
      </c>
      <c r="W915" s="47"/>
      <c r="X915" s="1" t="str">
        <f t="shared" si="264"/>
        <v/>
      </c>
      <c r="Y915" s="47"/>
      <c r="Z915" s="1" t="str">
        <f t="shared" si="265"/>
        <v/>
      </c>
      <c r="AA915" s="47"/>
      <c r="AB915" s="1" t="str">
        <f t="shared" si="266"/>
        <v/>
      </c>
      <c r="AC915" s="47"/>
      <c r="AD915" s="1" t="str">
        <f t="shared" si="267"/>
        <v/>
      </c>
      <c r="AE915" s="47"/>
      <c r="AF915" s="1" t="str">
        <f t="shared" si="268"/>
        <v/>
      </c>
      <c r="AG915" s="47"/>
    </row>
    <row r="916" spans="1:33">
      <c r="A916">
        <f t="shared" si="252"/>
        <v>0</v>
      </c>
      <c r="B916" s="2" t="str">
        <f t="shared" si="269"/>
        <v/>
      </c>
      <c r="C916" s="4" t="str">
        <f t="shared" si="253"/>
        <v/>
      </c>
      <c r="D916" s="3" t="str">
        <f t="shared" si="254"/>
        <v/>
      </c>
      <c r="E916" s="47"/>
      <c r="F916" s="3" t="str">
        <f t="shared" si="255"/>
        <v/>
      </c>
      <c r="G916" s="47"/>
      <c r="H916" s="3" t="str">
        <f t="shared" si="256"/>
        <v/>
      </c>
      <c r="I916" s="47"/>
      <c r="J916" s="3" t="str">
        <f t="shared" si="257"/>
        <v/>
      </c>
      <c r="K916" s="47"/>
      <c r="L916" s="3" t="str">
        <f t="shared" si="258"/>
        <v/>
      </c>
      <c r="M916" s="47"/>
      <c r="N916" s="3" t="str">
        <f t="shared" si="259"/>
        <v/>
      </c>
      <c r="O916" s="47"/>
      <c r="P916" s="3" t="str">
        <f t="shared" si="260"/>
        <v/>
      </c>
      <c r="Q916" s="47"/>
      <c r="R916" s="3" t="str">
        <f t="shared" si="261"/>
        <v/>
      </c>
      <c r="S916" s="47"/>
      <c r="T916" s="1" t="str">
        <f t="shared" si="262"/>
        <v/>
      </c>
      <c r="U916" s="47"/>
      <c r="V916" s="1" t="str">
        <f t="shared" si="263"/>
        <v/>
      </c>
      <c r="W916" s="47"/>
      <c r="X916" s="1" t="str">
        <f t="shared" si="264"/>
        <v/>
      </c>
      <c r="Y916" s="47"/>
      <c r="Z916" s="1" t="str">
        <f t="shared" si="265"/>
        <v/>
      </c>
      <c r="AA916" s="47"/>
      <c r="AB916" s="1" t="str">
        <f t="shared" si="266"/>
        <v/>
      </c>
      <c r="AC916" s="47"/>
      <c r="AD916" s="1" t="str">
        <f t="shared" si="267"/>
        <v/>
      </c>
      <c r="AE916" s="47"/>
      <c r="AF916" s="1" t="str">
        <f t="shared" si="268"/>
        <v/>
      </c>
      <c r="AG916" s="47"/>
    </row>
    <row r="917" spans="1:33">
      <c r="A917">
        <f t="shared" si="252"/>
        <v>0</v>
      </c>
      <c r="B917" s="2" t="str">
        <f t="shared" si="269"/>
        <v/>
      </c>
      <c r="C917" s="4" t="str">
        <f t="shared" si="253"/>
        <v/>
      </c>
      <c r="D917" s="3" t="str">
        <f t="shared" si="254"/>
        <v/>
      </c>
      <c r="E917" s="47"/>
      <c r="F917" s="3" t="str">
        <f t="shared" si="255"/>
        <v/>
      </c>
      <c r="G917" s="47"/>
      <c r="H917" s="3" t="str">
        <f t="shared" si="256"/>
        <v/>
      </c>
      <c r="I917" s="47"/>
      <c r="J917" s="3" t="str">
        <f t="shared" si="257"/>
        <v/>
      </c>
      <c r="K917" s="47"/>
      <c r="L917" s="3" t="str">
        <f t="shared" si="258"/>
        <v/>
      </c>
      <c r="M917" s="47"/>
      <c r="N917" s="3" t="str">
        <f t="shared" si="259"/>
        <v/>
      </c>
      <c r="O917" s="47"/>
      <c r="P917" s="3" t="str">
        <f t="shared" si="260"/>
        <v/>
      </c>
      <c r="Q917" s="47"/>
      <c r="R917" s="3" t="str">
        <f t="shared" si="261"/>
        <v/>
      </c>
      <c r="S917" s="47"/>
      <c r="T917" s="1" t="str">
        <f t="shared" si="262"/>
        <v/>
      </c>
      <c r="U917" s="47"/>
      <c r="V917" s="1" t="str">
        <f t="shared" si="263"/>
        <v/>
      </c>
      <c r="W917" s="47"/>
      <c r="X917" s="1" t="str">
        <f t="shared" si="264"/>
        <v/>
      </c>
      <c r="Y917" s="47"/>
      <c r="Z917" s="1" t="str">
        <f t="shared" si="265"/>
        <v/>
      </c>
      <c r="AA917" s="47"/>
      <c r="AB917" s="1" t="str">
        <f t="shared" si="266"/>
        <v/>
      </c>
      <c r="AC917" s="47"/>
      <c r="AD917" s="1" t="str">
        <f t="shared" si="267"/>
        <v/>
      </c>
      <c r="AE917" s="47"/>
      <c r="AF917" s="1" t="str">
        <f t="shared" si="268"/>
        <v/>
      </c>
      <c r="AG917" s="47"/>
    </row>
    <row r="918" spans="1:33">
      <c r="A918">
        <f t="shared" si="252"/>
        <v>0</v>
      </c>
      <c r="B918" s="2" t="str">
        <f t="shared" si="269"/>
        <v/>
      </c>
      <c r="C918" s="4" t="str">
        <f t="shared" si="253"/>
        <v/>
      </c>
      <c r="D918" s="3" t="str">
        <f t="shared" si="254"/>
        <v/>
      </c>
      <c r="E918" s="47"/>
      <c r="F918" s="3" t="str">
        <f t="shared" si="255"/>
        <v/>
      </c>
      <c r="G918" s="47"/>
      <c r="H918" s="3" t="str">
        <f t="shared" si="256"/>
        <v/>
      </c>
      <c r="I918" s="47"/>
      <c r="J918" s="3" t="str">
        <f t="shared" si="257"/>
        <v/>
      </c>
      <c r="K918" s="47"/>
      <c r="L918" s="3" t="str">
        <f t="shared" si="258"/>
        <v/>
      </c>
      <c r="M918" s="47"/>
      <c r="N918" s="3" t="str">
        <f t="shared" si="259"/>
        <v/>
      </c>
      <c r="O918" s="47"/>
      <c r="P918" s="3" t="str">
        <f t="shared" si="260"/>
        <v/>
      </c>
      <c r="Q918" s="47"/>
      <c r="R918" s="3" t="str">
        <f t="shared" si="261"/>
        <v/>
      </c>
      <c r="S918" s="47"/>
      <c r="T918" s="1" t="str">
        <f t="shared" si="262"/>
        <v/>
      </c>
      <c r="U918" s="47"/>
      <c r="V918" s="1" t="str">
        <f t="shared" si="263"/>
        <v/>
      </c>
      <c r="W918" s="47"/>
      <c r="X918" s="1" t="str">
        <f t="shared" si="264"/>
        <v/>
      </c>
      <c r="Y918" s="47"/>
      <c r="Z918" s="1" t="str">
        <f t="shared" si="265"/>
        <v/>
      </c>
      <c r="AA918" s="47"/>
      <c r="AB918" s="1" t="str">
        <f t="shared" si="266"/>
        <v/>
      </c>
      <c r="AC918" s="47"/>
      <c r="AD918" s="1" t="str">
        <f t="shared" si="267"/>
        <v/>
      </c>
      <c r="AE918" s="47"/>
      <c r="AF918" s="1" t="str">
        <f t="shared" si="268"/>
        <v/>
      </c>
      <c r="AG918" s="47"/>
    </row>
    <row r="919" spans="1:33">
      <c r="A919">
        <f t="shared" si="252"/>
        <v>0</v>
      </c>
      <c r="B919" s="2" t="str">
        <f t="shared" si="269"/>
        <v/>
      </c>
      <c r="C919" s="4" t="str">
        <f t="shared" si="253"/>
        <v/>
      </c>
      <c r="D919" s="3" t="str">
        <f t="shared" si="254"/>
        <v/>
      </c>
      <c r="E919" s="47"/>
      <c r="F919" s="3" t="str">
        <f t="shared" si="255"/>
        <v/>
      </c>
      <c r="G919" s="47"/>
      <c r="H919" s="3" t="str">
        <f t="shared" si="256"/>
        <v/>
      </c>
      <c r="I919" s="47"/>
      <c r="J919" s="3" t="str">
        <f t="shared" si="257"/>
        <v/>
      </c>
      <c r="K919" s="47"/>
      <c r="L919" s="3" t="str">
        <f t="shared" si="258"/>
        <v/>
      </c>
      <c r="M919" s="47"/>
      <c r="N919" s="3" t="str">
        <f t="shared" si="259"/>
        <v/>
      </c>
      <c r="O919" s="47"/>
      <c r="P919" s="3" t="str">
        <f t="shared" si="260"/>
        <v/>
      </c>
      <c r="Q919" s="47"/>
      <c r="R919" s="3" t="str">
        <f t="shared" si="261"/>
        <v/>
      </c>
      <c r="S919" s="47"/>
      <c r="T919" s="1" t="str">
        <f t="shared" si="262"/>
        <v/>
      </c>
      <c r="U919" s="47"/>
      <c r="V919" s="1" t="str">
        <f t="shared" si="263"/>
        <v/>
      </c>
      <c r="W919" s="47"/>
      <c r="X919" s="1" t="str">
        <f t="shared" si="264"/>
        <v/>
      </c>
      <c r="Y919" s="47"/>
      <c r="Z919" s="1" t="str">
        <f t="shared" si="265"/>
        <v/>
      </c>
      <c r="AA919" s="47"/>
      <c r="AB919" s="1" t="str">
        <f t="shared" si="266"/>
        <v/>
      </c>
      <c r="AC919" s="47"/>
      <c r="AD919" s="1" t="str">
        <f t="shared" si="267"/>
        <v/>
      </c>
      <c r="AE919" s="47"/>
      <c r="AF919" s="1" t="str">
        <f t="shared" si="268"/>
        <v/>
      </c>
      <c r="AG919" s="47"/>
    </row>
    <row r="920" spans="1:33">
      <c r="A920">
        <f t="shared" si="252"/>
        <v>0</v>
      </c>
      <c r="B920" s="2" t="str">
        <f t="shared" si="269"/>
        <v/>
      </c>
      <c r="C920" s="4" t="str">
        <f t="shared" si="253"/>
        <v/>
      </c>
      <c r="D920" s="3" t="str">
        <f t="shared" si="254"/>
        <v/>
      </c>
      <c r="E920" s="47"/>
      <c r="F920" s="3" t="str">
        <f t="shared" si="255"/>
        <v/>
      </c>
      <c r="G920" s="47"/>
      <c r="H920" s="3" t="str">
        <f t="shared" si="256"/>
        <v/>
      </c>
      <c r="I920" s="47"/>
      <c r="J920" s="3" t="str">
        <f t="shared" si="257"/>
        <v/>
      </c>
      <c r="K920" s="47"/>
      <c r="L920" s="3" t="str">
        <f t="shared" si="258"/>
        <v/>
      </c>
      <c r="M920" s="47"/>
      <c r="N920" s="3" t="str">
        <f t="shared" si="259"/>
        <v/>
      </c>
      <c r="O920" s="47"/>
      <c r="P920" s="3" t="str">
        <f t="shared" si="260"/>
        <v/>
      </c>
      <c r="Q920" s="47"/>
      <c r="R920" s="3" t="str">
        <f t="shared" si="261"/>
        <v/>
      </c>
      <c r="S920" s="47"/>
      <c r="T920" s="1" t="str">
        <f t="shared" si="262"/>
        <v/>
      </c>
      <c r="U920" s="47"/>
      <c r="V920" s="1" t="str">
        <f t="shared" si="263"/>
        <v/>
      </c>
      <c r="W920" s="47"/>
      <c r="X920" s="1" t="str">
        <f t="shared" si="264"/>
        <v/>
      </c>
      <c r="Y920" s="47"/>
      <c r="Z920" s="1" t="str">
        <f t="shared" si="265"/>
        <v/>
      </c>
      <c r="AA920" s="47"/>
      <c r="AB920" s="1" t="str">
        <f t="shared" si="266"/>
        <v/>
      </c>
      <c r="AC920" s="47"/>
      <c r="AD920" s="1" t="str">
        <f t="shared" si="267"/>
        <v/>
      </c>
      <c r="AE920" s="47"/>
      <c r="AF920" s="1" t="str">
        <f t="shared" si="268"/>
        <v/>
      </c>
      <c r="AG920" s="47"/>
    </row>
    <row r="921" spans="1:33">
      <c r="A921">
        <f t="shared" si="252"/>
        <v>0</v>
      </c>
      <c r="B921" s="2" t="str">
        <f t="shared" si="269"/>
        <v/>
      </c>
      <c r="C921" s="4" t="str">
        <f t="shared" si="253"/>
        <v/>
      </c>
      <c r="D921" s="3" t="str">
        <f t="shared" si="254"/>
        <v/>
      </c>
      <c r="E921" s="47"/>
      <c r="F921" s="3" t="str">
        <f t="shared" si="255"/>
        <v/>
      </c>
      <c r="G921" s="47"/>
      <c r="H921" s="3" t="str">
        <f t="shared" si="256"/>
        <v/>
      </c>
      <c r="I921" s="47"/>
      <c r="J921" s="3" t="str">
        <f t="shared" si="257"/>
        <v/>
      </c>
      <c r="K921" s="47"/>
      <c r="L921" s="3" t="str">
        <f t="shared" si="258"/>
        <v/>
      </c>
      <c r="M921" s="47"/>
      <c r="N921" s="3" t="str">
        <f t="shared" si="259"/>
        <v/>
      </c>
      <c r="O921" s="47"/>
      <c r="P921" s="3" t="str">
        <f t="shared" si="260"/>
        <v/>
      </c>
      <c r="Q921" s="47"/>
      <c r="R921" s="3" t="str">
        <f t="shared" si="261"/>
        <v/>
      </c>
      <c r="S921" s="47"/>
      <c r="T921" s="1" t="str">
        <f t="shared" si="262"/>
        <v/>
      </c>
      <c r="U921" s="47"/>
      <c r="V921" s="1" t="str">
        <f t="shared" si="263"/>
        <v/>
      </c>
      <c r="W921" s="47"/>
      <c r="X921" s="1" t="str">
        <f t="shared" si="264"/>
        <v/>
      </c>
      <c r="Y921" s="47"/>
      <c r="Z921" s="1" t="str">
        <f t="shared" si="265"/>
        <v/>
      </c>
      <c r="AA921" s="47"/>
      <c r="AB921" s="1" t="str">
        <f t="shared" si="266"/>
        <v/>
      </c>
      <c r="AC921" s="47"/>
      <c r="AD921" s="1" t="str">
        <f t="shared" si="267"/>
        <v/>
      </c>
      <c r="AE921" s="47"/>
      <c r="AF921" s="1" t="str">
        <f t="shared" si="268"/>
        <v/>
      </c>
      <c r="AG921" s="47"/>
    </row>
    <row r="922" spans="1:33">
      <c r="A922">
        <f t="shared" si="252"/>
        <v>0</v>
      </c>
      <c r="B922" s="2" t="str">
        <f t="shared" si="269"/>
        <v/>
      </c>
      <c r="C922" s="4" t="str">
        <f t="shared" si="253"/>
        <v/>
      </c>
      <c r="D922" s="3" t="str">
        <f t="shared" si="254"/>
        <v/>
      </c>
      <c r="E922" s="47"/>
      <c r="F922" s="3" t="str">
        <f t="shared" si="255"/>
        <v/>
      </c>
      <c r="G922" s="47"/>
      <c r="H922" s="3" t="str">
        <f t="shared" si="256"/>
        <v/>
      </c>
      <c r="I922" s="47"/>
      <c r="J922" s="3" t="str">
        <f t="shared" si="257"/>
        <v/>
      </c>
      <c r="K922" s="47"/>
      <c r="L922" s="3" t="str">
        <f t="shared" si="258"/>
        <v/>
      </c>
      <c r="M922" s="47"/>
      <c r="N922" s="3" t="str">
        <f t="shared" si="259"/>
        <v/>
      </c>
      <c r="O922" s="47"/>
      <c r="P922" s="3" t="str">
        <f t="shared" si="260"/>
        <v/>
      </c>
      <c r="Q922" s="47"/>
      <c r="R922" s="3" t="str">
        <f t="shared" si="261"/>
        <v/>
      </c>
      <c r="S922" s="47"/>
      <c r="T922" s="1" t="str">
        <f t="shared" si="262"/>
        <v/>
      </c>
      <c r="U922" s="47"/>
      <c r="V922" s="1" t="str">
        <f t="shared" si="263"/>
        <v/>
      </c>
      <c r="W922" s="47"/>
      <c r="X922" s="1" t="str">
        <f t="shared" si="264"/>
        <v/>
      </c>
      <c r="Y922" s="47"/>
      <c r="Z922" s="1" t="str">
        <f t="shared" si="265"/>
        <v/>
      </c>
      <c r="AA922" s="47"/>
      <c r="AB922" s="1" t="str">
        <f t="shared" si="266"/>
        <v/>
      </c>
      <c r="AC922" s="47"/>
      <c r="AD922" s="1" t="str">
        <f t="shared" si="267"/>
        <v/>
      </c>
      <c r="AE922" s="47"/>
      <c r="AF922" s="1" t="str">
        <f t="shared" si="268"/>
        <v/>
      </c>
      <c r="AG922" s="47"/>
    </row>
    <row r="923" spans="1:33">
      <c r="A923">
        <f t="shared" si="252"/>
        <v>0</v>
      </c>
      <c r="B923" s="2" t="str">
        <f t="shared" si="269"/>
        <v/>
      </c>
      <c r="C923" s="4" t="str">
        <f t="shared" si="253"/>
        <v/>
      </c>
      <c r="D923" s="3" t="str">
        <f t="shared" si="254"/>
        <v/>
      </c>
      <c r="E923" s="47"/>
      <c r="F923" s="3" t="str">
        <f t="shared" si="255"/>
        <v/>
      </c>
      <c r="G923" s="47"/>
      <c r="H923" s="3" t="str">
        <f t="shared" si="256"/>
        <v/>
      </c>
      <c r="I923" s="47"/>
      <c r="J923" s="3" t="str">
        <f t="shared" si="257"/>
        <v/>
      </c>
      <c r="K923" s="47"/>
      <c r="L923" s="3" t="str">
        <f t="shared" si="258"/>
        <v/>
      </c>
      <c r="M923" s="47"/>
      <c r="N923" s="3" t="str">
        <f t="shared" si="259"/>
        <v/>
      </c>
      <c r="O923" s="47"/>
      <c r="P923" s="3" t="str">
        <f t="shared" si="260"/>
        <v/>
      </c>
      <c r="Q923" s="47"/>
      <c r="R923" s="3" t="str">
        <f t="shared" si="261"/>
        <v/>
      </c>
      <c r="S923" s="47"/>
      <c r="T923" s="1" t="str">
        <f t="shared" si="262"/>
        <v/>
      </c>
      <c r="U923" s="47"/>
      <c r="V923" s="1" t="str">
        <f t="shared" si="263"/>
        <v/>
      </c>
      <c r="W923" s="47"/>
      <c r="X923" s="1" t="str">
        <f t="shared" si="264"/>
        <v/>
      </c>
      <c r="Y923" s="47"/>
      <c r="Z923" s="1" t="str">
        <f t="shared" si="265"/>
        <v/>
      </c>
      <c r="AA923" s="47"/>
      <c r="AB923" s="1" t="str">
        <f t="shared" si="266"/>
        <v/>
      </c>
      <c r="AC923" s="47"/>
      <c r="AD923" s="1" t="str">
        <f t="shared" si="267"/>
        <v/>
      </c>
      <c r="AE923" s="47"/>
      <c r="AF923" s="1" t="str">
        <f t="shared" si="268"/>
        <v/>
      </c>
      <c r="AG923" s="47"/>
    </row>
    <row r="924" spans="1:33">
      <c r="A924">
        <f t="shared" si="252"/>
        <v>0</v>
      </c>
      <c r="B924" s="2" t="str">
        <f t="shared" si="269"/>
        <v/>
      </c>
      <c r="C924" s="4" t="str">
        <f t="shared" si="253"/>
        <v/>
      </c>
      <c r="D924" s="3" t="str">
        <f t="shared" si="254"/>
        <v/>
      </c>
      <c r="E924" s="47"/>
      <c r="F924" s="3" t="str">
        <f t="shared" si="255"/>
        <v/>
      </c>
      <c r="G924" s="47"/>
      <c r="H924" s="3" t="str">
        <f t="shared" si="256"/>
        <v/>
      </c>
      <c r="I924" s="47"/>
      <c r="J924" s="3" t="str">
        <f t="shared" si="257"/>
        <v/>
      </c>
      <c r="K924" s="47"/>
      <c r="L924" s="3" t="str">
        <f t="shared" si="258"/>
        <v/>
      </c>
      <c r="M924" s="47"/>
      <c r="N924" s="3" t="str">
        <f t="shared" si="259"/>
        <v/>
      </c>
      <c r="O924" s="47"/>
      <c r="P924" s="3" t="str">
        <f t="shared" si="260"/>
        <v/>
      </c>
      <c r="Q924" s="47"/>
      <c r="R924" s="3" t="str">
        <f t="shared" si="261"/>
        <v/>
      </c>
      <c r="S924" s="47"/>
      <c r="T924" s="1" t="str">
        <f t="shared" si="262"/>
        <v/>
      </c>
      <c r="U924" s="47"/>
      <c r="V924" s="1" t="str">
        <f t="shared" si="263"/>
        <v/>
      </c>
      <c r="W924" s="47"/>
      <c r="X924" s="1" t="str">
        <f t="shared" si="264"/>
        <v/>
      </c>
      <c r="Y924" s="47"/>
      <c r="Z924" s="1" t="str">
        <f t="shared" si="265"/>
        <v/>
      </c>
      <c r="AA924" s="47"/>
      <c r="AB924" s="1" t="str">
        <f t="shared" si="266"/>
        <v/>
      </c>
      <c r="AC924" s="47"/>
      <c r="AD924" s="1" t="str">
        <f t="shared" si="267"/>
        <v/>
      </c>
      <c r="AE924" s="47"/>
      <c r="AF924" s="1" t="str">
        <f t="shared" si="268"/>
        <v/>
      </c>
      <c r="AG924" s="47"/>
    </row>
    <row r="925" spans="1:33">
      <c r="A925">
        <f t="shared" si="252"/>
        <v>0</v>
      </c>
      <c r="B925" s="2" t="str">
        <f t="shared" si="269"/>
        <v/>
      </c>
      <c r="C925" s="4" t="str">
        <f t="shared" si="253"/>
        <v/>
      </c>
      <c r="D925" s="3" t="str">
        <f t="shared" si="254"/>
        <v/>
      </c>
      <c r="E925" s="47"/>
      <c r="F925" s="3" t="str">
        <f t="shared" si="255"/>
        <v/>
      </c>
      <c r="G925" s="47"/>
      <c r="H925" s="3" t="str">
        <f t="shared" si="256"/>
        <v/>
      </c>
      <c r="I925" s="47"/>
      <c r="J925" s="3" t="str">
        <f t="shared" si="257"/>
        <v/>
      </c>
      <c r="K925" s="47"/>
      <c r="L925" s="3" t="str">
        <f t="shared" si="258"/>
        <v/>
      </c>
      <c r="M925" s="47"/>
      <c r="N925" s="3" t="str">
        <f t="shared" si="259"/>
        <v/>
      </c>
      <c r="O925" s="47"/>
      <c r="P925" s="3" t="str">
        <f t="shared" si="260"/>
        <v/>
      </c>
      <c r="Q925" s="47"/>
      <c r="R925" s="3" t="str">
        <f t="shared" si="261"/>
        <v/>
      </c>
      <c r="S925" s="47"/>
      <c r="T925" s="1" t="str">
        <f t="shared" si="262"/>
        <v/>
      </c>
      <c r="U925" s="47"/>
      <c r="V925" s="1" t="str">
        <f t="shared" si="263"/>
        <v/>
      </c>
      <c r="W925" s="47"/>
      <c r="X925" s="1" t="str">
        <f t="shared" si="264"/>
        <v/>
      </c>
      <c r="Y925" s="47"/>
      <c r="Z925" s="1" t="str">
        <f t="shared" si="265"/>
        <v/>
      </c>
      <c r="AA925" s="47"/>
      <c r="AB925" s="1" t="str">
        <f t="shared" si="266"/>
        <v/>
      </c>
      <c r="AC925" s="47"/>
      <c r="AD925" s="1" t="str">
        <f t="shared" si="267"/>
        <v/>
      </c>
      <c r="AE925" s="47"/>
      <c r="AF925" s="1" t="str">
        <f t="shared" si="268"/>
        <v/>
      </c>
      <c r="AG925" s="47"/>
    </row>
    <row r="926" spans="1:33">
      <c r="A926">
        <f t="shared" si="252"/>
        <v>0</v>
      </c>
      <c r="B926" s="2" t="str">
        <f t="shared" si="269"/>
        <v/>
      </c>
      <c r="C926" s="4" t="str">
        <f t="shared" si="253"/>
        <v/>
      </c>
      <c r="D926" s="3" t="str">
        <f t="shared" si="254"/>
        <v/>
      </c>
      <c r="E926" s="47"/>
      <c r="F926" s="3" t="str">
        <f t="shared" si="255"/>
        <v/>
      </c>
      <c r="G926" s="47"/>
      <c r="H926" s="3" t="str">
        <f t="shared" si="256"/>
        <v/>
      </c>
      <c r="I926" s="47"/>
      <c r="J926" s="3" t="str">
        <f t="shared" si="257"/>
        <v/>
      </c>
      <c r="K926" s="47"/>
      <c r="L926" s="3" t="str">
        <f t="shared" si="258"/>
        <v/>
      </c>
      <c r="M926" s="47"/>
      <c r="N926" s="3" t="str">
        <f t="shared" si="259"/>
        <v/>
      </c>
      <c r="O926" s="47"/>
      <c r="P926" s="3" t="str">
        <f t="shared" si="260"/>
        <v/>
      </c>
      <c r="Q926" s="47"/>
      <c r="R926" s="3" t="str">
        <f t="shared" si="261"/>
        <v/>
      </c>
      <c r="S926" s="47"/>
      <c r="T926" s="1" t="str">
        <f t="shared" si="262"/>
        <v/>
      </c>
      <c r="U926" s="47"/>
      <c r="V926" s="1" t="str">
        <f t="shared" si="263"/>
        <v/>
      </c>
      <c r="W926" s="47"/>
      <c r="X926" s="1" t="str">
        <f t="shared" si="264"/>
        <v/>
      </c>
      <c r="Y926" s="47"/>
      <c r="Z926" s="1" t="str">
        <f t="shared" si="265"/>
        <v/>
      </c>
      <c r="AA926" s="47"/>
      <c r="AB926" s="1" t="str">
        <f t="shared" si="266"/>
        <v/>
      </c>
      <c r="AC926" s="47"/>
      <c r="AD926" s="1" t="str">
        <f t="shared" si="267"/>
        <v/>
      </c>
      <c r="AE926" s="47"/>
      <c r="AF926" s="1" t="str">
        <f t="shared" si="268"/>
        <v/>
      </c>
      <c r="AG926" s="47"/>
    </row>
    <row r="927" spans="1:33">
      <c r="A927">
        <f t="shared" si="252"/>
        <v>0</v>
      </c>
      <c r="B927" s="2" t="str">
        <f t="shared" si="269"/>
        <v/>
      </c>
      <c r="C927" s="4" t="str">
        <f t="shared" si="253"/>
        <v/>
      </c>
      <c r="D927" s="3" t="str">
        <f t="shared" si="254"/>
        <v/>
      </c>
      <c r="E927" s="47"/>
      <c r="F927" s="3" t="str">
        <f t="shared" si="255"/>
        <v/>
      </c>
      <c r="G927" s="47"/>
      <c r="H927" s="3" t="str">
        <f t="shared" si="256"/>
        <v/>
      </c>
      <c r="I927" s="47"/>
      <c r="J927" s="3" t="str">
        <f t="shared" si="257"/>
        <v/>
      </c>
      <c r="K927" s="47"/>
      <c r="L927" s="3" t="str">
        <f t="shared" si="258"/>
        <v/>
      </c>
      <c r="M927" s="47"/>
      <c r="N927" s="3" t="str">
        <f t="shared" si="259"/>
        <v/>
      </c>
      <c r="O927" s="47"/>
      <c r="P927" s="3" t="str">
        <f t="shared" si="260"/>
        <v/>
      </c>
      <c r="Q927" s="47"/>
      <c r="R927" s="3" t="str">
        <f t="shared" si="261"/>
        <v/>
      </c>
      <c r="S927" s="47"/>
      <c r="T927" s="1" t="str">
        <f t="shared" si="262"/>
        <v/>
      </c>
      <c r="U927" s="47"/>
      <c r="V927" s="1" t="str">
        <f t="shared" si="263"/>
        <v/>
      </c>
      <c r="W927" s="47"/>
      <c r="X927" s="1" t="str">
        <f t="shared" si="264"/>
        <v/>
      </c>
      <c r="Y927" s="47"/>
      <c r="Z927" s="1" t="str">
        <f t="shared" si="265"/>
        <v/>
      </c>
      <c r="AA927" s="47"/>
      <c r="AB927" s="1" t="str">
        <f t="shared" si="266"/>
        <v/>
      </c>
      <c r="AC927" s="47"/>
      <c r="AD927" s="1" t="str">
        <f t="shared" si="267"/>
        <v/>
      </c>
      <c r="AE927" s="47"/>
      <c r="AF927" s="1" t="str">
        <f t="shared" si="268"/>
        <v/>
      </c>
      <c r="AG927" s="47"/>
    </row>
    <row r="928" spans="1:33">
      <c r="A928">
        <f t="shared" si="252"/>
        <v>0</v>
      </c>
      <c r="B928" s="2" t="str">
        <f t="shared" si="269"/>
        <v/>
      </c>
      <c r="C928" s="4" t="str">
        <f t="shared" si="253"/>
        <v/>
      </c>
      <c r="D928" s="3" t="str">
        <f t="shared" si="254"/>
        <v/>
      </c>
      <c r="E928" s="47"/>
      <c r="F928" s="3" t="str">
        <f t="shared" si="255"/>
        <v/>
      </c>
      <c r="G928" s="47"/>
      <c r="H928" s="3" t="str">
        <f t="shared" si="256"/>
        <v/>
      </c>
      <c r="I928" s="47"/>
      <c r="J928" s="3" t="str">
        <f t="shared" si="257"/>
        <v/>
      </c>
      <c r="K928" s="47"/>
      <c r="L928" s="3" t="str">
        <f t="shared" si="258"/>
        <v/>
      </c>
      <c r="M928" s="47"/>
      <c r="N928" s="3" t="str">
        <f t="shared" si="259"/>
        <v/>
      </c>
      <c r="O928" s="47"/>
      <c r="P928" s="3" t="str">
        <f t="shared" si="260"/>
        <v/>
      </c>
      <c r="Q928" s="47"/>
      <c r="R928" s="3" t="str">
        <f t="shared" si="261"/>
        <v/>
      </c>
      <c r="S928" s="47"/>
      <c r="T928" s="1" t="str">
        <f t="shared" si="262"/>
        <v/>
      </c>
      <c r="U928" s="47"/>
      <c r="V928" s="1" t="str">
        <f t="shared" si="263"/>
        <v/>
      </c>
      <c r="W928" s="47"/>
      <c r="X928" s="1" t="str">
        <f t="shared" si="264"/>
        <v/>
      </c>
      <c r="Y928" s="47"/>
      <c r="Z928" s="1" t="str">
        <f t="shared" si="265"/>
        <v/>
      </c>
      <c r="AA928" s="47"/>
      <c r="AB928" s="1" t="str">
        <f t="shared" si="266"/>
        <v/>
      </c>
      <c r="AC928" s="47"/>
      <c r="AD928" s="1" t="str">
        <f t="shared" si="267"/>
        <v/>
      </c>
      <c r="AE928" s="47"/>
      <c r="AF928" s="1" t="str">
        <f t="shared" si="268"/>
        <v/>
      </c>
      <c r="AG928" s="47"/>
    </row>
    <row r="929" spans="1:33">
      <c r="A929">
        <f t="shared" si="252"/>
        <v>0</v>
      </c>
      <c r="B929" s="2" t="str">
        <f t="shared" si="269"/>
        <v/>
      </c>
      <c r="C929" s="4" t="str">
        <f t="shared" si="253"/>
        <v/>
      </c>
      <c r="D929" s="3" t="str">
        <f t="shared" si="254"/>
        <v/>
      </c>
      <c r="E929" s="47"/>
      <c r="F929" s="3" t="str">
        <f t="shared" si="255"/>
        <v/>
      </c>
      <c r="G929" s="47"/>
      <c r="H929" s="3" t="str">
        <f t="shared" si="256"/>
        <v/>
      </c>
      <c r="I929" s="47"/>
      <c r="J929" s="3" t="str">
        <f t="shared" si="257"/>
        <v/>
      </c>
      <c r="K929" s="47"/>
      <c r="L929" s="3" t="str">
        <f t="shared" si="258"/>
        <v/>
      </c>
      <c r="M929" s="47"/>
      <c r="N929" s="3" t="str">
        <f t="shared" si="259"/>
        <v/>
      </c>
      <c r="O929" s="47"/>
      <c r="P929" s="3" t="str">
        <f t="shared" si="260"/>
        <v/>
      </c>
      <c r="Q929" s="47"/>
      <c r="R929" s="3" t="str">
        <f t="shared" si="261"/>
        <v/>
      </c>
      <c r="S929" s="47"/>
      <c r="T929" s="1" t="str">
        <f t="shared" si="262"/>
        <v/>
      </c>
      <c r="U929" s="47"/>
      <c r="V929" s="1" t="str">
        <f t="shared" si="263"/>
        <v/>
      </c>
      <c r="W929" s="47"/>
      <c r="X929" s="1" t="str">
        <f t="shared" si="264"/>
        <v/>
      </c>
      <c r="Y929" s="47"/>
      <c r="Z929" s="1" t="str">
        <f t="shared" si="265"/>
        <v/>
      </c>
      <c r="AA929" s="47"/>
      <c r="AB929" s="1" t="str">
        <f t="shared" si="266"/>
        <v/>
      </c>
      <c r="AC929" s="47"/>
      <c r="AD929" s="1" t="str">
        <f t="shared" si="267"/>
        <v/>
      </c>
      <c r="AE929" s="47"/>
      <c r="AF929" s="1" t="str">
        <f t="shared" si="268"/>
        <v/>
      </c>
      <c r="AG929" s="47"/>
    </row>
    <row r="930" spans="1:33">
      <c r="A930">
        <f t="shared" si="252"/>
        <v>0</v>
      </c>
      <c r="B930" s="2" t="str">
        <f t="shared" si="269"/>
        <v/>
      </c>
      <c r="C930" s="4" t="str">
        <f t="shared" si="253"/>
        <v/>
      </c>
      <c r="D930" s="3" t="str">
        <f t="shared" si="254"/>
        <v/>
      </c>
      <c r="E930" s="47"/>
      <c r="F930" s="3" t="str">
        <f t="shared" si="255"/>
        <v/>
      </c>
      <c r="G930" s="47"/>
      <c r="H930" s="3" t="str">
        <f t="shared" si="256"/>
        <v/>
      </c>
      <c r="I930" s="47"/>
      <c r="J930" s="3" t="str">
        <f t="shared" si="257"/>
        <v/>
      </c>
      <c r="K930" s="47"/>
      <c r="L930" s="3" t="str">
        <f t="shared" si="258"/>
        <v/>
      </c>
      <c r="M930" s="47"/>
      <c r="N930" s="3" t="str">
        <f t="shared" si="259"/>
        <v/>
      </c>
      <c r="O930" s="47"/>
      <c r="P930" s="3" t="str">
        <f t="shared" si="260"/>
        <v/>
      </c>
      <c r="Q930" s="47"/>
      <c r="R930" s="3" t="str">
        <f t="shared" si="261"/>
        <v/>
      </c>
      <c r="S930" s="47"/>
      <c r="T930" s="1" t="str">
        <f t="shared" si="262"/>
        <v/>
      </c>
      <c r="U930" s="47"/>
      <c r="V930" s="1" t="str">
        <f t="shared" si="263"/>
        <v/>
      </c>
      <c r="W930" s="47"/>
      <c r="X930" s="1" t="str">
        <f t="shared" si="264"/>
        <v/>
      </c>
      <c r="Y930" s="47"/>
      <c r="Z930" s="1" t="str">
        <f t="shared" si="265"/>
        <v/>
      </c>
      <c r="AA930" s="47"/>
      <c r="AB930" s="1" t="str">
        <f t="shared" si="266"/>
        <v/>
      </c>
      <c r="AC930" s="47"/>
      <c r="AD930" s="1" t="str">
        <f t="shared" si="267"/>
        <v/>
      </c>
      <c r="AE930" s="47"/>
      <c r="AF930" s="1" t="str">
        <f t="shared" si="268"/>
        <v/>
      </c>
      <c r="AG930" s="47"/>
    </row>
    <row r="931" spans="1:33">
      <c r="A931">
        <f t="shared" si="252"/>
        <v>0</v>
      </c>
      <c r="B931" s="2" t="str">
        <f t="shared" si="269"/>
        <v/>
      </c>
      <c r="C931" s="4" t="str">
        <f t="shared" si="253"/>
        <v/>
      </c>
      <c r="D931" s="3" t="str">
        <f t="shared" si="254"/>
        <v/>
      </c>
      <c r="E931" s="47"/>
      <c r="F931" s="3" t="str">
        <f t="shared" si="255"/>
        <v/>
      </c>
      <c r="G931" s="47"/>
      <c r="H931" s="3" t="str">
        <f t="shared" si="256"/>
        <v/>
      </c>
      <c r="I931" s="47"/>
      <c r="J931" s="3" t="str">
        <f t="shared" si="257"/>
        <v/>
      </c>
      <c r="K931" s="47"/>
      <c r="L931" s="3" t="str">
        <f t="shared" si="258"/>
        <v/>
      </c>
      <c r="M931" s="47"/>
      <c r="N931" s="3" t="str">
        <f t="shared" si="259"/>
        <v/>
      </c>
      <c r="O931" s="47"/>
      <c r="P931" s="3" t="str">
        <f t="shared" si="260"/>
        <v/>
      </c>
      <c r="Q931" s="47"/>
      <c r="R931" s="3" t="str">
        <f t="shared" si="261"/>
        <v/>
      </c>
      <c r="S931" s="47"/>
      <c r="T931" s="1" t="str">
        <f t="shared" si="262"/>
        <v/>
      </c>
      <c r="U931" s="47"/>
      <c r="V931" s="1" t="str">
        <f t="shared" si="263"/>
        <v/>
      </c>
      <c r="W931" s="47"/>
      <c r="X931" s="1" t="str">
        <f t="shared" si="264"/>
        <v/>
      </c>
      <c r="Y931" s="47"/>
      <c r="Z931" s="1" t="str">
        <f t="shared" si="265"/>
        <v/>
      </c>
      <c r="AA931" s="47"/>
      <c r="AB931" s="1" t="str">
        <f t="shared" si="266"/>
        <v/>
      </c>
      <c r="AC931" s="47"/>
      <c r="AD931" s="1" t="str">
        <f t="shared" si="267"/>
        <v/>
      </c>
      <c r="AE931" s="47"/>
      <c r="AF931" s="1" t="str">
        <f t="shared" si="268"/>
        <v/>
      </c>
      <c r="AG931" s="47"/>
    </row>
    <row r="932" spans="1:33">
      <c r="A932">
        <f t="shared" si="252"/>
        <v>0</v>
      </c>
      <c r="B932" s="2" t="str">
        <f t="shared" si="269"/>
        <v/>
      </c>
      <c r="C932" s="4" t="str">
        <f t="shared" si="253"/>
        <v/>
      </c>
      <c r="D932" s="3" t="str">
        <f t="shared" si="254"/>
        <v/>
      </c>
      <c r="E932" s="47"/>
      <c r="F932" s="3" t="str">
        <f t="shared" si="255"/>
        <v/>
      </c>
      <c r="G932" s="47"/>
      <c r="H932" s="3" t="str">
        <f t="shared" si="256"/>
        <v/>
      </c>
      <c r="I932" s="47"/>
      <c r="J932" s="3" t="str">
        <f t="shared" si="257"/>
        <v/>
      </c>
      <c r="K932" s="47"/>
      <c r="L932" s="3" t="str">
        <f t="shared" si="258"/>
        <v/>
      </c>
      <c r="M932" s="47"/>
      <c r="N932" s="3" t="str">
        <f t="shared" si="259"/>
        <v/>
      </c>
      <c r="O932" s="47"/>
      <c r="P932" s="3" t="str">
        <f t="shared" si="260"/>
        <v/>
      </c>
      <c r="Q932" s="47"/>
      <c r="R932" s="3" t="str">
        <f t="shared" si="261"/>
        <v/>
      </c>
      <c r="S932" s="47"/>
      <c r="T932" s="1" t="str">
        <f t="shared" si="262"/>
        <v/>
      </c>
      <c r="U932" s="47"/>
      <c r="V932" s="1" t="str">
        <f t="shared" si="263"/>
        <v/>
      </c>
      <c r="W932" s="47"/>
      <c r="X932" s="1" t="str">
        <f t="shared" si="264"/>
        <v/>
      </c>
      <c r="Y932" s="47"/>
      <c r="Z932" s="1" t="str">
        <f t="shared" si="265"/>
        <v/>
      </c>
      <c r="AA932" s="47"/>
      <c r="AB932" s="1" t="str">
        <f t="shared" si="266"/>
        <v/>
      </c>
      <c r="AC932" s="47"/>
      <c r="AD932" s="1" t="str">
        <f t="shared" si="267"/>
        <v/>
      </c>
      <c r="AE932" s="47"/>
      <c r="AF932" s="1" t="str">
        <f t="shared" si="268"/>
        <v/>
      </c>
      <c r="AG932" s="47"/>
    </row>
    <row r="933" spans="1:33">
      <c r="A933">
        <f t="shared" si="252"/>
        <v>0</v>
      </c>
      <c r="B933" s="2" t="str">
        <f t="shared" si="269"/>
        <v/>
      </c>
      <c r="C933" s="4" t="str">
        <f t="shared" si="253"/>
        <v/>
      </c>
      <c r="D933" s="3" t="str">
        <f t="shared" si="254"/>
        <v/>
      </c>
      <c r="E933" s="47"/>
      <c r="F933" s="3" t="str">
        <f t="shared" si="255"/>
        <v/>
      </c>
      <c r="G933" s="47"/>
      <c r="H933" s="3" t="str">
        <f t="shared" si="256"/>
        <v/>
      </c>
      <c r="I933" s="47"/>
      <c r="J933" s="3" t="str">
        <f t="shared" si="257"/>
        <v/>
      </c>
      <c r="K933" s="47"/>
      <c r="L933" s="3" t="str">
        <f t="shared" si="258"/>
        <v/>
      </c>
      <c r="M933" s="47"/>
      <c r="N933" s="3" t="str">
        <f t="shared" si="259"/>
        <v/>
      </c>
      <c r="O933" s="47"/>
      <c r="P933" s="3" t="str">
        <f t="shared" si="260"/>
        <v/>
      </c>
      <c r="Q933" s="47"/>
      <c r="R933" s="3" t="str">
        <f t="shared" si="261"/>
        <v/>
      </c>
      <c r="S933" s="47"/>
      <c r="T933" s="1" t="str">
        <f t="shared" si="262"/>
        <v/>
      </c>
      <c r="U933" s="47"/>
      <c r="V933" s="1" t="str">
        <f t="shared" si="263"/>
        <v/>
      </c>
      <c r="W933" s="47"/>
      <c r="X933" s="1" t="str">
        <f t="shared" si="264"/>
        <v/>
      </c>
      <c r="Y933" s="47"/>
      <c r="Z933" s="1" t="str">
        <f t="shared" si="265"/>
        <v/>
      </c>
      <c r="AA933" s="47"/>
      <c r="AB933" s="1" t="str">
        <f t="shared" si="266"/>
        <v/>
      </c>
      <c r="AC933" s="47"/>
      <c r="AD933" s="1" t="str">
        <f t="shared" si="267"/>
        <v/>
      </c>
      <c r="AE933" s="47"/>
      <c r="AF933" s="1" t="str">
        <f t="shared" si="268"/>
        <v/>
      </c>
      <c r="AG933" s="47"/>
    </row>
    <row r="934" spans="1:33">
      <c r="A934">
        <f t="shared" si="252"/>
        <v>0</v>
      </c>
      <c r="B934" s="2" t="str">
        <f t="shared" si="269"/>
        <v/>
      </c>
      <c r="C934" s="4" t="str">
        <f t="shared" si="253"/>
        <v/>
      </c>
      <c r="D934" s="3" t="str">
        <f t="shared" si="254"/>
        <v/>
      </c>
      <c r="E934" s="47"/>
      <c r="F934" s="3" t="str">
        <f t="shared" si="255"/>
        <v/>
      </c>
      <c r="G934" s="47"/>
      <c r="H934" s="3" t="str">
        <f t="shared" si="256"/>
        <v/>
      </c>
      <c r="I934" s="47"/>
      <c r="J934" s="3" t="str">
        <f t="shared" si="257"/>
        <v/>
      </c>
      <c r="K934" s="47"/>
      <c r="L934" s="3" t="str">
        <f t="shared" si="258"/>
        <v/>
      </c>
      <c r="M934" s="47"/>
      <c r="N934" s="3" t="str">
        <f t="shared" si="259"/>
        <v/>
      </c>
      <c r="O934" s="47"/>
      <c r="P934" s="3" t="str">
        <f t="shared" si="260"/>
        <v/>
      </c>
      <c r="Q934" s="47"/>
      <c r="R934" s="3" t="str">
        <f t="shared" si="261"/>
        <v/>
      </c>
      <c r="S934" s="47"/>
      <c r="T934" s="1" t="str">
        <f t="shared" si="262"/>
        <v/>
      </c>
      <c r="U934" s="47"/>
      <c r="V934" s="1" t="str">
        <f t="shared" si="263"/>
        <v/>
      </c>
      <c r="W934" s="47"/>
      <c r="X934" s="1" t="str">
        <f t="shared" si="264"/>
        <v/>
      </c>
      <c r="Y934" s="47"/>
      <c r="Z934" s="1" t="str">
        <f t="shared" si="265"/>
        <v/>
      </c>
      <c r="AA934" s="47"/>
      <c r="AB934" s="1" t="str">
        <f t="shared" si="266"/>
        <v/>
      </c>
      <c r="AC934" s="47"/>
      <c r="AD934" s="1" t="str">
        <f t="shared" si="267"/>
        <v/>
      </c>
      <c r="AE934" s="47"/>
      <c r="AF934" s="1" t="str">
        <f t="shared" si="268"/>
        <v/>
      </c>
      <c r="AG934" s="47"/>
    </row>
    <row r="935" spans="1:33">
      <c r="A935">
        <f t="shared" si="252"/>
        <v>0</v>
      </c>
      <c r="B935" s="2" t="str">
        <f t="shared" si="269"/>
        <v/>
      </c>
      <c r="C935" s="4" t="str">
        <f t="shared" si="253"/>
        <v/>
      </c>
      <c r="D935" s="3" t="str">
        <f t="shared" si="254"/>
        <v/>
      </c>
      <c r="E935" s="47"/>
      <c r="F935" s="3" t="str">
        <f t="shared" si="255"/>
        <v/>
      </c>
      <c r="G935" s="47"/>
      <c r="H935" s="3" t="str">
        <f t="shared" si="256"/>
        <v/>
      </c>
      <c r="I935" s="47"/>
      <c r="J935" s="3" t="str">
        <f t="shared" si="257"/>
        <v/>
      </c>
      <c r="K935" s="47"/>
      <c r="L935" s="3" t="str">
        <f t="shared" si="258"/>
        <v/>
      </c>
      <c r="M935" s="47"/>
      <c r="N935" s="3" t="str">
        <f t="shared" si="259"/>
        <v/>
      </c>
      <c r="O935" s="47"/>
      <c r="P935" s="3" t="str">
        <f t="shared" si="260"/>
        <v/>
      </c>
      <c r="Q935" s="47"/>
      <c r="R935" s="3" t="str">
        <f t="shared" si="261"/>
        <v/>
      </c>
      <c r="S935" s="47"/>
      <c r="T935" s="1" t="str">
        <f t="shared" si="262"/>
        <v/>
      </c>
      <c r="U935" s="47"/>
      <c r="V935" s="1" t="str">
        <f t="shared" si="263"/>
        <v/>
      </c>
      <c r="W935" s="47"/>
      <c r="X935" s="1" t="str">
        <f t="shared" si="264"/>
        <v/>
      </c>
      <c r="Y935" s="47"/>
      <c r="Z935" s="1" t="str">
        <f t="shared" si="265"/>
        <v/>
      </c>
      <c r="AA935" s="47"/>
      <c r="AB935" s="1" t="str">
        <f t="shared" si="266"/>
        <v/>
      </c>
      <c r="AC935" s="47"/>
      <c r="AD935" s="1" t="str">
        <f t="shared" si="267"/>
        <v/>
      </c>
      <c r="AE935" s="47"/>
      <c r="AF935" s="1" t="str">
        <f t="shared" si="268"/>
        <v/>
      </c>
      <c r="AG935" s="47"/>
    </row>
    <row r="936" spans="1:33">
      <c r="A936">
        <f t="shared" si="252"/>
        <v>0</v>
      </c>
      <c r="B936" s="2" t="str">
        <f t="shared" si="269"/>
        <v/>
      </c>
      <c r="C936" s="4" t="str">
        <f t="shared" si="253"/>
        <v/>
      </c>
      <c r="D936" s="3" t="str">
        <f t="shared" si="254"/>
        <v/>
      </c>
      <c r="E936" s="47"/>
      <c r="F936" s="3" t="str">
        <f t="shared" si="255"/>
        <v/>
      </c>
      <c r="G936" s="47"/>
      <c r="H936" s="3" t="str">
        <f t="shared" si="256"/>
        <v/>
      </c>
      <c r="I936" s="47"/>
      <c r="J936" s="3" t="str">
        <f t="shared" si="257"/>
        <v/>
      </c>
      <c r="K936" s="47"/>
      <c r="L936" s="3" t="str">
        <f t="shared" si="258"/>
        <v/>
      </c>
      <c r="M936" s="47"/>
      <c r="N936" s="3" t="str">
        <f t="shared" si="259"/>
        <v/>
      </c>
      <c r="O936" s="47"/>
      <c r="P936" s="3" t="str">
        <f t="shared" si="260"/>
        <v/>
      </c>
      <c r="Q936" s="47"/>
      <c r="R936" s="3" t="str">
        <f t="shared" si="261"/>
        <v/>
      </c>
      <c r="S936" s="47"/>
      <c r="T936" s="1" t="str">
        <f t="shared" si="262"/>
        <v/>
      </c>
      <c r="U936" s="47"/>
      <c r="V936" s="1" t="str">
        <f t="shared" si="263"/>
        <v/>
      </c>
      <c r="W936" s="47"/>
      <c r="X936" s="1" t="str">
        <f t="shared" si="264"/>
        <v/>
      </c>
      <c r="Y936" s="47"/>
      <c r="Z936" s="1" t="str">
        <f t="shared" si="265"/>
        <v/>
      </c>
      <c r="AA936" s="47"/>
      <c r="AB936" s="1" t="str">
        <f t="shared" si="266"/>
        <v/>
      </c>
      <c r="AC936" s="47"/>
      <c r="AD936" s="1" t="str">
        <f t="shared" si="267"/>
        <v/>
      </c>
      <c r="AE936" s="47"/>
      <c r="AF936" s="1" t="str">
        <f t="shared" si="268"/>
        <v/>
      </c>
      <c r="AG936" s="47"/>
    </row>
    <row r="937" spans="1:33">
      <c r="A937">
        <f t="shared" si="252"/>
        <v>0</v>
      </c>
      <c r="B937" s="2" t="str">
        <f t="shared" si="269"/>
        <v/>
      </c>
      <c r="C937" s="4" t="str">
        <f t="shared" si="253"/>
        <v/>
      </c>
      <c r="D937" s="3" t="str">
        <f t="shared" si="254"/>
        <v/>
      </c>
      <c r="E937" s="47"/>
      <c r="F937" s="3" t="str">
        <f t="shared" si="255"/>
        <v/>
      </c>
      <c r="G937" s="47"/>
      <c r="H937" s="3" t="str">
        <f t="shared" si="256"/>
        <v/>
      </c>
      <c r="I937" s="47"/>
      <c r="J937" s="3" t="str">
        <f t="shared" si="257"/>
        <v/>
      </c>
      <c r="K937" s="47"/>
      <c r="L937" s="3" t="str">
        <f t="shared" si="258"/>
        <v/>
      </c>
      <c r="M937" s="47"/>
      <c r="N937" s="3" t="str">
        <f t="shared" si="259"/>
        <v/>
      </c>
      <c r="O937" s="47"/>
      <c r="P937" s="3" t="str">
        <f t="shared" si="260"/>
        <v/>
      </c>
      <c r="Q937" s="47"/>
      <c r="R937" s="3" t="str">
        <f t="shared" si="261"/>
        <v/>
      </c>
      <c r="S937" s="47"/>
      <c r="T937" s="1" t="str">
        <f t="shared" si="262"/>
        <v/>
      </c>
      <c r="U937" s="47"/>
      <c r="V937" s="1" t="str">
        <f t="shared" si="263"/>
        <v/>
      </c>
      <c r="W937" s="47"/>
      <c r="X937" s="1" t="str">
        <f t="shared" si="264"/>
        <v/>
      </c>
      <c r="Y937" s="47"/>
      <c r="Z937" s="1" t="str">
        <f t="shared" si="265"/>
        <v/>
      </c>
      <c r="AA937" s="47"/>
      <c r="AB937" s="1" t="str">
        <f t="shared" si="266"/>
        <v/>
      </c>
      <c r="AC937" s="47"/>
      <c r="AD937" s="1" t="str">
        <f t="shared" si="267"/>
        <v/>
      </c>
      <c r="AE937" s="47"/>
      <c r="AF937" s="1" t="str">
        <f t="shared" si="268"/>
        <v/>
      </c>
      <c r="AG937" s="47"/>
    </row>
    <row r="938" spans="1:33">
      <c r="A938">
        <f t="shared" si="252"/>
        <v>0</v>
      </c>
      <c r="B938" s="2" t="str">
        <f t="shared" si="269"/>
        <v/>
      </c>
      <c r="C938" s="4" t="str">
        <f t="shared" si="253"/>
        <v/>
      </c>
      <c r="D938" s="3" t="str">
        <f t="shared" si="254"/>
        <v/>
      </c>
      <c r="E938" s="47"/>
      <c r="F938" s="3" t="str">
        <f t="shared" si="255"/>
        <v/>
      </c>
      <c r="G938" s="47"/>
      <c r="H938" s="3" t="str">
        <f t="shared" si="256"/>
        <v/>
      </c>
      <c r="I938" s="47"/>
      <c r="J938" s="3" t="str">
        <f t="shared" si="257"/>
        <v/>
      </c>
      <c r="K938" s="47"/>
      <c r="L938" s="3" t="str">
        <f t="shared" si="258"/>
        <v/>
      </c>
      <c r="M938" s="47"/>
      <c r="N938" s="3" t="str">
        <f t="shared" si="259"/>
        <v/>
      </c>
      <c r="O938" s="47"/>
      <c r="P938" s="3" t="str">
        <f t="shared" si="260"/>
        <v/>
      </c>
      <c r="Q938" s="47"/>
      <c r="R938" s="3" t="str">
        <f t="shared" si="261"/>
        <v/>
      </c>
      <c r="S938" s="47"/>
      <c r="T938" s="1" t="str">
        <f t="shared" si="262"/>
        <v/>
      </c>
      <c r="U938" s="47"/>
      <c r="V938" s="1" t="str">
        <f t="shared" si="263"/>
        <v/>
      </c>
      <c r="W938" s="47"/>
      <c r="X938" s="1" t="str">
        <f t="shared" si="264"/>
        <v/>
      </c>
      <c r="Y938" s="47"/>
      <c r="Z938" s="1" t="str">
        <f t="shared" si="265"/>
        <v/>
      </c>
      <c r="AA938" s="47"/>
      <c r="AB938" s="1" t="str">
        <f t="shared" si="266"/>
        <v/>
      </c>
      <c r="AC938" s="47"/>
      <c r="AD938" s="1" t="str">
        <f t="shared" si="267"/>
        <v/>
      </c>
      <c r="AE938" s="47"/>
      <c r="AF938" s="1" t="str">
        <f t="shared" si="268"/>
        <v/>
      </c>
      <c r="AG938" s="47"/>
    </row>
    <row r="939" spans="1:33">
      <c r="A939">
        <f t="shared" si="252"/>
        <v>0</v>
      </c>
      <c r="B939" s="2" t="str">
        <f t="shared" si="269"/>
        <v/>
      </c>
      <c r="C939" s="4" t="str">
        <f t="shared" si="253"/>
        <v/>
      </c>
      <c r="D939" s="3" t="str">
        <f t="shared" si="254"/>
        <v/>
      </c>
      <c r="E939" s="47"/>
      <c r="F939" s="3" t="str">
        <f t="shared" si="255"/>
        <v/>
      </c>
      <c r="G939" s="47"/>
      <c r="H939" s="3" t="str">
        <f t="shared" si="256"/>
        <v/>
      </c>
      <c r="I939" s="47"/>
      <c r="J939" s="3" t="str">
        <f t="shared" si="257"/>
        <v/>
      </c>
      <c r="K939" s="47"/>
      <c r="L939" s="3" t="str">
        <f t="shared" si="258"/>
        <v/>
      </c>
      <c r="M939" s="47"/>
      <c r="N939" s="3" t="str">
        <f t="shared" si="259"/>
        <v/>
      </c>
      <c r="O939" s="47"/>
      <c r="P939" s="3" t="str">
        <f t="shared" si="260"/>
        <v/>
      </c>
      <c r="Q939" s="47"/>
      <c r="R939" s="3" t="str">
        <f t="shared" si="261"/>
        <v/>
      </c>
      <c r="S939" s="47"/>
      <c r="T939" s="1" t="str">
        <f t="shared" si="262"/>
        <v/>
      </c>
      <c r="U939" s="47"/>
      <c r="V939" s="1" t="str">
        <f t="shared" si="263"/>
        <v/>
      </c>
      <c r="W939" s="47"/>
      <c r="X939" s="1" t="str">
        <f t="shared" si="264"/>
        <v/>
      </c>
      <c r="Y939" s="47"/>
      <c r="Z939" s="1" t="str">
        <f t="shared" si="265"/>
        <v/>
      </c>
      <c r="AA939" s="47"/>
      <c r="AB939" s="1" t="str">
        <f t="shared" si="266"/>
        <v/>
      </c>
      <c r="AC939" s="47"/>
      <c r="AD939" s="1" t="str">
        <f t="shared" si="267"/>
        <v/>
      </c>
      <c r="AE939" s="47"/>
      <c r="AF939" s="1" t="str">
        <f t="shared" si="268"/>
        <v/>
      </c>
      <c r="AG939" s="47"/>
    </row>
    <row r="940" spans="1:33">
      <c r="A940">
        <f t="shared" si="252"/>
        <v>0</v>
      </c>
      <c r="B940" s="2" t="str">
        <f t="shared" si="269"/>
        <v/>
      </c>
      <c r="C940" s="4" t="str">
        <f t="shared" si="253"/>
        <v/>
      </c>
      <c r="D940" s="3" t="str">
        <f t="shared" si="254"/>
        <v/>
      </c>
      <c r="E940" s="47"/>
      <c r="F940" s="3" t="str">
        <f t="shared" si="255"/>
        <v/>
      </c>
      <c r="G940" s="47"/>
      <c r="H940" s="3" t="str">
        <f t="shared" si="256"/>
        <v/>
      </c>
      <c r="I940" s="47"/>
      <c r="J940" s="3" t="str">
        <f t="shared" si="257"/>
        <v/>
      </c>
      <c r="K940" s="47"/>
      <c r="L940" s="3" t="str">
        <f t="shared" si="258"/>
        <v/>
      </c>
      <c r="M940" s="47"/>
      <c r="N940" s="3" t="str">
        <f t="shared" si="259"/>
        <v/>
      </c>
      <c r="O940" s="47"/>
      <c r="P940" s="3" t="str">
        <f t="shared" si="260"/>
        <v/>
      </c>
      <c r="Q940" s="47"/>
      <c r="R940" s="3" t="str">
        <f t="shared" si="261"/>
        <v/>
      </c>
      <c r="S940" s="47"/>
      <c r="T940" s="1" t="str">
        <f t="shared" si="262"/>
        <v/>
      </c>
      <c r="U940" s="47"/>
      <c r="V940" s="1" t="str">
        <f t="shared" si="263"/>
        <v/>
      </c>
      <c r="W940" s="47"/>
      <c r="X940" s="1" t="str">
        <f t="shared" si="264"/>
        <v/>
      </c>
      <c r="Y940" s="47"/>
      <c r="Z940" s="1" t="str">
        <f t="shared" si="265"/>
        <v/>
      </c>
      <c r="AA940" s="47"/>
      <c r="AB940" s="1" t="str">
        <f t="shared" si="266"/>
        <v/>
      </c>
      <c r="AC940" s="47"/>
      <c r="AD940" s="1" t="str">
        <f t="shared" si="267"/>
        <v/>
      </c>
      <c r="AE940" s="47"/>
      <c r="AF940" s="1" t="str">
        <f t="shared" si="268"/>
        <v/>
      </c>
      <c r="AG940" s="47"/>
    </row>
    <row r="941" spans="1:33">
      <c r="A941">
        <f t="shared" si="252"/>
        <v>0</v>
      </c>
      <c r="B941" s="2" t="str">
        <f t="shared" si="269"/>
        <v/>
      </c>
      <c r="C941" s="4" t="str">
        <f t="shared" si="253"/>
        <v/>
      </c>
      <c r="D941" s="3" t="str">
        <f t="shared" si="254"/>
        <v/>
      </c>
      <c r="E941" s="47"/>
      <c r="F941" s="3" t="str">
        <f t="shared" si="255"/>
        <v/>
      </c>
      <c r="G941" s="47"/>
      <c r="H941" s="3" t="str">
        <f t="shared" si="256"/>
        <v/>
      </c>
      <c r="I941" s="47"/>
      <c r="J941" s="3" t="str">
        <f t="shared" si="257"/>
        <v/>
      </c>
      <c r="K941" s="47"/>
      <c r="L941" s="3" t="str">
        <f t="shared" si="258"/>
        <v/>
      </c>
      <c r="M941" s="47"/>
      <c r="N941" s="3" t="str">
        <f t="shared" si="259"/>
        <v/>
      </c>
      <c r="O941" s="47"/>
      <c r="P941" s="3" t="str">
        <f t="shared" si="260"/>
        <v/>
      </c>
      <c r="Q941" s="47"/>
      <c r="R941" s="3" t="str">
        <f t="shared" si="261"/>
        <v/>
      </c>
      <c r="S941" s="47"/>
      <c r="T941" s="1" t="str">
        <f t="shared" si="262"/>
        <v/>
      </c>
      <c r="U941" s="47"/>
      <c r="V941" s="1" t="str">
        <f t="shared" si="263"/>
        <v/>
      </c>
      <c r="W941" s="47"/>
      <c r="X941" s="1" t="str">
        <f t="shared" si="264"/>
        <v/>
      </c>
      <c r="Y941" s="47"/>
      <c r="Z941" s="1" t="str">
        <f t="shared" si="265"/>
        <v/>
      </c>
      <c r="AA941" s="47"/>
      <c r="AB941" s="1" t="str">
        <f t="shared" si="266"/>
        <v/>
      </c>
      <c r="AC941" s="47"/>
      <c r="AD941" s="1" t="str">
        <f t="shared" si="267"/>
        <v/>
      </c>
      <c r="AE941" s="47"/>
      <c r="AF941" s="1" t="str">
        <f t="shared" si="268"/>
        <v/>
      </c>
      <c r="AG941" s="47"/>
    </row>
    <row r="942" spans="1:33">
      <c r="A942">
        <f t="shared" si="252"/>
        <v>0</v>
      </c>
      <c r="B942" s="2" t="str">
        <f t="shared" si="269"/>
        <v/>
      </c>
      <c r="C942" s="4" t="str">
        <f t="shared" si="253"/>
        <v/>
      </c>
      <c r="D942" s="3" t="str">
        <f t="shared" si="254"/>
        <v/>
      </c>
      <c r="E942" s="47"/>
      <c r="F942" s="3" t="str">
        <f t="shared" si="255"/>
        <v/>
      </c>
      <c r="G942" s="47"/>
      <c r="H942" s="3" t="str">
        <f t="shared" si="256"/>
        <v/>
      </c>
      <c r="I942" s="47"/>
      <c r="J942" s="3" t="str">
        <f t="shared" si="257"/>
        <v/>
      </c>
      <c r="K942" s="47"/>
      <c r="L942" s="3" t="str">
        <f t="shared" si="258"/>
        <v/>
      </c>
      <c r="M942" s="47"/>
      <c r="N942" s="3" t="str">
        <f t="shared" si="259"/>
        <v/>
      </c>
      <c r="O942" s="47"/>
      <c r="P942" s="3" t="str">
        <f t="shared" si="260"/>
        <v/>
      </c>
      <c r="Q942" s="47"/>
      <c r="R942" s="3" t="str">
        <f t="shared" si="261"/>
        <v/>
      </c>
      <c r="S942" s="47"/>
      <c r="T942" s="1" t="str">
        <f t="shared" si="262"/>
        <v/>
      </c>
      <c r="U942" s="47"/>
      <c r="V942" s="1" t="str">
        <f t="shared" si="263"/>
        <v/>
      </c>
      <c r="W942" s="47"/>
      <c r="X942" s="1" t="str">
        <f t="shared" si="264"/>
        <v/>
      </c>
      <c r="Y942" s="47"/>
      <c r="Z942" s="1" t="str">
        <f t="shared" si="265"/>
        <v/>
      </c>
      <c r="AA942" s="47"/>
      <c r="AB942" s="1" t="str">
        <f t="shared" si="266"/>
        <v/>
      </c>
      <c r="AC942" s="47"/>
      <c r="AD942" s="1" t="str">
        <f t="shared" si="267"/>
        <v/>
      </c>
      <c r="AE942" s="47"/>
      <c r="AF942" s="1" t="str">
        <f t="shared" si="268"/>
        <v/>
      </c>
      <c r="AG942" s="47"/>
    </row>
    <row r="943" spans="1:33">
      <c r="A943">
        <f t="shared" si="252"/>
        <v>0</v>
      </c>
      <c r="B943" s="2" t="str">
        <f t="shared" si="269"/>
        <v/>
      </c>
      <c r="C943" s="4" t="str">
        <f t="shared" si="253"/>
        <v/>
      </c>
      <c r="D943" s="3" t="str">
        <f t="shared" si="254"/>
        <v/>
      </c>
      <c r="E943" s="47"/>
      <c r="F943" s="3" t="str">
        <f t="shared" si="255"/>
        <v/>
      </c>
      <c r="G943" s="47"/>
      <c r="H943" s="3" t="str">
        <f t="shared" si="256"/>
        <v/>
      </c>
      <c r="I943" s="47"/>
      <c r="J943" s="3" t="str">
        <f t="shared" si="257"/>
        <v/>
      </c>
      <c r="K943" s="47"/>
      <c r="L943" s="3" t="str">
        <f t="shared" si="258"/>
        <v/>
      </c>
      <c r="M943" s="47"/>
      <c r="N943" s="3" t="str">
        <f t="shared" si="259"/>
        <v/>
      </c>
      <c r="O943" s="47"/>
      <c r="P943" s="3" t="str">
        <f t="shared" si="260"/>
        <v/>
      </c>
      <c r="Q943" s="47"/>
      <c r="R943" s="3" t="str">
        <f t="shared" si="261"/>
        <v/>
      </c>
      <c r="S943" s="47"/>
      <c r="T943" s="1" t="str">
        <f t="shared" si="262"/>
        <v/>
      </c>
      <c r="U943" s="47"/>
      <c r="V943" s="1" t="str">
        <f t="shared" si="263"/>
        <v/>
      </c>
      <c r="W943" s="47"/>
      <c r="X943" s="1" t="str">
        <f t="shared" si="264"/>
        <v/>
      </c>
      <c r="Y943" s="47"/>
      <c r="Z943" s="1" t="str">
        <f t="shared" si="265"/>
        <v/>
      </c>
      <c r="AA943" s="47"/>
      <c r="AB943" s="1" t="str">
        <f t="shared" si="266"/>
        <v/>
      </c>
      <c r="AC943" s="47"/>
      <c r="AD943" s="1" t="str">
        <f t="shared" si="267"/>
        <v/>
      </c>
      <c r="AE943" s="47"/>
      <c r="AF943" s="1" t="str">
        <f t="shared" si="268"/>
        <v/>
      </c>
      <c r="AG943" s="47"/>
    </row>
    <row r="944" spans="1:33">
      <c r="A944">
        <f t="shared" si="252"/>
        <v>0</v>
      </c>
      <c r="B944" s="2" t="str">
        <f t="shared" si="269"/>
        <v/>
      </c>
      <c r="C944" s="4" t="str">
        <f t="shared" si="253"/>
        <v/>
      </c>
      <c r="D944" s="3" t="str">
        <f t="shared" si="254"/>
        <v/>
      </c>
      <c r="E944" s="47"/>
      <c r="F944" s="3" t="str">
        <f t="shared" si="255"/>
        <v/>
      </c>
      <c r="G944" s="47"/>
      <c r="H944" s="3" t="str">
        <f t="shared" si="256"/>
        <v/>
      </c>
      <c r="I944" s="47"/>
      <c r="J944" s="3" t="str">
        <f t="shared" si="257"/>
        <v/>
      </c>
      <c r="K944" s="47"/>
      <c r="L944" s="3" t="str">
        <f t="shared" si="258"/>
        <v/>
      </c>
      <c r="M944" s="47"/>
      <c r="N944" s="3" t="str">
        <f t="shared" si="259"/>
        <v/>
      </c>
      <c r="O944" s="47"/>
      <c r="P944" s="3" t="str">
        <f t="shared" si="260"/>
        <v/>
      </c>
      <c r="Q944" s="47"/>
      <c r="R944" s="3" t="str">
        <f t="shared" si="261"/>
        <v/>
      </c>
      <c r="S944" s="47"/>
      <c r="T944" s="1" t="str">
        <f t="shared" si="262"/>
        <v/>
      </c>
      <c r="U944" s="47"/>
      <c r="V944" s="1" t="str">
        <f t="shared" si="263"/>
        <v/>
      </c>
      <c r="W944" s="47"/>
      <c r="X944" s="1" t="str">
        <f t="shared" si="264"/>
        <v/>
      </c>
      <c r="Y944" s="47"/>
      <c r="Z944" s="1" t="str">
        <f t="shared" si="265"/>
        <v/>
      </c>
      <c r="AA944" s="47"/>
      <c r="AB944" s="1" t="str">
        <f t="shared" si="266"/>
        <v/>
      </c>
      <c r="AC944" s="47"/>
      <c r="AD944" s="1" t="str">
        <f t="shared" si="267"/>
        <v/>
      </c>
      <c r="AE944" s="47"/>
      <c r="AF944" s="1" t="str">
        <f t="shared" si="268"/>
        <v/>
      </c>
      <c r="AG944" s="47"/>
    </row>
    <row r="945" spans="1:33">
      <c r="A945">
        <f t="shared" si="252"/>
        <v>0</v>
      </c>
      <c r="B945" s="2" t="str">
        <f t="shared" si="269"/>
        <v/>
      </c>
      <c r="C945" s="4" t="str">
        <f t="shared" si="253"/>
        <v/>
      </c>
      <c r="D945" s="3" t="str">
        <f t="shared" si="254"/>
        <v/>
      </c>
      <c r="E945" s="47"/>
      <c r="F945" s="3" t="str">
        <f t="shared" si="255"/>
        <v/>
      </c>
      <c r="G945" s="47"/>
      <c r="H945" s="3" t="str">
        <f t="shared" si="256"/>
        <v/>
      </c>
      <c r="I945" s="47"/>
      <c r="J945" s="3" t="str">
        <f t="shared" si="257"/>
        <v/>
      </c>
      <c r="K945" s="47"/>
      <c r="L945" s="3" t="str">
        <f t="shared" si="258"/>
        <v/>
      </c>
      <c r="M945" s="47"/>
      <c r="N945" s="3" t="str">
        <f t="shared" si="259"/>
        <v/>
      </c>
      <c r="O945" s="47"/>
      <c r="P945" s="3" t="str">
        <f t="shared" si="260"/>
        <v/>
      </c>
      <c r="Q945" s="47"/>
      <c r="R945" s="3" t="str">
        <f t="shared" si="261"/>
        <v/>
      </c>
      <c r="S945" s="47"/>
      <c r="T945" s="1" t="str">
        <f t="shared" si="262"/>
        <v/>
      </c>
      <c r="U945" s="47"/>
      <c r="V945" s="1" t="str">
        <f t="shared" si="263"/>
        <v/>
      </c>
      <c r="W945" s="47"/>
      <c r="X945" s="1" t="str">
        <f t="shared" si="264"/>
        <v/>
      </c>
      <c r="Y945" s="47"/>
      <c r="Z945" s="1" t="str">
        <f t="shared" si="265"/>
        <v/>
      </c>
      <c r="AA945" s="47"/>
      <c r="AB945" s="1" t="str">
        <f t="shared" si="266"/>
        <v/>
      </c>
      <c r="AC945" s="47"/>
      <c r="AD945" s="1" t="str">
        <f t="shared" si="267"/>
        <v/>
      </c>
      <c r="AE945" s="47"/>
      <c r="AF945" s="1" t="str">
        <f t="shared" si="268"/>
        <v/>
      </c>
      <c r="AG945" s="47"/>
    </row>
    <row r="946" spans="1:33">
      <c r="A946">
        <f t="shared" si="252"/>
        <v>0</v>
      </c>
      <c r="B946" s="2" t="str">
        <f t="shared" si="269"/>
        <v/>
      </c>
      <c r="C946" s="4" t="str">
        <f t="shared" si="253"/>
        <v/>
      </c>
      <c r="D946" s="3" t="str">
        <f t="shared" si="254"/>
        <v/>
      </c>
      <c r="E946" s="47"/>
      <c r="F946" s="3" t="str">
        <f t="shared" si="255"/>
        <v/>
      </c>
      <c r="G946" s="47"/>
      <c r="H946" s="3" t="str">
        <f t="shared" si="256"/>
        <v/>
      </c>
      <c r="I946" s="47"/>
      <c r="J946" s="3" t="str">
        <f t="shared" si="257"/>
        <v/>
      </c>
      <c r="K946" s="47"/>
      <c r="L946" s="3" t="str">
        <f t="shared" si="258"/>
        <v/>
      </c>
      <c r="M946" s="47"/>
      <c r="N946" s="3" t="str">
        <f t="shared" si="259"/>
        <v/>
      </c>
      <c r="O946" s="47"/>
      <c r="P946" s="3" t="str">
        <f t="shared" si="260"/>
        <v/>
      </c>
      <c r="Q946" s="47"/>
      <c r="R946" s="3" t="str">
        <f t="shared" si="261"/>
        <v/>
      </c>
      <c r="S946" s="47"/>
      <c r="T946" s="1" t="str">
        <f t="shared" si="262"/>
        <v/>
      </c>
      <c r="U946" s="47"/>
      <c r="V946" s="1" t="str">
        <f t="shared" si="263"/>
        <v/>
      </c>
      <c r="W946" s="47"/>
      <c r="X946" s="1" t="str">
        <f t="shared" si="264"/>
        <v/>
      </c>
      <c r="Y946" s="47"/>
      <c r="Z946" s="1" t="str">
        <f t="shared" si="265"/>
        <v/>
      </c>
      <c r="AA946" s="47"/>
      <c r="AB946" s="1" t="str">
        <f t="shared" si="266"/>
        <v/>
      </c>
      <c r="AC946" s="47"/>
      <c r="AD946" s="1" t="str">
        <f t="shared" si="267"/>
        <v/>
      </c>
      <c r="AE946" s="47"/>
      <c r="AF946" s="1" t="str">
        <f t="shared" si="268"/>
        <v/>
      </c>
      <c r="AG946" s="47"/>
    </row>
    <row r="947" spans="1:33">
      <c r="A947">
        <f t="shared" si="252"/>
        <v>0</v>
      </c>
      <c r="B947" s="2" t="str">
        <f t="shared" si="269"/>
        <v/>
      </c>
      <c r="C947" s="4" t="str">
        <f t="shared" si="253"/>
        <v/>
      </c>
      <c r="D947" s="3" t="str">
        <f t="shared" si="254"/>
        <v/>
      </c>
      <c r="E947" s="47"/>
      <c r="F947" s="3" t="str">
        <f t="shared" si="255"/>
        <v/>
      </c>
      <c r="G947" s="47"/>
      <c r="H947" s="3" t="str">
        <f t="shared" si="256"/>
        <v/>
      </c>
      <c r="I947" s="47"/>
      <c r="J947" s="3" t="str">
        <f t="shared" si="257"/>
        <v/>
      </c>
      <c r="K947" s="47"/>
      <c r="L947" s="3" t="str">
        <f t="shared" si="258"/>
        <v/>
      </c>
      <c r="M947" s="47"/>
      <c r="N947" s="3" t="str">
        <f t="shared" si="259"/>
        <v/>
      </c>
      <c r="O947" s="47"/>
      <c r="P947" s="3" t="str">
        <f t="shared" si="260"/>
        <v/>
      </c>
      <c r="Q947" s="47"/>
      <c r="R947" s="3" t="str">
        <f t="shared" si="261"/>
        <v/>
      </c>
      <c r="S947" s="47"/>
      <c r="T947" s="1" t="str">
        <f t="shared" si="262"/>
        <v/>
      </c>
      <c r="U947" s="47"/>
      <c r="V947" s="1" t="str">
        <f t="shared" si="263"/>
        <v/>
      </c>
      <c r="W947" s="47"/>
      <c r="X947" s="1" t="str">
        <f t="shared" si="264"/>
        <v/>
      </c>
      <c r="Y947" s="47"/>
      <c r="Z947" s="1" t="str">
        <f t="shared" si="265"/>
        <v/>
      </c>
      <c r="AA947" s="47"/>
      <c r="AB947" s="1" t="str">
        <f t="shared" si="266"/>
        <v/>
      </c>
      <c r="AC947" s="47"/>
      <c r="AD947" s="1" t="str">
        <f t="shared" si="267"/>
        <v/>
      </c>
      <c r="AE947" s="47"/>
      <c r="AF947" s="1" t="str">
        <f t="shared" si="268"/>
        <v/>
      </c>
      <c r="AG947" s="47"/>
    </row>
    <row r="948" spans="1:33">
      <c r="A948">
        <f t="shared" si="252"/>
        <v>0</v>
      </c>
      <c r="B948" s="2" t="str">
        <f t="shared" si="269"/>
        <v/>
      </c>
      <c r="C948" s="4" t="str">
        <f t="shared" si="253"/>
        <v/>
      </c>
      <c r="D948" s="3" t="str">
        <f t="shared" si="254"/>
        <v/>
      </c>
      <c r="E948" s="47"/>
      <c r="F948" s="3" t="str">
        <f t="shared" si="255"/>
        <v/>
      </c>
      <c r="G948" s="47"/>
      <c r="H948" s="3" t="str">
        <f t="shared" si="256"/>
        <v/>
      </c>
      <c r="I948" s="47"/>
      <c r="J948" s="3" t="str">
        <f t="shared" si="257"/>
        <v/>
      </c>
      <c r="K948" s="47"/>
      <c r="L948" s="3" t="str">
        <f t="shared" si="258"/>
        <v/>
      </c>
      <c r="M948" s="47"/>
      <c r="N948" s="3" t="str">
        <f t="shared" si="259"/>
        <v/>
      </c>
      <c r="O948" s="47"/>
      <c r="P948" s="3" t="str">
        <f t="shared" si="260"/>
        <v/>
      </c>
      <c r="Q948" s="47"/>
      <c r="R948" s="3" t="str">
        <f t="shared" si="261"/>
        <v/>
      </c>
      <c r="S948" s="47"/>
      <c r="T948" s="1" t="str">
        <f t="shared" si="262"/>
        <v/>
      </c>
      <c r="U948" s="47"/>
      <c r="V948" s="1" t="str">
        <f t="shared" si="263"/>
        <v/>
      </c>
      <c r="W948" s="47"/>
      <c r="X948" s="1" t="str">
        <f t="shared" si="264"/>
        <v/>
      </c>
      <c r="Y948" s="47"/>
      <c r="Z948" s="1" t="str">
        <f t="shared" si="265"/>
        <v/>
      </c>
      <c r="AA948" s="47"/>
      <c r="AB948" s="1" t="str">
        <f t="shared" si="266"/>
        <v/>
      </c>
      <c r="AC948" s="47"/>
      <c r="AD948" s="1" t="str">
        <f t="shared" si="267"/>
        <v/>
      </c>
      <c r="AE948" s="47"/>
      <c r="AF948" s="1" t="str">
        <f t="shared" si="268"/>
        <v/>
      </c>
      <c r="AG948" s="47"/>
    </row>
    <row r="949" spans="1:33">
      <c r="A949">
        <f t="shared" si="252"/>
        <v>0</v>
      </c>
      <c r="B949" s="2" t="str">
        <f t="shared" si="269"/>
        <v/>
      </c>
      <c r="C949" s="4" t="str">
        <f t="shared" si="253"/>
        <v/>
      </c>
      <c r="D949" s="3" t="str">
        <f t="shared" si="254"/>
        <v/>
      </c>
      <c r="E949" s="47"/>
      <c r="F949" s="3" t="str">
        <f t="shared" si="255"/>
        <v/>
      </c>
      <c r="G949" s="47"/>
      <c r="H949" s="3" t="str">
        <f t="shared" si="256"/>
        <v/>
      </c>
      <c r="I949" s="47"/>
      <c r="J949" s="3" t="str">
        <f t="shared" si="257"/>
        <v/>
      </c>
      <c r="K949" s="47"/>
      <c r="L949" s="3" t="str">
        <f t="shared" si="258"/>
        <v/>
      </c>
      <c r="M949" s="47"/>
      <c r="N949" s="3" t="str">
        <f t="shared" si="259"/>
        <v/>
      </c>
      <c r="O949" s="47"/>
      <c r="P949" s="3" t="str">
        <f t="shared" si="260"/>
        <v/>
      </c>
      <c r="Q949" s="47"/>
      <c r="R949" s="3" t="str">
        <f t="shared" si="261"/>
        <v/>
      </c>
      <c r="S949" s="47"/>
      <c r="T949" s="1" t="str">
        <f t="shared" si="262"/>
        <v/>
      </c>
      <c r="U949" s="47"/>
      <c r="V949" s="1" t="str">
        <f t="shared" si="263"/>
        <v/>
      </c>
      <c r="W949" s="47"/>
      <c r="X949" s="1" t="str">
        <f t="shared" si="264"/>
        <v/>
      </c>
      <c r="Y949" s="47"/>
      <c r="Z949" s="1" t="str">
        <f t="shared" si="265"/>
        <v/>
      </c>
      <c r="AA949" s="47"/>
      <c r="AB949" s="1" t="str">
        <f t="shared" si="266"/>
        <v/>
      </c>
      <c r="AC949" s="47"/>
      <c r="AD949" s="1" t="str">
        <f t="shared" si="267"/>
        <v/>
      </c>
      <c r="AE949" s="47"/>
      <c r="AF949" s="1" t="str">
        <f t="shared" si="268"/>
        <v/>
      </c>
      <c r="AG949" s="47"/>
    </row>
    <row r="950" spans="1:33">
      <c r="A950">
        <f t="shared" si="252"/>
        <v>0</v>
      </c>
      <c r="B950" s="2" t="str">
        <f t="shared" si="269"/>
        <v/>
      </c>
      <c r="C950" s="4" t="str">
        <f t="shared" si="253"/>
        <v/>
      </c>
      <c r="D950" s="3" t="str">
        <f t="shared" si="254"/>
        <v/>
      </c>
      <c r="E950" s="47"/>
      <c r="F950" s="3" t="str">
        <f t="shared" si="255"/>
        <v/>
      </c>
      <c r="G950" s="47"/>
      <c r="H950" s="3" t="str">
        <f t="shared" si="256"/>
        <v/>
      </c>
      <c r="I950" s="47"/>
      <c r="J950" s="3" t="str">
        <f t="shared" si="257"/>
        <v/>
      </c>
      <c r="K950" s="47"/>
      <c r="L950" s="3" t="str">
        <f t="shared" si="258"/>
        <v/>
      </c>
      <c r="M950" s="47"/>
      <c r="N950" s="3" t="str">
        <f t="shared" si="259"/>
        <v/>
      </c>
      <c r="O950" s="47"/>
      <c r="P950" s="3" t="str">
        <f t="shared" si="260"/>
        <v/>
      </c>
      <c r="Q950" s="47"/>
      <c r="R950" s="3" t="str">
        <f t="shared" si="261"/>
        <v/>
      </c>
      <c r="S950" s="47"/>
      <c r="T950" s="1" t="str">
        <f t="shared" si="262"/>
        <v/>
      </c>
      <c r="U950" s="47"/>
      <c r="V950" s="1" t="str">
        <f t="shared" si="263"/>
        <v/>
      </c>
      <c r="W950" s="47"/>
      <c r="X950" s="1" t="str">
        <f t="shared" si="264"/>
        <v/>
      </c>
      <c r="Y950" s="47"/>
      <c r="Z950" s="1" t="str">
        <f t="shared" si="265"/>
        <v/>
      </c>
      <c r="AA950" s="47"/>
      <c r="AB950" s="1" t="str">
        <f t="shared" si="266"/>
        <v/>
      </c>
      <c r="AC950" s="47"/>
      <c r="AD950" s="1" t="str">
        <f t="shared" si="267"/>
        <v/>
      </c>
      <c r="AE950" s="47"/>
      <c r="AF950" s="1" t="str">
        <f t="shared" si="268"/>
        <v/>
      </c>
      <c r="AG950" s="47"/>
    </row>
    <row r="951" spans="1:33">
      <c r="A951">
        <f t="shared" si="252"/>
        <v>0</v>
      </c>
      <c r="B951" s="2" t="str">
        <f t="shared" si="269"/>
        <v/>
      </c>
      <c r="C951" s="4" t="str">
        <f t="shared" si="253"/>
        <v/>
      </c>
      <c r="D951" s="3" t="str">
        <f t="shared" si="254"/>
        <v/>
      </c>
      <c r="E951" s="47"/>
      <c r="F951" s="3" t="str">
        <f t="shared" si="255"/>
        <v/>
      </c>
      <c r="G951" s="47"/>
      <c r="H951" s="3" t="str">
        <f t="shared" si="256"/>
        <v/>
      </c>
      <c r="I951" s="47"/>
      <c r="J951" s="3" t="str">
        <f t="shared" si="257"/>
        <v/>
      </c>
      <c r="K951" s="47"/>
      <c r="L951" s="3" t="str">
        <f t="shared" si="258"/>
        <v/>
      </c>
      <c r="M951" s="47"/>
      <c r="N951" s="3" t="str">
        <f t="shared" si="259"/>
        <v/>
      </c>
      <c r="O951" s="47"/>
      <c r="P951" s="3" t="str">
        <f t="shared" si="260"/>
        <v/>
      </c>
      <c r="Q951" s="47"/>
      <c r="R951" s="3" t="str">
        <f t="shared" si="261"/>
        <v/>
      </c>
      <c r="S951" s="47"/>
      <c r="T951" s="1" t="str">
        <f t="shared" si="262"/>
        <v/>
      </c>
      <c r="U951" s="47"/>
      <c r="V951" s="1" t="str">
        <f t="shared" si="263"/>
        <v/>
      </c>
      <c r="W951" s="47"/>
      <c r="X951" s="1" t="str">
        <f t="shared" si="264"/>
        <v/>
      </c>
      <c r="Y951" s="47"/>
      <c r="Z951" s="1" t="str">
        <f t="shared" si="265"/>
        <v/>
      </c>
      <c r="AA951" s="47"/>
      <c r="AB951" s="1" t="str">
        <f t="shared" si="266"/>
        <v/>
      </c>
      <c r="AC951" s="47"/>
      <c r="AD951" s="1" t="str">
        <f t="shared" si="267"/>
        <v/>
      </c>
      <c r="AE951" s="47"/>
      <c r="AF951" s="1" t="str">
        <f t="shared" si="268"/>
        <v/>
      </c>
      <c r="AG951" s="47"/>
    </row>
    <row r="952" spans="1:33">
      <c r="A952">
        <f t="shared" si="252"/>
        <v>0</v>
      </c>
      <c r="B952" s="2" t="str">
        <f t="shared" si="269"/>
        <v/>
      </c>
      <c r="C952" s="4" t="str">
        <f t="shared" si="253"/>
        <v/>
      </c>
      <c r="D952" s="3" t="str">
        <f t="shared" si="254"/>
        <v/>
      </c>
      <c r="E952" s="47"/>
      <c r="F952" s="3" t="str">
        <f t="shared" si="255"/>
        <v/>
      </c>
      <c r="G952" s="47"/>
      <c r="H952" s="3" t="str">
        <f t="shared" si="256"/>
        <v/>
      </c>
      <c r="I952" s="47"/>
      <c r="J952" s="3" t="str">
        <f t="shared" si="257"/>
        <v/>
      </c>
      <c r="K952" s="47"/>
      <c r="L952" s="3" t="str">
        <f t="shared" si="258"/>
        <v/>
      </c>
      <c r="M952" s="47"/>
      <c r="N952" s="3" t="str">
        <f t="shared" si="259"/>
        <v/>
      </c>
      <c r="O952" s="47"/>
      <c r="P952" s="3" t="str">
        <f t="shared" si="260"/>
        <v/>
      </c>
      <c r="Q952" s="47"/>
      <c r="R952" s="3" t="str">
        <f t="shared" si="261"/>
        <v/>
      </c>
      <c r="S952" s="47"/>
      <c r="T952" s="1" t="str">
        <f t="shared" si="262"/>
        <v/>
      </c>
      <c r="U952" s="47"/>
      <c r="V952" s="1" t="str">
        <f t="shared" si="263"/>
        <v/>
      </c>
      <c r="W952" s="47"/>
      <c r="X952" s="1" t="str">
        <f t="shared" si="264"/>
        <v/>
      </c>
      <c r="Y952" s="47"/>
      <c r="Z952" s="1" t="str">
        <f t="shared" si="265"/>
        <v/>
      </c>
      <c r="AA952" s="47"/>
      <c r="AB952" s="1" t="str">
        <f t="shared" si="266"/>
        <v/>
      </c>
      <c r="AC952" s="47"/>
      <c r="AD952" s="1" t="str">
        <f t="shared" si="267"/>
        <v/>
      </c>
      <c r="AE952" s="47"/>
      <c r="AF952" s="1" t="str">
        <f t="shared" si="268"/>
        <v/>
      </c>
      <c r="AG952" s="47"/>
    </row>
    <row r="953" spans="1:33">
      <c r="A953">
        <f t="shared" si="252"/>
        <v>0</v>
      </c>
      <c r="B953" s="2" t="str">
        <f t="shared" si="269"/>
        <v/>
      </c>
      <c r="C953" s="4" t="str">
        <f t="shared" si="253"/>
        <v/>
      </c>
      <c r="D953" s="3" t="str">
        <f t="shared" si="254"/>
        <v/>
      </c>
      <c r="E953" s="47"/>
      <c r="F953" s="3" t="str">
        <f t="shared" si="255"/>
        <v/>
      </c>
      <c r="G953" s="47"/>
      <c r="H953" s="3" t="str">
        <f t="shared" si="256"/>
        <v/>
      </c>
      <c r="I953" s="47"/>
      <c r="J953" s="3" t="str">
        <f t="shared" si="257"/>
        <v/>
      </c>
      <c r="K953" s="47"/>
      <c r="L953" s="3" t="str">
        <f t="shared" si="258"/>
        <v/>
      </c>
      <c r="M953" s="47"/>
      <c r="N953" s="3" t="str">
        <f t="shared" si="259"/>
        <v/>
      </c>
      <c r="O953" s="47"/>
      <c r="P953" s="3" t="str">
        <f t="shared" si="260"/>
        <v/>
      </c>
      <c r="Q953" s="47"/>
      <c r="R953" s="3" t="str">
        <f t="shared" si="261"/>
        <v/>
      </c>
      <c r="S953" s="47"/>
      <c r="T953" s="1" t="str">
        <f t="shared" si="262"/>
        <v/>
      </c>
      <c r="U953" s="47"/>
      <c r="V953" s="1" t="str">
        <f t="shared" si="263"/>
        <v/>
      </c>
      <c r="W953" s="47"/>
      <c r="X953" s="1" t="str">
        <f t="shared" si="264"/>
        <v/>
      </c>
      <c r="Y953" s="47"/>
      <c r="Z953" s="1" t="str">
        <f t="shared" si="265"/>
        <v/>
      </c>
      <c r="AA953" s="47"/>
      <c r="AB953" s="1" t="str">
        <f t="shared" si="266"/>
        <v/>
      </c>
      <c r="AC953" s="47"/>
      <c r="AD953" s="1" t="str">
        <f t="shared" si="267"/>
        <v/>
      </c>
      <c r="AE953" s="47"/>
      <c r="AF953" s="1" t="str">
        <f t="shared" si="268"/>
        <v/>
      </c>
      <c r="AG953" s="47"/>
    </row>
    <row r="954" spans="1:33">
      <c r="A954">
        <f t="shared" si="252"/>
        <v>0</v>
      </c>
      <c r="B954" s="2" t="str">
        <f t="shared" si="269"/>
        <v/>
      </c>
      <c r="C954" s="4" t="str">
        <f t="shared" si="253"/>
        <v/>
      </c>
      <c r="D954" s="3" t="str">
        <f t="shared" si="254"/>
        <v/>
      </c>
      <c r="E954" s="47"/>
      <c r="F954" s="3" t="str">
        <f t="shared" si="255"/>
        <v/>
      </c>
      <c r="G954" s="47"/>
      <c r="H954" s="3" t="str">
        <f t="shared" si="256"/>
        <v/>
      </c>
      <c r="I954" s="47"/>
      <c r="J954" s="3" t="str">
        <f t="shared" si="257"/>
        <v/>
      </c>
      <c r="K954" s="47"/>
      <c r="L954" s="3" t="str">
        <f t="shared" si="258"/>
        <v/>
      </c>
      <c r="M954" s="47"/>
      <c r="N954" s="3" t="str">
        <f t="shared" si="259"/>
        <v/>
      </c>
      <c r="O954" s="47"/>
      <c r="P954" s="3" t="str">
        <f t="shared" si="260"/>
        <v/>
      </c>
      <c r="Q954" s="47"/>
      <c r="R954" s="3" t="str">
        <f t="shared" si="261"/>
        <v/>
      </c>
      <c r="S954" s="47"/>
      <c r="T954" s="1" t="str">
        <f t="shared" si="262"/>
        <v/>
      </c>
      <c r="U954" s="47"/>
      <c r="V954" s="1" t="str">
        <f t="shared" si="263"/>
        <v/>
      </c>
      <c r="W954" s="47"/>
      <c r="X954" s="1" t="str">
        <f t="shared" si="264"/>
        <v/>
      </c>
      <c r="Y954" s="47"/>
      <c r="Z954" s="1" t="str">
        <f t="shared" si="265"/>
        <v/>
      </c>
      <c r="AA954" s="47"/>
      <c r="AB954" s="1" t="str">
        <f t="shared" si="266"/>
        <v/>
      </c>
      <c r="AC954" s="47"/>
      <c r="AD954" s="1" t="str">
        <f t="shared" si="267"/>
        <v/>
      </c>
      <c r="AE954" s="47"/>
      <c r="AF954" s="1" t="str">
        <f t="shared" si="268"/>
        <v/>
      </c>
      <c r="AG954" s="47"/>
    </row>
    <row r="955" spans="1:33">
      <c r="A955">
        <f t="shared" si="252"/>
        <v>0</v>
      </c>
      <c r="B955" s="2" t="str">
        <f t="shared" si="269"/>
        <v/>
      </c>
      <c r="C955" s="4" t="str">
        <f t="shared" si="253"/>
        <v/>
      </c>
      <c r="D955" s="3" t="str">
        <f t="shared" si="254"/>
        <v/>
      </c>
      <c r="E955" s="47"/>
      <c r="F955" s="3" t="str">
        <f t="shared" si="255"/>
        <v/>
      </c>
      <c r="G955" s="47"/>
      <c r="H955" s="3" t="str">
        <f t="shared" si="256"/>
        <v/>
      </c>
      <c r="I955" s="47"/>
      <c r="J955" s="3" t="str">
        <f t="shared" si="257"/>
        <v/>
      </c>
      <c r="K955" s="47"/>
      <c r="L955" s="3" t="str">
        <f t="shared" si="258"/>
        <v/>
      </c>
      <c r="M955" s="47"/>
      <c r="N955" s="3" t="str">
        <f t="shared" si="259"/>
        <v/>
      </c>
      <c r="O955" s="47"/>
      <c r="P955" s="3" t="str">
        <f t="shared" si="260"/>
        <v/>
      </c>
      <c r="Q955" s="47"/>
      <c r="R955" s="3" t="str">
        <f t="shared" si="261"/>
        <v/>
      </c>
      <c r="S955" s="47"/>
      <c r="T955" s="1" t="str">
        <f t="shared" si="262"/>
        <v/>
      </c>
      <c r="U955" s="47"/>
      <c r="V955" s="1" t="str">
        <f t="shared" si="263"/>
        <v/>
      </c>
      <c r="W955" s="47"/>
      <c r="X955" s="1" t="str">
        <f t="shared" si="264"/>
        <v/>
      </c>
      <c r="Y955" s="47"/>
      <c r="Z955" s="1" t="str">
        <f t="shared" si="265"/>
        <v/>
      </c>
      <c r="AA955" s="47"/>
      <c r="AB955" s="1" t="str">
        <f t="shared" si="266"/>
        <v/>
      </c>
      <c r="AC955" s="47"/>
      <c r="AD955" s="1" t="str">
        <f t="shared" si="267"/>
        <v/>
      </c>
      <c r="AE955" s="47"/>
      <c r="AF955" s="1" t="str">
        <f t="shared" si="268"/>
        <v/>
      </c>
      <c r="AG955" s="47"/>
    </row>
    <row r="956" spans="1:33">
      <c r="A956">
        <f t="shared" si="252"/>
        <v>0</v>
      </c>
      <c r="B956" s="2" t="str">
        <f t="shared" si="269"/>
        <v/>
      </c>
      <c r="C956" s="4" t="str">
        <f t="shared" si="253"/>
        <v/>
      </c>
      <c r="D956" s="3" t="str">
        <f t="shared" si="254"/>
        <v/>
      </c>
      <c r="E956" s="47"/>
      <c r="F956" s="3" t="str">
        <f t="shared" si="255"/>
        <v/>
      </c>
      <c r="G956" s="47"/>
      <c r="H956" s="3" t="str">
        <f t="shared" si="256"/>
        <v/>
      </c>
      <c r="I956" s="47"/>
      <c r="J956" s="3" t="str">
        <f t="shared" si="257"/>
        <v/>
      </c>
      <c r="K956" s="47"/>
      <c r="L956" s="3" t="str">
        <f t="shared" si="258"/>
        <v/>
      </c>
      <c r="M956" s="47"/>
      <c r="N956" s="3" t="str">
        <f t="shared" si="259"/>
        <v/>
      </c>
      <c r="O956" s="47"/>
      <c r="P956" s="3" t="str">
        <f t="shared" si="260"/>
        <v/>
      </c>
      <c r="Q956" s="47"/>
      <c r="R956" s="3" t="str">
        <f t="shared" si="261"/>
        <v/>
      </c>
      <c r="S956" s="47"/>
      <c r="T956" s="1" t="str">
        <f t="shared" si="262"/>
        <v/>
      </c>
      <c r="U956" s="47"/>
      <c r="V956" s="1" t="str">
        <f t="shared" si="263"/>
        <v/>
      </c>
      <c r="W956" s="47"/>
      <c r="X956" s="1" t="str">
        <f t="shared" si="264"/>
        <v/>
      </c>
      <c r="Y956" s="47"/>
      <c r="Z956" s="1" t="str">
        <f t="shared" si="265"/>
        <v/>
      </c>
      <c r="AA956" s="47"/>
      <c r="AB956" s="1" t="str">
        <f t="shared" si="266"/>
        <v/>
      </c>
      <c r="AC956" s="47"/>
      <c r="AD956" s="1" t="str">
        <f t="shared" si="267"/>
        <v/>
      </c>
      <c r="AE956" s="47"/>
      <c r="AF956" s="1" t="str">
        <f t="shared" si="268"/>
        <v/>
      </c>
      <c r="AG956" s="47"/>
    </row>
    <row r="957" spans="1:33">
      <c r="A957">
        <f t="shared" si="252"/>
        <v>0</v>
      </c>
      <c r="B957" s="2" t="str">
        <f t="shared" si="269"/>
        <v/>
      </c>
      <c r="C957" s="4" t="str">
        <f t="shared" si="253"/>
        <v/>
      </c>
      <c r="D957" s="3" t="str">
        <f t="shared" si="254"/>
        <v/>
      </c>
      <c r="E957" s="47"/>
      <c r="F957" s="3" t="str">
        <f t="shared" si="255"/>
        <v/>
      </c>
      <c r="G957" s="47"/>
      <c r="H957" s="3" t="str">
        <f t="shared" si="256"/>
        <v/>
      </c>
      <c r="I957" s="47"/>
      <c r="J957" s="3" t="str">
        <f t="shared" si="257"/>
        <v/>
      </c>
      <c r="K957" s="47"/>
      <c r="L957" s="3" t="str">
        <f t="shared" si="258"/>
        <v/>
      </c>
      <c r="M957" s="47"/>
      <c r="N957" s="3" t="str">
        <f t="shared" si="259"/>
        <v/>
      </c>
      <c r="O957" s="47"/>
      <c r="P957" s="3" t="str">
        <f t="shared" si="260"/>
        <v/>
      </c>
      <c r="Q957" s="47"/>
      <c r="R957" s="3" t="str">
        <f t="shared" si="261"/>
        <v/>
      </c>
      <c r="S957" s="47"/>
      <c r="T957" s="1" t="str">
        <f t="shared" si="262"/>
        <v/>
      </c>
      <c r="U957" s="47"/>
      <c r="V957" s="1" t="str">
        <f t="shared" si="263"/>
        <v/>
      </c>
      <c r="W957" s="47"/>
      <c r="X957" s="1" t="str">
        <f t="shared" si="264"/>
        <v/>
      </c>
      <c r="Y957" s="47"/>
      <c r="Z957" s="1" t="str">
        <f t="shared" si="265"/>
        <v/>
      </c>
      <c r="AA957" s="47"/>
      <c r="AB957" s="1" t="str">
        <f t="shared" si="266"/>
        <v/>
      </c>
      <c r="AC957" s="47"/>
      <c r="AD957" s="1" t="str">
        <f t="shared" si="267"/>
        <v/>
      </c>
      <c r="AE957" s="47"/>
      <c r="AF957" s="1" t="str">
        <f t="shared" si="268"/>
        <v/>
      </c>
      <c r="AG957" s="47"/>
    </row>
    <row r="958" spans="1:33">
      <c r="A958">
        <f t="shared" si="252"/>
        <v>0</v>
      </c>
      <c r="B958" s="2" t="str">
        <f t="shared" si="269"/>
        <v/>
      </c>
      <c r="C958" s="4" t="str">
        <f t="shared" si="253"/>
        <v/>
      </c>
      <c r="D958" s="3" t="str">
        <f t="shared" si="254"/>
        <v/>
      </c>
      <c r="E958" s="47"/>
      <c r="F958" s="3" t="str">
        <f t="shared" si="255"/>
        <v/>
      </c>
      <c r="G958" s="47"/>
      <c r="H958" s="3" t="str">
        <f t="shared" si="256"/>
        <v/>
      </c>
      <c r="I958" s="47"/>
      <c r="J958" s="3" t="str">
        <f t="shared" si="257"/>
        <v/>
      </c>
      <c r="K958" s="47"/>
      <c r="L958" s="3" t="str">
        <f t="shared" si="258"/>
        <v/>
      </c>
      <c r="M958" s="47"/>
      <c r="N958" s="3" t="str">
        <f t="shared" si="259"/>
        <v/>
      </c>
      <c r="O958" s="47"/>
      <c r="P958" s="3" t="str">
        <f t="shared" si="260"/>
        <v/>
      </c>
      <c r="Q958" s="47"/>
      <c r="R958" s="3" t="str">
        <f t="shared" si="261"/>
        <v/>
      </c>
      <c r="S958" s="47"/>
      <c r="T958" s="1" t="str">
        <f t="shared" si="262"/>
        <v/>
      </c>
      <c r="U958" s="47"/>
      <c r="V958" s="1" t="str">
        <f t="shared" si="263"/>
        <v/>
      </c>
      <c r="W958" s="47"/>
      <c r="X958" s="1" t="str">
        <f t="shared" si="264"/>
        <v/>
      </c>
      <c r="Y958" s="47"/>
      <c r="Z958" s="1" t="str">
        <f t="shared" si="265"/>
        <v/>
      </c>
      <c r="AA958" s="47"/>
      <c r="AB958" s="1" t="str">
        <f t="shared" si="266"/>
        <v/>
      </c>
      <c r="AC958" s="47"/>
      <c r="AD958" s="1" t="str">
        <f t="shared" si="267"/>
        <v/>
      </c>
      <c r="AE958" s="47"/>
      <c r="AF958" s="1" t="str">
        <f t="shared" si="268"/>
        <v/>
      </c>
      <c r="AG958" s="47"/>
    </row>
    <row r="959" spans="1:33">
      <c r="A959">
        <f t="shared" si="252"/>
        <v>0</v>
      </c>
      <c r="B959" s="2" t="str">
        <f t="shared" si="269"/>
        <v/>
      </c>
      <c r="C959" s="4" t="str">
        <f t="shared" si="253"/>
        <v/>
      </c>
      <c r="D959" s="3" t="str">
        <f t="shared" si="254"/>
        <v/>
      </c>
      <c r="E959" s="47"/>
      <c r="F959" s="3" t="str">
        <f t="shared" si="255"/>
        <v/>
      </c>
      <c r="G959" s="47"/>
      <c r="H959" s="3" t="str">
        <f t="shared" si="256"/>
        <v/>
      </c>
      <c r="I959" s="47"/>
      <c r="J959" s="3" t="str">
        <f t="shared" si="257"/>
        <v/>
      </c>
      <c r="K959" s="47"/>
      <c r="L959" s="3" t="str">
        <f t="shared" si="258"/>
        <v/>
      </c>
      <c r="M959" s="47"/>
      <c r="N959" s="3" t="str">
        <f t="shared" si="259"/>
        <v/>
      </c>
      <c r="O959" s="47"/>
      <c r="P959" s="3" t="str">
        <f t="shared" si="260"/>
        <v/>
      </c>
      <c r="Q959" s="47"/>
      <c r="R959" s="3" t="str">
        <f t="shared" si="261"/>
        <v/>
      </c>
      <c r="S959" s="47"/>
      <c r="T959" s="1" t="str">
        <f t="shared" si="262"/>
        <v/>
      </c>
      <c r="U959" s="47"/>
      <c r="V959" s="1" t="str">
        <f t="shared" si="263"/>
        <v/>
      </c>
      <c r="W959" s="47"/>
      <c r="X959" s="1" t="str">
        <f t="shared" si="264"/>
        <v/>
      </c>
      <c r="Y959" s="47"/>
      <c r="Z959" s="1" t="str">
        <f t="shared" si="265"/>
        <v/>
      </c>
      <c r="AA959" s="47"/>
      <c r="AB959" s="1" t="str">
        <f t="shared" si="266"/>
        <v/>
      </c>
      <c r="AC959" s="47"/>
      <c r="AD959" s="1" t="str">
        <f t="shared" si="267"/>
        <v/>
      </c>
      <c r="AE959" s="47"/>
      <c r="AF959" s="1" t="str">
        <f t="shared" si="268"/>
        <v/>
      </c>
      <c r="AG959" s="47"/>
    </row>
    <row r="960" spans="1:33">
      <c r="A960">
        <f t="shared" si="252"/>
        <v>0</v>
      </c>
      <c r="B960" s="2" t="str">
        <f t="shared" si="269"/>
        <v/>
      </c>
      <c r="C960" s="4" t="str">
        <f t="shared" si="253"/>
        <v/>
      </c>
      <c r="D960" s="3" t="str">
        <f t="shared" si="254"/>
        <v/>
      </c>
      <c r="E960" s="47"/>
      <c r="F960" s="3" t="str">
        <f t="shared" si="255"/>
        <v/>
      </c>
      <c r="G960" s="47"/>
      <c r="H960" s="3" t="str">
        <f t="shared" si="256"/>
        <v/>
      </c>
      <c r="I960" s="47"/>
      <c r="J960" s="3" t="str">
        <f t="shared" si="257"/>
        <v/>
      </c>
      <c r="K960" s="47"/>
      <c r="L960" s="3" t="str">
        <f t="shared" si="258"/>
        <v/>
      </c>
      <c r="M960" s="47"/>
      <c r="N960" s="3" t="str">
        <f t="shared" si="259"/>
        <v/>
      </c>
      <c r="O960" s="47"/>
      <c r="P960" s="3" t="str">
        <f t="shared" si="260"/>
        <v/>
      </c>
      <c r="Q960" s="47"/>
      <c r="R960" s="3" t="str">
        <f t="shared" si="261"/>
        <v/>
      </c>
      <c r="S960" s="47"/>
      <c r="T960" s="1" t="str">
        <f t="shared" si="262"/>
        <v/>
      </c>
      <c r="U960" s="47"/>
      <c r="V960" s="1" t="str">
        <f t="shared" si="263"/>
        <v/>
      </c>
      <c r="W960" s="47"/>
      <c r="X960" s="1" t="str">
        <f t="shared" si="264"/>
        <v/>
      </c>
      <c r="Y960" s="47"/>
      <c r="Z960" s="1" t="str">
        <f t="shared" si="265"/>
        <v/>
      </c>
      <c r="AA960" s="47"/>
      <c r="AB960" s="1" t="str">
        <f t="shared" si="266"/>
        <v/>
      </c>
      <c r="AC960" s="47"/>
      <c r="AD960" s="1" t="str">
        <f t="shared" si="267"/>
        <v/>
      </c>
      <c r="AE960" s="47"/>
      <c r="AF960" s="1" t="str">
        <f t="shared" si="268"/>
        <v/>
      </c>
      <c r="AG960" s="47"/>
    </row>
    <row r="961" spans="1:33">
      <c r="A961">
        <f t="shared" si="252"/>
        <v>0</v>
      </c>
      <c r="B961" s="2" t="str">
        <f t="shared" si="269"/>
        <v/>
      </c>
      <c r="C961" s="4" t="str">
        <f t="shared" si="253"/>
        <v/>
      </c>
      <c r="D961" s="3" t="str">
        <f t="shared" si="254"/>
        <v/>
      </c>
      <c r="E961" s="47"/>
      <c r="F961" s="3" t="str">
        <f t="shared" si="255"/>
        <v/>
      </c>
      <c r="G961" s="47"/>
      <c r="H961" s="3" t="str">
        <f t="shared" si="256"/>
        <v/>
      </c>
      <c r="I961" s="47"/>
      <c r="J961" s="3" t="str">
        <f t="shared" si="257"/>
        <v/>
      </c>
      <c r="K961" s="47"/>
      <c r="L961" s="3" t="str">
        <f t="shared" si="258"/>
        <v/>
      </c>
      <c r="M961" s="47"/>
      <c r="N961" s="3" t="str">
        <f t="shared" si="259"/>
        <v/>
      </c>
      <c r="O961" s="47"/>
      <c r="P961" s="3" t="str">
        <f t="shared" si="260"/>
        <v/>
      </c>
      <c r="Q961" s="47"/>
      <c r="R961" s="3" t="str">
        <f t="shared" si="261"/>
        <v/>
      </c>
      <c r="S961" s="47"/>
      <c r="T961" s="1" t="str">
        <f t="shared" si="262"/>
        <v/>
      </c>
      <c r="U961" s="47"/>
      <c r="V961" s="1" t="str">
        <f t="shared" si="263"/>
        <v/>
      </c>
      <c r="W961" s="47"/>
      <c r="X961" s="1" t="str">
        <f t="shared" si="264"/>
        <v/>
      </c>
      <c r="Y961" s="47"/>
      <c r="Z961" s="1" t="str">
        <f t="shared" si="265"/>
        <v/>
      </c>
      <c r="AA961" s="47"/>
      <c r="AB961" s="1" t="str">
        <f t="shared" si="266"/>
        <v/>
      </c>
      <c r="AC961" s="47"/>
      <c r="AD961" s="1" t="str">
        <f t="shared" si="267"/>
        <v/>
      </c>
      <c r="AE961" s="47"/>
      <c r="AF961" s="1" t="str">
        <f t="shared" si="268"/>
        <v/>
      </c>
      <c r="AG961" s="47"/>
    </row>
    <row r="962" spans="1:33">
      <c r="A962">
        <f t="shared" si="252"/>
        <v>0</v>
      </c>
      <c r="B962" s="2" t="str">
        <f t="shared" si="269"/>
        <v/>
      </c>
      <c r="C962" s="4" t="str">
        <f t="shared" si="253"/>
        <v/>
      </c>
      <c r="D962" s="3" t="str">
        <f t="shared" si="254"/>
        <v/>
      </c>
      <c r="E962" s="47"/>
      <c r="F962" s="3" t="str">
        <f t="shared" si="255"/>
        <v/>
      </c>
      <c r="G962" s="47"/>
      <c r="H962" s="3" t="str">
        <f t="shared" si="256"/>
        <v/>
      </c>
      <c r="I962" s="47"/>
      <c r="J962" s="3" t="str">
        <f t="shared" si="257"/>
        <v/>
      </c>
      <c r="K962" s="47"/>
      <c r="L962" s="3" t="str">
        <f t="shared" si="258"/>
        <v/>
      </c>
      <c r="M962" s="47"/>
      <c r="N962" s="3" t="str">
        <f t="shared" si="259"/>
        <v/>
      </c>
      <c r="O962" s="47"/>
      <c r="P962" s="3" t="str">
        <f t="shared" si="260"/>
        <v/>
      </c>
      <c r="Q962" s="47"/>
      <c r="R962" s="3" t="str">
        <f t="shared" si="261"/>
        <v/>
      </c>
      <c r="S962" s="47"/>
      <c r="T962" s="1" t="str">
        <f t="shared" si="262"/>
        <v/>
      </c>
      <c r="U962" s="47"/>
      <c r="V962" s="1" t="str">
        <f t="shared" si="263"/>
        <v/>
      </c>
      <c r="W962" s="47"/>
      <c r="X962" s="1" t="str">
        <f t="shared" si="264"/>
        <v/>
      </c>
      <c r="Y962" s="47"/>
      <c r="Z962" s="1" t="str">
        <f t="shared" si="265"/>
        <v/>
      </c>
      <c r="AA962" s="47"/>
      <c r="AB962" s="1" t="str">
        <f t="shared" si="266"/>
        <v/>
      </c>
      <c r="AC962" s="47"/>
      <c r="AD962" s="1" t="str">
        <f t="shared" si="267"/>
        <v/>
      </c>
      <c r="AE962" s="47"/>
      <c r="AF962" s="1" t="str">
        <f t="shared" si="268"/>
        <v/>
      </c>
      <c r="AG962" s="47"/>
    </row>
    <row r="963" spans="1:33">
      <c r="A963">
        <f t="shared" si="252"/>
        <v>0</v>
      </c>
      <c r="B963" s="2" t="str">
        <f t="shared" si="269"/>
        <v/>
      </c>
      <c r="C963" s="4" t="str">
        <f t="shared" si="253"/>
        <v/>
      </c>
      <c r="D963" s="3" t="str">
        <f t="shared" si="254"/>
        <v/>
      </c>
      <c r="E963" s="47"/>
      <c r="F963" s="3" t="str">
        <f t="shared" si="255"/>
        <v/>
      </c>
      <c r="G963" s="47"/>
      <c r="H963" s="3" t="str">
        <f t="shared" si="256"/>
        <v/>
      </c>
      <c r="I963" s="47"/>
      <c r="J963" s="3" t="str">
        <f t="shared" si="257"/>
        <v/>
      </c>
      <c r="K963" s="47"/>
      <c r="L963" s="3" t="str">
        <f t="shared" si="258"/>
        <v/>
      </c>
      <c r="M963" s="47"/>
      <c r="N963" s="3" t="str">
        <f t="shared" si="259"/>
        <v/>
      </c>
      <c r="O963" s="47"/>
      <c r="P963" s="3" t="str">
        <f t="shared" si="260"/>
        <v/>
      </c>
      <c r="Q963" s="47"/>
      <c r="R963" s="3" t="str">
        <f t="shared" si="261"/>
        <v/>
      </c>
      <c r="S963" s="47"/>
      <c r="T963" s="1" t="str">
        <f t="shared" si="262"/>
        <v/>
      </c>
      <c r="U963" s="47"/>
      <c r="V963" s="1" t="str">
        <f t="shared" si="263"/>
        <v/>
      </c>
      <c r="W963" s="47"/>
      <c r="X963" s="1" t="str">
        <f t="shared" si="264"/>
        <v/>
      </c>
      <c r="Y963" s="47"/>
      <c r="Z963" s="1" t="str">
        <f t="shared" si="265"/>
        <v/>
      </c>
      <c r="AA963" s="47"/>
      <c r="AB963" s="1" t="str">
        <f t="shared" si="266"/>
        <v/>
      </c>
      <c r="AC963" s="47"/>
      <c r="AD963" s="1" t="str">
        <f t="shared" si="267"/>
        <v/>
      </c>
      <c r="AE963" s="47"/>
      <c r="AF963" s="1" t="str">
        <f t="shared" si="268"/>
        <v/>
      </c>
      <c r="AG963" s="47"/>
    </row>
    <row r="964" spans="1:33">
      <c r="A964">
        <f t="shared" si="252"/>
        <v>0</v>
      </c>
      <c r="B964" s="2" t="str">
        <f t="shared" si="269"/>
        <v/>
      </c>
      <c r="C964" s="4" t="str">
        <f t="shared" si="253"/>
        <v/>
      </c>
      <c r="D964" s="3" t="str">
        <f t="shared" si="254"/>
        <v/>
      </c>
      <c r="E964" s="47"/>
      <c r="F964" s="3" t="str">
        <f t="shared" si="255"/>
        <v/>
      </c>
      <c r="G964" s="47"/>
      <c r="H964" s="3" t="str">
        <f t="shared" si="256"/>
        <v/>
      </c>
      <c r="I964" s="47"/>
      <c r="J964" s="3" t="str">
        <f t="shared" si="257"/>
        <v/>
      </c>
      <c r="K964" s="47"/>
      <c r="L964" s="3" t="str">
        <f t="shared" si="258"/>
        <v/>
      </c>
      <c r="M964" s="47"/>
      <c r="N964" s="3" t="str">
        <f t="shared" si="259"/>
        <v/>
      </c>
      <c r="O964" s="47"/>
      <c r="P964" s="3" t="str">
        <f t="shared" si="260"/>
        <v/>
      </c>
      <c r="Q964" s="47"/>
      <c r="R964" s="3" t="str">
        <f t="shared" si="261"/>
        <v/>
      </c>
      <c r="S964" s="47"/>
      <c r="T964" s="1" t="str">
        <f t="shared" si="262"/>
        <v/>
      </c>
      <c r="U964" s="47"/>
      <c r="V964" s="1" t="str">
        <f t="shared" si="263"/>
        <v/>
      </c>
      <c r="W964" s="47"/>
      <c r="X964" s="1" t="str">
        <f t="shared" si="264"/>
        <v/>
      </c>
      <c r="Y964" s="47"/>
      <c r="Z964" s="1" t="str">
        <f t="shared" si="265"/>
        <v/>
      </c>
      <c r="AA964" s="47"/>
      <c r="AB964" s="1" t="str">
        <f t="shared" si="266"/>
        <v/>
      </c>
      <c r="AC964" s="47"/>
      <c r="AD964" s="1" t="str">
        <f t="shared" si="267"/>
        <v/>
      </c>
      <c r="AE964" s="47"/>
      <c r="AF964" s="1" t="str">
        <f t="shared" si="268"/>
        <v/>
      </c>
      <c r="AG964" s="47"/>
    </row>
    <row r="965" spans="1:33">
      <c r="A965">
        <f t="shared" si="252"/>
        <v>0</v>
      </c>
      <c r="B965" s="2" t="str">
        <f t="shared" si="269"/>
        <v/>
      </c>
      <c r="C965" s="4" t="str">
        <f t="shared" si="253"/>
        <v/>
      </c>
      <c r="D965" s="3" t="str">
        <f t="shared" si="254"/>
        <v/>
      </c>
      <c r="E965" s="47"/>
      <c r="F965" s="3" t="str">
        <f t="shared" si="255"/>
        <v/>
      </c>
      <c r="G965" s="47"/>
      <c r="H965" s="3" t="str">
        <f t="shared" si="256"/>
        <v/>
      </c>
      <c r="I965" s="47"/>
      <c r="J965" s="3" t="str">
        <f t="shared" si="257"/>
        <v/>
      </c>
      <c r="K965" s="47"/>
      <c r="L965" s="3" t="str">
        <f t="shared" si="258"/>
        <v/>
      </c>
      <c r="M965" s="47"/>
      <c r="N965" s="3" t="str">
        <f t="shared" si="259"/>
        <v/>
      </c>
      <c r="O965" s="47"/>
      <c r="P965" s="3" t="str">
        <f t="shared" si="260"/>
        <v/>
      </c>
      <c r="Q965" s="47"/>
      <c r="R965" s="3" t="str">
        <f t="shared" si="261"/>
        <v/>
      </c>
      <c r="S965" s="47"/>
      <c r="T965" s="1" t="str">
        <f t="shared" si="262"/>
        <v/>
      </c>
      <c r="U965" s="47"/>
      <c r="V965" s="1" t="str">
        <f t="shared" si="263"/>
        <v/>
      </c>
      <c r="W965" s="47"/>
      <c r="X965" s="1" t="str">
        <f t="shared" si="264"/>
        <v/>
      </c>
      <c r="Y965" s="47"/>
      <c r="Z965" s="1" t="str">
        <f t="shared" si="265"/>
        <v/>
      </c>
      <c r="AA965" s="47"/>
      <c r="AB965" s="1" t="str">
        <f t="shared" si="266"/>
        <v/>
      </c>
      <c r="AC965" s="47"/>
      <c r="AD965" s="1" t="str">
        <f t="shared" si="267"/>
        <v/>
      </c>
      <c r="AE965" s="47"/>
      <c r="AF965" s="1" t="str">
        <f t="shared" si="268"/>
        <v/>
      </c>
      <c r="AG965" s="47"/>
    </row>
    <row r="966" spans="1:33">
      <c r="A966">
        <f t="shared" si="252"/>
        <v>0</v>
      </c>
      <c r="B966" s="2" t="str">
        <f t="shared" si="269"/>
        <v/>
      </c>
      <c r="C966" s="4" t="str">
        <f t="shared" si="253"/>
        <v/>
      </c>
      <c r="D966" s="3" t="str">
        <f t="shared" si="254"/>
        <v/>
      </c>
      <c r="E966" s="47"/>
      <c r="F966" s="3" t="str">
        <f t="shared" si="255"/>
        <v/>
      </c>
      <c r="G966" s="47"/>
      <c r="H966" s="3" t="str">
        <f t="shared" si="256"/>
        <v/>
      </c>
      <c r="I966" s="47"/>
      <c r="J966" s="3" t="str">
        <f t="shared" si="257"/>
        <v/>
      </c>
      <c r="K966" s="47"/>
      <c r="L966" s="3" t="str">
        <f t="shared" si="258"/>
        <v/>
      </c>
      <c r="M966" s="47"/>
      <c r="N966" s="3" t="str">
        <f t="shared" si="259"/>
        <v/>
      </c>
      <c r="O966" s="47"/>
      <c r="P966" s="3" t="str">
        <f t="shared" si="260"/>
        <v/>
      </c>
      <c r="Q966" s="47"/>
      <c r="R966" s="3" t="str">
        <f t="shared" si="261"/>
        <v/>
      </c>
      <c r="S966" s="47"/>
      <c r="T966" s="1" t="str">
        <f t="shared" si="262"/>
        <v/>
      </c>
      <c r="U966" s="47"/>
      <c r="V966" s="1" t="str">
        <f t="shared" si="263"/>
        <v/>
      </c>
      <c r="W966" s="47"/>
      <c r="X966" s="1" t="str">
        <f t="shared" si="264"/>
        <v/>
      </c>
      <c r="Y966" s="47"/>
      <c r="Z966" s="1" t="str">
        <f t="shared" si="265"/>
        <v/>
      </c>
      <c r="AA966" s="47"/>
      <c r="AB966" s="1" t="str">
        <f t="shared" si="266"/>
        <v/>
      </c>
      <c r="AC966" s="47"/>
      <c r="AD966" s="1" t="str">
        <f t="shared" si="267"/>
        <v/>
      </c>
      <c r="AE966" s="47"/>
      <c r="AF966" s="1" t="str">
        <f t="shared" si="268"/>
        <v/>
      </c>
      <c r="AG966" s="47"/>
    </row>
    <row r="967" spans="1:33">
      <c r="A967">
        <f t="shared" ref="A967:A1030" si="270">$C$1</f>
        <v>0</v>
      </c>
      <c r="B967" s="2" t="str">
        <f t="shared" si="269"/>
        <v/>
      </c>
      <c r="C967" s="4" t="str">
        <f t="shared" si="253"/>
        <v/>
      </c>
      <c r="D967" s="3" t="str">
        <f t="shared" si="254"/>
        <v/>
      </c>
      <c r="E967" s="47"/>
      <c r="F967" s="3" t="str">
        <f t="shared" si="255"/>
        <v/>
      </c>
      <c r="G967" s="47"/>
      <c r="H967" s="3" t="str">
        <f t="shared" si="256"/>
        <v/>
      </c>
      <c r="I967" s="47"/>
      <c r="J967" s="3" t="str">
        <f t="shared" si="257"/>
        <v/>
      </c>
      <c r="K967" s="47"/>
      <c r="L967" s="3" t="str">
        <f t="shared" si="258"/>
        <v/>
      </c>
      <c r="M967" s="47"/>
      <c r="N967" s="3" t="str">
        <f t="shared" si="259"/>
        <v/>
      </c>
      <c r="O967" s="47"/>
      <c r="P967" s="3" t="str">
        <f t="shared" si="260"/>
        <v/>
      </c>
      <c r="Q967" s="47"/>
      <c r="R967" s="3" t="str">
        <f t="shared" si="261"/>
        <v/>
      </c>
      <c r="S967" s="47"/>
      <c r="T967" s="1" t="str">
        <f t="shared" si="262"/>
        <v/>
      </c>
      <c r="U967" s="47"/>
      <c r="V967" s="1" t="str">
        <f t="shared" si="263"/>
        <v/>
      </c>
      <c r="W967" s="47"/>
      <c r="X967" s="1" t="str">
        <f t="shared" si="264"/>
        <v/>
      </c>
      <c r="Y967" s="47"/>
      <c r="Z967" s="1" t="str">
        <f t="shared" si="265"/>
        <v/>
      </c>
      <c r="AA967" s="47"/>
      <c r="AB967" s="1" t="str">
        <f t="shared" si="266"/>
        <v/>
      </c>
      <c r="AC967" s="47"/>
      <c r="AD967" s="1" t="str">
        <f t="shared" si="267"/>
        <v/>
      </c>
      <c r="AE967" s="47"/>
      <c r="AF967" s="1" t="str">
        <f t="shared" si="268"/>
        <v/>
      </c>
      <c r="AG967" s="47"/>
    </row>
    <row r="968" spans="1:33">
      <c r="A968">
        <f t="shared" si="270"/>
        <v>0</v>
      </c>
      <c r="B968" s="2" t="str">
        <f t="shared" si="269"/>
        <v/>
      </c>
      <c r="C968" s="4" t="str">
        <f t="shared" ref="C968:C1031" si="271">TEXT(B968,"AAA")</f>
        <v/>
      </c>
      <c r="D968" s="3" t="str">
        <f t="shared" ref="D968:D1031" si="272">IF(NOT(AND($F$3&lt;=B968,B968&lt;=$F$4)),"",$F$2&amp;"")</f>
        <v/>
      </c>
      <c r="E968" s="47"/>
      <c r="F968" s="3" t="str">
        <f t="shared" ref="F968:F1031" si="273">IF(NOT(AND($G$3&lt;=B968,B968&lt;=$G$4)),"",$G$2&amp;"")</f>
        <v/>
      </c>
      <c r="G968" s="47"/>
      <c r="H968" s="3" t="str">
        <f t="shared" ref="H968:H1031" si="274">IF(NOT(AND($H$3&lt;=B968,B968&lt;=$H$4)),"",$H$2&amp;"")</f>
        <v/>
      </c>
      <c r="I968" s="47"/>
      <c r="J968" s="3" t="str">
        <f t="shared" ref="J968:J1031" si="275">IF(NOT(AND($I$3&lt;=B968,B968&lt;=$I$4)),"",$I$2&amp;"")</f>
        <v/>
      </c>
      <c r="K968" s="47"/>
      <c r="L968" s="3" t="str">
        <f t="shared" ref="L968:L1031" si="276">IF(NOT(AND($J$3&lt;=B968,B968&lt;=$J$4)),"",$J$2&amp;"")</f>
        <v/>
      </c>
      <c r="M968" s="47"/>
      <c r="N968" s="3" t="str">
        <f t="shared" ref="N968:N1031" si="277">IF(NOT(AND($K$3&lt;=B968,B968&lt;=$K$4)),"",$K$2&amp;"")</f>
        <v/>
      </c>
      <c r="O968" s="47"/>
      <c r="P968" s="3" t="str">
        <f t="shared" ref="P968:P1031" si="278">IF(NOT(AND($L$3&lt;=B968,B968&lt;=$L$4)),"",$L$2&amp;"")</f>
        <v/>
      </c>
      <c r="Q968" s="47"/>
      <c r="R968" s="3" t="str">
        <f t="shared" ref="R968:R1031" si="279">IF(NOT(AND($M$3&lt;=B968,B968&lt;=$M$4)),"",$M$2&amp;"")</f>
        <v/>
      </c>
      <c r="S968" s="47"/>
      <c r="T968" s="1" t="str">
        <f t="shared" ref="T968:T1031" si="280">IF(NOT(AND($N$3&lt;=B968,B968&lt;=$N$4)),"",$N$2&amp;"")</f>
        <v/>
      </c>
      <c r="U968" s="47"/>
      <c r="V968" s="1" t="str">
        <f t="shared" ref="V968:V1031" si="281">IF(NOT(AND($O$3&lt;=B968,B968&lt;=$O$4)),"",$O$2&amp;"")</f>
        <v/>
      </c>
      <c r="W968" s="47"/>
      <c r="X968" s="1" t="str">
        <f t="shared" ref="X968:X1031" si="282">IF(NOT(AND($P$3&lt;=B968,B968&lt;=$P$4)),"",$P$2&amp;"")</f>
        <v/>
      </c>
      <c r="Y968" s="47"/>
      <c r="Z968" s="1" t="str">
        <f t="shared" ref="Z968:Z1031" si="283">IF(NOT(AND($Q$3&lt;=B968,B968&lt;=$Q$4)),"",$Q$2&amp;"")</f>
        <v/>
      </c>
      <c r="AA968" s="47"/>
      <c r="AB968" s="1" t="str">
        <f t="shared" ref="AB968:AB1031" si="284">IF(NOT(AND($R$3&lt;=B968,B968&lt;=$R$4)),"",$R$2&amp;"")</f>
        <v/>
      </c>
      <c r="AC968" s="47"/>
      <c r="AD968" s="1" t="str">
        <f t="shared" ref="AD968:AD1031" si="285">IF(NOT(AND($S$3&lt;=B968,B968&lt;=$S$4)),"",$S$2&amp;"")</f>
        <v/>
      </c>
      <c r="AE968" s="47"/>
      <c r="AF968" s="1" t="str">
        <f t="shared" ref="AF968:AF1031" si="286">IF(NOT(AND($T$3&lt;=B968,B968&lt;=$T$4)),"",$T$2&amp;"")</f>
        <v/>
      </c>
      <c r="AG968" s="47"/>
    </row>
    <row r="969" spans="1:33">
      <c r="A969">
        <f t="shared" si="270"/>
        <v>0</v>
      </c>
      <c r="B969" s="2" t="str">
        <f t="shared" ref="B969:B1032" si="287">IFERROR(IF(B968+1&gt;$C$3,"",B968+1),"")</f>
        <v/>
      </c>
      <c r="C969" s="4" t="str">
        <f t="shared" si="271"/>
        <v/>
      </c>
      <c r="D969" s="3" t="str">
        <f t="shared" si="272"/>
        <v/>
      </c>
      <c r="E969" s="47"/>
      <c r="F969" s="3" t="str">
        <f t="shared" si="273"/>
        <v/>
      </c>
      <c r="G969" s="47"/>
      <c r="H969" s="3" t="str">
        <f t="shared" si="274"/>
        <v/>
      </c>
      <c r="I969" s="47"/>
      <c r="J969" s="3" t="str">
        <f t="shared" si="275"/>
        <v/>
      </c>
      <c r="K969" s="47"/>
      <c r="L969" s="3" t="str">
        <f t="shared" si="276"/>
        <v/>
      </c>
      <c r="M969" s="47"/>
      <c r="N969" s="3" t="str">
        <f t="shared" si="277"/>
        <v/>
      </c>
      <c r="O969" s="47"/>
      <c r="P969" s="3" t="str">
        <f t="shared" si="278"/>
        <v/>
      </c>
      <c r="Q969" s="47"/>
      <c r="R969" s="3" t="str">
        <f t="shared" si="279"/>
        <v/>
      </c>
      <c r="S969" s="47"/>
      <c r="T969" s="1" t="str">
        <f t="shared" si="280"/>
        <v/>
      </c>
      <c r="U969" s="47"/>
      <c r="V969" s="1" t="str">
        <f t="shared" si="281"/>
        <v/>
      </c>
      <c r="W969" s="47"/>
      <c r="X969" s="1" t="str">
        <f t="shared" si="282"/>
        <v/>
      </c>
      <c r="Y969" s="47"/>
      <c r="Z969" s="1" t="str">
        <f t="shared" si="283"/>
        <v/>
      </c>
      <c r="AA969" s="47"/>
      <c r="AB969" s="1" t="str">
        <f t="shared" si="284"/>
        <v/>
      </c>
      <c r="AC969" s="47"/>
      <c r="AD969" s="1" t="str">
        <f t="shared" si="285"/>
        <v/>
      </c>
      <c r="AE969" s="47"/>
      <c r="AF969" s="1" t="str">
        <f t="shared" si="286"/>
        <v/>
      </c>
      <c r="AG969" s="47"/>
    </row>
    <row r="970" spans="1:33">
      <c r="A970">
        <f t="shared" si="270"/>
        <v>0</v>
      </c>
      <c r="B970" s="2" t="str">
        <f t="shared" si="287"/>
        <v/>
      </c>
      <c r="C970" s="4" t="str">
        <f t="shared" si="271"/>
        <v/>
      </c>
      <c r="D970" s="3" t="str">
        <f t="shared" si="272"/>
        <v/>
      </c>
      <c r="E970" s="47"/>
      <c r="F970" s="3" t="str">
        <f t="shared" si="273"/>
        <v/>
      </c>
      <c r="G970" s="47"/>
      <c r="H970" s="3" t="str">
        <f t="shared" si="274"/>
        <v/>
      </c>
      <c r="I970" s="47"/>
      <c r="J970" s="3" t="str">
        <f t="shared" si="275"/>
        <v/>
      </c>
      <c r="K970" s="47"/>
      <c r="L970" s="3" t="str">
        <f t="shared" si="276"/>
        <v/>
      </c>
      <c r="M970" s="47"/>
      <c r="N970" s="3" t="str">
        <f t="shared" si="277"/>
        <v/>
      </c>
      <c r="O970" s="47"/>
      <c r="P970" s="3" t="str">
        <f t="shared" si="278"/>
        <v/>
      </c>
      <c r="Q970" s="47"/>
      <c r="R970" s="3" t="str">
        <f t="shared" si="279"/>
        <v/>
      </c>
      <c r="S970" s="47"/>
      <c r="T970" s="1" t="str">
        <f t="shared" si="280"/>
        <v/>
      </c>
      <c r="U970" s="47"/>
      <c r="V970" s="1" t="str">
        <f t="shared" si="281"/>
        <v/>
      </c>
      <c r="W970" s="47"/>
      <c r="X970" s="1" t="str">
        <f t="shared" si="282"/>
        <v/>
      </c>
      <c r="Y970" s="47"/>
      <c r="Z970" s="1" t="str">
        <f t="shared" si="283"/>
        <v/>
      </c>
      <c r="AA970" s="47"/>
      <c r="AB970" s="1" t="str">
        <f t="shared" si="284"/>
        <v/>
      </c>
      <c r="AC970" s="47"/>
      <c r="AD970" s="1" t="str">
        <f t="shared" si="285"/>
        <v/>
      </c>
      <c r="AE970" s="47"/>
      <c r="AF970" s="1" t="str">
        <f t="shared" si="286"/>
        <v/>
      </c>
      <c r="AG970" s="47"/>
    </row>
    <row r="971" spans="1:33">
      <c r="A971">
        <f t="shared" si="270"/>
        <v>0</v>
      </c>
      <c r="B971" s="2" t="str">
        <f t="shared" si="287"/>
        <v/>
      </c>
      <c r="C971" s="4" t="str">
        <f t="shared" si="271"/>
        <v/>
      </c>
      <c r="D971" s="3" t="str">
        <f t="shared" si="272"/>
        <v/>
      </c>
      <c r="E971" s="47"/>
      <c r="F971" s="3" t="str">
        <f t="shared" si="273"/>
        <v/>
      </c>
      <c r="G971" s="47"/>
      <c r="H971" s="3" t="str">
        <f t="shared" si="274"/>
        <v/>
      </c>
      <c r="I971" s="47"/>
      <c r="J971" s="3" t="str">
        <f t="shared" si="275"/>
        <v/>
      </c>
      <c r="K971" s="47"/>
      <c r="L971" s="3" t="str">
        <f t="shared" si="276"/>
        <v/>
      </c>
      <c r="M971" s="47"/>
      <c r="N971" s="3" t="str">
        <f t="shared" si="277"/>
        <v/>
      </c>
      <c r="O971" s="47"/>
      <c r="P971" s="3" t="str">
        <f t="shared" si="278"/>
        <v/>
      </c>
      <c r="Q971" s="47"/>
      <c r="R971" s="3" t="str">
        <f t="shared" si="279"/>
        <v/>
      </c>
      <c r="S971" s="47"/>
      <c r="T971" s="1" t="str">
        <f t="shared" si="280"/>
        <v/>
      </c>
      <c r="U971" s="47"/>
      <c r="V971" s="1" t="str">
        <f t="shared" si="281"/>
        <v/>
      </c>
      <c r="W971" s="47"/>
      <c r="X971" s="1" t="str">
        <f t="shared" si="282"/>
        <v/>
      </c>
      <c r="Y971" s="47"/>
      <c r="Z971" s="1" t="str">
        <f t="shared" si="283"/>
        <v/>
      </c>
      <c r="AA971" s="47"/>
      <c r="AB971" s="1" t="str">
        <f t="shared" si="284"/>
        <v/>
      </c>
      <c r="AC971" s="47"/>
      <c r="AD971" s="1" t="str">
        <f t="shared" si="285"/>
        <v/>
      </c>
      <c r="AE971" s="47"/>
      <c r="AF971" s="1" t="str">
        <f t="shared" si="286"/>
        <v/>
      </c>
      <c r="AG971" s="47"/>
    </row>
    <row r="972" spans="1:33">
      <c r="A972">
        <f t="shared" si="270"/>
        <v>0</v>
      </c>
      <c r="B972" s="2" t="str">
        <f t="shared" si="287"/>
        <v/>
      </c>
      <c r="C972" s="4" t="str">
        <f t="shared" si="271"/>
        <v/>
      </c>
      <c r="D972" s="3" t="str">
        <f t="shared" si="272"/>
        <v/>
      </c>
      <c r="E972" s="47"/>
      <c r="F972" s="3" t="str">
        <f t="shared" si="273"/>
        <v/>
      </c>
      <c r="G972" s="47"/>
      <c r="H972" s="3" t="str">
        <f t="shared" si="274"/>
        <v/>
      </c>
      <c r="I972" s="47"/>
      <c r="J972" s="3" t="str">
        <f t="shared" si="275"/>
        <v/>
      </c>
      <c r="K972" s="47"/>
      <c r="L972" s="3" t="str">
        <f t="shared" si="276"/>
        <v/>
      </c>
      <c r="M972" s="47"/>
      <c r="N972" s="3" t="str">
        <f t="shared" si="277"/>
        <v/>
      </c>
      <c r="O972" s="47"/>
      <c r="P972" s="3" t="str">
        <f t="shared" si="278"/>
        <v/>
      </c>
      <c r="Q972" s="47"/>
      <c r="R972" s="3" t="str">
        <f t="shared" si="279"/>
        <v/>
      </c>
      <c r="S972" s="47"/>
      <c r="T972" s="1" t="str">
        <f t="shared" si="280"/>
        <v/>
      </c>
      <c r="U972" s="47"/>
      <c r="V972" s="1" t="str">
        <f t="shared" si="281"/>
        <v/>
      </c>
      <c r="W972" s="47"/>
      <c r="X972" s="1" t="str">
        <f t="shared" si="282"/>
        <v/>
      </c>
      <c r="Y972" s="47"/>
      <c r="Z972" s="1" t="str">
        <f t="shared" si="283"/>
        <v/>
      </c>
      <c r="AA972" s="47"/>
      <c r="AB972" s="1" t="str">
        <f t="shared" si="284"/>
        <v/>
      </c>
      <c r="AC972" s="47"/>
      <c r="AD972" s="1" t="str">
        <f t="shared" si="285"/>
        <v/>
      </c>
      <c r="AE972" s="47"/>
      <c r="AF972" s="1" t="str">
        <f t="shared" si="286"/>
        <v/>
      </c>
      <c r="AG972" s="47"/>
    </row>
    <row r="973" spans="1:33">
      <c r="A973">
        <f t="shared" si="270"/>
        <v>0</v>
      </c>
      <c r="B973" s="2" t="str">
        <f t="shared" si="287"/>
        <v/>
      </c>
      <c r="C973" s="4" t="str">
        <f t="shared" si="271"/>
        <v/>
      </c>
      <c r="D973" s="3" t="str">
        <f t="shared" si="272"/>
        <v/>
      </c>
      <c r="E973" s="47"/>
      <c r="F973" s="3" t="str">
        <f t="shared" si="273"/>
        <v/>
      </c>
      <c r="G973" s="47"/>
      <c r="H973" s="3" t="str">
        <f t="shared" si="274"/>
        <v/>
      </c>
      <c r="I973" s="47"/>
      <c r="J973" s="3" t="str">
        <f t="shared" si="275"/>
        <v/>
      </c>
      <c r="K973" s="47"/>
      <c r="L973" s="3" t="str">
        <f t="shared" si="276"/>
        <v/>
      </c>
      <c r="M973" s="47"/>
      <c r="N973" s="3" t="str">
        <f t="shared" si="277"/>
        <v/>
      </c>
      <c r="O973" s="47"/>
      <c r="P973" s="3" t="str">
        <f t="shared" si="278"/>
        <v/>
      </c>
      <c r="Q973" s="47"/>
      <c r="R973" s="3" t="str">
        <f t="shared" si="279"/>
        <v/>
      </c>
      <c r="S973" s="47"/>
      <c r="T973" s="1" t="str">
        <f t="shared" si="280"/>
        <v/>
      </c>
      <c r="U973" s="47"/>
      <c r="V973" s="1" t="str">
        <f t="shared" si="281"/>
        <v/>
      </c>
      <c r="W973" s="47"/>
      <c r="X973" s="1" t="str">
        <f t="shared" si="282"/>
        <v/>
      </c>
      <c r="Y973" s="47"/>
      <c r="Z973" s="1" t="str">
        <f t="shared" si="283"/>
        <v/>
      </c>
      <c r="AA973" s="47"/>
      <c r="AB973" s="1" t="str">
        <f t="shared" si="284"/>
        <v/>
      </c>
      <c r="AC973" s="47"/>
      <c r="AD973" s="1" t="str">
        <f t="shared" si="285"/>
        <v/>
      </c>
      <c r="AE973" s="47"/>
      <c r="AF973" s="1" t="str">
        <f t="shared" si="286"/>
        <v/>
      </c>
      <c r="AG973" s="47"/>
    </row>
    <row r="974" spans="1:33">
      <c r="A974">
        <f t="shared" si="270"/>
        <v>0</v>
      </c>
      <c r="B974" s="2" t="str">
        <f t="shared" si="287"/>
        <v/>
      </c>
      <c r="C974" s="4" t="str">
        <f t="shared" si="271"/>
        <v/>
      </c>
      <c r="D974" s="3" t="str">
        <f t="shared" si="272"/>
        <v/>
      </c>
      <c r="E974" s="47"/>
      <c r="F974" s="3" t="str">
        <f t="shared" si="273"/>
        <v/>
      </c>
      <c r="G974" s="47"/>
      <c r="H974" s="3" t="str">
        <f t="shared" si="274"/>
        <v/>
      </c>
      <c r="I974" s="47"/>
      <c r="J974" s="3" t="str">
        <f t="shared" si="275"/>
        <v/>
      </c>
      <c r="K974" s="47"/>
      <c r="L974" s="3" t="str">
        <f t="shared" si="276"/>
        <v/>
      </c>
      <c r="M974" s="47"/>
      <c r="N974" s="3" t="str">
        <f t="shared" si="277"/>
        <v/>
      </c>
      <c r="O974" s="47"/>
      <c r="P974" s="3" t="str">
        <f t="shared" si="278"/>
        <v/>
      </c>
      <c r="Q974" s="47"/>
      <c r="R974" s="3" t="str">
        <f t="shared" si="279"/>
        <v/>
      </c>
      <c r="S974" s="47"/>
      <c r="T974" s="1" t="str">
        <f t="shared" si="280"/>
        <v/>
      </c>
      <c r="U974" s="47"/>
      <c r="V974" s="1" t="str">
        <f t="shared" si="281"/>
        <v/>
      </c>
      <c r="W974" s="47"/>
      <c r="X974" s="1" t="str">
        <f t="shared" si="282"/>
        <v/>
      </c>
      <c r="Y974" s="47"/>
      <c r="Z974" s="1" t="str">
        <f t="shared" si="283"/>
        <v/>
      </c>
      <c r="AA974" s="47"/>
      <c r="AB974" s="1" t="str">
        <f t="shared" si="284"/>
        <v/>
      </c>
      <c r="AC974" s="47"/>
      <c r="AD974" s="1" t="str">
        <f t="shared" si="285"/>
        <v/>
      </c>
      <c r="AE974" s="47"/>
      <c r="AF974" s="1" t="str">
        <f t="shared" si="286"/>
        <v/>
      </c>
      <c r="AG974" s="47"/>
    </row>
    <row r="975" spans="1:33">
      <c r="A975">
        <f t="shared" si="270"/>
        <v>0</v>
      </c>
      <c r="B975" s="2" t="str">
        <f t="shared" si="287"/>
        <v/>
      </c>
      <c r="C975" s="4" t="str">
        <f t="shared" si="271"/>
        <v/>
      </c>
      <c r="D975" s="3" t="str">
        <f t="shared" si="272"/>
        <v/>
      </c>
      <c r="E975" s="47"/>
      <c r="F975" s="3" t="str">
        <f t="shared" si="273"/>
        <v/>
      </c>
      <c r="G975" s="47"/>
      <c r="H975" s="3" t="str">
        <f t="shared" si="274"/>
        <v/>
      </c>
      <c r="I975" s="47"/>
      <c r="J975" s="3" t="str">
        <f t="shared" si="275"/>
        <v/>
      </c>
      <c r="K975" s="47"/>
      <c r="L975" s="3" t="str">
        <f t="shared" si="276"/>
        <v/>
      </c>
      <c r="M975" s="47"/>
      <c r="N975" s="3" t="str">
        <f t="shared" si="277"/>
        <v/>
      </c>
      <c r="O975" s="47"/>
      <c r="P975" s="3" t="str">
        <f t="shared" si="278"/>
        <v/>
      </c>
      <c r="Q975" s="47"/>
      <c r="R975" s="3" t="str">
        <f t="shared" si="279"/>
        <v/>
      </c>
      <c r="S975" s="47"/>
      <c r="T975" s="1" t="str">
        <f t="shared" si="280"/>
        <v/>
      </c>
      <c r="U975" s="47"/>
      <c r="V975" s="1" t="str">
        <f t="shared" si="281"/>
        <v/>
      </c>
      <c r="W975" s="47"/>
      <c r="X975" s="1" t="str">
        <f t="shared" si="282"/>
        <v/>
      </c>
      <c r="Y975" s="47"/>
      <c r="Z975" s="1" t="str">
        <f t="shared" si="283"/>
        <v/>
      </c>
      <c r="AA975" s="47"/>
      <c r="AB975" s="1" t="str">
        <f t="shared" si="284"/>
        <v/>
      </c>
      <c r="AC975" s="47"/>
      <c r="AD975" s="1" t="str">
        <f t="shared" si="285"/>
        <v/>
      </c>
      <c r="AE975" s="47"/>
      <c r="AF975" s="1" t="str">
        <f t="shared" si="286"/>
        <v/>
      </c>
      <c r="AG975" s="47"/>
    </row>
    <row r="976" spans="1:33">
      <c r="A976">
        <f t="shared" si="270"/>
        <v>0</v>
      </c>
      <c r="B976" s="2" t="str">
        <f t="shared" si="287"/>
        <v/>
      </c>
      <c r="C976" s="4" t="str">
        <f t="shared" si="271"/>
        <v/>
      </c>
      <c r="D976" s="3" t="str">
        <f t="shared" si="272"/>
        <v/>
      </c>
      <c r="E976" s="47"/>
      <c r="F976" s="3" t="str">
        <f t="shared" si="273"/>
        <v/>
      </c>
      <c r="G976" s="47"/>
      <c r="H976" s="3" t="str">
        <f t="shared" si="274"/>
        <v/>
      </c>
      <c r="I976" s="47"/>
      <c r="J976" s="3" t="str">
        <f t="shared" si="275"/>
        <v/>
      </c>
      <c r="K976" s="47"/>
      <c r="L976" s="3" t="str">
        <f t="shared" si="276"/>
        <v/>
      </c>
      <c r="M976" s="47"/>
      <c r="N976" s="3" t="str">
        <f t="shared" si="277"/>
        <v/>
      </c>
      <c r="O976" s="47"/>
      <c r="P976" s="3" t="str">
        <f t="shared" si="278"/>
        <v/>
      </c>
      <c r="Q976" s="47"/>
      <c r="R976" s="3" t="str">
        <f t="shared" si="279"/>
        <v/>
      </c>
      <c r="S976" s="47"/>
      <c r="T976" s="1" t="str">
        <f t="shared" si="280"/>
        <v/>
      </c>
      <c r="U976" s="47"/>
      <c r="V976" s="1" t="str">
        <f t="shared" si="281"/>
        <v/>
      </c>
      <c r="W976" s="47"/>
      <c r="X976" s="1" t="str">
        <f t="shared" si="282"/>
        <v/>
      </c>
      <c r="Y976" s="47"/>
      <c r="Z976" s="1" t="str">
        <f t="shared" si="283"/>
        <v/>
      </c>
      <c r="AA976" s="47"/>
      <c r="AB976" s="1" t="str">
        <f t="shared" si="284"/>
        <v/>
      </c>
      <c r="AC976" s="47"/>
      <c r="AD976" s="1" t="str">
        <f t="shared" si="285"/>
        <v/>
      </c>
      <c r="AE976" s="47"/>
      <c r="AF976" s="1" t="str">
        <f t="shared" si="286"/>
        <v/>
      </c>
      <c r="AG976" s="47"/>
    </row>
    <row r="977" spans="1:33">
      <c r="A977">
        <f t="shared" si="270"/>
        <v>0</v>
      </c>
      <c r="B977" s="2" t="str">
        <f t="shared" si="287"/>
        <v/>
      </c>
      <c r="C977" s="4" t="str">
        <f t="shared" si="271"/>
        <v/>
      </c>
      <c r="D977" s="3" t="str">
        <f t="shared" si="272"/>
        <v/>
      </c>
      <c r="E977" s="47"/>
      <c r="F977" s="3" t="str">
        <f t="shared" si="273"/>
        <v/>
      </c>
      <c r="G977" s="47"/>
      <c r="H977" s="3" t="str">
        <f t="shared" si="274"/>
        <v/>
      </c>
      <c r="I977" s="47"/>
      <c r="J977" s="3" t="str">
        <f t="shared" si="275"/>
        <v/>
      </c>
      <c r="K977" s="47"/>
      <c r="L977" s="3" t="str">
        <f t="shared" si="276"/>
        <v/>
      </c>
      <c r="M977" s="47"/>
      <c r="N977" s="3" t="str">
        <f t="shared" si="277"/>
        <v/>
      </c>
      <c r="O977" s="47"/>
      <c r="P977" s="3" t="str">
        <f t="shared" si="278"/>
        <v/>
      </c>
      <c r="Q977" s="47"/>
      <c r="R977" s="3" t="str">
        <f t="shared" si="279"/>
        <v/>
      </c>
      <c r="S977" s="47"/>
      <c r="T977" s="1" t="str">
        <f t="shared" si="280"/>
        <v/>
      </c>
      <c r="U977" s="47"/>
      <c r="V977" s="1" t="str">
        <f t="shared" si="281"/>
        <v/>
      </c>
      <c r="W977" s="47"/>
      <c r="X977" s="1" t="str">
        <f t="shared" si="282"/>
        <v/>
      </c>
      <c r="Y977" s="47"/>
      <c r="Z977" s="1" t="str">
        <f t="shared" si="283"/>
        <v/>
      </c>
      <c r="AA977" s="47"/>
      <c r="AB977" s="1" t="str">
        <f t="shared" si="284"/>
        <v/>
      </c>
      <c r="AC977" s="47"/>
      <c r="AD977" s="1" t="str">
        <f t="shared" si="285"/>
        <v/>
      </c>
      <c r="AE977" s="47"/>
      <c r="AF977" s="1" t="str">
        <f t="shared" si="286"/>
        <v/>
      </c>
      <c r="AG977" s="47"/>
    </row>
    <row r="978" spans="1:33">
      <c r="A978">
        <f t="shared" si="270"/>
        <v>0</v>
      </c>
      <c r="B978" s="2" t="str">
        <f t="shared" si="287"/>
        <v/>
      </c>
      <c r="C978" s="4" t="str">
        <f t="shared" si="271"/>
        <v/>
      </c>
      <c r="D978" s="3" t="str">
        <f t="shared" si="272"/>
        <v/>
      </c>
      <c r="E978" s="47"/>
      <c r="F978" s="3" t="str">
        <f t="shared" si="273"/>
        <v/>
      </c>
      <c r="G978" s="47"/>
      <c r="H978" s="3" t="str">
        <f t="shared" si="274"/>
        <v/>
      </c>
      <c r="I978" s="47"/>
      <c r="J978" s="3" t="str">
        <f t="shared" si="275"/>
        <v/>
      </c>
      <c r="K978" s="47"/>
      <c r="L978" s="3" t="str">
        <f t="shared" si="276"/>
        <v/>
      </c>
      <c r="M978" s="47"/>
      <c r="N978" s="3" t="str">
        <f t="shared" si="277"/>
        <v/>
      </c>
      <c r="O978" s="47"/>
      <c r="P978" s="3" t="str">
        <f t="shared" si="278"/>
        <v/>
      </c>
      <c r="Q978" s="47"/>
      <c r="R978" s="3" t="str">
        <f t="shared" si="279"/>
        <v/>
      </c>
      <c r="S978" s="47"/>
      <c r="T978" s="1" t="str">
        <f t="shared" si="280"/>
        <v/>
      </c>
      <c r="U978" s="47"/>
      <c r="V978" s="1" t="str">
        <f t="shared" si="281"/>
        <v/>
      </c>
      <c r="W978" s="47"/>
      <c r="X978" s="1" t="str">
        <f t="shared" si="282"/>
        <v/>
      </c>
      <c r="Y978" s="47"/>
      <c r="Z978" s="1" t="str">
        <f t="shared" si="283"/>
        <v/>
      </c>
      <c r="AA978" s="47"/>
      <c r="AB978" s="1" t="str">
        <f t="shared" si="284"/>
        <v/>
      </c>
      <c r="AC978" s="47"/>
      <c r="AD978" s="1" t="str">
        <f t="shared" si="285"/>
        <v/>
      </c>
      <c r="AE978" s="47"/>
      <c r="AF978" s="1" t="str">
        <f t="shared" si="286"/>
        <v/>
      </c>
      <c r="AG978" s="47"/>
    </row>
    <row r="979" spans="1:33">
      <c r="A979">
        <f t="shared" si="270"/>
        <v>0</v>
      </c>
      <c r="B979" s="2" t="str">
        <f t="shared" si="287"/>
        <v/>
      </c>
      <c r="C979" s="4" t="str">
        <f t="shared" si="271"/>
        <v/>
      </c>
      <c r="D979" s="3" t="str">
        <f t="shared" si="272"/>
        <v/>
      </c>
      <c r="E979" s="47"/>
      <c r="F979" s="3" t="str">
        <f t="shared" si="273"/>
        <v/>
      </c>
      <c r="G979" s="47"/>
      <c r="H979" s="3" t="str">
        <f t="shared" si="274"/>
        <v/>
      </c>
      <c r="I979" s="47"/>
      <c r="J979" s="3" t="str">
        <f t="shared" si="275"/>
        <v/>
      </c>
      <c r="K979" s="47"/>
      <c r="L979" s="3" t="str">
        <f t="shared" si="276"/>
        <v/>
      </c>
      <c r="M979" s="47"/>
      <c r="N979" s="3" t="str">
        <f t="shared" si="277"/>
        <v/>
      </c>
      <c r="O979" s="47"/>
      <c r="P979" s="3" t="str">
        <f t="shared" si="278"/>
        <v/>
      </c>
      <c r="Q979" s="47"/>
      <c r="R979" s="3" t="str">
        <f t="shared" si="279"/>
        <v/>
      </c>
      <c r="S979" s="47"/>
      <c r="T979" s="1" t="str">
        <f t="shared" si="280"/>
        <v/>
      </c>
      <c r="U979" s="47"/>
      <c r="V979" s="1" t="str">
        <f t="shared" si="281"/>
        <v/>
      </c>
      <c r="W979" s="47"/>
      <c r="X979" s="1" t="str">
        <f t="shared" si="282"/>
        <v/>
      </c>
      <c r="Y979" s="47"/>
      <c r="Z979" s="1" t="str">
        <f t="shared" si="283"/>
        <v/>
      </c>
      <c r="AA979" s="47"/>
      <c r="AB979" s="1" t="str">
        <f t="shared" si="284"/>
        <v/>
      </c>
      <c r="AC979" s="47"/>
      <c r="AD979" s="1" t="str">
        <f t="shared" si="285"/>
        <v/>
      </c>
      <c r="AE979" s="47"/>
      <c r="AF979" s="1" t="str">
        <f t="shared" si="286"/>
        <v/>
      </c>
      <c r="AG979" s="47"/>
    </row>
    <row r="980" spans="1:33">
      <c r="A980">
        <f t="shared" si="270"/>
        <v>0</v>
      </c>
      <c r="B980" s="2" t="str">
        <f t="shared" si="287"/>
        <v/>
      </c>
      <c r="C980" s="4" t="str">
        <f t="shared" si="271"/>
        <v/>
      </c>
      <c r="D980" s="3" t="str">
        <f t="shared" si="272"/>
        <v/>
      </c>
      <c r="E980" s="47"/>
      <c r="F980" s="3" t="str">
        <f t="shared" si="273"/>
        <v/>
      </c>
      <c r="G980" s="47"/>
      <c r="H980" s="3" t="str">
        <f t="shared" si="274"/>
        <v/>
      </c>
      <c r="I980" s="47"/>
      <c r="J980" s="3" t="str">
        <f t="shared" si="275"/>
        <v/>
      </c>
      <c r="K980" s="47"/>
      <c r="L980" s="3" t="str">
        <f t="shared" si="276"/>
        <v/>
      </c>
      <c r="M980" s="47"/>
      <c r="N980" s="3" t="str">
        <f t="shared" si="277"/>
        <v/>
      </c>
      <c r="O980" s="47"/>
      <c r="P980" s="3" t="str">
        <f t="shared" si="278"/>
        <v/>
      </c>
      <c r="Q980" s="47"/>
      <c r="R980" s="3" t="str">
        <f t="shared" si="279"/>
        <v/>
      </c>
      <c r="S980" s="47"/>
      <c r="T980" s="1" t="str">
        <f t="shared" si="280"/>
        <v/>
      </c>
      <c r="U980" s="47"/>
      <c r="V980" s="1" t="str">
        <f t="shared" si="281"/>
        <v/>
      </c>
      <c r="W980" s="47"/>
      <c r="X980" s="1" t="str">
        <f t="shared" si="282"/>
        <v/>
      </c>
      <c r="Y980" s="47"/>
      <c r="Z980" s="1" t="str">
        <f t="shared" si="283"/>
        <v/>
      </c>
      <c r="AA980" s="47"/>
      <c r="AB980" s="1" t="str">
        <f t="shared" si="284"/>
        <v/>
      </c>
      <c r="AC980" s="47"/>
      <c r="AD980" s="1" t="str">
        <f t="shared" si="285"/>
        <v/>
      </c>
      <c r="AE980" s="47"/>
      <c r="AF980" s="1" t="str">
        <f t="shared" si="286"/>
        <v/>
      </c>
      <c r="AG980" s="47"/>
    </row>
    <row r="981" spans="1:33">
      <c r="A981">
        <f t="shared" si="270"/>
        <v>0</v>
      </c>
      <c r="B981" s="2" t="str">
        <f t="shared" si="287"/>
        <v/>
      </c>
      <c r="C981" s="4" t="str">
        <f t="shared" si="271"/>
        <v/>
      </c>
      <c r="D981" s="3" t="str">
        <f t="shared" si="272"/>
        <v/>
      </c>
      <c r="E981" s="47"/>
      <c r="F981" s="3" t="str">
        <f t="shared" si="273"/>
        <v/>
      </c>
      <c r="G981" s="47"/>
      <c r="H981" s="3" t="str">
        <f t="shared" si="274"/>
        <v/>
      </c>
      <c r="I981" s="47"/>
      <c r="J981" s="3" t="str">
        <f t="shared" si="275"/>
        <v/>
      </c>
      <c r="K981" s="47"/>
      <c r="L981" s="3" t="str">
        <f t="shared" si="276"/>
        <v/>
      </c>
      <c r="M981" s="47"/>
      <c r="N981" s="3" t="str">
        <f t="shared" si="277"/>
        <v/>
      </c>
      <c r="O981" s="47"/>
      <c r="P981" s="3" t="str">
        <f t="shared" si="278"/>
        <v/>
      </c>
      <c r="Q981" s="47"/>
      <c r="R981" s="3" t="str">
        <f t="shared" si="279"/>
        <v/>
      </c>
      <c r="S981" s="47"/>
      <c r="T981" s="1" t="str">
        <f t="shared" si="280"/>
        <v/>
      </c>
      <c r="U981" s="47"/>
      <c r="V981" s="1" t="str">
        <f t="shared" si="281"/>
        <v/>
      </c>
      <c r="W981" s="47"/>
      <c r="X981" s="1" t="str">
        <f t="shared" si="282"/>
        <v/>
      </c>
      <c r="Y981" s="47"/>
      <c r="Z981" s="1" t="str">
        <f t="shared" si="283"/>
        <v/>
      </c>
      <c r="AA981" s="47"/>
      <c r="AB981" s="1" t="str">
        <f t="shared" si="284"/>
        <v/>
      </c>
      <c r="AC981" s="47"/>
      <c r="AD981" s="1" t="str">
        <f t="shared" si="285"/>
        <v/>
      </c>
      <c r="AE981" s="47"/>
      <c r="AF981" s="1" t="str">
        <f t="shared" si="286"/>
        <v/>
      </c>
      <c r="AG981" s="47"/>
    </row>
    <row r="982" spans="1:33">
      <c r="A982">
        <f t="shared" si="270"/>
        <v>0</v>
      </c>
      <c r="B982" s="2" t="str">
        <f t="shared" si="287"/>
        <v/>
      </c>
      <c r="C982" s="4" t="str">
        <f t="shared" si="271"/>
        <v/>
      </c>
      <c r="D982" s="3" t="str">
        <f t="shared" si="272"/>
        <v/>
      </c>
      <c r="E982" s="47"/>
      <c r="F982" s="3" t="str">
        <f t="shared" si="273"/>
        <v/>
      </c>
      <c r="G982" s="47"/>
      <c r="H982" s="3" t="str">
        <f t="shared" si="274"/>
        <v/>
      </c>
      <c r="I982" s="47"/>
      <c r="J982" s="3" t="str">
        <f t="shared" si="275"/>
        <v/>
      </c>
      <c r="K982" s="47"/>
      <c r="L982" s="3" t="str">
        <f t="shared" si="276"/>
        <v/>
      </c>
      <c r="M982" s="47"/>
      <c r="N982" s="3" t="str">
        <f t="shared" si="277"/>
        <v/>
      </c>
      <c r="O982" s="47"/>
      <c r="P982" s="3" t="str">
        <f t="shared" si="278"/>
        <v/>
      </c>
      <c r="Q982" s="47"/>
      <c r="R982" s="3" t="str">
        <f t="shared" si="279"/>
        <v/>
      </c>
      <c r="S982" s="47"/>
      <c r="T982" s="1" t="str">
        <f t="shared" si="280"/>
        <v/>
      </c>
      <c r="U982" s="47"/>
      <c r="V982" s="1" t="str">
        <f t="shared" si="281"/>
        <v/>
      </c>
      <c r="W982" s="47"/>
      <c r="X982" s="1" t="str">
        <f t="shared" si="282"/>
        <v/>
      </c>
      <c r="Y982" s="47"/>
      <c r="Z982" s="1" t="str">
        <f t="shared" si="283"/>
        <v/>
      </c>
      <c r="AA982" s="47"/>
      <c r="AB982" s="1" t="str">
        <f t="shared" si="284"/>
        <v/>
      </c>
      <c r="AC982" s="47"/>
      <c r="AD982" s="1" t="str">
        <f t="shared" si="285"/>
        <v/>
      </c>
      <c r="AE982" s="47"/>
      <c r="AF982" s="1" t="str">
        <f t="shared" si="286"/>
        <v/>
      </c>
      <c r="AG982" s="47"/>
    </row>
    <row r="983" spans="1:33">
      <c r="A983">
        <f t="shared" si="270"/>
        <v>0</v>
      </c>
      <c r="B983" s="2" t="str">
        <f t="shared" si="287"/>
        <v/>
      </c>
      <c r="C983" s="4" t="str">
        <f t="shared" si="271"/>
        <v/>
      </c>
      <c r="D983" s="3" t="str">
        <f t="shared" si="272"/>
        <v/>
      </c>
      <c r="E983" s="47"/>
      <c r="F983" s="3" t="str">
        <f t="shared" si="273"/>
        <v/>
      </c>
      <c r="G983" s="47"/>
      <c r="H983" s="3" t="str">
        <f t="shared" si="274"/>
        <v/>
      </c>
      <c r="I983" s="47"/>
      <c r="J983" s="3" t="str">
        <f t="shared" si="275"/>
        <v/>
      </c>
      <c r="K983" s="47"/>
      <c r="L983" s="3" t="str">
        <f t="shared" si="276"/>
        <v/>
      </c>
      <c r="M983" s="47"/>
      <c r="N983" s="3" t="str">
        <f t="shared" si="277"/>
        <v/>
      </c>
      <c r="O983" s="47"/>
      <c r="P983" s="3" t="str">
        <f t="shared" si="278"/>
        <v/>
      </c>
      <c r="Q983" s="47"/>
      <c r="R983" s="3" t="str">
        <f t="shared" si="279"/>
        <v/>
      </c>
      <c r="S983" s="47"/>
      <c r="T983" s="1" t="str">
        <f t="shared" si="280"/>
        <v/>
      </c>
      <c r="U983" s="47"/>
      <c r="V983" s="1" t="str">
        <f t="shared" si="281"/>
        <v/>
      </c>
      <c r="W983" s="47"/>
      <c r="X983" s="1" t="str">
        <f t="shared" si="282"/>
        <v/>
      </c>
      <c r="Y983" s="47"/>
      <c r="Z983" s="1" t="str">
        <f t="shared" si="283"/>
        <v/>
      </c>
      <c r="AA983" s="47"/>
      <c r="AB983" s="1" t="str">
        <f t="shared" si="284"/>
        <v/>
      </c>
      <c r="AC983" s="47"/>
      <c r="AD983" s="1" t="str">
        <f t="shared" si="285"/>
        <v/>
      </c>
      <c r="AE983" s="47"/>
      <c r="AF983" s="1" t="str">
        <f t="shared" si="286"/>
        <v/>
      </c>
      <c r="AG983" s="47"/>
    </row>
    <row r="984" spans="1:33">
      <c r="A984">
        <f t="shared" si="270"/>
        <v>0</v>
      </c>
      <c r="B984" s="2" t="str">
        <f t="shared" si="287"/>
        <v/>
      </c>
      <c r="C984" s="4" t="str">
        <f t="shared" si="271"/>
        <v/>
      </c>
      <c r="D984" s="3" t="str">
        <f t="shared" si="272"/>
        <v/>
      </c>
      <c r="E984" s="47"/>
      <c r="F984" s="3" t="str">
        <f t="shared" si="273"/>
        <v/>
      </c>
      <c r="G984" s="47"/>
      <c r="H984" s="3" t="str">
        <f t="shared" si="274"/>
        <v/>
      </c>
      <c r="I984" s="47"/>
      <c r="J984" s="3" t="str">
        <f t="shared" si="275"/>
        <v/>
      </c>
      <c r="K984" s="47"/>
      <c r="L984" s="3" t="str">
        <f t="shared" si="276"/>
        <v/>
      </c>
      <c r="M984" s="47"/>
      <c r="N984" s="3" t="str">
        <f t="shared" si="277"/>
        <v/>
      </c>
      <c r="O984" s="47"/>
      <c r="P984" s="3" t="str">
        <f t="shared" si="278"/>
        <v/>
      </c>
      <c r="Q984" s="47"/>
      <c r="R984" s="3" t="str">
        <f t="shared" si="279"/>
        <v/>
      </c>
      <c r="S984" s="47"/>
      <c r="T984" s="1" t="str">
        <f t="shared" si="280"/>
        <v/>
      </c>
      <c r="U984" s="47"/>
      <c r="V984" s="1" t="str">
        <f t="shared" si="281"/>
        <v/>
      </c>
      <c r="W984" s="47"/>
      <c r="X984" s="1" t="str">
        <f t="shared" si="282"/>
        <v/>
      </c>
      <c r="Y984" s="47"/>
      <c r="Z984" s="1" t="str">
        <f t="shared" si="283"/>
        <v/>
      </c>
      <c r="AA984" s="47"/>
      <c r="AB984" s="1" t="str">
        <f t="shared" si="284"/>
        <v/>
      </c>
      <c r="AC984" s="47"/>
      <c r="AD984" s="1" t="str">
        <f t="shared" si="285"/>
        <v/>
      </c>
      <c r="AE984" s="47"/>
      <c r="AF984" s="1" t="str">
        <f t="shared" si="286"/>
        <v/>
      </c>
      <c r="AG984" s="47"/>
    </row>
    <row r="985" spans="1:33">
      <c r="A985">
        <f t="shared" si="270"/>
        <v>0</v>
      </c>
      <c r="B985" s="2" t="str">
        <f t="shared" si="287"/>
        <v/>
      </c>
      <c r="C985" s="4" t="str">
        <f t="shared" si="271"/>
        <v/>
      </c>
      <c r="D985" s="3" t="str">
        <f t="shared" si="272"/>
        <v/>
      </c>
      <c r="E985" s="47"/>
      <c r="F985" s="3" t="str">
        <f t="shared" si="273"/>
        <v/>
      </c>
      <c r="G985" s="47"/>
      <c r="H985" s="3" t="str">
        <f t="shared" si="274"/>
        <v/>
      </c>
      <c r="I985" s="47"/>
      <c r="J985" s="3" t="str">
        <f t="shared" si="275"/>
        <v/>
      </c>
      <c r="K985" s="47"/>
      <c r="L985" s="3" t="str">
        <f t="shared" si="276"/>
        <v/>
      </c>
      <c r="M985" s="47"/>
      <c r="N985" s="3" t="str">
        <f t="shared" si="277"/>
        <v/>
      </c>
      <c r="O985" s="47"/>
      <c r="P985" s="3" t="str">
        <f t="shared" si="278"/>
        <v/>
      </c>
      <c r="Q985" s="47"/>
      <c r="R985" s="3" t="str">
        <f t="shared" si="279"/>
        <v/>
      </c>
      <c r="S985" s="47"/>
      <c r="T985" s="1" t="str">
        <f t="shared" si="280"/>
        <v/>
      </c>
      <c r="U985" s="47"/>
      <c r="V985" s="1" t="str">
        <f t="shared" si="281"/>
        <v/>
      </c>
      <c r="W985" s="47"/>
      <c r="X985" s="1" t="str">
        <f t="shared" si="282"/>
        <v/>
      </c>
      <c r="Y985" s="47"/>
      <c r="Z985" s="1" t="str">
        <f t="shared" si="283"/>
        <v/>
      </c>
      <c r="AA985" s="47"/>
      <c r="AB985" s="1" t="str">
        <f t="shared" si="284"/>
        <v/>
      </c>
      <c r="AC985" s="47"/>
      <c r="AD985" s="1" t="str">
        <f t="shared" si="285"/>
        <v/>
      </c>
      <c r="AE985" s="47"/>
      <c r="AF985" s="1" t="str">
        <f t="shared" si="286"/>
        <v/>
      </c>
      <c r="AG985" s="47"/>
    </row>
    <row r="986" spans="1:33">
      <c r="A986">
        <f t="shared" si="270"/>
        <v>0</v>
      </c>
      <c r="B986" s="2" t="str">
        <f t="shared" si="287"/>
        <v/>
      </c>
      <c r="C986" s="4" t="str">
        <f t="shared" si="271"/>
        <v/>
      </c>
      <c r="D986" s="3" t="str">
        <f t="shared" si="272"/>
        <v/>
      </c>
      <c r="E986" s="47"/>
      <c r="F986" s="3" t="str">
        <f t="shared" si="273"/>
        <v/>
      </c>
      <c r="G986" s="47"/>
      <c r="H986" s="3" t="str">
        <f t="shared" si="274"/>
        <v/>
      </c>
      <c r="I986" s="47"/>
      <c r="J986" s="3" t="str">
        <f t="shared" si="275"/>
        <v/>
      </c>
      <c r="K986" s="47"/>
      <c r="L986" s="3" t="str">
        <f t="shared" si="276"/>
        <v/>
      </c>
      <c r="M986" s="47"/>
      <c r="N986" s="3" t="str">
        <f t="shared" si="277"/>
        <v/>
      </c>
      <c r="O986" s="47"/>
      <c r="P986" s="3" t="str">
        <f t="shared" si="278"/>
        <v/>
      </c>
      <c r="Q986" s="47"/>
      <c r="R986" s="3" t="str">
        <f t="shared" si="279"/>
        <v/>
      </c>
      <c r="S986" s="47"/>
      <c r="T986" s="1" t="str">
        <f t="shared" si="280"/>
        <v/>
      </c>
      <c r="U986" s="47"/>
      <c r="V986" s="1" t="str">
        <f t="shared" si="281"/>
        <v/>
      </c>
      <c r="W986" s="47"/>
      <c r="X986" s="1" t="str">
        <f t="shared" si="282"/>
        <v/>
      </c>
      <c r="Y986" s="47"/>
      <c r="Z986" s="1" t="str">
        <f t="shared" si="283"/>
        <v/>
      </c>
      <c r="AA986" s="47"/>
      <c r="AB986" s="1" t="str">
        <f t="shared" si="284"/>
        <v/>
      </c>
      <c r="AC986" s="47"/>
      <c r="AD986" s="1" t="str">
        <f t="shared" si="285"/>
        <v/>
      </c>
      <c r="AE986" s="47"/>
      <c r="AF986" s="1" t="str">
        <f t="shared" si="286"/>
        <v/>
      </c>
      <c r="AG986" s="47"/>
    </row>
    <row r="987" spans="1:33">
      <c r="A987">
        <f t="shared" si="270"/>
        <v>0</v>
      </c>
      <c r="B987" s="2" t="str">
        <f t="shared" si="287"/>
        <v/>
      </c>
      <c r="C987" s="4" t="str">
        <f t="shared" si="271"/>
        <v/>
      </c>
      <c r="D987" s="3" t="str">
        <f t="shared" si="272"/>
        <v/>
      </c>
      <c r="E987" s="47"/>
      <c r="F987" s="3" t="str">
        <f t="shared" si="273"/>
        <v/>
      </c>
      <c r="G987" s="47"/>
      <c r="H987" s="3" t="str">
        <f t="shared" si="274"/>
        <v/>
      </c>
      <c r="I987" s="47"/>
      <c r="J987" s="3" t="str">
        <f t="shared" si="275"/>
        <v/>
      </c>
      <c r="K987" s="47"/>
      <c r="L987" s="3" t="str">
        <f t="shared" si="276"/>
        <v/>
      </c>
      <c r="M987" s="47"/>
      <c r="N987" s="3" t="str">
        <f t="shared" si="277"/>
        <v/>
      </c>
      <c r="O987" s="47"/>
      <c r="P987" s="3" t="str">
        <f t="shared" si="278"/>
        <v/>
      </c>
      <c r="Q987" s="47"/>
      <c r="R987" s="3" t="str">
        <f t="shared" si="279"/>
        <v/>
      </c>
      <c r="S987" s="47"/>
      <c r="T987" s="1" t="str">
        <f t="shared" si="280"/>
        <v/>
      </c>
      <c r="U987" s="47"/>
      <c r="V987" s="1" t="str">
        <f t="shared" si="281"/>
        <v/>
      </c>
      <c r="W987" s="47"/>
      <c r="X987" s="1" t="str">
        <f t="shared" si="282"/>
        <v/>
      </c>
      <c r="Y987" s="47"/>
      <c r="Z987" s="1" t="str">
        <f t="shared" si="283"/>
        <v/>
      </c>
      <c r="AA987" s="47"/>
      <c r="AB987" s="1" t="str">
        <f t="shared" si="284"/>
        <v/>
      </c>
      <c r="AC987" s="47"/>
      <c r="AD987" s="1" t="str">
        <f t="shared" si="285"/>
        <v/>
      </c>
      <c r="AE987" s="47"/>
      <c r="AF987" s="1" t="str">
        <f t="shared" si="286"/>
        <v/>
      </c>
      <c r="AG987" s="47"/>
    </row>
    <row r="988" spans="1:33">
      <c r="A988">
        <f t="shared" si="270"/>
        <v>0</v>
      </c>
      <c r="B988" s="2" t="str">
        <f t="shared" si="287"/>
        <v/>
      </c>
      <c r="C988" s="4" t="str">
        <f t="shared" si="271"/>
        <v/>
      </c>
      <c r="D988" s="3" t="str">
        <f t="shared" si="272"/>
        <v/>
      </c>
      <c r="E988" s="47"/>
      <c r="F988" s="3" t="str">
        <f t="shared" si="273"/>
        <v/>
      </c>
      <c r="G988" s="47"/>
      <c r="H988" s="3" t="str">
        <f t="shared" si="274"/>
        <v/>
      </c>
      <c r="I988" s="47"/>
      <c r="J988" s="3" t="str">
        <f t="shared" si="275"/>
        <v/>
      </c>
      <c r="K988" s="47"/>
      <c r="L988" s="3" t="str">
        <f t="shared" si="276"/>
        <v/>
      </c>
      <c r="M988" s="47"/>
      <c r="N988" s="3" t="str">
        <f t="shared" si="277"/>
        <v/>
      </c>
      <c r="O988" s="47"/>
      <c r="P988" s="3" t="str">
        <f t="shared" si="278"/>
        <v/>
      </c>
      <c r="Q988" s="47"/>
      <c r="R988" s="3" t="str">
        <f t="shared" si="279"/>
        <v/>
      </c>
      <c r="S988" s="47"/>
      <c r="T988" s="1" t="str">
        <f t="shared" si="280"/>
        <v/>
      </c>
      <c r="U988" s="47"/>
      <c r="V988" s="1" t="str">
        <f t="shared" si="281"/>
        <v/>
      </c>
      <c r="W988" s="47"/>
      <c r="X988" s="1" t="str">
        <f t="shared" si="282"/>
        <v/>
      </c>
      <c r="Y988" s="47"/>
      <c r="Z988" s="1" t="str">
        <f t="shared" si="283"/>
        <v/>
      </c>
      <c r="AA988" s="47"/>
      <c r="AB988" s="1" t="str">
        <f t="shared" si="284"/>
        <v/>
      </c>
      <c r="AC988" s="47"/>
      <c r="AD988" s="1" t="str">
        <f t="shared" si="285"/>
        <v/>
      </c>
      <c r="AE988" s="47"/>
      <c r="AF988" s="1" t="str">
        <f t="shared" si="286"/>
        <v/>
      </c>
      <c r="AG988" s="47"/>
    </row>
    <row r="989" spans="1:33">
      <c r="A989">
        <f t="shared" si="270"/>
        <v>0</v>
      </c>
      <c r="B989" s="2" t="str">
        <f t="shared" si="287"/>
        <v/>
      </c>
      <c r="C989" s="4" t="str">
        <f t="shared" si="271"/>
        <v/>
      </c>
      <c r="D989" s="3" t="str">
        <f t="shared" si="272"/>
        <v/>
      </c>
      <c r="E989" s="47"/>
      <c r="F989" s="3" t="str">
        <f t="shared" si="273"/>
        <v/>
      </c>
      <c r="G989" s="47"/>
      <c r="H989" s="3" t="str">
        <f t="shared" si="274"/>
        <v/>
      </c>
      <c r="I989" s="47"/>
      <c r="J989" s="3" t="str">
        <f t="shared" si="275"/>
        <v/>
      </c>
      <c r="K989" s="47"/>
      <c r="L989" s="3" t="str">
        <f t="shared" si="276"/>
        <v/>
      </c>
      <c r="M989" s="47"/>
      <c r="N989" s="3" t="str">
        <f t="shared" si="277"/>
        <v/>
      </c>
      <c r="O989" s="47"/>
      <c r="P989" s="3" t="str">
        <f t="shared" si="278"/>
        <v/>
      </c>
      <c r="Q989" s="47"/>
      <c r="R989" s="3" t="str">
        <f t="shared" si="279"/>
        <v/>
      </c>
      <c r="S989" s="47"/>
      <c r="T989" s="1" t="str">
        <f t="shared" si="280"/>
        <v/>
      </c>
      <c r="U989" s="47"/>
      <c r="V989" s="1" t="str">
        <f t="shared" si="281"/>
        <v/>
      </c>
      <c r="W989" s="47"/>
      <c r="X989" s="1" t="str">
        <f t="shared" si="282"/>
        <v/>
      </c>
      <c r="Y989" s="47"/>
      <c r="Z989" s="1" t="str">
        <f t="shared" si="283"/>
        <v/>
      </c>
      <c r="AA989" s="47"/>
      <c r="AB989" s="1" t="str">
        <f t="shared" si="284"/>
        <v/>
      </c>
      <c r="AC989" s="47"/>
      <c r="AD989" s="1" t="str">
        <f t="shared" si="285"/>
        <v/>
      </c>
      <c r="AE989" s="47"/>
      <c r="AF989" s="1" t="str">
        <f t="shared" si="286"/>
        <v/>
      </c>
      <c r="AG989" s="47"/>
    </row>
    <row r="990" spans="1:33">
      <c r="A990">
        <f t="shared" si="270"/>
        <v>0</v>
      </c>
      <c r="B990" s="2" t="str">
        <f t="shared" si="287"/>
        <v/>
      </c>
      <c r="C990" s="4" t="str">
        <f t="shared" si="271"/>
        <v/>
      </c>
      <c r="D990" s="3" t="str">
        <f t="shared" si="272"/>
        <v/>
      </c>
      <c r="E990" s="47"/>
      <c r="F990" s="3" t="str">
        <f t="shared" si="273"/>
        <v/>
      </c>
      <c r="G990" s="47"/>
      <c r="H990" s="3" t="str">
        <f t="shared" si="274"/>
        <v/>
      </c>
      <c r="I990" s="47"/>
      <c r="J990" s="3" t="str">
        <f t="shared" si="275"/>
        <v/>
      </c>
      <c r="K990" s="47"/>
      <c r="L990" s="3" t="str">
        <f t="shared" si="276"/>
        <v/>
      </c>
      <c r="M990" s="47"/>
      <c r="N990" s="3" t="str">
        <f t="shared" si="277"/>
        <v/>
      </c>
      <c r="O990" s="47"/>
      <c r="P990" s="3" t="str">
        <f t="shared" si="278"/>
        <v/>
      </c>
      <c r="Q990" s="47"/>
      <c r="R990" s="3" t="str">
        <f t="shared" si="279"/>
        <v/>
      </c>
      <c r="S990" s="47"/>
      <c r="T990" s="1" t="str">
        <f t="shared" si="280"/>
        <v/>
      </c>
      <c r="U990" s="47"/>
      <c r="V990" s="1" t="str">
        <f t="shared" si="281"/>
        <v/>
      </c>
      <c r="W990" s="47"/>
      <c r="X990" s="1" t="str">
        <f t="shared" si="282"/>
        <v/>
      </c>
      <c r="Y990" s="47"/>
      <c r="Z990" s="1" t="str">
        <f t="shared" si="283"/>
        <v/>
      </c>
      <c r="AA990" s="47"/>
      <c r="AB990" s="1" t="str">
        <f t="shared" si="284"/>
        <v/>
      </c>
      <c r="AC990" s="47"/>
      <c r="AD990" s="1" t="str">
        <f t="shared" si="285"/>
        <v/>
      </c>
      <c r="AE990" s="47"/>
      <c r="AF990" s="1" t="str">
        <f t="shared" si="286"/>
        <v/>
      </c>
      <c r="AG990" s="47"/>
    </row>
    <row r="991" spans="1:33">
      <c r="A991">
        <f t="shared" si="270"/>
        <v>0</v>
      </c>
      <c r="B991" s="2" t="str">
        <f t="shared" si="287"/>
        <v/>
      </c>
      <c r="C991" s="4" t="str">
        <f t="shared" si="271"/>
        <v/>
      </c>
      <c r="D991" s="3" t="str">
        <f t="shared" si="272"/>
        <v/>
      </c>
      <c r="E991" s="47"/>
      <c r="F991" s="3" t="str">
        <f t="shared" si="273"/>
        <v/>
      </c>
      <c r="G991" s="47"/>
      <c r="H991" s="3" t="str">
        <f t="shared" si="274"/>
        <v/>
      </c>
      <c r="I991" s="47"/>
      <c r="J991" s="3" t="str">
        <f t="shared" si="275"/>
        <v/>
      </c>
      <c r="K991" s="47"/>
      <c r="L991" s="3" t="str">
        <f t="shared" si="276"/>
        <v/>
      </c>
      <c r="M991" s="47"/>
      <c r="N991" s="3" t="str">
        <f t="shared" si="277"/>
        <v/>
      </c>
      <c r="O991" s="47"/>
      <c r="P991" s="3" t="str">
        <f t="shared" si="278"/>
        <v/>
      </c>
      <c r="Q991" s="47"/>
      <c r="R991" s="3" t="str">
        <f t="shared" si="279"/>
        <v/>
      </c>
      <c r="S991" s="47"/>
      <c r="T991" s="1" t="str">
        <f t="shared" si="280"/>
        <v/>
      </c>
      <c r="U991" s="47"/>
      <c r="V991" s="1" t="str">
        <f t="shared" si="281"/>
        <v/>
      </c>
      <c r="W991" s="47"/>
      <c r="X991" s="1" t="str">
        <f t="shared" si="282"/>
        <v/>
      </c>
      <c r="Y991" s="47"/>
      <c r="Z991" s="1" t="str">
        <f t="shared" si="283"/>
        <v/>
      </c>
      <c r="AA991" s="47"/>
      <c r="AB991" s="1" t="str">
        <f t="shared" si="284"/>
        <v/>
      </c>
      <c r="AC991" s="47"/>
      <c r="AD991" s="1" t="str">
        <f t="shared" si="285"/>
        <v/>
      </c>
      <c r="AE991" s="47"/>
      <c r="AF991" s="1" t="str">
        <f t="shared" si="286"/>
        <v/>
      </c>
      <c r="AG991" s="47"/>
    </row>
    <row r="992" spans="1:33">
      <c r="A992">
        <f t="shared" si="270"/>
        <v>0</v>
      </c>
      <c r="B992" s="2" t="str">
        <f t="shared" si="287"/>
        <v/>
      </c>
      <c r="C992" s="4" t="str">
        <f t="shared" si="271"/>
        <v/>
      </c>
      <c r="D992" s="3" t="str">
        <f t="shared" si="272"/>
        <v/>
      </c>
      <c r="E992" s="47"/>
      <c r="F992" s="3" t="str">
        <f t="shared" si="273"/>
        <v/>
      </c>
      <c r="G992" s="47"/>
      <c r="H992" s="3" t="str">
        <f t="shared" si="274"/>
        <v/>
      </c>
      <c r="I992" s="47"/>
      <c r="J992" s="3" t="str">
        <f t="shared" si="275"/>
        <v/>
      </c>
      <c r="K992" s="47"/>
      <c r="L992" s="3" t="str">
        <f t="shared" si="276"/>
        <v/>
      </c>
      <c r="M992" s="47"/>
      <c r="N992" s="3" t="str">
        <f t="shared" si="277"/>
        <v/>
      </c>
      <c r="O992" s="47"/>
      <c r="P992" s="3" t="str">
        <f t="shared" si="278"/>
        <v/>
      </c>
      <c r="Q992" s="47"/>
      <c r="R992" s="3" t="str">
        <f t="shared" si="279"/>
        <v/>
      </c>
      <c r="S992" s="47"/>
      <c r="T992" s="1" t="str">
        <f t="shared" si="280"/>
        <v/>
      </c>
      <c r="U992" s="47"/>
      <c r="V992" s="1" t="str">
        <f t="shared" si="281"/>
        <v/>
      </c>
      <c r="W992" s="47"/>
      <c r="X992" s="1" t="str">
        <f t="shared" si="282"/>
        <v/>
      </c>
      <c r="Y992" s="47"/>
      <c r="Z992" s="1" t="str">
        <f t="shared" si="283"/>
        <v/>
      </c>
      <c r="AA992" s="47"/>
      <c r="AB992" s="1" t="str">
        <f t="shared" si="284"/>
        <v/>
      </c>
      <c r="AC992" s="47"/>
      <c r="AD992" s="1" t="str">
        <f t="shared" si="285"/>
        <v/>
      </c>
      <c r="AE992" s="47"/>
      <c r="AF992" s="1" t="str">
        <f t="shared" si="286"/>
        <v/>
      </c>
      <c r="AG992" s="47"/>
    </row>
    <row r="993" spans="1:33">
      <c r="A993">
        <f t="shared" si="270"/>
        <v>0</v>
      </c>
      <c r="B993" s="2" t="str">
        <f t="shared" si="287"/>
        <v/>
      </c>
      <c r="C993" s="4" t="str">
        <f t="shared" si="271"/>
        <v/>
      </c>
      <c r="D993" s="3" t="str">
        <f t="shared" si="272"/>
        <v/>
      </c>
      <c r="E993" s="47"/>
      <c r="F993" s="3" t="str">
        <f t="shared" si="273"/>
        <v/>
      </c>
      <c r="G993" s="47"/>
      <c r="H993" s="3" t="str">
        <f t="shared" si="274"/>
        <v/>
      </c>
      <c r="I993" s="47"/>
      <c r="J993" s="3" t="str">
        <f t="shared" si="275"/>
        <v/>
      </c>
      <c r="K993" s="47"/>
      <c r="L993" s="3" t="str">
        <f t="shared" si="276"/>
        <v/>
      </c>
      <c r="M993" s="47"/>
      <c r="N993" s="3" t="str">
        <f t="shared" si="277"/>
        <v/>
      </c>
      <c r="O993" s="47"/>
      <c r="P993" s="3" t="str">
        <f t="shared" si="278"/>
        <v/>
      </c>
      <c r="Q993" s="47"/>
      <c r="R993" s="3" t="str">
        <f t="shared" si="279"/>
        <v/>
      </c>
      <c r="S993" s="47"/>
      <c r="T993" s="1" t="str">
        <f t="shared" si="280"/>
        <v/>
      </c>
      <c r="U993" s="47"/>
      <c r="V993" s="1" t="str">
        <f t="shared" si="281"/>
        <v/>
      </c>
      <c r="W993" s="47"/>
      <c r="X993" s="1" t="str">
        <f t="shared" si="282"/>
        <v/>
      </c>
      <c r="Y993" s="47"/>
      <c r="Z993" s="1" t="str">
        <f t="shared" si="283"/>
        <v/>
      </c>
      <c r="AA993" s="47"/>
      <c r="AB993" s="1" t="str">
        <f t="shared" si="284"/>
        <v/>
      </c>
      <c r="AC993" s="47"/>
      <c r="AD993" s="1" t="str">
        <f t="shared" si="285"/>
        <v/>
      </c>
      <c r="AE993" s="47"/>
      <c r="AF993" s="1" t="str">
        <f t="shared" si="286"/>
        <v/>
      </c>
      <c r="AG993" s="47"/>
    </row>
    <row r="994" spans="1:33">
      <c r="A994">
        <f t="shared" si="270"/>
        <v>0</v>
      </c>
      <c r="B994" s="2" t="str">
        <f t="shared" si="287"/>
        <v/>
      </c>
      <c r="C994" s="4" t="str">
        <f t="shared" si="271"/>
        <v/>
      </c>
      <c r="D994" s="3" t="str">
        <f t="shared" si="272"/>
        <v/>
      </c>
      <c r="E994" s="47"/>
      <c r="F994" s="3" t="str">
        <f t="shared" si="273"/>
        <v/>
      </c>
      <c r="G994" s="47"/>
      <c r="H994" s="3" t="str">
        <f t="shared" si="274"/>
        <v/>
      </c>
      <c r="I994" s="47"/>
      <c r="J994" s="3" t="str">
        <f t="shared" si="275"/>
        <v/>
      </c>
      <c r="K994" s="47"/>
      <c r="L994" s="3" t="str">
        <f t="shared" si="276"/>
        <v/>
      </c>
      <c r="M994" s="47"/>
      <c r="N994" s="3" t="str">
        <f t="shared" si="277"/>
        <v/>
      </c>
      <c r="O994" s="47"/>
      <c r="P994" s="3" t="str">
        <f t="shared" si="278"/>
        <v/>
      </c>
      <c r="Q994" s="47"/>
      <c r="R994" s="3" t="str">
        <f t="shared" si="279"/>
        <v/>
      </c>
      <c r="S994" s="47"/>
      <c r="T994" s="1" t="str">
        <f t="shared" si="280"/>
        <v/>
      </c>
      <c r="U994" s="47"/>
      <c r="V994" s="1" t="str">
        <f t="shared" si="281"/>
        <v/>
      </c>
      <c r="W994" s="47"/>
      <c r="X994" s="1" t="str">
        <f t="shared" si="282"/>
        <v/>
      </c>
      <c r="Y994" s="47"/>
      <c r="Z994" s="1" t="str">
        <f t="shared" si="283"/>
        <v/>
      </c>
      <c r="AA994" s="47"/>
      <c r="AB994" s="1" t="str">
        <f t="shared" si="284"/>
        <v/>
      </c>
      <c r="AC994" s="47"/>
      <c r="AD994" s="1" t="str">
        <f t="shared" si="285"/>
        <v/>
      </c>
      <c r="AE994" s="47"/>
      <c r="AF994" s="1" t="str">
        <f t="shared" si="286"/>
        <v/>
      </c>
      <c r="AG994" s="47"/>
    </row>
    <row r="995" spans="1:33">
      <c r="A995">
        <f t="shared" si="270"/>
        <v>0</v>
      </c>
      <c r="B995" s="2" t="str">
        <f t="shared" si="287"/>
        <v/>
      </c>
      <c r="C995" s="4" t="str">
        <f t="shared" si="271"/>
        <v/>
      </c>
      <c r="D995" s="3" t="str">
        <f t="shared" si="272"/>
        <v/>
      </c>
      <c r="E995" s="47"/>
      <c r="F995" s="3" t="str">
        <f t="shared" si="273"/>
        <v/>
      </c>
      <c r="G995" s="47"/>
      <c r="H995" s="3" t="str">
        <f t="shared" si="274"/>
        <v/>
      </c>
      <c r="I995" s="47"/>
      <c r="J995" s="3" t="str">
        <f t="shared" si="275"/>
        <v/>
      </c>
      <c r="K995" s="47"/>
      <c r="L995" s="3" t="str">
        <f t="shared" si="276"/>
        <v/>
      </c>
      <c r="M995" s="47"/>
      <c r="N995" s="3" t="str">
        <f t="shared" si="277"/>
        <v/>
      </c>
      <c r="O995" s="47"/>
      <c r="P995" s="3" t="str">
        <f t="shared" si="278"/>
        <v/>
      </c>
      <c r="Q995" s="47"/>
      <c r="R995" s="3" t="str">
        <f t="shared" si="279"/>
        <v/>
      </c>
      <c r="S995" s="47"/>
      <c r="T995" s="1" t="str">
        <f t="shared" si="280"/>
        <v/>
      </c>
      <c r="U995" s="47"/>
      <c r="V995" s="1" t="str">
        <f t="shared" si="281"/>
        <v/>
      </c>
      <c r="W995" s="47"/>
      <c r="X995" s="1" t="str">
        <f t="shared" si="282"/>
        <v/>
      </c>
      <c r="Y995" s="47"/>
      <c r="Z995" s="1" t="str">
        <f t="shared" si="283"/>
        <v/>
      </c>
      <c r="AA995" s="47"/>
      <c r="AB995" s="1" t="str">
        <f t="shared" si="284"/>
        <v/>
      </c>
      <c r="AC995" s="47"/>
      <c r="AD995" s="1" t="str">
        <f t="shared" si="285"/>
        <v/>
      </c>
      <c r="AE995" s="47"/>
      <c r="AF995" s="1" t="str">
        <f t="shared" si="286"/>
        <v/>
      </c>
      <c r="AG995" s="47"/>
    </row>
    <row r="996" spans="1:33">
      <c r="A996">
        <f t="shared" si="270"/>
        <v>0</v>
      </c>
      <c r="B996" s="2" t="str">
        <f t="shared" si="287"/>
        <v/>
      </c>
      <c r="C996" s="4" t="str">
        <f t="shared" si="271"/>
        <v/>
      </c>
      <c r="D996" s="3" t="str">
        <f t="shared" si="272"/>
        <v/>
      </c>
      <c r="E996" s="47"/>
      <c r="F996" s="3" t="str">
        <f t="shared" si="273"/>
        <v/>
      </c>
      <c r="G996" s="47"/>
      <c r="H996" s="3" t="str">
        <f t="shared" si="274"/>
        <v/>
      </c>
      <c r="I996" s="47"/>
      <c r="J996" s="3" t="str">
        <f t="shared" si="275"/>
        <v/>
      </c>
      <c r="K996" s="47"/>
      <c r="L996" s="3" t="str">
        <f t="shared" si="276"/>
        <v/>
      </c>
      <c r="M996" s="47"/>
      <c r="N996" s="3" t="str">
        <f t="shared" si="277"/>
        <v/>
      </c>
      <c r="O996" s="47"/>
      <c r="P996" s="3" t="str">
        <f t="shared" si="278"/>
        <v/>
      </c>
      <c r="Q996" s="47"/>
      <c r="R996" s="3" t="str">
        <f t="shared" si="279"/>
        <v/>
      </c>
      <c r="S996" s="47"/>
      <c r="T996" s="1" t="str">
        <f t="shared" si="280"/>
        <v/>
      </c>
      <c r="U996" s="47"/>
      <c r="V996" s="1" t="str">
        <f t="shared" si="281"/>
        <v/>
      </c>
      <c r="W996" s="47"/>
      <c r="X996" s="1" t="str">
        <f t="shared" si="282"/>
        <v/>
      </c>
      <c r="Y996" s="47"/>
      <c r="Z996" s="1" t="str">
        <f t="shared" si="283"/>
        <v/>
      </c>
      <c r="AA996" s="47"/>
      <c r="AB996" s="1" t="str">
        <f t="shared" si="284"/>
        <v/>
      </c>
      <c r="AC996" s="47"/>
      <c r="AD996" s="1" t="str">
        <f t="shared" si="285"/>
        <v/>
      </c>
      <c r="AE996" s="47"/>
      <c r="AF996" s="1" t="str">
        <f t="shared" si="286"/>
        <v/>
      </c>
      <c r="AG996" s="47"/>
    </row>
    <row r="997" spans="1:33">
      <c r="A997">
        <f t="shared" si="270"/>
        <v>0</v>
      </c>
      <c r="B997" s="2" t="str">
        <f t="shared" si="287"/>
        <v/>
      </c>
      <c r="C997" s="4" t="str">
        <f t="shared" si="271"/>
        <v/>
      </c>
      <c r="D997" s="3" t="str">
        <f t="shared" si="272"/>
        <v/>
      </c>
      <c r="E997" s="47"/>
      <c r="F997" s="3" t="str">
        <f t="shared" si="273"/>
        <v/>
      </c>
      <c r="G997" s="47"/>
      <c r="H997" s="3" t="str">
        <f t="shared" si="274"/>
        <v/>
      </c>
      <c r="I997" s="47"/>
      <c r="J997" s="3" t="str">
        <f t="shared" si="275"/>
        <v/>
      </c>
      <c r="K997" s="47"/>
      <c r="L997" s="3" t="str">
        <f t="shared" si="276"/>
        <v/>
      </c>
      <c r="M997" s="47"/>
      <c r="N997" s="3" t="str">
        <f t="shared" si="277"/>
        <v/>
      </c>
      <c r="O997" s="47"/>
      <c r="P997" s="3" t="str">
        <f t="shared" si="278"/>
        <v/>
      </c>
      <c r="Q997" s="47"/>
      <c r="R997" s="3" t="str">
        <f t="shared" si="279"/>
        <v/>
      </c>
      <c r="S997" s="47"/>
      <c r="T997" s="1" t="str">
        <f t="shared" si="280"/>
        <v/>
      </c>
      <c r="U997" s="47"/>
      <c r="V997" s="1" t="str">
        <f t="shared" si="281"/>
        <v/>
      </c>
      <c r="W997" s="47"/>
      <c r="X997" s="1" t="str">
        <f t="shared" si="282"/>
        <v/>
      </c>
      <c r="Y997" s="47"/>
      <c r="Z997" s="1" t="str">
        <f t="shared" si="283"/>
        <v/>
      </c>
      <c r="AA997" s="47"/>
      <c r="AB997" s="1" t="str">
        <f t="shared" si="284"/>
        <v/>
      </c>
      <c r="AC997" s="47"/>
      <c r="AD997" s="1" t="str">
        <f t="shared" si="285"/>
        <v/>
      </c>
      <c r="AE997" s="47"/>
      <c r="AF997" s="1" t="str">
        <f t="shared" si="286"/>
        <v/>
      </c>
      <c r="AG997" s="47"/>
    </row>
    <row r="998" spans="1:33">
      <c r="A998">
        <f t="shared" si="270"/>
        <v>0</v>
      </c>
      <c r="B998" s="2" t="str">
        <f t="shared" si="287"/>
        <v/>
      </c>
      <c r="C998" s="4" t="str">
        <f t="shared" si="271"/>
        <v/>
      </c>
      <c r="D998" s="3" t="str">
        <f t="shared" si="272"/>
        <v/>
      </c>
      <c r="E998" s="47"/>
      <c r="F998" s="3" t="str">
        <f t="shared" si="273"/>
        <v/>
      </c>
      <c r="G998" s="47"/>
      <c r="H998" s="3" t="str">
        <f t="shared" si="274"/>
        <v/>
      </c>
      <c r="I998" s="47"/>
      <c r="J998" s="3" t="str">
        <f t="shared" si="275"/>
        <v/>
      </c>
      <c r="K998" s="47"/>
      <c r="L998" s="3" t="str">
        <f t="shared" si="276"/>
        <v/>
      </c>
      <c r="M998" s="47"/>
      <c r="N998" s="3" t="str">
        <f t="shared" si="277"/>
        <v/>
      </c>
      <c r="O998" s="47"/>
      <c r="P998" s="3" t="str">
        <f t="shared" si="278"/>
        <v/>
      </c>
      <c r="Q998" s="47"/>
      <c r="R998" s="3" t="str">
        <f t="shared" si="279"/>
        <v/>
      </c>
      <c r="S998" s="47"/>
      <c r="T998" s="1" t="str">
        <f t="shared" si="280"/>
        <v/>
      </c>
      <c r="U998" s="47"/>
      <c r="V998" s="1" t="str">
        <f t="shared" si="281"/>
        <v/>
      </c>
      <c r="W998" s="47"/>
      <c r="X998" s="1" t="str">
        <f t="shared" si="282"/>
        <v/>
      </c>
      <c r="Y998" s="47"/>
      <c r="Z998" s="1" t="str">
        <f t="shared" si="283"/>
        <v/>
      </c>
      <c r="AA998" s="47"/>
      <c r="AB998" s="1" t="str">
        <f t="shared" si="284"/>
        <v/>
      </c>
      <c r="AC998" s="47"/>
      <c r="AD998" s="1" t="str">
        <f t="shared" si="285"/>
        <v/>
      </c>
      <c r="AE998" s="47"/>
      <c r="AF998" s="1" t="str">
        <f t="shared" si="286"/>
        <v/>
      </c>
      <c r="AG998" s="47"/>
    </row>
    <row r="999" spans="1:33">
      <c r="A999">
        <f t="shared" si="270"/>
        <v>0</v>
      </c>
      <c r="B999" s="2" t="str">
        <f t="shared" si="287"/>
        <v/>
      </c>
      <c r="C999" s="4" t="str">
        <f t="shared" si="271"/>
        <v/>
      </c>
      <c r="D999" s="3" t="str">
        <f t="shared" si="272"/>
        <v/>
      </c>
      <c r="E999" s="47"/>
      <c r="F999" s="3" t="str">
        <f t="shared" si="273"/>
        <v/>
      </c>
      <c r="G999" s="47"/>
      <c r="H999" s="3" t="str">
        <f t="shared" si="274"/>
        <v/>
      </c>
      <c r="I999" s="47"/>
      <c r="J999" s="3" t="str">
        <f t="shared" si="275"/>
        <v/>
      </c>
      <c r="K999" s="47"/>
      <c r="L999" s="3" t="str">
        <f t="shared" si="276"/>
        <v/>
      </c>
      <c r="M999" s="47"/>
      <c r="N999" s="3" t="str">
        <f t="shared" si="277"/>
        <v/>
      </c>
      <c r="O999" s="47"/>
      <c r="P999" s="3" t="str">
        <f t="shared" si="278"/>
        <v/>
      </c>
      <c r="Q999" s="47"/>
      <c r="R999" s="3" t="str">
        <f t="shared" si="279"/>
        <v/>
      </c>
      <c r="S999" s="47"/>
      <c r="T999" s="1" t="str">
        <f t="shared" si="280"/>
        <v/>
      </c>
      <c r="U999" s="47"/>
      <c r="V999" s="1" t="str">
        <f t="shared" si="281"/>
        <v/>
      </c>
      <c r="W999" s="47"/>
      <c r="X999" s="1" t="str">
        <f t="shared" si="282"/>
        <v/>
      </c>
      <c r="Y999" s="47"/>
      <c r="Z999" s="1" t="str">
        <f t="shared" si="283"/>
        <v/>
      </c>
      <c r="AA999" s="47"/>
      <c r="AB999" s="1" t="str">
        <f t="shared" si="284"/>
        <v/>
      </c>
      <c r="AC999" s="47"/>
      <c r="AD999" s="1" t="str">
        <f t="shared" si="285"/>
        <v/>
      </c>
      <c r="AE999" s="47"/>
      <c r="AF999" s="1" t="str">
        <f t="shared" si="286"/>
        <v/>
      </c>
      <c r="AG999" s="47"/>
    </row>
    <row r="1000" spans="1:33">
      <c r="A1000">
        <f t="shared" si="270"/>
        <v>0</v>
      </c>
      <c r="B1000" s="2" t="str">
        <f t="shared" si="287"/>
        <v/>
      </c>
      <c r="C1000" s="4" t="str">
        <f t="shared" si="271"/>
        <v/>
      </c>
      <c r="D1000" s="3" t="str">
        <f t="shared" si="272"/>
        <v/>
      </c>
      <c r="E1000" s="47"/>
      <c r="F1000" s="3" t="str">
        <f t="shared" si="273"/>
        <v/>
      </c>
      <c r="G1000" s="47"/>
      <c r="H1000" s="3" t="str">
        <f t="shared" si="274"/>
        <v/>
      </c>
      <c r="I1000" s="47"/>
      <c r="J1000" s="3" t="str">
        <f t="shared" si="275"/>
        <v/>
      </c>
      <c r="K1000" s="47"/>
      <c r="L1000" s="3" t="str">
        <f t="shared" si="276"/>
        <v/>
      </c>
      <c r="M1000" s="47"/>
      <c r="N1000" s="3" t="str">
        <f t="shared" si="277"/>
        <v/>
      </c>
      <c r="O1000" s="47"/>
      <c r="P1000" s="3" t="str">
        <f t="shared" si="278"/>
        <v/>
      </c>
      <c r="Q1000" s="47"/>
      <c r="R1000" s="3" t="str">
        <f t="shared" si="279"/>
        <v/>
      </c>
      <c r="S1000" s="47"/>
      <c r="T1000" s="1" t="str">
        <f t="shared" si="280"/>
        <v/>
      </c>
      <c r="U1000" s="47"/>
      <c r="V1000" s="1" t="str">
        <f t="shared" si="281"/>
        <v/>
      </c>
      <c r="W1000" s="47"/>
      <c r="X1000" s="1" t="str">
        <f t="shared" si="282"/>
        <v/>
      </c>
      <c r="Y1000" s="47"/>
      <c r="Z1000" s="1" t="str">
        <f t="shared" si="283"/>
        <v/>
      </c>
      <c r="AA1000" s="47"/>
      <c r="AB1000" s="1" t="str">
        <f t="shared" si="284"/>
        <v/>
      </c>
      <c r="AC1000" s="47"/>
      <c r="AD1000" s="1" t="str">
        <f t="shared" si="285"/>
        <v/>
      </c>
      <c r="AE1000" s="47"/>
      <c r="AF1000" s="1" t="str">
        <f t="shared" si="286"/>
        <v/>
      </c>
      <c r="AG1000" s="47"/>
    </row>
    <row r="1001" spans="1:33">
      <c r="A1001">
        <f t="shared" si="270"/>
        <v>0</v>
      </c>
      <c r="B1001" s="2" t="str">
        <f t="shared" si="287"/>
        <v/>
      </c>
      <c r="C1001" s="4" t="str">
        <f t="shared" si="271"/>
        <v/>
      </c>
      <c r="D1001" s="3" t="str">
        <f t="shared" si="272"/>
        <v/>
      </c>
      <c r="E1001" s="47"/>
      <c r="F1001" s="3" t="str">
        <f t="shared" si="273"/>
        <v/>
      </c>
      <c r="G1001" s="47"/>
      <c r="H1001" s="3" t="str">
        <f t="shared" si="274"/>
        <v/>
      </c>
      <c r="I1001" s="47"/>
      <c r="J1001" s="3" t="str">
        <f t="shared" si="275"/>
        <v/>
      </c>
      <c r="K1001" s="47"/>
      <c r="L1001" s="3" t="str">
        <f t="shared" si="276"/>
        <v/>
      </c>
      <c r="M1001" s="47"/>
      <c r="N1001" s="3" t="str">
        <f t="shared" si="277"/>
        <v/>
      </c>
      <c r="O1001" s="47"/>
      <c r="P1001" s="3" t="str">
        <f t="shared" si="278"/>
        <v/>
      </c>
      <c r="Q1001" s="47"/>
      <c r="R1001" s="3" t="str">
        <f t="shared" si="279"/>
        <v/>
      </c>
      <c r="S1001" s="47"/>
      <c r="T1001" s="1" t="str">
        <f t="shared" si="280"/>
        <v/>
      </c>
      <c r="U1001" s="47"/>
      <c r="V1001" s="1" t="str">
        <f t="shared" si="281"/>
        <v/>
      </c>
      <c r="W1001" s="47"/>
      <c r="X1001" s="1" t="str">
        <f t="shared" si="282"/>
        <v/>
      </c>
      <c r="Y1001" s="47"/>
      <c r="Z1001" s="1" t="str">
        <f t="shared" si="283"/>
        <v/>
      </c>
      <c r="AA1001" s="47"/>
      <c r="AB1001" s="1" t="str">
        <f t="shared" si="284"/>
        <v/>
      </c>
      <c r="AC1001" s="47"/>
      <c r="AD1001" s="1" t="str">
        <f t="shared" si="285"/>
        <v/>
      </c>
      <c r="AE1001" s="47"/>
      <c r="AF1001" s="1" t="str">
        <f t="shared" si="286"/>
        <v/>
      </c>
      <c r="AG1001" s="47"/>
    </row>
    <row r="1002" spans="1:33">
      <c r="A1002">
        <f t="shared" si="270"/>
        <v>0</v>
      </c>
      <c r="B1002" s="2" t="str">
        <f t="shared" si="287"/>
        <v/>
      </c>
      <c r="C1002" s="4" t="str">
        <f t="shared" si="271"/>
        <v/>
      </c>
      <c r="D1002" s="3" t="str">
        <f t="shared" si="272"/>
        <v/>
      </c>
      <c r="E1002" s="47"/>
      <c r="F1002" s="3" t="str">
        <f t="shared" si="273"/>
        <v/>
      </c>
      <c r="G1002" s="47"/>
      <c r="H1002" s="3" t="str">
        <f t="shared" si="274"/>
        <v/>
      </c>
      <c r="I1002" s="47"/>
      <c r="J1002" s="3" t="str">
        <f t="shared" si="275"/>
        <v/>
      </c>
      <c r="K1002" s="47"/>
      <c r="L1002" s="3" t="str">
        <f t="shared" si="276"/>
        <v/>
      </c>
      <c r="M1002" s="47"/>
      <c r="N1002" s="3" t="str">
        <f t="shared" si="277"/>
        <v/>
      </c>
      <c r="O1002" s="47"/>
      <c r="P1002" s="3" t="str">
        <f t="shared" si="278"/>
        <v/>
      </c>
      <c r="Q1002" s="47"/>
      <c r="R1002" s="3" t="str">
        <f t="shared" si="279"/>
        <v/>
      </c>
      <c r="S1002" s="47"/>
      <c r="T1002" s="1" t="str">
        <f t="shared" si="280"/>
        <v/>
      </c>
      <c r="U1002" s="47"/>
      <c r="V1002" s="1" t="str">
        <f t="shared" si="281"/>
        <v/>
      </c>
      <c r="W1002" s="47"/>
      <c r="X1002" s="1" t="str">
        <f t="shared" si="282"/>
        <v/>
      </c>
      <c r="Y1002" s="47"/>
      <c r="Z1002" s="1" t="str">
        <f t="shared" si="283"/>
        <v/>
      </c>
      <c r="AA1002" s="47"/>
      <c r="AB1002" s="1" t="str">
        <f t="shared" si="284"/>
        <v/>
      </c>
      <c r="AC1002" s="47"/>
      <c r="AD1002" s="1" t="str">
        <f t="shared" si="285"/>
        <v/>
      </c>
      <c r="AE1002" s="47"/>
      <c r="AF1002" s="1" t="str">
        <f t="shared" si="286"/>
        <v/>
      </c>
      <c r="AG1002" s="47"/>
    </row>
    <row r="1003" spans="1:33">
      <c r="A1003">
        <f t="shared" si="270"/>
        <v>0</v>
      </c>
      <c r="B1003" s="2" t="str">
        <f t="shared" si="287"/>
        <v/>
      </c>
      <c r="C1003" s="4" t="str">
        <f t="shared" si="271"/>
        <v/>
      </c>
      <c r="D1003" s="3" t="str">
        <f t="shared" si="272"/>
        <v/>
      </c>
      <c r="E1003" s="47"/>
      <c r="F1003" s="3" t="str">
        <f t="shared" si="273"/>
        <v/>
      </c>
      <c r="G1003" s="47"/>
      <c r="H1003" s="3" t="str">
        <f t="shared" si="274"/>
        <v/>
      </c>
      <c r="I1003" s="47"/>
      <c r="J1003" s="3" t="str">
        <f t="shared" si="275"/>
        <v/>
      </c>
      <c r="K1003" s="47"/>
      <c r="L1003" s="3" t="str">
        <f t="shared" si="276"/>
        <v/>
      </c>
      <c r="M1003" s="47"/>
      <c r="N1003" s="3" t="str">
        <f t="shared" si="277"/>
        <v/>
      </c>
      <c r="O1003" s="47"/>
      <c r="P1003" s="3" t="str">
        <f t="shared" si="278"/>
        <v/>
      </c>
      <c r="Q1003" s="47"/>
      <c r="R1003" s="3" t="str">
        <f t="shared" si="279"/>
        <v/>
      </c>
      <c r="S1003" s="47"/>
      <c r="T1003" s="1" t="str">
        <f t="shared" si="280"/>
        <v/>
      </c>
      <c r="U1003" s="47"/>
      <c r="V1003" s="1" t="str">
        <f t="shared" si="281"/>
        <v/>
      </c>
      <c r="W1003" s="47"/>
      <c r="X1003" s="1" t="str">
        <f t="shared" si="282"/>
        <v/>
      </c>
      <c r="Y1003" s="47"/>
      <c r="Z1003" s="1" t="str">
        <f t="shared" si="283"/>
        <v/>
      </c>
      <c r="AA1003" s="47"/>
      <c r="AB1003" s="1" t="str">
        <f t="shared" si="284"/>
        <v/>
      </c>
      <c r="AC1003" s="47"/>
      <c r="AD1003" s="1" t="str">
        <f t="shared" si="285"/>
        <v/>
      </c>
      <c r="AE1003" s="47"/>
      <c r="AF1003" s="1" t="str">
        <f t="shared" si="286"/>
        <v/>
      </c>
      <c r="AG1003" s="47"/>
    </row>
    <row r="1004" spans="1:33">
      <c r="A1004">
        <f t="shared" si="270"/>
        <v>0</v>
      </c>
      <c r="B1004" s="2" t="str">
        <f t="shared" si="287"/>
        <v/>
      </c>
      <c r="C1004" s="4" t="str">
        <f t="shared" si="271"/>
        <v/>
      </c>
      <c r="D1004" s="3" t="str">
        <f t="shared" si="272"/>
        <v/>
      </c>
      <c r="E1004" s="47"/>
      <c r="F1004" s="3" t="str">
        <f t="shared" si="273"/>
        <v/>
      </c>
      <c r="G1004" s="47"/>
      <c r="H1004" s="3" t="str">
        <f t="shared" si="274"/>
        <v/>
      </c>
      <c r="I1004" s="47"/>
      <c r="J1004" s="3" t="str">
        <f t="shared" si="275"/>
        <v/>
      </c>
      <c r="K1004" s="47"/>
      <c r="L1004" s="3" t="str">
        <f t="shared" si="276"/>
        <v/>
      </c>
      <c r="M1004" s="47"/>
      <c r="N1004" s="3" t="str">
        <f t="shared" si="277"/>
        <v/>
      </c>
      <c r="O1004" s="47"/>
      <c r="P1004" s="3" t="str">
        <f t="shared" si="278"/>
        <v/>
      </c>
      <c r="Q1004" s="47"/>
      <c r="R1004" s="3" t="str">
        <f t="shared" si="279"/>
        <v/>
      </c>
      <c r="S1004" s="47"/>
      <c r="T1004" s="1" t="str">
        <f t="shared" si="280"/>
        <v/>
      </c>
      <c r="U1004" s="47"/>
      <c r="V1004" s="1" t="str">
        <f t="shared" si="281"/>
        <v/>
      </c>
      <c r="W1004" s="47"/>
      <c r="X1004" s="1" t="str">
        <f t="shared" si="282"/>
        <v/>
      </c>
      <c r="Y1004" s="47"/>
      <c r="Z1004" s="1" t="str">
        <f t="shared" si="283"/>
        <v/>
      </c>
      <c r="AA1004" s="47"/>
      <c r="AB1004" s="1" t="str">
        <f t="shared" si="284"/>
        <v/>
      </c>
      <c r="AC1004" s="47"/>
      <c r="AD1004" s="1" t="str">
        <f t="shared" si="285"/>
        <v/>
      </c>
      <c r="AE1004" s="47"/>
      <c r="AF1004" s="1" t="str">
        <f t="shared" si="286"/>
        <v/>
      </c>
      <c r="AG1004" s="47"/>
    </row>
    <row r="1005" spans="1:33">
      <c r="A1005">
        <f t="shared" si="270"/>
        <v>0</v>
      </c>
      <c r="B1005" s="2" t="str">
        <f t="shared" si="287"/>
        <v/>
      </c>
      <c r="C1005" s="4" t="str">
        <f t="shared" si="271"/>
        <v/>
      </c>
      <c r="D1005" s="3" t="str">
        <f t="shared" si="272"/>
        <v/>
      </c>
      <c r="E1005" s="47"/>
      <c r="F1005" s="3" t="str">
        <f t="shared" si="273"/>
        <v/>
      </c>
      <c r="G1005" s="47"/>
      <c r="H1005" s="3" t="str">
        <f t="shared" si="274"/>
        <v/>
      </c>
      <c r="I1005" s="47"/>
      <c r="J1005" s="3" t="str">
        <f t="shared" si="275"/>
        <v/>
      </c>
      <c r="K1005" s="47"/>
      <c r="L1005" s="3" t="str">
        <f t="shared" si="276"/>
        <v/>
      </c>
      <c r="M1005" s="47"/>
      <c r="N1005" s="3" t="str">
        <f t="shared" si="277"/>
        <v/>
      </c>
      <c r="O1005" s="47"/>
      <c r="P1005" s="3" t="str">
        <f t="shared" si="278"/>
        <v/>
      </c>
      <c r="Q1005" s="47"/>
      <c r="R1005" s="3" t="str">
        <f t="shared" si="279"/>
        <v/>
      </c>
      <c r="S1005" s="47"/>
      <c r="T1005" s="1" t="str">
        <f t="shared" si="280"/>
        <v/>
      </c>
      <c r="U1005" s="47"/>
      <c r="V1005" s="1" t="str">
        <f t="shared" si="281"/>
        <v/>
      </c>
      <c r="W1005" s="47"/>
      <c r="X1005" s="1" t="str">
        <f t="shared" si="282"/>
        <v/>
      </c>
      <c r="Y1005" s="47"/>
      <c r="Z1005" s="1" t="str">
        <f t="shared" si="283"/>
        <v/>
      </c>
      <c r="AA1005" s="47"/>
      <c r="AB1005" s="1" t="str">
        <f t="shared" si="284"/>
        <v/>
      </c>
      <c r="AC1005" s="47"/>
      <c r="AD1005" s="1" t="str">
        <f t="shared" si="285"/>
        <v/>
      </c>
      <c r="AE1005" s="47"/>
      <c r="AF1005" s="1" t="str">
        <f t="shared" si="286"/>
        <v/>
      </c>
      <c r="AG1005" s="47"/>
    </row>
    <row r="1006" spans="1:33">
      <c r="A1006">
        <f t="shared" si="270"/>
        <v>0</v>
      </c>
      <c r="B1006" s="2" t="str">
        <f t="shared" si="287"/>
        <v/>
      </c>
      <c r="C1006" s="4" t="str">
        <f t="shared" si="271"/>
        <v/>
      </c>
      <c r="D1006" s="3" t="str">
        <f t="shared" si="272"/>
        <v/>
      </c>
      <c r="E1006" s="47"/>
      <c r="F1006" s="3" t="str">
        <f t="shared" si="273"/>
        <v/>
      </c>
      <c r="G1006" s="47"/>
      <c r="H1006" s="3" t="str">
        <f t="shared" si="274"/>
        <v/>
      </c>
      <c r="I1006" s="47"/>
      <c r="J1006" s="3" t="str">
        <f t="shared" si="275"/>
        <v/>
      </c>
      <c r="K1006" s="47"/>
      <c r="L1006" s="3" t="str">
        <f t="shared" si="276"/>
        <v/>
      </c>
      <c r="M1006" s="47"/>
      <c r="N1006" s="3" t="str">
        <f t="shared" si="277"/>
        <v/>
      </c>
      <c r="O1006" s="47"/>
      <c r="P1006" s="3" t="str">
        <f t="shared" si="278"/>
        <v/>
      </c>
      <c r="Q1006" s="47"/>
      <c r="R1006" s="3" t="str">
        <f t="shared" si="279"/>
        <v/>
      </c>
      <c r="S1006" s="47"/>
      <c r="T1006" s="1" t="str">
        <f t="shared" si="280"/>
        <v/>
      </c>
      <c r="U1006" s="47"/>
      <c r="V1006" s="1" t="str">
        <f t="shared" si="281"/>
        <v/>
      </c>
      <c r="W1006" s="47"/>
      <c r="X1006" s="1" t="str">
        <f t="shared" si="282"/>
        <v/>
      </c>
      <c r="Y1006" s="47"/>
      <c r="Z1006" s="1" t="str">
        <f t="shared" si="283"/>
        <v/>
      </c>
      <c r="AA1006" s="47"/>
      <c r="AB1006" s="1" t="str">
        <f t="shared" si="284"/>
        <v/>
      </c>
      <c r="AC1006" s="47"/>
      <c r="AD1006" s="1" t="str">
        <f t="shared" si="285"/>
        <v/>
      </c>
      <c r="AE1006" s="47"/>
      <c r="AF1006" s="1" t="str">
        <f t="shared" si="286"/>
        <v/>
      </c>
      <c r="AG1006" s="47"/>
    </row>
    <row r="1007" spans="1:33">
      <c r="A1007">
        <f t="shared" si="270"/>
        <v>0</v>
      </c>
      <c r="B1007" s="2" t="str">
        <f t="shared" si="287"/>
        <v/>
      </c>
      <c r="C1007" s="4" t="str">
        <f t="shared" si="271"/>
        <v/>
      </c>
      <c r="D1007" s="3" t="str">
        <f t="shared" si="272"/>
        <v/>
      </c>
      <c r="E1007" s="47"/>
      <c r="F1007" s="3" t="str">
        <f t="shared" si="273"/>
        <v/>
      </c>
      <c r="G1007" s="47"/>
      <c r="H1007" s="3" t="str">
        <f t="shared" si="274"/>
        <v/>
      </c>
      <c r="I1007" s="47"/>
      <c r="J1007" s="3" t="str">
        <f t="shared" si="275"/>
        <v/>
      </c>
      <c r="K1007" s="47"/>
      <c r="L1007" s="3" t="str">
        <f t="shared" si="276"/>
        <v/>
      </c>
      <c r="M1007" s="47"/>
      <c r="N1007" s="3" t="str">
        <f t="shared" si="277"/>
        <v/>
      </c>
      <c r="O1007" s="47"/>
      <c r="P1007" s="3" t="str">
        <f t="shared" si="278"/>
        <v/>
      </c>
      <c r="Q1007" s="47"/>
      <c r="R1007" s="3" t="str">
        <f t="shared" si="279"/>
        <v/>
      </c>
      <c r="S1007" s="47"/>
      <c r="T1007" s="1" t="str">
        <f t="shared" si="280"/>
        <v/>
      </c>
      <c r="U1007" s="47"/>
      <c r="V1007" s="1" t="str">
        <f t="shared" si="281"/>
        <v/>
      </c>
      <c r="W1007" s="47"/>
      <c r="X1007" s="1" t="str">
        <f t="shared" si="282"/>
        <v/>
      </c>
      <c r="Y1007" s="47"/>
      <c r="Z1007" s="1" t="str">
        <f t="shared" si="283"/>
        <v/>
      </c>
      <c r="AA1007" s="47"/>
      <c r="AB1007" s="1" t="str">
        <f t="shared" si="284"/>
        <v/>
      </c>
      <c r="AC1007" s="47"/>
      <c r="AD1007" s="1" t="str">
        <f t="shared" si="285"/>
        <v/>
      </c>
      <c r="AE1007" s="47"/>
      <c r="AF1007" s="1" t="str">
        <f t="shared" si="286"/>
        <v/>
      </c>
      <c r="AG1007" s="47"/>
    </row>
    <row r="1008" spans="1:33">
      <c r="A1008">
        <f t="shared" si="270"/>
        <v>0</v>
      </c>
      <c r="B1008" s="2" t="str">
        <f t="shared" si="287"/>
        <v/>
      </c>
      <c r="C1008" s="4" t="str">
        <f t="shared" si="271"/>
        <v/>
      </c>
      <c r="D1008" s="3" t="str">
        <f t="shared" si="272"/>
        <v/>
      </c>
      <c r="E1008" s="47"/>
      <c r="F1008" s="3" t="str">
        <f t="shared" si="273"/>
        <v/>
      </c>
      <c r="G1008" s="47"/>
      <c r="H1008" s="3" t="str">
        <f t="shared" si="274"/>
        <v/>
      </c>
      <c r="I1008" s="47"/>
      <c r="J1008" s="3" t="str">
        <f t="shared" si="275"/>
        <v/>
      </c>
      <c r="K1008" s="47"/>
      <c r="L1008" s="3" t="str">
        <f t="shared" si="276"/>
        <v/>
      </c>
      <c r="M1008" s="47"/>
      <c r="N1008" s="3" t="str">
        <f t="shared" si="277"/>
        <v/>
      </c>
      <c r="O1008" s="47"/>
      <c r="P1008" s="3" t="str">
        <f t="shared" si="278"/>
        <v/>
      </c>
      <c r="Q1008" s="47"/>
      <c r="R1008" s="3" t="str">
        <f t="shared" si="279"/>
        <v/>
      </c>
      <c r="S1008" s="47"/>
      <c r="T1008" s="1" t="str">
        <f t="shared" si="280"/>
        <v/>
      </c>
      <c r="U1008" s="47"/>
      <c r="V1008" s="1" t="str">
        <f t="shared" si="281"/>
        <v/>
      </c>
      <c r="W1008" s="47"/>
      <c r="X1008" s="1" t="str">
        <f t="shared" si="282"/>
        <v/>
      </c>
      <c r="Y1008" s="47"/>
      <c r="Z1008" s="1" t="str">
        <f t="shared" si="283"/>
        <v/>
      </c>
      <c r="AA1008" s="47"/>
      <c r="AB1008" s="1" t="str">
        <f t="shared" si="284"/>
        <v/>
      </c>
      <c r="AC1008" s="47"/>
      <c r="AD1008" s="1" t="str">
        <f t="shared" si="285"/>
        <v/>
      </c>
      <c r="AE1008" s="47"/>
      <c r="AF1008" s="1" t="str">
        <f t="shared" si="286"/>
        <v/>
      </c>
      <c r="AG1008" s="47"/>
    </row>
    <row r="1009" spans="1:33">
      <c r="A1009">
        <f t="shared" si="270"/>
        <v>0</v>
      </c>
      <c r="B1009" s="2" t="str">
        <f t="shared" si="287"/>
        <v/>
      </c>
      <c r="C1009" s="4" t="str">
        <f t="shared" si="271"/>
        <v/>
      </c>
      <c r="D1009" s="3" t="str">
        <f t="shared" si="272"/>
        <v/>
      </c>
      <c r="E1009" s="47"/>
      <c r="F1009" s="3" t="str">
        <f t="shared" si="273"/>
        <v/>
      </c>
      <c r="G1009" s="47"/>
      <c r="H1009" s="3" t="str">
        <f t="shared" si="274"/>
        <v/>
      </c>
      <c r="I1009" s="47"/>
      <c r="J1009" s="3" t="str">
        <f t="shared" si="275"/>
        <v/>
      </c>
      <c r="K1009" s="47"/>
      <c r="L1009" s="3" t="str">
        <f t="shared" si="276"/>
        <v/>
      </c>
      <c r="M1009" s="47"/>
      <c r="N1009" s="3" t="str">
        <f t="shared" si="277"/>
        <v/>
      </c>
      <c r="O1009" s="47"/>
      <c r="P1009" s="3" t="str">
        <f t="shared" si="278"/>
        <v/>
      </c>
      <c r="Q1009" s="47"/>
      <c r="R1009" s="3" t="str">
        <f t="shared" si="279"/>
        <v/>
      </c>
      <c r="S1009" s="47"/>
      <c r="T1009" s="1" t="str">
        <f t="shared" si="280"/>
        <v/>
      </c>
      <c r="U1009" s="47"/>
      <c r="V1009" s="1" t="str">
        <f t="shared" si="281"/>
        <v/>
      </c>
      <c r="W1009" s="47"/>
      <c r="X1009" s="1" t="str">
        <f t="shared" si="282"/>
        <v/>
      </c>
      <c r="Y1009" s="47"/>
      <c r="Z1009" s="1" t="str">
        <f t="shared" si="283"/>
        <v/>
      </c>
      <c r="AA1009" s="47"/>
      <c r="AB1009" s="1" t="str">
        <f t="shared" si="284"/>
        <v/>
      </c>
      <c r="AC1009" s="47"/>
      <c r="AD1009" s="1" t="str">
        <f t="shared" si="285"/>
        <v/>
      </c>
      <c r="AE1009" s="47"/>
      <c r="AF1009" s="1" t="str">
        <f t="shared" si="286"/>
        <v/>
      </c>
      <c r="AG1009" s="47"/>
    </row>
    <row r="1010" spans="1:33">
      <c r="A1010">
        <f t="shared" si="270"/>
        <v>0</v>
      </c>
      <c r="B1010" s="2" t="str">
        <f t="shared" si="287"/>
        <v/>
      </c>
      <c r="C1010" s="4" t="str">
        <f t="shared" si="271"/>
        <v/>
      </c>
      <c r="D1010" s="3" t="str">
        <f t="shared" si="272"/>
        <v/>
      </c>
      <c r="E1010" s="47"/>
      <c r="F1010" s="3" t="str">
        <f t="shared" si="273"/>
        <v/>
      </c>
      <c r="G1010" s="47"/>
      <c r="H1010" s="3" t="str">
        <f t="shared" si="274"/>
        <v/>
      </c>
      <c r="I1010" s="47"/>
      <c r="J1010" s="3" t="str">
        <f t="shared" si="275"/>
        <v/>
      </c>
      <c r="K1010" s="47"/>
      <c r="L1010" s="3" t="str">
        <f t="shared" si="276"/>
        <v/>
      </c>
      <c r="M1010" s="47"/>
      <c r="N1010" s="3" t="str">
        <f t="shared" si="277"/>
        <v/>
      </c>
      <c r="O1010" s="47"/>
      <c r="P1010" s="3" t="str">
        <f t="shared" si="278"/>
        <v/>
      </c>
      <c r="Q1010" s="47"/>
      <c r="R1010" s="3" t="str">
        <f t="shared" si="279"/>
        <v/>
      </c>
      <c r="S1010" s="47"/>
      <c r="T1010" s="1" t="str">
        <f t="shared" si="280"/>
        <v/>
      </c>
      <c r="U1010" s="47"/>
      <c r="V1010" s="1" t="str">
        <f t="shared" si="281"/>
        <v/>
      </c>
      <c r="W1010" s="47"/>
      <c r="X1010" s="1" t="str">
        <f t="shared" si="282"/>
        <v/>
      </c>
      <c r="Y1010" s="47"/>
      <c r="Z1010" s="1" t="str">
        <f t="shared" si="283"/>
        <v/>
      </c>
      <c r="AA1010" s="47"/>
      <c r="AB1010" s="1" t="str">
        <f t="shared" si="284"/>
        <v/>
      </c>
      <c r="AC1010" s="47"/>
      <c r="AD1010" s="1" t="str">
        <f t="shared" si="285"/>
        <v/>
      </c>
      <c r="AE1010" s="47"/>
      <c r="AF1010" s="1" t="str">
        <f t="shared" si="286"/>
        <v/>
      </c>
      <c r="AG1010" s="47"/>
    </row>
    <row r="1011" spans="1:33">
      <c r="A1011">
        <f t="shared" si="270"/>
        <v>0</v>
      </c>
      <c r="B1011" s="2" t="str">
        <f t="shared" si="287"/>
        <v/>
      </c>
      <c r="C1011" s="4" t="str">
        <f t="shared" si="271"/>
        <v/>
      </c>
      <c r="D1011" s="3" t="str">
        <f t="shared" si="272"/>
        <v/>
      </c>
      <c r="E1011" s="47"/>
      <c r="F1011" s="3" t="str">
        <f t="shared" si="273"/>
        <v/>
      </c>
      <c r="G1011" s="47"/>
      <c r="H1011" s="3" t="str">
        <f t="shared" si="274"/>
        <v/>
      </c>
      <c r="I1011" s="47"/>
      <c r="J1011" s="3" t="str">
        <f t="shared" si="275"/>
        <v/>
      </c>
      <c r="K1011" s="47"/>
      <c r="L1011" s="3" t="str">
        <f t="shared" si="276"/>
        <v/>
      </c>
      <c r="M1011" s="47"/>
      <c r="N1011" s="3" t="str">
        <f t="shared" si="277"/>
        <v/>
      </c>
      <c r="O1011" s="47"/>
      <c r="P1011" s="3" t="str">
        <f t="shared" si="278"/>
        <v/>
      </c>
      <c r="Q1011" s="47"/>
      <c r="R1011" s="3" t="str">
        <f t="shared" si="279"/>
        <v/>
      </c>
      <c r="S1011" s="47"/>
      <c r="T1011" s="1" t="str">
        <f t="shared" si="280"/>
        <v/>
      </c>
      <c r="U1011" s="47"/>
      <c r="V1011" s="1" t="str">
        <f t="shared" si="281"/>
        <v/>
      </c>
      <c r="W1011" s="47"/>
      <c r="X1011" s="1" t="str">
        <f t="shared" si="282"/>
        <v/>
      </c>
      <c r="Y1011" s="47"/>
      <c r="Z1011" s="1" t="str">
        <f t="shared" si="283"/>
        <v/>
      </c>
      <c r="AA1011" s="47"/>
      <c r="AB1011" s="1" t="str">
        <f t="shared" si="284"/>
        <v/>
      </c>
      <c r="AC1011" s="47"/>
      <c r="AD1011" s="1" t="str">
        <f t="shared" si="285"/>
        <v/>
      </c>
      <c r="AE1011" s="47"/>
      <c r="AF1011" s="1" t="str">
        <f t="shared" si="286"/>
        <v/>
      </c>
      <c r="AG1011" s="47"/>
    </row>
    <row r="1012" spans="1:33">
      <c r="A1012">
        <f t="shared" si="270"/>
        <v>0</v>
      </c>
      <c r="B1012" s="2" t="str">
        <f t="shared" si="287"/>
        <v/>
      </c>
      <c r="C1012" s="4" t="str">
        <f t="shared" si="271"/>
        <v/>
      </c>
      <c r="D1012" s="3" t="str">
        <f t="shared" si="272"/>
        <v/>
      </c>
      <c r="E1012" s="47"/>
      <c r="F1012" s="3" t="str">
        <f t="shared" si="273"/>
        <v/>
      </c>
      <c r="G1012" s="47"/>
      <c r="H1012" s="3" t="str">
        <f t="shared" si="274"/>
        <v/>
      </c>
      <c r="I1012" s="47"/>
      <c r="J1012" s="3" t="str">
        <f t="shared" si="275"/>
        <v/>
      </c>
      <c r="K1012" s="47"/>
      <c r="L1012" s="3" t="str">
        <f t="shared" si="276"/>
        <v/>
      </c>
      <c r="M1012" s="47"/>
      <c r="N1012" s="3" t="str">
        <f t="shared" si="277"/>
        <v/>
      </c>
      <c r="O1012" s="47"/>
      <c r="P1012" s="3" t="str">
        <f t="shared" si="278"/>
        <v/>
      </c>
      <c r="Q1012" s="47"/>
      <c r="R1012" s="3" t="str">
        <f t="shared" si="279"/>
        <v/>
      </c>
      <c r="S1012" s="47"/>
      <c r="T1012" s="1" t="str">
        <f t="shared" si="280"/>
        <v/>
      </c>
      <c r="U1012" s="47"/>
      <c r="V1012" s="1" t="str">
        <f t="shared" si="281"/>
        <v/>
      </c>
      <c r="W1012" s="47"/>
      <c r="X1012" s="1" t="str">
        <f t="shared" si="282"/>
        <v/>
      </c>
      <c r="Y1012" s="47"/>
      <c r="Z1012" s="1" t="str">
        <f t="shared" si="283"/>
        <v/>
      </c>
      <c r="AA1012" s="47"/>
      <c r="AB1012" s="1" t="str">
        <f t="shared" si="284"/>
        <v/>
      </c>
      <c r="AC1012" s="47"/>
      <c r="AD1012" s="1" t="str">
        <f t="shared" si="285"/>
        <v/>
      </c>
      <c r="AE1012" s="47"/>
      <c r="AF1012" s="1" t="str">
        <f t="shared" si="286"/>
        <v/>
      </c>
      <c r="AG1012" s="47"/>
    </row>
    <row r="1013" spans="1:33">
      <c r="A1013">
        <f t="shared" si="270"/>
        <v>0</v>
      </c>
      <c r="B1013" s="2" t="str">
        <f t="shared" si="287"/>
        <v/>
      </c>
      <c r="C1013" s="4" t="str">
        <f t="shared" si="271"/>
        <v/>
      </c>
      <c r="D1013" s="3" t="str">
        <f t="shared" si="272"/>
        <v/>
      </c>
      <c r="E1013" s="47"/>
      <c r="F1013" s="3" t="str">
        <f t="shared" si="273"/>
        <v/>
      </c>
      <c r="G1013" s="47"/>
      <c r="H1013" s="3" t="str">
        <f t="shared" si="274"/>
        <v/>
      </c>
      <c r="I1013" s="47"/>
      <c r="J1013" s="3" t="str">
        <f t="shared" si="275"/>
        <v/>
      </c>
      <c r="K1013" s="47"/>
      <c r="L1013" s="3" t="str">
        <f t="shared" si="276"/>
        <v/>
      </c>
      <c r="M1013" s="47"/>
      <c r="N1013" s="3" t="str">
        <f t="shared" si="277"/>
        <v/>
      </c>
      <c r="O1013" s="47"/>
      <c r="P1013" s="3" t="str">
        <f t="shared" si="278"/>
        <v/>
      </c>
      <c r="Q1013" s="47"/>
      <c r="R1013" s="3" t="str">
        <f t="shared" si="279"/>
        <v/>
      </c>
      <c r="S1013" s="47"/>
      <c r="T1013" s="1" t="str">
        <f t="shared" si="280"/>
        <v/>
      </c>
      <c r="U1013" s="47"/>
      <c r="V1013" s="1" t="str">
        <f t="shared" si="281"/>
        <v/>
      </c>
      <c r="W1013" s="47"/>
      <c r="X1013" s="1" t="str">
        <f t="shared" si="282"/>
        <v/>
      </c>
      <c r="Y1013" s="47"/>
      <c r="Z1013" s="1" t="str">
        <f t="shared" si="283"/>
        <v/>
      </c>
      <c r="AA1013" s="47"/>
      <c r="AB1013" s="1" t="str">
        <f t="shared" si="284"/>
        <v/>
      </c>
      <c r="AC1013" s="47"/>
      <c r="AD1013" s="1" t="str">
        <f t="shared" si="285"/>
        <v/>
      </c>
      <c r="AE1013" s="47"/>
      <c r="AF1013" s="1" t="str">
        <f t="shared" si="286"/>
        <v/>
      </c>
      <c r="AG1013" s="47"/>
    </row>
    <row r="1014" spans="1:33">
      <c r="A1014">
        <f t="shared" si="270"/>
        <v>0</v>
      </c>
      <c r="B1014" s="2" t="str">
        <f t="shared" si="287"/>
        <v/>
      </c>
      <c r="C1014" s="4" t="str">
        <f t="shared" si="271"/>
        <v/>
      </c>
      <c r="D1014" s="3" t="str">
        <f t="shared" si="272"/>
        <v/>
      </c>
      <c r="E1014" s="47"/>
      <c r="F1014" s="3" t="str">
        <f t="shared" si="273"/>
        <v/>
      </c>
      <c r="G1014" s="47"/>
      <c r="H1014" s="3" t="str">
        <f t="shared" si="274"/>
        <v/>
      </c>
      <c r="I1014" s="47"/>
      <c r="J1014" s="3" t="str">
        <f t="shared" si="275"/>
        <v/>
      </c>
      <c r="K1014" s="47"/>
      <c r="L1014" s="3" t="str">
        <f t="shared" si="276"/>
        <v/>
      </c>
      <c r="M1014" s="47"/>
      <c r="N1014" s="3" t="str">
        <f t="shared" si="277"/>
        <v/>
      </c>
      <c r="O1014" s="47"/>
      <c r="P1014" s="3" t="str">
        <f t="shared" si="278"/>
        <v/>
      </c>
      <c r="Q1014" s="47"/>
      <c r="R1014" s="3" t="str">
        <f t="shared" si="279"/>
        <v/>
      </c>
      <c r="S1014" s="47"/>
      <c r="T1014" s="1" t="str">
        <f t="shared" si="280"/>
        <v/>
      </c>
      <c r="U1014" s="47"/>
      <c r="V1014" s="1" t="str">
        <f t="shared" si="281"/>
        <v/>
      </c>
      <c r="W1014" s="47"/>
      <c r="X1014" s="1" t="str">
        <f t="shared" si="282"/>
        <v/>
      </c>
      <c r="Y1014" s="47"/>
      <c r="Z1014" s="1" t="str">
        <f t="shared" si="283"/>
        <v/>
      </c>
      <c r="AA1014" s="47"/>
      <c r="AB1014" s="1" t="str">
        <f t="shared" si="284"/>
        <v/>
      </c>
      <c r="AC1014" s="47"/>
      <c r="AD1014" s="1" t="str">
        <f t="shared" si="285"/>
        <v/>
      </c>
      <c r="AE1014" s="47"/>
      <c r="AF1014" s="1" t="str">
        <f t="shared" si="286"/>
        <v/>
      </c>
      <c r="AG1014" s="47"/>
    </row>
    <row r="1015" spans="1:33">
      <c r="A1015">
        <f t="shared" si="270"/>
        <v>0</v>
      </c>
      <c r="B1015" s="2" t="str">
        <f t="shared" si="287"/>
        <v/>
      </c>
      <c r="C1015" s="4" t="str">
        <f t="shared" si="271"/>
        <v/>
      </c>
      <c r="D1015" s="3" t="str">
        <f t="shared" si="272"/>
        <v/>
      </c>
      <c r="E1015" s="47"/>
      <c r="F1015" s="3" t="str">
        <f t="shared" si="273"/>
        <v/>
      </c>
      <c r="G1015" s="47"/>
      <c r="H1015" s="3" t="str">
        <f t="shared" si="274"/>
        <v/>
      </c>
      <c r="I1015" s="47"/>
      <c r="J1015" s="3" t="str">
        <f t="shared" si="275"/>
        <v/>
      </c>
      <c r="K1015" s="47"/>
      <c r="L1015" s="3" t="str">
        <f t="shared" si="276"/>
        <v/>
      </c>
      <c r="M1015" s="47"/>
      <c r="N1015" s="3" t="str">
        <f t="shared" si="277"/>
        <v/>
      </c>
      <c r="O1015" s="47"/>
      <c r="P1015" s="3" t="str">
        <f t="shared" si="278"/>
        <v/>
      </c>
      <c r="Q1015" s="47"/>
      <c r="R1015" s="3" t="str">
        <f t="shared" si="279"/>
        <v/>
      </c>
      <c r="S1015" s="47"/>
      <c r="T1015" s="1" t="str">
        <f t="shared" si="280"/>
        <v/>
      </c>
      <c r="U1015" s="47"/>
      <c r="V1015" s="1" t="str">
        <f t="shared" si="281"/>
        <v/>
      </c>
      <c r="W1015" s="47"/>
      <c r="X1015" s="1" t="str">
        <f t="shared" si="282"/>
        <v/>
      </c>
      <c r="Y1015" s="47"/>
      <c r="Z1015" s="1" t="str">
        <f t="shared" si="283"/>
        <v/>
      </c>
      <c r="AA1015" s="47"/>
      <c r="AB1015" s="1" t="str">
        <f t="shared" si="284"/>
        <v/>
      </c>
      <c r="AC1015" s="47"/>
      <c r="AD1015" s="1" t="str">
        <f t="shared" si="285"/>
        <v/>
      </c>
      <c r="AE1015" s="47"/>
      <c r="AF1015" s="1" t="str">
        <f t="shared" si="286"/>
        <v/>
      </c>
      <c r="AG1015" s="47"/>
    </row>
    <row r="1016" spans="1:33">
      <c r="A1016">
        <f t="shared" si="270"/>
        <v>0</v>
      </c>
      <c r="B1016" s="2" t="str">
        <f t="shared" si="287"/>
        <v/>
      </c>
      <c r="C1016" s="4" t="str">
        <f t="shared" si="271"/>
        <v/>
      </c>
      <c r="D1016" s="3" t="str">
        <f t="shared" si="272"/>
        <v/>
      </c>
      <c r="E1016" s="47"/>
      <c r="F1016" s="3" t="str">
        <f t="shared" si="273"/>
        <v/>
      </c>
      <c r="G1016" s="47"/>
      <c r="H1016" s="3" t="str">
        <f t="shared" si="274"/>
        <v/>
      </c>
      <c r="I1016" s="47"/>
      <c r="J1016" s="3" t="str">
        <f t="shared" si="275"/>
        <v/>
      </c>
      <c r="K1016" s="47"/>
      <c r="L1016" s="3" t="str">
        <f t="shared" si="276"/>
        <v/>
      </c>
      <c r="M1016" s="47"/>
      <c r="N1016" s="3" t="str">
        <f t="shared" si="277"/>
        <v/>
      </c>
      <c r="O1016" s="47"/>
      <c r="P1016" s="3" t="str">
        <f t="shared" si="278"/>
        <v/>
      </c>
      <c r="Q1016" s="47"/>
      <c r="R1016" s="3" t="str">
        <f t="shared" si="279"/>
        <v/>
      </c>
      <c r="S1016" s="47"/>
      <c r="T1016" s="1" t="str">
        <f t="shared" si="280"/>
        <v/>
      </c>
      <c r="U1016" s="47"/>
      <c r="V1016" s="1" t="str">
        <f t="shared" si="281"/>
        <v/>
      </c>
      <c r="W1016" s="47"/>
      <c r="X1016" s="1" t="str">
        <f t="shared" si="282"/>
        <v/>
      </c>
      <c r="Y1016" s="47"/>
      <c r="Z1016" s="1" t="str">
        <f t="shared" si="283"/>
        <v/>
      </c>
      <c r="AA1016" s="47"/>
      <c r="AB1016" s="1" t="str">
        <f t="shared" si="284"/>
        <v/>
      </c>
      <c r="AC1016" s="47"/>
      <c r="AD1016" s="1" t="str">
        <f t="shared" si="285"/>
        <v/>
      </c>
      <c r="AE1016" s="47"/>
      <c r="AF1016" s="1" t="str">
        <f t="shared" si="286"/>
        <v/>
      </c>
      <c r="AG1016" s="47"/>
    </row>
    <row r="1017" spans="1:33">
      <c r="A1017">
        <f t="shared" si="270"/>
        <v>0</v>
      </c>
      <c r="B1017" s="2" t="str">
        <f t="shared" si="287"/>
        <v/>
      </c>
      <c r="C1017" s="4" t="str">
        <f t="shared" si="271"/>
        <v/>
      </c>
      <c r="D1017" s="3" t="str">
        <f t="shared" si="272"/>
        <v/>
      </c>
      <c r="E1017" s="47"/>
      <c r="F1017" s="3" t="str">
        <f t="shared" si="273"/>
        <v/>
      </c>
      <c r="G1017" s="47"/>
      <c r="H1017" s="3" t="str">
        <f t="shared" si="274"/>
        <v/>
      </c>
      <c r="I1017" s="47"/>
      <c r="J1017" s="3" t="str">
        <f t="shared" si="275"/>
        <v/>
      </c>
      <c r="K1017" s="47"/>
      <c r="L1017" s="3" t="str">
        <f t="shared" si="276"/>
        <v/>
      </c>
      <c r="M1017" s="47"/>
      <c r="N1017" s="3" t="str">
        <f t="shared" si="277"/>
        <v/>
      </c>
      <c r="O1017" s="47"/>
      <c r="P1017" s="3" t="str">
        <f t="shared" si="278"/>
        <v/>
      </c>
      <c r="Q1017" s="47"/>
      <c r="R1017" s="3" t="str">
        <f t="shared" si="279"/>
        <v/>
      </c>
      <c r="S1017" s="47"/>
      <c r="T1017" s="1" t="str">
        <f t="shared" si="280"/>
        <v/>
      </c>
      <c r="U1017" s="47"/>
      <c r="V1017" s="1" t="str">
        <f t="shared" si="281"/>
        <v/>
      </c>
      <c r="W1017" s="47"/>
      <c r="X1017" s="1" t="str">
        <f t="shared" si="282"/>
        <v/>
      </c>
      <c r="Y1017" s="47"/>
      <c r="Z1017" s="1" t="str">
        <f t="shared" si="283"/>
        <v/>
      </c>
      <c r="AA1017" s="47"/>
      <c r="AB1017" s="1" t="str">
        <f t="shared" si="284"/>
        <v/>
      </c>
      <c r="AC1017" s="47"/>
      <c r="AD1017" s="1" t="str">
        <f t="shared" si="285"/>
        <v/>
      </c>
      <c r="AE1017" s="47"/>
      <c r="AF1017" s="1" t="str">
        <f t="shared" si="286"/>
        <v/>
      </c>
      <c r="AG1017" s="47"/>
    </row>
    <row r="1018" spans="1:33">
      <c r="A1018">
        <f t="shared" si="270"/>
        <v>0</v>
      </c>
      <c r="B1018" s="2" t="str">
        <f t="shared" si="287"/>
        <v/>
      </c>
      <c r="C1018" s="4" t="str">
        <f t="shared" si="271"/>
        <v/>
      </c>
      <c r="D1018" s="3" t="str">
        <f t="shared" si="272"/>
        <v/>
      </c>
      <c r="E1018" s="47"/>
      <c r="F1018" s="3" t="str">
        <f t="shared" si="273"/>
        <v/>
      </c>
      <c r="G1018" s="47"/>
      <c r="H1018" s="3" t="str">
        <f t="shared" si="274"/>
        <v/>
      </c>
      <c r="I1018" s="47"/>
      <c r="J1018" s="3" t="str">
        <f t="shared" si="275"/>
        <v/>
      </c>
      <c r="K1018" s="47"/>
      <c r="L1018" s="3" t="str">
        <f t="shared" si="276"/>
        <v/>
      </c>
      <c r="M1018" s="47"/>
      <c r="N1018" s="3" t="str">
        <f t="shared" si="277"/>
        <v/>
      </c>
      <c r="O1018" s="47"/>
      <c r="P1018" s="3" t="str">
        <f t="shared" si="278"/>
        <v/>
      </c>
      <c r="Q1018" s="47"/>
      <c r="R1018" s="3" t="str">
        <f t="shared" si="279"/>
        <v/>
      </c>
      <c r="S1018" s="47"/>
      <c r="T1018" s="1" t="str">
        <f t="shared" si="280"/>
        <v/>
      </c>
      <c r="U1018" s="47"/>
      <c r="V1018" s="1" t="str">
        <f t="shared" si="281"/>
        <v/>
      </c>
      <c r="W1018" s="47"/>
      <c r="X1018" s="1" t="str">
        <f t="shared" si="282"/>
        <v/>
      </c>
      <c r="Y1018" s="47"/>
      <c r="Z1018" s="1" t="str">
        <f t="shared" si="283"/>
        <v/>
      </c>
      <c r="AA1018" s="47"/>
      <c r="AB1018" s="1" t="str">
        <f t="shared" si="284"/>
        <v/>
      </c>
      <c r="AC1018" s="47"/>
      <c r="AD1018" s="1" t="str">
        <f t="shared" si="285"/>
        <v/>
      </c>
      <c r="AE1018" s="47"/>
      <c r="AF1018" s="1" t="str">
        <f t="shared" si="286"/>
        <v/>
      </c>
      <c r="AG1018" s="47"/>
    </row>
    <row r="1019" spans="1:33">
      <c r="A1019">
        <f t="shared" si="270"/>
        <v>0</v>
      </c>
      <c r="B1019" s="2" t="str">
        <f t="shared" si="287"/>
        <v/>
      </c>
      <c r="C1019" s="4" t="str">
        <f t="shared" si="271"/>
        <v/>
      </c>
      <c r="D1019" s="3" t="str">
        <f t="shared" si="272"/>
        <v/>
      </c>
      <c r="E1019" s="47"/>
      <c r="F1019" s="3" t="str">
        <f t="shared" si="273"/>
        <v/>
      </c>
      <c r="G1019" s="47"/>
      <c r="H1019" s="3" t="str">
        <f t="shared" si="274"/>
        <v/>
      </c>
      <c r="I1019" s="47"/>
      <c r="J1019" s="3" t="str">
        <f t="shared" si="275"/>
        <v/>
      </c>
      <c r="K1019" s="47"/>
      <c r="L1019" s="3" t="str">
        <f t="shared" si="276"/>
        <v/>
      </c>
      <c r="M1019" s="47"/>
      <c r="N1019" s="3" t="str">
        <f t="shared" si="277"/>
        <v/>
      </c>
      <c r="O1019" s="47"/>
      <c r="P1019" s="3" t="str">
        <f t="shared" si="278"/>
        <v/>
      </c>
      <c r="Q1019" s="47"/>
      <c r="R1019" s="3" t="str">
        <f t="shared" si="279"/>
        <v/>
      </c>
      <c r="S1019" s="47"/>
      <c r="T1019" s="1" t="str">
        <f t="shared" si="280"/>
        <v/>
      </c>
      <c r="U1019" s="47"/>
      <c r="V1019" s="1" t="str">
        <f t="shared" si="281"/>
        <v/>
      </c>
      <c r="W1019" s="47"/>
      <c r="X1019" s="1" t="str">
        <f t="shared" si="282"/>
        <v/>
      </c>
      <c r="Y1019" s="47"/>
      <c r="Z1019" s="1" t="str">
        <f t="shared" si="283"/>
        <v/>
      </c>
      <c r="AA1019" s="47"/>
      <c r="AB1019" s="1" t="str">
        <f t="shared" si="284"/>
        <v/>
      </c>
      <c r="AC1019" s="47"/>
      <c r="AD1019" s="1" t="str">
        <f t="shared" si="285"/>
        <v/>
      </c>
      <c r="AE1019" s="47"/>
      <c r="AF1019" s="1" t="str">
        <f t="shared" si="286"/>
        <v/>
      </c>
      <c r="AG1019" s="47"/>
    </row>
    <row r="1020" spans="1:33">
      <c r="A1020">
        <f t="shared" si="270"/>
        <v>0</v>
      </c>
      <c r="B1020" s="2" t="str">
        <f t="shared" si="287"/>
        <v/>
      </c>
      <c r="C1020" s="4" t="str">
        <f t="shared" si="271"/>
        <v/>
      </c>
      <c r="D1020" s="3" t="str">
        <f t="shared" si="272"/>
        <v/>
      </c>
      <c r="E1020" s="47"/>
      <c r="F1020" s="3" t="str">
        <f t="shared" si="273"/>
        <v/>
      </c>
      <c r="G1020" s="47"/>
      <c r="H1020" s="3" t="str">
        <f t="shared" si="274"/>
        <v/>
      </c>
      <c r="I1020" s="47"/>
      <c r="J1020" s="3" t="str">
        <f t="shared" si="275"/>
        <v/>
      </c>
      <c r="K1020" s="47"/>
      <c r="L1020" s="3" t="str">
        <f t="shared" si="276"/>
        <v/>
      </c>
      <c r="M1020" s="47"/>
      <c r="N1020" s="3" t="str">
        <f t="shared" si="277"/>
        <v/>
      </c>
      <c r="O1020" s="47"/>
      <c r="P1020" s="3" t="str">
        <f t="shared" si="278"/>
        <v/>
      </c>
      <c r="Q1020" s="47"/>
      <c r="R1020" s="3" t="str">
        <f t="shared" si="279"/>
        <v/>
      </c>
      <c r="S1020" s="47"/>
      <c r="T1020" s="1" t="str">
        <f t="shared" si="280"/>
        <v/>
      </c>
      <c r="U1020" s="47"/>
      <c r="V1020" s="1" t="str">
        <f t="shared" si="281"/>
        <v/>
      </c>
      <c r="W1020" s="47"/>
      <c r="X1020" s="1" t="str">
        <f t="shared" si="282"/>
        <v/>
      </c>
      <c r="Y1020" s="47"/>
      <c r="Z1020" s="1" t="str">
        <f t="shared" si="283"/>
        <v/>
      </c>
      <c r="AA1020" s="47"/>
      <c r="AB1020" s="1" t="str">
        <f t="shared" si="284"/>
        <v/>
      </c>
      <c r="AC1020" s="47"/>
      <c r="AD1020" s="1" t="str">
        <f t="shared" si="285"/>
        <v/>
      </c>
      <c r="AE1020" s="47"/>
      <c r="AF1020" s="1" t="str">
        <f t="shared" si="286"/>
        <v/>
      </c>
      <c r="AG1020" s="47"/>
    </row>
    <row r="1021" spans="1:33">
      <c r="A1021">
        <f t="shared" si="270"/>
        <v>0</v>
      </c>
      <c r="B1021" s="2" t="str">
        <f t="shared" si="287"/>
        <v/>
      </c>
      <c r="C1021" s="4" t="str">
        <f t="shared" si="271"/>
        <v/>
      </c>
      <c r="D1021" s="3" t="str">
        <f t="shared" si="272"/>
        <v/>
      </c>
      <c r="E1021" s="47"/>
      <c r="F1021" s="3" t="str">
        <f t="shared" si="273"/>
        <v/>
      </c>
      <c r="G1021" s="47"/>
      <c r="H1021" s="3" t="str">
        <f t="shared" si="274"/>
        <v/>
      </c>
      <c r="I1021" s="47"/>
      <c r="J1021" s="3" t="str">
        <f t="shared" si="275"/>
        <v/>
      </c>
      <c r="K1021" s="47"/>
      <c r="L1021" s="3" t="str">
        <f t="shared" si="276"/>
        <v/>
      </c>
      <c r="M1021" s="47"/>
      <c r="N1021" s="3" t="str">
        <f t="shared" si="277"/>
        <v/>
      </c>
      <c r="O1021" s="47"/>
      <c r="P1021" s="3" t="str">
        <f t="shared" si="278"/>
        <v/>
      </c>
      <c r="Q1021" s="47"/>
      <c r="R1021" s="3" t="str">
        <f t="shared" si="279"/>
        <v/>
      </c>
      <c r="S1021" s="47"/>
      <c r="T1021" s="1" t="str">
        <f t="shared" si="280"/>
        <v/>
      </c>
      <c r="U1021" s="47"/>
      <c r="V1021" s="1" t="str">
        <f t="shared" si="281"/>
        <v/>
      </c>
      <c r="W1021" s="47"/>
      <c r="X1021" s="1" t="str">
        <f t="shared" si="282"/>
        <v/>
      </c>
      <c r="Y1021" s="47"/>
      <c r="Z1021" s="1" t="str">
        <f t="shared" si="283"/>
        <v/>
      </c>
      <c r="AA1021" s="47"/>
      <c r="AB1021" s="1" t="str">
        <f t="shared" si="284"/>
        <v/>
      </c>
      <c r="AC1021" s="47"/>
      <c r="AD1021" s="1" t="str">
        <f t="shared" si="285"/>
        <v/>
      </c>
      <c r="AE1021" s="47"/>
      <c r="AF1021" s="1" t="str">
        <f t="shared" si="286"/>
        <v/>
      </c>
      <c r="AG1021" s="47"/>
    </row>
    <row r="1022" spans="1:33">
      <c r="A1022">
        <f t="shared" si="270"/>
        <v>0</v>
      </c>
      <c r="B1022" s="2" t="str">
        <f t="shared" si="287"/>
        <v/>
      </c>
      <c r="C1022" s="4" t="str">
        <f t="shared" si="271"/>
        <v/>
      </c>
      <c r="D1022" s="3" t="str">
        <f t="shared" si="272"/>
        <v/>
      </c>
      <c r="E1022" s="47"/>
      <c r="F1022" s="3" t="str">
        <f t="shared" si="273"/>
        <v/>
      </c>
      <c r="G1022" s="47"/>
      <c r="H1022" s="3" t="str">
        <f t="shared" si="274"/>
        <v/>
      </c>
      <c r="I1022" s="47"/>
      <c r="J1022" s="3" t="str">
        <f t="shared" si="275"/>
        <v/>
      </c>
      <c r="K1022" s="47"/>
      <c r="L1022" s="3" t="str">
        <f t="shared" si="276"/>
        <v/>
      </c>
      <c r="M1022" s="47"/>
      <c r="N1022" s="3" t="str">
        <f t="shared" si="277"/>
        <v/>
      </c>
      <c r="O1022" s="47"/>
      <c r="P1022" s="3" t="str">
        <f t="shared" si="278"/>
        <v/>
      </c>
      <c r="Q1022" s="47"/>
      <c r="R1022" s="3" t="str">
        <f t="shared" si="279"/>
        <v/>
      </c>
      <c r="S1022" s="47"/>
      <c r="T1022" s="1" t="str">
        <f t="shared" si="280"/>
        <v/>
      </c>
      <c r="U1022" s="47"/>
      <c r="V1022" s="1" t="str">
        <f t="shared" si="281"/>
        <v/>
      </c>
      <c r="W1022" s="47"/>
      <c r="X1022" s="1" t="str">
        <f t="shared" si="282"/>
        <v/>
      </c>
      <c r="Y1022" s="47"/>
      <c r="Z1022" s="1" t="str">
        <f t="shared" si="283"/>
        <v/>
      </c>
      <c r="AA1022" s="47"/>
      <c r="AB1022" s="1" t="str">
        <f t="shared" si="284"/>
        <v/>
      </c>
      <c r="AC1022" s="47"/>
      <c r="AD1022" s="1" t="str">
        <f t="shared" si="285"/>
        <v/>
      </c>
      <c r="AE1022" s="47"/>
      <c r="AF1022" s="1" t="str">
        <f t="shared" si="286"/>
        <v/>
      </c>
      <c r="AG1022" s="47"/>
    </row>
    <row r="1023" spans="1:33">
      <c r="A1023">
        <f t="shared" si="270"/>
        <v>0</v>
      </c>
      <c r="B1023" s="2" t="str">
        <f t="shared" si="287"/>
        <v/>
      </c>
      <c r="C1023" s="4" t="str">
        <f t="shared" si="271"/>
        <v/>
      </c>
      <c r="D1023" s="3" t="str">
        <f t="shared" si="272"/>
        <v/>
      </c>
      <c r="E1023" s="47"/>
      <c r="F1023" s="3" t="str">
        <f t="shared" si="273"/>
        <v/>
      </c>
      <c r="G1023" s="47"/>
      <c r="H1023" s="3" t="str">
        <f t="shared" si="274"/>
        <v/>
      </c>
      <c r="I1023" s="47"/>
      <c r="J1023" s="3" t="str">
        <f t="shared" si="275"/>
        <v/>
      </c>
      <c r="K1023" s="47"/>
      <c r="L1023" s="3" t="str">
        <f t="shared" si="276"/>
        <v/>
      </c>
      <c r="M1023" s="47"/>
      <c r="N1023" s="3" t="str">
        <f t="shared" si="277"/>
        <v/>
      </c>
      <c r="O1023" s="47"/>
      <c r="P1023" s="3" t="str">
        <f t="shared" si="278"/>
        <v/>
      </c>
      <c r="Q1023" s="47"/>
      <c r="R1023" s="3" t="str">
        <f t="shared" si="279"/>
        <v/>
      </c>
      <c r="S1023" s="47"/>
      <c r="T1023" s="1" t="str">
        <f t="shared" si="280"/>
        <v/>
      </c>
      <c r="U1023" s="47"/>
      <c r="V1023" s="1" t="str">
        <f t="shared" si="281"/>
        <v/>
      </c>
      <c r="W1023" s="47"/>
      <c r="X1023" s="1" t="str">
        <f t="shared" si="282"/>
        <v/>
      </c>
      <c r="Y1023" s="47"/>
      <c r="Z1023" s="1" t="str">
        <f t="shared" si="283"/>
        <v/>
      </c>
      <c r="AA1023" s="47"/>
      <c r="AB1023" s="1" t="str">
        <f t="shared" si="284"/>
        <v/>
      </c>
      <c r="AC1023" s="47"/>
      <c r="AD1023" s="1" t="str">
        <f t="shared" si="285"/>
        <v/>
      </c>
      <c r="AE1023" s="47"/>
      <c r="AF1023" s="1" t="str">
        <f t="shared" si="286"/>
        <v/>
      </c>
      <c r="AG1023" s="47"/>
    </row>
    <row r="1024" spans="1:33">
      <c r="A1024">
        <f t="shared" si="270"/>
        <v>0</v>
      </c>
      <c r="B1024" s="2" t="str">
        <f t="shared" si="287"/>
        <v/>
      </c>
      <c r="C1024" s="4" t="str">
        <f t="shared" si="271"/>
        <v/>
      </c>
      <c r="D1024" s="3" t="str">
        <f t="shared" si="272"/>
        <v/>
      </c>
      <c r="E1024" s="47"/>
      <c r="F1024" s="3" t="str">
        <f t="shared" si="273"/>
        <v/>
      </c>
      <c r="G1024" s="47"/>
      <c r="H1024" s="3" t="str">
        <f t="shared" si="274"/>
        <v/>
      </c>
      <c r="I1024" s="47"/>
      <c r="J1024" s="3" t="str">
        <f t="shared" si="275"/>
        <v/>
      </c>
      <c r="K1024" s="47"/>
      <c r="L1024" s="3" t="str">
        <f t="shared" si="276"/>
        <v/>
      </c>
      <c r="M1024" s="47"/>
      <c r="N1024" s="3" t="str">
        <f t="shared" si="277"/>
        <v/>
      </c>
      <c r="O1024" s="47"/>
      <c r="P1024" s="3" t="str">
        <f t="shared" si="278"/>
        <v/>
      </c>
      <c r="Q1024" s="47"/>
      <c r="R1024" s="3" t="str">
        <f t="shared" si="279"/>
        <v/>
      </c>
      <c r="S1024" s="47"/>
      <c r="T1024" s="1" t="str">
        <f t="shared" si="280"/>
        <v/>
      </c>
      <c r="U1024" s="47"/>
      <c r="V1024" s="1" t="str">
        <f t="shared" si="281"/>
        <v/>
      </c>
      <c r="W1024" s="47"/>
      <c r="X1024" s="1" t="str">
        <f t="shared" si="282"/>
        <v/>
      </c>
      <c r="Y1024" s="47"/>
      <c r="Z1024" s="1" t="str">
        <f t="shared" si="283"/>
        <v/>
      </c>
      <c r="AA1024" s="47"/>
      <c r="AB1024" s="1" t="str">
        <f t="shared" si="284"/>
        <v/>
      </c>
      <c r="AC1024" s="47"/>
      <c r="AD1024" s="1" t="str">
        <f t="shared" si="285"/>
        <v/>
      </c>
      <c r="AE1024" s="47"/>
      <c r="AF1024" s="1" t="str">
        <f t="shared" si="286"/>
        <v/>
      </c>
      <c r="AG1024" s="47"/>
    </row>
    <row r="1025" spans="1:33">
      <c r="A1025">
        <f t="shared" si="270"/>
        <v>0</v>
      </c>
      <c r="B1025" s="2" t="str">
        <f t="shared" si="287"/>
        <v/>
      </c>
      <c r="C1025" s="4" t="str">
        <f t="shared" si="271"/>
        <v/>
      </c>
      <c r="D1025" s="3" t="str">
        <f t="shared" si="272"/>
        <v/>
      </c>
      <c r="E1025" s="47"/>
      <c r="F1025" s="3" t="str">
        <f t="shared" si="273"/>
        <v/>
      </c>
      <c r="G1025" s="47"/>
      <c r="H1025" s="3" t="str">
        <f t="shared" si="274"/>
        <v/>
      </c>
      <c r="I1025" s="47"/>
      <c r="J1025" s="3" t="str">
        <f t="shared" si="275"/>
        <v/>
      </c>
      <c r="K1025" s="47"/>
      <c r="L1025" s="3" t="str">
        <f t="shared" si="276"/>
        <v/>
      </c>
      <c r="M1025" s="47"/>
      <c r="N1025" s="3" t="str">
        <f t="shared" si="277"/>
        <v/>
      </c>
      <c r="O1025" s="47"/>
      <c r="P1025" s="3" t="str">
        <f t="shared" si="278"/>
        <v/>
      </c>
      <c r="Q1025" s="47"/>
      <c r="R1025" s="3" t="str">
        <f t="shared" si="279"/>
        <v/>
      </c>
      <c r="S1025" s="47"/>
      <c r="T1025" s="1" t="str">
        <f t="shared" si="280"/>
        <v/>
      </c>
      <c r="U1025" s="47"/>
      <c r="V1025" s="1" t="str">
        <f t="shared" si="281"/>
        <v/>
      </c>
      <c r="W1025" s="47"/>
      <c r="X1025" s="1" t="str">
        <f t="shared" si="282"/>
        <v/>
      </c>
      <c r="Y1025" s="47"/>
      <c r="Z1025" s="1" t="str">
        <f t="shared" si="283"/>
        <v/>
      </c>
      <c r="AA1025" s="47"/>
      <c r="AB1025" s="1" t="str">
        <f t="shared" si="284"/>
        <v/>
      </c>
      <c r="AC1025" s="47"/>
      <c r="AD1025" s="1" t="str">
        <f t="shared" si="285"/>
        <v/>
      </c>
      <c r="AE1025" s="47"/>
      <c r="AF1025" s="1" t="str">
        <f t="shared" si="286"/>
        <v/>
      </c>
      <c r="AG1025" s="47"/>
    </row>
    <row r="1026" spans="1:33">
      <c r="A1026">
        <f t="shared" si="270"/>
        <v>0</v>
      </c>
      <c r="B1026" s="2" t="str">
        <f t="shared" si="287"/>
        <v/>
      </c>
      <c r="C1026" s="4" t="str">
        <f t="shared" si="271"/>
        <v/>
      </c>
      <c r="D1026" s="3" t="str">
        <f t="shared" si="272"/>
        <v/>
      </c>
      <c r="E1026" s="47"/>
      <c r="F1026" s="3" t="str">
        <f t="shared" si="273"/>
        <v/>
      </c>
      <c r="G1026" s="47"/>
      <c r="H1026" s="3" t="str">
        <f t="shared" si="274"/>
        <v/>
      </c>
      <c r="I1026" s="47"/>
      <c r="J1026" s="3" t="str">
        <f t="shared" si="275"/>
        <v/>
      </c>
      <c r="K1026" s="47"/>
      <c r="L1026" s="3" t="str">
        <f t="shared" si="276"/>
        <v/>
      </c>
      <c r="M1026" s="47"/>
      <c r="N1026" s="3" t="str">
        <f t="shared" si="277"/>
        <v/>
      </c>
      <c r="O1026" s="47"/>
      <c r="P1026" s="3" t="str">
        <f t="shared" si="278"/>
        <v/>
      </c>
      <c r="Q1026" s="47"/>
      <c r="R1026" s="3" t="str">
        <f t="shared" si="279"/>
        <v/>
      </c>
      <c r="S1026" s="47"/>
      <c r="T1026" s="1" t="str">
        <f t="shared" si="280"/>
        <v/>
      </c>
      <c r="U1026" s="47"/>
      <c r="V1026" s="1" t="str">
        <f t="shared" si="281"/>
        <v/>
      </c>
      <c r="W1026" s="47"/>
      <c r="X1026" s="1" t="str">
        <f t="shared" si="282"/>
        <v/>
      </c>
      <c r="Y1026" s="47"/>
      <c r="Z1026" s="1" t="str">
        <f t="shared" si="283"/>
        <v/>
      </c>
      <c r="AA1026" s="47"/>
      <c r="AB1026" s="1" t="str">
        <f t="shared" si="284"/>
        <v/>
      </c>
      <c r="AC1026" s="47"/>
      <c r="AD1026" s="1" t="str">
        <f t="shared" si="285"/>
        <v/>
      </c>
      <c r="AE1026" s="47"/>
      <c r="AF1026" s="1" t="str">
        <f t="shared" si="286"/>
        <v/>
      </c>
      <c r="AG1026" s="47"/>
    </row>
    <row r="1027" spans="1:33">
      <c r="A1027">
        <f t="shared" si="270"/>
        <v>0</v>
      </c>
      <c r="B1027" s="2" t="str">
        <f t="shared" si="287"/>
        <v/>
      </c>
      <c r="C1027" s="4" t="str">
        <f t="shared" si="271"/>
        <v/>
      </c>
      <c r="D1027" s="3" t="str">
        <f t="shared" si="272"/>
        <v/>
      </c>
      <c r="E1027" s="47"/>
      <c r="F1027" s="3" t="str">
        <f t="shared" si="273"/>
        <v/>
      </c>
      <c r="G1027" s="47"/>
      <c r="H1027" s="3" t="str">
        <f t="shared" si="274"/>
        <v/>
      </c>
      <c r="I1027" s="47"/>
      <c r="J1027" s="3" t="str">
        <f t="shared" si="275"/>
        <v/>
      </c>
      <c r="K1027" s="47"/>
      <c r="L1027" s="3" t="str">
        <f t="shared" si="276"/>
        <v/>
      </c>
      <c r="M1027" s="47"/>
      <c r="N1027" s="3" t="str">
        <f t="shared" si="277"/>
        <v/>
      </c>
      <c r="O1027" s="47"/>
      <c r="P1027" s="3" t="str">
        <f t="shared" si="278"/>
        <v/>
      </c>
      <c r="Q1027" s="47"/>
      <c r="R1027" s="3" t="str">
        <f t="shared" si="279"/>
        <v/>
      </c>
      <c r="S1027" s="47"/>
      <c r="T1027" s="1" t="str">
        <f t="shared" si="280"/>
        <v/>
      </c>
      <c r="U1027" s="47"/>
      <c r="V1027" s="1" t="str">
        <f t="shared" si="281"/>
        <v/>
      </c>
      <c r="W1027" s="47"/>
      <c r="X1027" s="1" t="str">
        <f t="shared" si="282"/>
        <v/>
      </c>
      <c r="Y1027" s="47"/>
      <c r="Z1027" s="1" t="str">
        <f t="shared" si="283"/>
        <v/>
      </c>
      <c r="AA1027" s="47"/>
      <c r="AB1027" s="1" t="str">
        <f t="shared" si="284"/>
        <v/>
      </c>
      <c r="AC1027" s="47"/>
      <c r="AD1027" s="1" t="str">
        <f t="shared" si="285"/>
        <v/>
      </c>
      <c r="AE1027" s="47"/>
      <c r="AF1027" s="1" t="str">
        <f t="shared" si="286"/>
        <v/>
      </c>
      <c r="AG1027" s="47"/>
    </row>
    <row r="1028" spans="1:33">
      <c r="A1028">
        <f t="shared" si="270"/>
        <v>0</v>
      </c>
      <c r="B1028" s="2" t="str">
        <f t="shared" si="287"/>
        <v/>
      </c>
      <c r="C1028" s="4" t="str">
        <f t="shared" si="271"/>
        <v/>
      </c>
      <c r="D1028" s="3" t="str">
        <f t="shared" si="272"/>
        <v/>
      </c>
      <c r="E1028" s="47"/>
      <c r="F1028" s="3" t="str">
        <f t="shared" si="273"/>
        <v/>
      </c>
      <c r="G1028" s="47"/>
      <c r="H1028" s="3" t="str">
        <f t="shared" si="274"/>
        <v/>
      </c>
      <c r="I1028" s="47"/>
      <c r="J1028" s="3" t="str">
        <f t="shared" si="275"/>
        <v/>
      </c>
      <c r="K1028" s="47"/>
      <c r="L1028" s="3" t="str">
        <f t="shared" si="276"/>
        <v/>
      </c>
      <c r="M1028" s="47"/>
      <c r="N1028" s="3" t="str">
        <f t="shared" si="277"/>
        <v/>
      </c>
      <c r="O1028" s="47"/>
      <c r="P1028" s="3" t="str">
        <f t="shared" si="278"/>
        <v/>
      </c>
      <c r="Q1028" s="47"/>
      <c r="R1028" s="3" t="str">
        <f t="shared" si="279"/>
        <v/>
      </c>
      <c r="S1028" s="47"/>
      <c r="T1028" s="1" t="str">
        <f t="shared" si="280"/>
        <v/>
      </c>
      <c r="U1028" s="47"/>
      <c r="V1028" s="1" t="str">
        <f t="shared" si="281"/>
        <v/>
      </c>
      <c r="W1028" s="47"/>
      <c r="X1028" s="1" t="str">
        <f t="shared" si="282"/>
        <v/>
      </c>
      <c r="Y1028" s="47"/>
      <c r="Z1028" s="1" t="str">
        <f t="shared" si="283"/>
        <v/>
      </c>
      <c r="AA1028" s="47"/>
      <c r="AB1028" s="1" t="str">
        <f t="shared" si="284"/>
        <v/>
      </c>
      <c r="AC1028" s="47"/>
      <c r="AD1028" s="1" t="str">
        <f t="shared" si="285"/>
        <v/>
      </c>
      <c r="AE1028" s="47"/>
      <c r="AF1028" s="1" t="str">
        <f t="shared" si="286"/>
        <v/>
      </c>
      <c r="AG1028" s="47"/>
    </row>
    <row r="1029" spans="1:33">
      <c r="A1029">
        <f t="shared" si="270"/>
        <v>0</v>
      </c>
      <c r="B1029" s="2" t="str">
        <f t="shared" si="287"/>
        <v/>
      </c>
      <c r="C1029" s="4" t="str">
        <f t="shared" si="271"/>
        <v/>
      </c>
      <c r="D1029" s="3" t="str">
        <f t="shared" si="272"/>
        <v/>
      </c>
      <c r="E1029" s="47"/>
      <c r="F1029" s="3" t="str">
        <f t="shared" si="273"/>
        <v/>
      </c>
      <c r="G1029" s="47"/>
      <c r="H1029" s="3" t="str">
        <f t="shared" si="274"/>
        <v/>
      </c>
      <c r="I1029" s="47"/>
      <c r="J1029" s="3" t="str">
        <f t="shared" si="275"/>
        <v/>
      </c>
      <c r="K1029" s="47"/>
      <c r="L1029" s="3" t="str">
        <f t="shared" si="276"/>
        <v/>
      </c>
      <c r="M1029" s="47"/>
      <c r="N1029" s="3" t="str">
        <f t="shared" si="277"/>
        <v/>
      </c>
      <c r="O1029" s="47"/>
      <c r="P1029" s="3" t="str">
        <f t="shared" si="278"/>
        <v/>
      </c>
      <c r="Q1029" s="47"/>
      <c r="R1029" s="3" t="str">
        <f t="shared" si="279"/>
        <v/>
      </c>
      <c r="S1029" s="47"/>
      <c r="T1029" s="1" t="str">
        <f t="shared" si="280"/>
        <v/>
      </c>
      <c r="U1029" s="47"/>
      <c r="V1029" s="1" t="str">
        <f t="shared" si="281"/>
        <v/>
      </c>
      <c r="W1029" s="47"/>
      <c r="X1029" s="1" t="str">
        <f t="shared" si="282"/>
        <v/>
      </c>
      <c r="Y1029" s="47"/>
      <c r="Z1029" s="1" t="str">
        <f t="shared" si="283"/>
        <v/>
      </c>
      <c r="AA1029" s="47"/>
      <c r="AB1029" s="1" t="str">
        <f t="shared" si="284"/>
        <v/>
      </c>
      <c r="AC1029" s="47"/>
      <c r="AD1029" s="1" t="str">
        <f t="shared" si="285"/>
        <v/>
      </c>
      <c r="AE1029" s="47"/>
      <c r="AF1029" s="1" t="str">
        <f t="shared" si="286"/>
        <v/>
      </c>
      <c r="AG1029" s="47"/>
    </row>
    <row r="1030" spans="1:33">
      <c r="A1030">
        <f t="shared" si="270"/>
        <v>0</v>
      </c>
      <c r="B1030" s="2" t="str">
        <f t="shared" si="287"/>
        <v/>
      </c>
      <c r="C1030" s="4" t="str">
        <f t="shared" si="271"/>
        <v/>
      </c>
      <c r="D1030" s="3" t="str">
        <f t="shared" si="272"/>
        <v/>
      </c>
      <c r="E1030" s="47"/>
      <c r="F1030" s="3" t="str">
        <f t="shared" si="273"/>
        <v/>
      </c>
      <c r="G1030" s="47"/>
      <c r="H1030" s="3" t="str">
        <f t="shared" si="274"/>
        <v/>
      </c>
      <c r="I1030" s="47"/>
      <c r="J1030" s="3" t="str">
        <f t="shared" si="275"/>
        <v/>
      </c>
      <c r="K1030" s="47"/>
      <c r="L1030" s="3" t="str">
        <f t="shared" si="276"/>
        <v/>
      </c>
      <c r="M1030" s="47"/>
      <c r="N1030" s="3" t="str">
        <f t="shared" si="277"/>
        <v/>
      </c>
      <c r="O1030" s="47"/>
      <c r="P1030" s="3" t="str">
        <f t="shared" si="278"/>
        <v/>
      </c>
      <c r="Q1030" s="47"/>
      <c r="R1030" s="3" t="str">
        <f t="shared" si="279"/>
        <v/>
      </c>
      <c r="S1030" s="47"/>
      <c r="T1030" s="1" t="str">
        <f t="shared" si="280"/>
        <v/>
      </c>
      <c r="U1030" s="47"/>
      <c r="V1030" s="1" t="str">
        <f t="shared" si="281"/>
        <v/>
      </c>
      <c r="W1030" s="47"/>
      <c r="X1030" s="1" t="str">
        <f t="shared" si="282"/>
        <v/>
      </c>
      <c r="Y1030" s="47"/>
      <c r="Z1030" s="1" t="str">
        <f t="shared" si="283"/>
        <v/>
      </c>
      <c r="AA1030" s="47"/>
      <c r="AB1030" s="1" t="str">
        <f t="shared" si="284"/>
        <v/>
      </c>
      <c r="AC1030" s="47"/>
      <c r="AD1030" s="1" t="str">
        <f t="shared" si="285"/>
        <v/>
      </c>
      <c r="AE1030" s="47"/>
      <c r="AF1030" s="1" t="str">
        <f t="shared" si="286"/>
        <v/>
      </c>
      <c r="AG1030" s="47"/>
    </row>
    <row r="1031" spans="1:33">
      <c r="A1031">
        <f t="shared" ref="A1031:A1094" si="288">$C$1</f>
        <v>0</v>
      </c>
      <c r="B1031" s="2" t="str">
        <f t="shared" si="287"/>
        <v/>
      </c>
      <c r="C1031" s="4" t="str">
        <f t="shared" si="271"/>
        <v/>
      </c>
      <c r="D1031" s="3" t="str">
        <f t="shared" si="272"/>
        <v/>
      </c>
      <c r="E1031" s="47"/>
      <c r="F1031" s="3" t="str">
        <f t="shared" si="273"/>
        <v/>
      </c>
      <c r="G1031" s="47"/>
      <c r="H1031" s="3" t="str">
        <f t="shared" si="274"/>
        <v/>
      </c>
      <c r="I1031" s="47"/>
      <c r="J1031" s="3" t="str">
        <f t="shared" si="275"/>
        <v/>
      </c>
      <c r="K1031" s="47"/>
      <c r="L1031" s="3" t="str">
        <f t="shared" si="276"/>
        <v/>
      </c>
      <c r="M1031" s="47"/>
      <c r="N1031" s="3" t="str">
        <f t="shared" si="277"/>
        <v/>
      </c>
      <c r="O1031" s="47"/>
      <c r="P1031" s="3" t="str">
        <f t="shared" si="278"/>
        <v/>
      </c>
      <c r="Q1031" s="47"/>
      <c r="R1031" s="3" t="str">
        <f t="shared" si="279"/>
        <v/>
      </c>
      <c r="S1031" s="47"/>
      <c r="T1031" s="1" t="str">
        <f t="shared" si="280"/>
        <v/>
      </c>
      <c r="U1031" s="47"/>
      <c r="V1031" s="1" t="str">
        <f t="shared" si="281"/>
        <v/>
      </c>
      <c r="W1031" s="47"/>
      <c r="X1031" s="1" t="str">
        <f t="shared" si="282"/>
        <v/>
      </c>
      <c r="Y1031" s="47"/>
      <c r="Z1031" s="1" t="str">
        <f t="shared" si="283"/>
        <v/>
      </c>
      <c r="AA1031" s="47"/>
      <c r="AB1031" s="1" t="str">
        <f t="shared" si="284"/>
        <v/>
      </c>
      <c r="AC1031" s="47"/>
      <c r="AD1031" s="1" t="str">
        <f t="shared" si="285"/>
        <v/>
      </c>
      <c r="AE1031" s="47"/>
      <c r="AF1031" s="1" t="str">
        <f t="shared" si="286"/>
        <v/>
      </c>
      <c r="AG1031" s="47"/>
    </row>
    <row r="1032" spans="1:33">
      <c r="A1032">
        <f t="shared" si="288"/>
        <v>0</v>
      </c>
      <c r="B1032" s="2" t="str">
        <f t="shared" si="287"/>
        <v/>
      </c>
      <c r="C1032" s="4" t="str">
        <f t="shared" ref="C1032:C1095" si="289">TEXT(B1032,"AAA")</f>
        <v/>
      </c>
      <c r="D1032" s="3" t="str">
        <f t="shared" ref="D1032:D1095" si="290">IF(NOT(AND($F$3&lt;=B1032,B1032&lt;=$F$4)),"",$F$2&amp;"")</f>
        <v/>
      </c>
      <c r="E1032" s="47"/>
      <c r="F1032" s="3" t="str">
        <f t="shared" ref="F1032:F1095" si="291">IF(NOT(AND($G$3&lt;=B1032,B1032&lt;=$G$4)),"",$G$2&amp;"")</f>
        <v/>
      </c>
      <c r="G1032" s="47"/>
      <c r="H1032" s="3" t="str">
        <f t="shared" ref="H1032:H1095" si="292">IF(NOT(AND($H$3&lt;=B1032,B1032&lt;=$H$4)),"",$H$2&amp;"")</f>
        <v/>
      </c>
      <c r="I1032" s="47"/>
      <c r="J1032" s="3" t="str">
        <f t="shared" ref="J1032:J1095" si="293">IF(NOT(AND($I$3&lt;=B1032,B1032&lt;=$I$4)),"",$I$2&amp;"")</f>
        <v/>
      </c>
      <c r="K1032" s="47"/>
      <c r="L1032" s="3" t="str">
        <f t="shared" ref="L1032:L1095" si="294">IF(NOT(AND($J$3&lt;=B1032,B1032&lt;=$J$4)),"",$J$2&amp;"")</f>
        <v/>
      </c>
      <c r="M1032" s="47"/>
      <c r="N1032" s="3" t="str">
        <f t="shared" ref="N1032:N1095" si="295">IF(NOT(AND($K$3&lt;=B1032,B1032&lt;=$K$4)),"",$K$2&amp;"")</f>
        <v/>
      </c>
      <c r="O1032" s="47"/>
      <c r="P1032" s="3" t="str">
        <f t="shared" ref="P1032:P1095" si="296">IF(NOT(AND($L$3&lt;=B1032,B1032&lt;=$L$4)),"",$L$2&amp;"")</f>
        <v/>
      </c>
      <c r="Q1032" s="47"/>
      <c r="R1032" s="3" t="str">
        <f t="shared" ref="R1032:R1095" si="297">IF(NOT(AND($M$3&lt;=B1032,B1032&lt;=$M$4)),"",$M$2&amp;"")</f>
        <v/>
      </c>
      <c r="S1032" s="47"/>
      <c r="T1032" s="1" t="str">
        <f t="shared" ref="T1032:T1095" si="298">IF(NOT(AND($N$3&lt;=B1032,B1032&lt;=$N$4)),"",$N$2&amp;"")</f>
        <v/>
      </c>
      <c r="U1032" s="47"/>
      <c r="V1032" s="1" t="str">
        <f t="shared" ref="V1032:V1095" si="299">IF(NOT(AND($O$3&lt;=B1032,B1032&lt;=$O$4)),"",$O$2&amp;"")</f>
        <v/>
      </c>
      <c r="W1032" s="47"/>
      <c r="X1032" s="1" t="str">
        <f t="shared" ref="X1032:X1095" si="300">IF(NOT(AND($P$3&lt;=B1032,B1032&lt;=$P$4)),"",$P$2&amp;"")</f>
        <v/>
      </c>
      <c r="Y1032" s="47"/>
      <c r="Z1032" s="1" t="str">
        <f t="shared" ref="Z1032:Z1095" si="301">IF(NOT(AND($Q$3&lt;=B1032,B1032&lt;=$Q$4)),"",$Q$2&amp;"")</f>
        <v/>
      </c>
      <c r="AA1032" s="47"/>
      <c r="AB1032" s="1" t="str">
        <f t="shared" ref="AB1032:AB1095" si="302">IF(NOT(AND($R$3&lt;=B1032,B1032&lt;=$R$4)),"",$R$2&amp;"")</f>
        <v/>
      </c>
      <c r="AC1032" s="47"/>
      <c r="AD1032" s="1" t="str">
        <f t="shared" ref="AD1032:AD1095" si="303">IF(NOT(AND($S$3&lt;=B1032,B1032&lt;=$S$4)),"",$S$2&amp;"")</f>
        <v/>
      </c>
      <c r="AE1032" s="47"/>
      <c r="AF1032" s="1" t="str">
        <f t="shared" ref="AF1032:AF1095" si="304">IF(NOT(AND($T$3&lt;=B1032,B1032&lt;=$T$4)),"",$T$2&amp;"")</f>
        <v/>
      </c>
      <c r="AG1032" s="47"/>
    </row>
    <row r="1033" spans="1:33">
      <c r="A1033">
        <f t="shared" si="288"/>
        <v>0</v>
      </c>
      <c r="B1033" s="2" t="str">
        <f t="shared" ref="B1033:B1096" si="305">IFERROR(IF(B1032+1&gt;$C$3,"",B1032+1),"")</f>
        <v/>
      </c>
      <c r="C1033" s="4" t="str">
        <f t="shared" si="289"/>
        <v/>
      </c>
      <c r="D1033" s="3" t="str">
        <f t="shared" si="290"/>
        <v/>
      </c>
      <c r="E1033" s="47"/>
      <c r="F1033" s="3" t="str">
        <f t="shared" si="291"/>
        <v/>
      </c>
      <c r="G1033" s="47"/>
      <c r="H1033" s="3" t="str">
        <f t="shared" si="292"/>
        <v/>
      </c>
      <c r="I1033" s="47"/>
      <c r="J1033" s="3" t="str">
        <f t="shared" si="293"/>
        <v/>
      </c>
      <c r="K1033" s="47"/>
      <c r="L1033" s="3" t="str">
        <f t="shared" si="294"/>
        <v/>
      </c>
      <c r="M1033" s="47"/>
      <c r="N1033" s="3" t="str">
        <f t="shared" si="295"/>
        <v/>
      </c>
      <c r="O1033" s="47"/>
      <c r="P1033" s="3" t="str">
        <f t="shared" si="296"/>
        <v/>
      </c>
      <c r="Q1033" s="47"/>
      <c r="R1033" s="3" t="str">
        <f t="shared" si="297"/>
        <v/>
      </c>
      <c r="S1033" s="47"/>
      <c r="T1033" s="1" t="str">
        <f t="shared" si="298"/>
        <v/>
      </c>
      <c r="U1033" s="47"/>
      <c r="V1033" s="1" t="str">
        <f t="shared" si="299"/>
        <v/>
      </c>
      <c r="W1033" s="47"/>
      <c r="X1033" s="1" t="str">
        <f t="shared" si="300"/>
        <v/>
      </c>
      <c r="Y1033" s="47"/>
      <c r="Z1033" s="1" t="str">
        <f t="shared" si="301"/>
        <v/>
      </c>
      <c r="AA1033" s="47"/>
      <c r="AB1033" s="1" t="str">
        <f t="shared" si="302"/>
        <v/>
      </c>
      <c r="AC1033" s="47"/>
      <c r="AD1033" s="1" t="str">
        <f t="shared" si="303"/>
        <v/>
      </c>
      <c r="AE1033" s="47"/>
      <c r="AF1033" s="1" t="str">
        <f t="shared" si="304"/>
        <v/>
      </c>
      <c r="AG1033" s="47"/>
    </row>
    <row r="1034" spans="1:33">
      <c r="A1034">
        <f t="shared" si="288"/>
        <v>0</v>
      </c>
      <c r="B1034" s="2" t="str">
        <f t="shared" si="305"/>
        <v/>
      </c>
      <c r="C1034" s="4" t="str">
        <f t="shared" si="289"/>
        <v/>
      </c>
      <c r="D1034" s="3" t="str">
        <f t="shared" si="290"/>
        <v/>
      </c>
      <c r="E1034" s="47"/>
      <c r="F1034" s="3" t="str">
        <f t="shared" si="291"/>
        <v/>
      </c>
      <c r="G1034" s="47"/>
      <c r="H1034" s="3" t="str">
        <f t="shared" si="292"/>
        <v/>
      </c>
      <c r="I1034" s="47"/>
      <c r="J1034" s="3" t="str">
        <f t="shared" si="293"/>
        <v/>
      </c>
      <c r="K1034" s="47"/>
      <c r="L1034" s="3" t="str">
        <f t="shared" si="294"/>
        <v/>
      </c>
      <c r="M1034" s="47"/>
      <c r="N1034" s="3" t="str">
        <f t="shared" si="295"/>
        <v/>
      </c>
      <c r="O1034" s="47"/>
      <c r="P1034" s="3" t="str">
        <f t="shared" si="296"/>
        <v/>
      </c>
      <c r="Q1034" s="47"/>
      <c r="R1034" s="3" t="str">
        <f t="shared" si="297"/>
        <v/>
      </c>
      <c r="S1034" s="47"/>
      <c r="T1034" s="1" t="str">
        <f t="shared" si="298"/>
        <v/>
      </c>
      <c r="U1034" s="47"/>
      <c r="V1034" s="1" t="str">
        <f t="shared" si="299"/>
        <v/>
      </c>
      <c r="W1034" s="47"/>
      <c r="X1034" s="1" t="str">
        <f t="shared" si="300"/>
        <v/>
      </c>
      <c r="Y1034" s="47"/>
      <c r="Z1034" s="1" t="str">
        <f t="shared" si="301"/>
        <v/>
      </c>
      <c r="AA1034" s="47"/>
      <c r="AB1034" s="1" t="str">
        <f t="shared" si="302"/>
        <v/>
      </c>
      <c r="AC1034" s="47"/>
      <c r="AD1034" s="1" t="str">
        <f t="shared" si="303"/>
        <v/>
      </c>
      <c r="AE1034" s="47"/>
      <c r="AF1034" s="1" t="str">
        <f t="shared" si="304"/>
        <v/>
      </c>
      <c r="AG1034" s="47"/>
    </row>
    <row r="1035" spans="1:33">
      <c r="A1035">
        <f t="shared" si="288"/>
        <v>0</v>
      </c>
      <c r="B1035" s="2" t="str">
        <f t="shared" si="305"/>
        <v/>
      </c>
      <c r="C1035" s="4" t="str">
        <f t="shared" si="289"/>
        <v/>
      </c>
      <c r="D1035" s="3" t="str">
        <f t="shared" si="290"/>
        <v/>
      </c>
      <c r="E1035" s="47"/>
      <c r="F1035" s="3" t="str">
        <f t="shared" si="291"/>
        <v/>
      </c>
      <c r="G1035" s="47"/>
      <c r="H1035" s="3" t="str">
        <f t="shared" si="292"/>
        <v/>
      </c>
      <c r="I1035" s="47"/>
      <c r="J1035" s="3" t="str">
        <f t="shared" si="293"/>
        <v/>
      </c>
      <c r="K1035" s="47"/>
      <c r="L1035" s="3" t="str">
        <f t="shared" si="294"/>
        <v/>
      </c>
      <c r="M1035" s="47"/>
      <c r="N1035" s="3" t="str">
        <f t="shared" si="295"/>
        <v/>
      </c>
      <c r="O1035" s="47"/>
      <c r="P1035" s="3" t="str">
        <f t="shared" si="296"/>
        <v/>
      </c>
      <c r="Q1035" s="47"/>
      <c r="R1035" s="3" t="str">
        <f t="shared" si="297"/>
        <v/>
      </c>
      <c r="S1035" s="47"/>
      <c r="T1035" s="1" t="str">
        <f t="shared" si="298"/>
        <v/>
      </c>
      <c r="U1035" s="47"/>
      <c r="V1035" s="1" t="str">
        <f t="shared" si="299"/>
        <v/>
      </c>
      <c r="W1035" s="47"/>
      <c r="X1035" s="1" t="str">
        <f t="shared" si="300"/>
        <v/>
      </c>
      <c r="Y1035" s="47"/>
      <c r="Z1035" s="1" t="str">
        <f t="shared" si="301"/>
        <v/>
      </c>
      <c r="AA1035" s="47"/>
      <c r="AB1035" s="1" t="str">
        <f t="shared" si="302"/>
        <v/>
      </c>
      <c r="AC1035" s="47"/>
      <c r="AD1035" s="1" t="str">
        <f t="shared" si="303"/>
        <v/>
      </c>
      <c r="AE1035" s="47"/>
      <c r="AF1035" s="1" t="str">
        <f t="shared" si="304"/>
        <v/>
      </c>
      <c r="AG1035" s="47"/>
    </row>
    <row r="1036" spans="1:33">
      <c r="A1036">
        <f t="shared" si="288"/>
        <v>0</v>
      </c>
      <c r="B1036" s="2" t="str">
        <f t="shared" si="305"/>
        <v/>
      </c>
      <c r="C1036" s="4" t="str">
        <f t="shared" si="289"/>
        <v/>
      </c>
      <c r="D1036" s="3" t="str">
        <f t="shared" si="290"/>
        <v/>
      </c>
      <c r="E1036" s="47"/>
      <c r="F1036" s="3" t="str">
        <f t="shared" si="291"/>
        <v/>
      </c>
      <c r="G1036" s="47"/>
      <c r="H1036" s="3" t="str">
        <f t="shared" si="292"/>
        <v/>
      </c>
      <c r="I1036" s="47"/>
      <c r="J1036" s="3" t="str">
        <f t="shared" si="293"/>
        <v/>
      </c>
      <c r="K1036" s="47"/>
      <c r="L1036" s="3" t="str">
        <f t="shared" si="294"/>
        <v/>
      </c>
      <c r="M1036" s="47"/>
      <c r="N1036" s="3" t="str">
        <f t="shared" si="295"/>
        <v/>
      </c>
      <c r="O1036" s="47"/>
      <c r="P1036" s="3" t="str">
        <f t="shared" si="296"/>
        <v/>
      </c>
      <c r="Q1036" s="47"/>
      <c r="R1036" s="3" t="str">
        <f t="shared" si="297"/>
        <v/>
      </c>
      <c r="S1036" s="47"/>
      <c r="T1036" s="1" t="str">
        <f t="shared" si="298"/>
        <v/>
      </c>
      <c r="U1036" s="47"/>
      <c r="V1036" s="1" t="str">
        <f t="shared" si="299"/>
        <v/>
      </c>
      <c r="W1036" s="47"/>
      <c r="X1036" s="1" t="str">
        <f t="shared" si="300"/>
        <v/>
      </c>
      <c r="Y1036" s="47"/>
      <c r="Z1036" s="1" t="str">
        <f t="shared" si="301"/>
        <v/>
      </c>
      <c r="AA1036" s="47"/>
      <c r="AB1036" s="1" t="str">
        <f t="shared" si="302"/>
        <v/>
      </c>
      <c r="AC1036" s="47"/>
      <c r="AD1036" s="1" t="str">
        <f t="shared" si="303"/>
        <v/>
      </c>
      <c r="AE1036" s="47"/>
      <c r="AF1036" s="1" t="str">
        <f t="shared" si="304"/>
        <v/>
      </c>
      <c r="AG1036" s="47"/>
    </row>
    <row r="1037" spans="1:33">
      <c r="A1037">
        <f t="shared" si="288"/>
        <v>0</v>
      </c>
      <c r="B1037" s="2" t="str">
        <f t="shared" si="305"/>
        <v/>
      </c>
      <c r="C1037" s="4" t="str">
        <f t="shared" si="289"/>
        <v/>
      </c>
      <c r="D1037" s="3" t="str">
        <f t="shared" si="290"/>
        <v/>
      </c>
      <c r="E1037" s="47"/>
      <c r="F1037" s="3" t="str">
        <f t="shared" si="291"/>
        <v/>
      </c>
      <c r="G1037" s="47"/>
      <c r="H1037" s="3" t="str">
        <f t="shared" si="292"/>
        <v/>
      </c>
      <c r="I1037" s="47"/>
      <c r="J1037" s="3" t="str">
        <f t="shared" si="293"/>
        <v/>
      </c>
      <c r="K1037" s="47"/>
      <c r="L1037" s="3" t="str">
        <f t="shared" si="294"/>
        <v/>
      </c>
      <c r="M1037" s="47"/>
      <c r="N1037" s="3" t="str">
        <f t="shared" si="295"/>
        <v/>
      </c>
      <c r="O1037" s="47"/>
      <c r="P1037" s="3" t="str">
        <f t="shared" si="296"/>
        <v/>
      </c>
      <c r="Q1037" s="47"/>
      <c r="R1037" s="3" t="str">
        <f t="shared" si="297"/>
        <v/>
      </c>
      <c r="S1037" s="47"/>
      <c r="T1037" s="1" t="str">
        <f t="shared" si="298"/>
        <v/>
      </c>
      <c r="U1037" s="47"/>
      <c r="V1037" s="1" t="str">
        <f t="shared" si="299"/>
        <v/>
      </c>
      <c r="W1037" s="47"/>
      <c r="X1037" s="1" t="str">
        <f t="shared" si="300"/>
        <v/>
      </c>
      <c r="Y1037" s="47"/>
      <c r="Z1037" s="1" t="str">
        <f t="shared" si="301"/>
        <v/>
      </c>
      <c r="AA1037" s="47"/>
      <c r="AB1037" s="1" t="str">
        <f t="shared" si="302"/>
        <v/>
      </c>
      <c r="AC1037" s="47"/>
      <c r="AD1037" s="1" t="str">
        <f t="shared" si="303"/>
        <v/>
      </c>
      <c r="AE1037" s="47"/>
      <c r="AF1037" s="1" t="str">
        <f t="shared" si="304"/>
        <v/>
      </c>
      <c r="AG1037" s="47"/>
    </row>
    <row r="1038" spans="1:33">
      <c r="A1038">
        <f t="shared" si="288"/>
        <v>0</v>
      </c>
      <c r="B1038" s="2" t="str">
        <f t="shared" si="305"/>
        <v/>
      </c>
      <c r="C1038" s="4" t="str">
        <f t="shared" si="289"/>
        <v/>
      </c>
      <c r="D1038" s="3" t="str">
        <f t="shared" si="290"/>
        <v/>
      </c>
      <c r="E1038" s="47"/>
      <c r="F1038" s="3" t="str">
        <f t="shared" si="291"/>
        <v/>
      </c>
      <c r="G1038" s="47"/>
      <c r="H1038" s="3" t="str">
        <f t="shared" si="292"/>
        <v/>
      </c>
      <c r="I1038" s="47"/>
      <c r="J1038" s="3" t="str">
        <f t="shared" si="293"/>
        <v/>
      </c>
      <c r="K1038" s="47"/>
      <c r="L1038" s="3" t="str">
        <f t="shared" si="294"/>
        <v/>
      </c>
      <c r="M1038" s="47"/>
      <c r="N1038" s="3" t="str">
        <f t="shared" si="295"/>
        <v/>
      </c>
      <c r="O1038" s="47"/>
      <c r="P1038" s="3" t="str">
        <f t="shared" si="296"/>
        <v/>
      </c>
      <c r="Q1038" s="47"/>
      <c r="R1038" s="3" t="str">
        <f t="shared" si="297"/>
        <v/>
      </c>
      <c r="S1038" s="47"/>
      <c r="T1038" s="1" t="str">
        <f t="shared" si="298"/>
        <v/>
      </c>
      <c r="U1038" s="47"/>
      <c r="V1038" s="1" t="str">
        <f t="shared" si="299"/>
        <v/>
      </c>
      <c r="W1038" s="47"/>
      <c r="X1038" s="1" t="str">
        <f t="shared" si="300"/>
        <v/>
      </c>
      <c r="Y1038" s="47"/>
      <c r="Z1038" s="1" t="str">
        <f t="shared" si="301"/>
        <v/>
      </c>
      <c r="AA1038" s="47"/>
      <c r="AB1038" s="1" t="str">
        <f t="shared" si="302"/>
        <v/>
      </c>
      <c r="AC1038" s="47"/>
      <c r="AD1038" s="1" t="str">
        <f t="shared" si="303"/>
        <v/>
      </c>
      <c r="AE1038" s="47"/>
      <c r="AF1038" s="1" t="str">
        <f t="shared" si="304"/>
        <v/>
      </c>
      <c r="AG1038" s="47"/>
    </row>
    <row r="1039" spans="1:33">
      <c r="A1039">
        <f t="shared" si="288"/>
        <v>0</v>
      </c>
      <c r="B1039" s="2" t="str">
        <f t="shared" si="305"/>
        <v/>
      </c>
      <c r="C1039" s="4" t="str">
        <f t="shared" si="289"/>
        <v/>
      </c>
      <c r="D1039" s="3" t="str">
        <f t="shared" si="290"/>
        <v/>
      </c>
      <c r="E1039" s="47"/>
      <c r="F1039" s="3" t="str">
        <f t="shared" si="291"/>
        <v/>
      </c>
      <c r="G1039" s="47"/>
      <c r="H1039" s="3" t="str">
        <f t="shared" si="292"/>
        <v/>
      </c>
      <c r="I1039" s="47"/>
      <c r="J1039" s="3" t="str">
        <f t="shared" si="293"/>
        <v/>
      </c>
      <c r="K1039" s="47"/>
      <c r="L1039" s="3" t="str">
        <f t="shared" si="294"/>
        <v/>
      </c>
      <c r="M1039" s="47"/>
      <c r="N1039" s="3" t="str">
        <f t="shared" si="295"/>
        <v/>
      </c>
      <c r="O1039" s="47"/>
      <c r="P1039" s="3" t="str">
        <f t="shared" si="296"/>
        <v/>
      </c>
      <c r="Q1039" s="47"/>
      <c r="R1039" s="3" t="str">
        <f t="shared" si="297"/>
        <v/>
      </c>
      <c r="S1039" s="47"/>
      <c r="T1039" s="1" t="str">
        <f t="shared" si="298"/>
        <v/>
      </c>
      <c r="U1039" s="47"/>
      <c r="V1039" s="1" t="str">
        <f t="shared" si="299"/>
        <v/>
      </c>
      <c r="W1039" s="47"/>
      <c r="X1039" s="1" t="str">
        <f t="shared" si="300"/>
        <v/>
      </c>
      <c r="Y1039" s="47"/>
      <c r="Z1039" s="1" t="str">
        <f t="shared" si="301"/>
        <v/>
      </c>
      <c r="AA1039" s="47"/>
      <c r="AB1039" s="1" t="str">
        <f t="shared" si="302"/>
        <v/>
      </c>
      <c r="AC1039" s="47"/>
      <c r="AD1039" s="1" t="str">
        <f t="shared" si="303"/>
        <v/>
      </c>
      <c r="AE1039" s="47"/>
      <c r="AF1039" s="1" t="str">
        <f t="shared" si="304"/>
        <v/>
      </c>
      <c r="AG1039" s="47"/>
    </row>
    <row r="1040" spans="1:33">
      <c r="A1040">
        <f t="shared" si="288"/>
        <v>0</v>
      </c>
      <c r="B1040" s="2" t="str">
        <f t="shared" si="305"/>
        <v/>
      </c>
      <c r="C1040" s="4" t="str">
        <f t="shared" si="289"/>
        <v/>
      </c>
      <c r="D1040" s="3" t="str">
        <f t="shared" si="290"/>
        <v/>
      </c>
      <c r="E1040" s="47"/>
      <c r="F1040" s="3" t="str">
        <f t="shared" si="291"/>
        <v/>
      </c>
      <c r="G1040" s="47"/>
      <c r="H1040" s="3" t="str">
        <f t="shared" si="292"/>
        <v/>
      </c>
      <c r="I1040" s="47"/>
      <c r="J1040" s="3" t="str">
        <f t="shared" si="293"/>
        <v/>
      </c>
      <c r="K1040" s="47"/>
      <c r="L1040" s="3" t="str">
        <f t="shared" si="294"/>
        <v/>
      </c>
      <c r="M1040" s="47"/>
      <c r="N1040" s="3" t="str">
        <f t="shared" si="295"/>
        <v/>
      </c>
      <c r="O1040" s="47"/>
      <c r="P1040" s="3" t="str">
        <f t="shared" si="296"/>
        <v/>
      </c>
      <c r="Q1040" s="47"/>
      <c r="R1040" s="3" t="str">
        <f t="shared" si="297"/>
        <v/>
      </c>
      <c r="S1040" s="47"/>
      <c r="T1040" s="1" t="str">
        <f t="shared" si="298"/>
        <v/>
      </c>
      <c r="U1040" s="47"/>
      <c r="V1040" s="1" t="str">
        <f t="shared" si="299"/>
        <v/>
      </c>
      <c r="W1040" s="47"/>
      <c r="X1040" s="1" t="str">
        <f t="shared" si="300"/>
        <v/>
      </c>
      <c r="Y1040" s="47"/>
      <c r="Z1040" s="1" t="str">
        <f t="shared" si="301"/>
        <v/>
      </c>
      <c r="AA1040" s="47"/>
      <c r="AB1040" s="1" t="str">
        <f t="shared" si="302"/>
        <v/>
      </c>
      <c r="AC1040" s="47"/>
      <c r="AD1040" s="1" t="str">
        <f t="shared" si="303"/>
        <v/>
      </c>
      <c r="AE1040" s="47"/>
      <c r="AF1040" s="1" t="str">
        <f t="shared" si="304"/>
        <v/>
      </c>
      <c r="AG1040" s="47"/>
    </row>
    <row r="1041" spans="1:33">
      <c r="A1041">
        <f t="shared" si="288"/>
        <v>0</v>
      </c>
      <c r="B1041" s="2" t="str">
        <f t="shared" si="305"/>
        <v/>
      </c>
      <c r="C1041" s="4" t="str">
        <f t="shared" si="289"/>
        <v/>
      </c>
      <c r="D1041" s="3" t="str">
        <f t="shared" si="290"/>
        <v/>
      </c>
      <c r="E1041" s="47"/>
      <c r="F1041" s="3" t="str">
        <f t="shared" si="291"/>
        <v/>
      </c>
      <c r="G1041" s="47"/>
      <c r="H1041" s="3" t="str">
        <f t="shared" si="292"/>
        <v/>
      </c>
      <c r="I1041" s="47"/>
      <c r="J1041" s="3" t="str">
        <f t="shared" si="293"/>
        <v/>
      </c>
      <c r="K1041" s="47"/>
      <c r="L1041" s="3" t="str">
        <f t="shared" si="294"/>
        <v/>
      </c>
      <c r="M1041" s="47"/>
      <c r="N1041" s="3" t="str">
        <f t="shared" si="295"/>
        <v/>
      </c>
      <c r="O1041" s="47"/>
      <c r="P1041" s="3" t="str">
        <f t="shared" si="296"/>
        <v/>
      </c>
      <c r="Q1041" s="47"/>
      <c r="R1041" s="3" t="str">
        <f t="shared" si="297"/>
        <v/>
      </c>
      <c r="S1041" s="47"/>
      <c r="T1041" s="1" t="str">
        <f t="shared" si="298"/>
        <v/>
      </c>
      <c r="U1041" s="47"/>
      <c r="V1041" s="1" t="str">
        <f t="shared" si="299"/>
        <v/>
      </c>
      <c r="W1041" s="47"/>
      <c r="X1041" s="1" t="str">
        <f t="shared" si="300"/>
        <v/>
      </c>
      <c r="Y1041" s="47"/>
      <c r="Z1041" s="1" t="str">
        <f t="shared" si="301"/>
        <v/>
      </c>
      <c r="AA1041" s="47"/>
      <c r="AB1041" s="1" t="str">
        <f t="shared" si="302"/>
        <v/>
      </c>
      <c r="AC1041" s="47"/>
      <c r="AD1041" s="1" t="str">
        <f t="shared" si="303"/>
        <v/>
      </c>
      <c r="AE1041" s="47"/>
      <c r="AF1041" s="1" t="str">
        <f t="shared" si="304"/>
        <v/>
      </c>
      <c r="AG1041" s="47"/>
    </row>
    <row r="1042" spans="1:33">
      <c r="A1042">
        <f t="shared" si="288"/>
        <v>0</v>
      </c>
      <c r="B1042" s="2" t="str">
        <f t="shared" si="305"/>
        <v/>
      </c>
      <c r="C1042" s="4" t="str">
        <f t="shared" si="289"/>
        <v/>
      </c>
      <c r="D1042" s="3" t="str">
        <f t="shared" si="290"/>
        <v/>
      </c>
      <c r="E1042" s="47"/>
      <c r="F1042" s="3" t="str">
        <f t="shared" si="291"/>
        <v/>
      </c>
      <c r="G1042" s="47"/>
      <c r="H1042" s="3" t="str">
        <f t="shared" si="292"/>
        <v/>
      </c>
      <c r="I1042" s="47"/>
      <c r="J1042" s="3" t="str">
        <f t="shared" si="293"/>
        <v/>
      </c>
      <c r="K1042" s="47"/>
      <c r="L1042" s="3" t="str">
        <f t="shared" si="294"/>
        <v/>
      </c>
      <c r="M1042" s="47"/>
      <c r="N1042" s="3" t="str">
        <f t="shared" si="295"/>
        <v/>
      </c>
      <c r="O1042" s="47"/>
      <c r="P1042" s="3" t="str">
        <f t="shared" si="296"/>
        <v/>
      </c>
      <c r="Q1042" s="47"/>
      <c r="R1042" s="3" t="str">
        <f t="shared" si="297"/>
        <v/>
      </c>
      <c r="S1042" s="47"/>
      <c r="T1042" s="1" t="str">
        <f t="shared" si="298"/>
        <v/>
      </c>
      <c r="U1042" s="47"/>
      <c r="V1042" s="1" t="str">
        <f t="shared" si="299"/>
        <v/>
      </c>
      <c r="W1042" s="47"/>
      <c r="X1042" s="1" t="str">
        <f t="shared" si="300"/>
        <v/>
      </c>
      <c r="Y1042" s="47"/>
      <c r="Z1042" s="1" t="str">
        <f t="shared" si="301"/>
        <v/>
      </c>
      <c r="AA1042" s="47"/>
      <c r="AB1042" s="1" t="str">
        <f t="shared" si="302"/>
        <v/>
      </c>
      <c r="AC1042" s="47"/>
      <c r="AD1042" s="1" t="str">
        <f t="shared" si="303"/>
        <v/>
      </c>
      <c r="AE1042" s="47"/>
      <c r="AF1042" s="1" t="str">
        <f t="shared" si="304"/>
        <v/>
      </c>
      <c r="AG1042" s="47"/>
    </row>
    <row r="1043" spans="1:33">
      <c r="A1043">
        <f t="shared" si="288"/>
        <v>0</v>
      </c>
      <c r="B1043" s="2" t="str">
        <f t="shared" si="305"/>
        <v/>
      </c>
      <c r="C1043" s="4" t="str">
        <f t="shared" si="289"/>
        <v/>
      </c>
      <c r="D1043" s="3" t="str">
        <f t="shared" si="290"/>
        <v/>
      </c>
      <c r="E1043" s="47"/>
      <c r="F1043" s="3" t="str">
        <f t="shared" si="291"/>
        <v/>
      </c>
      <c r="G1043" s="47"/>
      <c r="H1043" s="3" t="str">
        <f t="shared" si="292"/>
        <v/>
      </c>
      <c r="I1043" s="47"/>
      <c r="J1043" s="3" t="str">
        <f t="shared" si="293"/>
        <v/>
      </c>
      <c r="K1043" s="47"/>
      <c r="L1043" s="3" t="str">
        <f t="shared" si="294"/>
        <v/>
      </c>
      <c r="M1043" s="47"/>
      <c r="N1043" s="3" t="str">
        <f t="shared" si="295"/>
        <v/>
      </c>
      <c r="O1043" s="47"/>
      <c r="P1043" s="3" t="str">
        <f t="shared" si="296"/>
        <v/>
      </c>
      <c r="Q1043" s="47"/>
      <c r="R1043" s="3" t="str">
        <f t="shared" si="297"/>
        <v/>
      </c>
      <c r="S1043" s="47"/>
      <c r="T1043" s="1" t="str">
        <f t="shared" si="298"/>
        <v/>
      </c>
      <c r="U1043" s="47"/>
      <c r="V1043" s="1" t="str">
        <f t="shared" si="299"/>
        <v/>
      </c>
      <c r="W1043" s="47"/>
      <c r="X1043" s="1" t="str">
        <f t="shared" si="300"/>
        <v/>
      </c>
      <c r="Y1043" s="47"/>
      <c r="Z1043" s="1" t="str">
        <f t="shared" si="301"/>
        <v/>
      </c>
      <c r="AA1043" s="47"/>
      <c r="AB1043" s="1" t="str">
        <f t="shared" si="302"/>
        <v/>
      </c>
      <c r="AC1043" s="47"/>
      <c r="AD1043" s="1" t="str">
        <f t="shared" si="303"/>
        <v/>
      </c>
      <c r="AE1043" s="47"/>
      <c r="AF1043" s="1" t="str">
        <f t="shared" si="304"/>
        <v/>
      </c>
      <c r="AG1043" s="47"/>
    </row>
    <row r="1044" spans="1:33">
      <c r="A1044">
        <f t="shared" si="288"/>
        <v>0</v>
      </c>
      <c r="B1044" s="2" t="str">
        <f t="shared" si="305"/>
        <v/>
      </c>
      <c r="C1044" s="4" t="str">
        <f t="shared" si="289"/>
        <v/>
      </c>
      <c r="D1044" s="3" t="str">
        <f t="shared" si="290"/>
        <v/>
      </c>
      <c r="E1044" s="47"/>
      <c r="F1044" s="3" t="str">
        <f t="shared" si="291"/>
        <v/>
      </c>
      <c r="G1044" s="47"/>
      <c r="H1044" s="3" t="str">
        <f t="shared" si="292"/>
        <v/>
      </c>
      <c r="I1044" s="47"/>
      <c r="J1044" s="3" t="str">
        <f t="shared" si="293"/>
        <v/>
      </c>
      <c r="K1044" s="47"/>
      <c r="L1044" s="3" t="str">
        <f t="shared" si="294"/>
        <v/>
      </c>
      <c r="M1044" s="47"/>
      <c r="N1044" s="3" t="str">
        <f t="shared" si="295"/>
        <v/>
      </c>
      <c r="O1044" s="47"/>
      <c r="P1044" s="3" t="str">
        <f t="shared" si="296"/>
        <v/>
      </c>
      <c r="Q1044" s="47"/>
      <c r="R1044" s="3" t="str">
        <f t="shared" si="297"/>
        <v/>
      </c>
      <c r="S1044" s="47"/>
      <c r="T1044" s="1" t="str">
        <f t="shared" si="298"/>
        <v/>
      </c>
      <c r="U1044" s="47"/>
      <c r="V1044" s="1" t="str">
        <f t="shared" si="299"/>
        <v/>
      </c>
      <c r="W1044" s="47"/>
      <c r="X1044" s="1" t="str">
        <f t="shared" si="300"/>
        <v/>
      </c>
      <c r="Y1044" s="47"/>
      <c r="Z1044" s="1" t="str">
        <f t="shared" si="301"/>
        <v/>
      </c>
      <c r="AA1044" s="47"/>
      <c r="AB1044" s="1" t="str">
        <f t="shared" si="302"/>
        <v/>
      </c>
      <c r="AC1044" s="47"/>
      <c r="AD1044" s="1" t="str">
        <f t="shared" si="303"/>
        <v/>
      </c>
      <c r="AE1044" s="47"/>
      <c r="AF1044" s="1" t="str">
        <f t="shared" si="304"/>
        <v/>
      </c>
      <c r="AG1044" s="47"/>
    </row>
    <row r="1045" spans="1:33">
      <c r="A1045">
        <f t="shared" si="288"/>
        <v>0</v>
      </c>
      <c r="B1045" s="2" t="str">
        <f t="shared" si="305"/>
        <v/>
      </c>
      <c r="C1045" s="4" t="str">
        <f t="shared" si="289"/>
        <v/>
      </c>
      <c r="D1045" s="3" t="str">
        <f t="shared" si="290"/>
        <v/>
      </c>
      <c r="E1045" s="47"/>
      <c r="F1045" s="3" t="str">
        <f t="shared" si="291"/>
        <v/>
      </c>
      <c r="G1045" s="47"/>
      <c r="H1045" s="3" t="str">
        <f t="shared" si="292"/>
        <v/>
      </c>
      <c r="I1045" s="47"/>
      <c r="J1045" s="3" t="str">
        <f t="shared" si="293"/>
        <v/>
      </c>
      <c r="K1045" s="47"/>
      <c r="L1045" s="3" t="str">
        <f t="shared" si="294"/>
        <v/>
      </c>
      <c r="M1045" s="47"/>
      <c r="N1045" s="3" t="str">
        <f t="shared" si="295"/>
        <v/>
      </c>
      <c r="O1045" s="47"/>
      <c r="P1045" s="3" t="str">
        <f t="shared" si="296"/>
        <v/>
      </c>
      <c r="Q1045" s="47"/>
      <c r="R1045" s="3" t="str">
        <f t="shared" si="297"/>
        <v/>
      </c>
      <c r="S1045" s="47"/>
      <c r="T1045" s="1" t="str">
        <f t="shared" si="298"/>
        <v/>
      </c>
      <c r="U1045" s="47"/>
      <c r="V1045" s="1" t="str">
        <f t="shared" si="299"/>
        <v/>
      </c>
      <c r="W1045" s="47"/>
      <c r="X1045" s="1" t="str">
        <f t="shared" si="300"/>
        <v/>
      </c>
      <c r="Y1045" s="47"/>
      <c r="Z1045" s="1" t="str">
        <f t="shared" si="301"/>
        <v/>
      </c>
      <c r="AA1045" s="47"/>
      <c r="AB1045" s="1" t="str">
        <f t="shared" si="302"/>
        <v/>
      </c>
      <c r="AC1045" s="47"/>
      <c r="AD1045" s="1" t="str">
        <f t="shared" si="303"/>
        <v/>
      </c>
      <c r="AE1045" s="47"/>
      <c r="AF1045" s="1" t="str">
        <f t="shared" si="304"/>
        <v/>
      </c>
      <c r="AG1045" s="47"/>
    </row>
    <row r="1046" spans="1:33">
      <c r="A1046">
        <f t="shared" si="288"/>
        <v>0</v>
      </c>
      <c r="B1046" s="2" t="str">
        <f t="shared" si="305"/>
        <v/>
      </c>
      <c r="C1046" s="4" t="str">
        <f t="shared" si="289"/>
        <v/>
      </c>
      <c r="D1046" s="3" t="str">
        <f t="shared" si="290"/>
        <v/>
      </c>
      <c r="E1046" s="47"/>
      <c r="F1046" s="3" t="str">
        <f t="shared" si="291"/>
        <v/>
      </c>
      <c r="G1046" s="47"/>
      <c r="H1046" s="3" t="str">
        <f t="shared" si="292"/>
        <v/>
      </c>
      <c r="I1046" s="47"/>
      <c r="J1046" s="3" t="str">
        <f t="shared" si="293"/>
        <v/>
      </c>
      <c r="K1046" s="47"/>
      <c r="L1046" s="3" t="str">
        <f t="shared" si="294"/>
        <v/>
      </c>
      <c r="M1046" s="47"/>
      <c r="N1046" s="3" t="str">
        <f t="shared" si="295"/>
        <v/>
      </c>
      <c r="O1046" s="47"/>
      <c r="P1046" s="3" t="str">
        <f t="shared" si="296"/>
        <v/>
      </c>
      <c r="Q1046" s="47"/>
      <c r="R1046" s="3" t="str">
        <f t="shared" si="297"/>
        <v/>
      </c>
      <c r="S1046" s="47"/>
      <c r="T1046" s="1" t="str">
        <f t="shared" si="298"/>
        <v/>
      </c>
      <c r="U1046" s="47"/>
      <c r="V1046" s="1" t="str">
        <f t="shared" si="299"/>
        <v/>
      </c>
      <c r="W1046" s="47"/>
      <c r="X1046" s="1" t="str">
        <f t="shared" si="300"/>
        <v/>
      </c>
      <c r="Y1046" s="47"/>
      <c r="Z1046" s="1" t="str">
        <f t="shared" si="301"/>
        <v/>
      </c>
      <c r="AA1046" s="47"/>
      <c r="AB1046" s="1" t="str">
        <f t="shared" si="302"/>
        <v/>
      </c>
      <c r="AC1046" s="47"/>
      <c r="AD1046" s="1" t="str">
        <f t="shared" si="303"/>
        <v/>
      </c>
      <c r="AE1046" s="47"/>
      <c r="AF1046" s="1" t="str">
        <f t="shared" si="304"/>
        <v/>
      </c>
      <c r="AG1046" s="47"/>
    </row>
    <row r="1047" spans="1:33">
      <c r="A1047">
        <f t="shared" si="288"/>
        <v>0</v>
      </c>
      <c r="B1047" s="2" t="str">
        <f t="shared" si="305"/>
        <v/>
      </c>
      <c r="C1047" s="4" t="str">
        <f t="shared" si="289"/>
        <v/>
      </c>
      <c r="D1047" s="3" t="str">
        <f t="shared" si="290"/>
        <v/>
      </c>
      <c r="E1047" s="47"/>
      <c r="F1047" s="3" t="str">
        <f t="shared" si="291"/>
        <v/>
      </c>
      <c r="G1047" s="47"/>
      <c r="H1047" s="3" t="str">
        <f t="shared" si="292"/>
        <v/>
      </c>
      <c r="I1047" s="47"/>
      <c r="J1047" s="3" t="str">
        <f t="shared" si="293"/>
        <v/>
      </c>
      <c r="K1047" s="47"/>
      <c r="L1047" s="3" t="str">
        <f t="shared" si="294"/>
        <v/>
      </c>
      <c r="M1047" s="47"/>
      <c r="N1047" s="3" t="str">
        <f t="shared" si="295"/>
        <v/>
      </c>
      <c r="O1047" s="47"/>
      <c r="P1047" s="3" t="str">
        <f t="shared" si="296"/>
        <v/>
      </c>
      <c r="Q1047" s="47"/>
      <c r="R1047" s="3" t="str">
        <f t="shared" si="297"/>
        <v/>
      </c>
      <c r="S1047" s="47"/>
      <c r="T1047" s="1" t="str">
        <f t="shared" si="298"/>
        <v/>
      </c>
      <c r="U1047" s="47"/>
      <c r="V1047" s="1" t="str">
        <f t="shared" si="299"/>
        <v/>
      </c>
      <c r="W1047" s="47"/>
      <c r="X1047" s="1" t="str">
        <f t="shared" si="300"/>
        <v/>
      </c>
      <c r="Y1047" s="47"/>
      <c r="Z1047" s="1" t="str">
        <f t="shared" si="301"/>
        <v/>
      </c>
      <c r="AA1047" s="47"/>
      <c r="AB1047" s="1" t="str">
        <f t="shared" si="302"/>
        <v/>
      </c>
      <c r="AC1047" s="47"/>
      <c r="AD1047" s="1" t="str">
        <f t="shared" si="303"/>
        <v/>
      </c>
      <c r="AE1047" s="47"/>
      <c r="AF1047" s="1" t="str">
        <f t="shared" si="304"/>
        <v/>
      </c>
      <c r="AG1047" s="47"/>
    </row>
    <row r="1048" spans="1:33">
      <c r="A1048">
        <f t="shared" si="288"/>
        <v>0</v>
      </c>
      <c r="B1048" s="2" t="str">
        <f t="shared" si="305"/>
        <v/>
      </c>
      <c r="C1048" s="4" t="str">
        <f t="shared" si="289"/>
        <v/>
      </c>
      <c r="D1048" s="3" t="str">
        <f t="shared" si="290"/>
        <v/>
      </c>
      <c r="E1048" s="47"/>
      <c r="F1048" s="3" t="str">
        <f t="shared" si="291"/>
        <v/>
      </c>
      <c r="G1048" s="47"/>
      <c r="H1048" s="3" t="str">
        <f t="shared" si="292"/>
        <v/>
      </c>
      <c r="I1048" s="47"/>
      <c r="J1048" s="3" t="str">
        <f t="shared" si="293"/>
        <v/>
      </c>
      <c r="K1048" s="47"/>
      <c r="L1048" s="3" t="str">
        <f t="shared" si="294"/>
        <v/>
      </c>
      <c r="M1048" s="47"/>
      <c r="N1048" s="3" t="str">
        <f t="shared" si="295"/>
        <v/>
      </c>
      <c r="O1048" s="47"/>
      <c r="P1048" s="3" t="str">
        <f t="shared" si="296"/>
        <v/>
      </c>
      <c r="Q1048" s="47"/>
      <c r="R1048" s="3" t="str">
        <f t="shared" si="297"/>
        <v/>
      </c>
      <c r="S1048" s="47"/>
      <c r="T1048" s="1" t="str">
        <f t="shared" si="298"/>
        <v/>
      </c>
      <c r="U1048" s="47"/>
      <c r="V1048" s="1" t="str">
        <f t="shared" si="299"/>
        <v/>
      </c>
      <c r="W1048" s="47"/>
      <c r="X1048" s="1" t="str">
        <f t="shared" si="300"/>
        <v/>
      </c>
      <c r="Y1048" s="47"/>
      <c r="Z1048" s="1" t="str">
        <f t="shared" si="301"/>
        <v/>
      </c>
      <c r="AA1048" s="47"/>
      <c r="AB1048" s="1" t="str">
        <f t="shared" si="302"/>
        <v/>
      </c>
      <c r="AC1048" s="47"/>
      <c r="AD1048" s="1" t="str">
        <f t="shared" si="303"/>
        <v/>
      </c>
      <c r="AE1048" s="47"/>
      <c r="AF1048" s="1" t="str">
        <f t="shared" si="304"/>
        <v/>
      </c>
      <c r="AG1048" s="47"/>
    </row>
    <row r="1049" spans="1:33">
      <c r="A1049">
        <f t="shared" si="288"/>
        <v>0</v>
      </c>
      <c r="B1049" s="2" t="str">
        <f t="shared" si="305"/>
        <v/>
      </c>
      <c r="C1049" s="4" t="str">
        <f t="shared" si="289"/>
        <v/>
      </c>
      <c r="D1049" s="3" t="str">
        <f t="shared" si="290"/>
        <v/>
      </c>
      <c r="E1049" s="47"/>
      <c r="F1049" s="3" t="str">
        <f t="shared" si="291"/>
        <v/>
      </c>
      <c r="G1049" s="47"/>
      <c r="H1049" s="3" t="str">
        <f t="shared" si="292"/>
        <v/>
      </c>
      <c r="I1049" s="47"/>
      <c r="J1049" s="3" t="str">
        <f t="shared" si="293"/>
        <v/>
      </c>
      <c r="K1049" s="47"/>
      <c r="L1049" s="3" t="str">
        <f t="shared" si="294"/>
        <v/>
      </c>
      <c r="M1049" s="47"/>
      <c r="N1049" s="3" t="str">
        <f t="shared" si="295"/>
        <v/>
      </c>
      <c r="O1049" s="47"/>
      <c r="P1049" s="3" t="str">
        <f t="shared" si="296"/>
        <v/>
      </c>
      <c r="Q1049" s="47"/>
      <c r="R1049" s="3" t="str">
        <f t="shared" si="297"/>
        <v/>
      </c>
      <c r="S1049" s="47"/>
      <c r="T1049" s="1" t="str">
        <f t="shared" si="298"/>
        <v/>
      </c>
      <c r="U1049" s="47"/>
      <c r="V1049" s="1" t="str">
        <f t="shared" si="299"/>
        <v/>
      </c>
      <c r="W1049" s="47"/>
      <c r="X1049" s="1" t="str">
        <f t="shared" si="300"/>
        <v/>
      </c>
      <c r="Y1049" s="47"/>
      <c r="Z1049" s="1" t="str">
        <f t="shared" si="301"/>
        <v/>
      </c>
      <c r="AA1049" s="47"/>
      <c r="AB1049" s="1" t="str">
        <f t="shared" si="302"/>
        <v/>
      </c>
      <c r="AC1049" s="47"/>
      <c r="AD1049" s="1" t="str">
        <f t="shared" si="303"/>
        <v/>
      </c>
      <c r="AE1049" s="47"/>
      <c r="AF1049" s="1" t="str">
        <f t="shared" si="304"/>
        <v/>
      </c>
      <c r="AG1049" s="47"/>
    </row>
    <row r="1050" spans="1:33">
      <c r="A1050">
        <f t="shared" si="288"/>
        <v>0</v>
      </c>
      <c r="B1050" s="2" t="str">
        <f t="shared" si="305"/>
        <v/>
      </c>
      <c r="C1050" s="4" t="str">
        <f t="shared" si="289"/>
        <v/>
      </c>
      <c r="D1050" s="3" t="str">
        <f t="shared" si="290"/>
        <v/>
      </c>
      <c r="E1050" s="47"/>
      <c r="F1050" s="3" t="str">
        <f t="shared" si="291"/>
        <v/>
      </c>
      <c r="G1050" s="47"/>
      <c r="H1050" s="3" t="str">
        <f t="shared" si="292"/>
        <v/>
      </c>
      <c r="I1050" s="47"/>
      <c r="J1050" s="3" t="str">
        <f t="shared" si="293"/>
        <v/>
      </c>
      <c r="K1050" s="47"/>
      <c r="L1050" s="3" t="str">
        <f t="shared" si="294"/>
        <v/>
      </c>
      <c r="M1050" s="47"/>
      <c r="N1050" s="3" t="str">
        <f t="shared" si="295"/>
        <v/>
      </c>
      <c r="O1050" s="47"/>
      <c r="P1050" s="3" t="str">
        <f t="shared" si="296"/>
        <v/>
      </c>
      <c r="Q1050" s="47"/>
      <c r="R1050" s="3" t="str">
        <f t="shared" si="297"/>
        <v/>
      </c>
      <c r="S1050" s="47"/>
      <c r="T1050" s="1" t="str">
        <f t="shared" si="298"/>
        <v/>
      </c>
      <c r="U1050" s="47"/>
      <c r="V1050" s="1" t="str">
        <f t="shared" si="299"/>
        <v/>
      </c>
      <c r="W1050" s="47"/>
      <c r="X1050" s="1" t="str">
        <f t="shared" si="300"/>
        <v/>
      </c>
      <c r="Y1050" s="47"/>
      <c r="Z1050" s="1" t="str">
        <f t="shared" si="301"/>
        <v/>
      </c>
      <c r="AA1050" s="47"/>
      <c r="AB1050" s="1" t="str">
        <f t="shared" si="302"/>
        <v/>
      </c>
      <c r="AC1050" s="47"/>
      <c r="AD1050" s="1" t="str">
        <f t="shared" si="303"/>
        <v/>
      </c>
      <c r="AE1050" s="47"/>
      <c r="AF1050" s="1" t="str">
        <f t="shared" si="304"/>
        <v/>
      </c>
      <c r="AG1050" s="47"/>
    </row>
    <row r="1051" spans="1:33">
      <c r="A1051">
        <f t="shared" si="288"/>
        <v>0</v>
      </c>
      <c r="B1051" s="2" t="str">
        <f t="shared" si="305"/>
        <v/>
      </c>
      <c r="C1051" s="4" t="str">
        <f t="shared" si="289"/>
        <v/>
      </c>
      <c r="D1051" s="3" t="str">
        <f t="shared" si="290"/>
        <v/>
      </c>
      <c r="E1051" s="47"/>
      <c r="F1051" s="3" t="str">
        <f t="shared" si="291"/>
        <v/>
      </c>
      <c r="G1051" s="47"/>
      <c r="H1051" s="3" t="str">
        <f t="shared" si="292"/>
        <v/>
      </c>
      <c r="I1051" s="47"/>
      <c r="J1051" s="3" t="str">
        <f t="shared" si="293"/>
        <v/>
      </c>
      <c r="K1051" s="47"/>
      <c r="L1051" s="3" t="str">
        <f t="shared" si="294"/>
        <v/>
      </c>
      <c r="M1051" s="47"/>
      <c r="N1051" s="3" t="str">
        <f t="shared" si="295"/>
        <v/>
      </c>
      <c r="O1051" s="47"/>
      <c r="P1051" s="3" t="str">
        <f t="shared" si="296"/>
        <v/>
      </c>
      <c r="Q1051" s="47"/>
      <c r="R1051" s="3" t="str">
        <f t="shared" si="297"/>
        <v/>
      </c>
      <c r="S1051" s="47"/>
      <c r="T1051" s="1" t="str">
        <f t="shared" si="298"/>
        <v/>
      </c>
      <c r="U1051" s="47"/>
      <c r="V1051" s="1" t="str">
        <f t="shared" si="299"/>
        <v/>
      </c>
      <c r="W1051" s="47"/>
      <c r="X1051" s="1" t="str">
        <f t="shared" si="300"/>
        <v/>
      </c>
      <c r="Y1051" s="47"/>
      <c r="Z1051" s="1" t="str">
        <f t="shared" si="301"/>
        <v/>
      </c>
      <c r="AA1051" s="47"/>
      <c r="AB1051" s="1" t="str">
        <f t="shared" si="302"/>
        <v/>
      </c>
      <c r="AC1051" s="47"/>
      <c r="AD1051" s="1" t="str">
        <f t="shared" si="303"/>
        <v/>
      </c>
      <c r="AE1051" s="47"/>
      <c r="AF1051" s="1" t="str">
        <f t="shared" si="304"/>
        <v/>
      </c>
      <c r="AG1051" s="47"/>
    </row>
    <row r="1052" spans="1:33">
      <c r="A1052">
        <f t="shared" si="288"/>
        <v>0</v>
      </c>
      <c r="B1052" s="2" t="str">
        <f t="shared" si="305"/>
        <v/>
      </c>
      <c r="C1052" s="4" t="str">
        <f t="shared" si="289"/>
        <v/>
      </c>
      <c r="D1052" s="3" t="str">
        <f t="shared" si="290"/>
        <v/>
      </c>
      <c r="E1052" s="47"/>
      <c r="F1052" s="3" t="str">
        <f t="shared" si="291"/>
        <v/>
      </c>
      <c r="G1052" s="47"/>
      <c r="H1052" s="3" t="str">
        <f t="shared" si="292"/>
        <v/>
      </c>
      <c r="I1052" s="47"/>
      <c r="J1052" s="3" t="str">
        <f t="shared" si="293"/>
        <v/>
      </c>
      <c r="K1052" s="47"/>
      <c r="L1052" s="3" t="str">
        <f t="shared" si="294"/>
        <v/>
      </c>
      <c r="M1052" s="47"/>
      <c r="N1052" s="3" t="str">
        <f t="shared" si="295"/>
        <v/>
      </c>
      <c r="O1052" s="47"/>
      <c r="P1052" s="3" t="str">
        <f t="shared" si="296"/>
        <v/>
      </c>
      <c r="Q1052" s="47"/>
      <c r="R1052" s="3" t="str">
        <f t="shared" si="297"/>
        <v/>
      </c>
      <c r="S1052" s="47"/>
      <c r="T1052" s="1" t="str">
        <f t="shared" si="298"/>
        <v/>
      </c>
      <c r="U1052" s="47"/>
      <c r="V1052" s="1" t="str">
        <f t="shared" si="299"/>
        <v/>
      </c>
      <c r="W1052" s="47"/>
      <c r="X1052" s="1" t="str">
        <f t="shared" si="300"/>
        <v/>
      </c>
      <c r="Y1052" s="47"/>
      <c r="Z1052" s="1" t="str">
        <f t="shared" si="301"/>
        <v/>
      </c>
      <c r="AA1052" s="47"/>
      <c r="AB1052" s="1" t="str">
        <f t="shared" si="302"/>
        <v/>
      </c>
      <c r="AC1052" s="47"/>
      <c r="AD1052" s="1" t="str">
        <f t="shared" si="303"/>
        <v/>
      </c>
      <c r="AE1052" s="47"/>
      <c r="AF1052" s="1" t="str">
        <f t="shared" si="304"/>
        <v/>
      </c>
      <c r="AG1052" s="47"/>
    </row>
    <row r="1053" spans="1:33">
      <c r="A1053">
        <f t="shared" si="288"/>
        <v>0</v>
      </c>
      <c r="B1053" s="2" t="str">
        <f t="shared" si="305"/>
        <v/>
      </c>
      <c r="C1053" s="4" t="str">
        <f t="shared" si="289"/>
        <v/>
      </c>
      <c r="D1053" s="3" t="str">
        <f t="shared" si="290"/>
        <v/>
      </c>
      <c r="E1053" s="47"/>
      <c r="F1053" s="3" t="str">
        <f t="shared" si="291"/>
        <v/>
      </c>
      <c r="G1053" s="47"/>
      <c r="H1053" s="3" t="str">
        <f t="shared" si="292"/>
        <v/>
      </c>
      <c r="I1053" s="47"/>
      <c r="J1053" s="3" t="str">
        <f t="shared" si="293"/>
        <v/>
      </c>
      <c r="K1053" s="47"/>
      <c r="L1053" s="3" t="str">
        <f t="shared" si="294"/>
        <v/>
      </c>
      <c r="M1053" s="47"/>
      <c r="N1053" s="3" t="str">
        <f t="shared" si="295"/>
        <v/>
      </c>
      <c r="O1053" s="47"/>
      <c r="P1053" s="3" t="str">
        <f t="shared" si="296"/>
        <v/>
      </c>
      <c r="Q1053" s="47"/>
      <c r="R1053" s="3" t="str">
        <f t="shared" si="297"/>
        <v/>
      </c>
      <c r="S1053" s="47"/>
      <c r="T1053" s="1" t="str">
        <f t="shared" si="298"/>
        <v/>
      </c>
      <c r="U1053" s="47"/>
      <c r="V1053" s="1" t="str">
        <f t="shared" si="299"/>
        <v/>
      </c>
      <c r="W1053" s="47"/>
      <c r="X1053" s="1" t="str">
        <f t="shared" si="300"/>
        <v/>
      </c>
      <c r="Y1053" s="47"/>
      <c r="Z1053" s="1" t="str">
        <f t="shared" si="301"/>
        <v/>
      </c>
      <c r="AA1053" s="47"/>
      <c r="AB1053" s="1" t="str">
        <f t="shared" si="302"/>
        <v/>
      </c>
      <c r="AC1053" s="47"/>
      <c r="AD1053" s="1" t="str">
        <f t="shared" si="303"/>
        <v/>
      </c>
      <c r="AE1053" s="47"/>
      <c r="AF1053" s="1" t="str">
        <f t="shared" si="304"/>
        <v/>
      </c>
      <c r="AG1053" s="47"/>
    </row>
    <row r="1054" spans="1:33">
      <c r="A1054">
        <f t="shared" si="288"/>
        <v>0</v>
      </c>
      <c r="B1054" s="2" t="str">
        <f t="shared" si="305"/>
        <v/>
      </c>
      <c r="C1054" s="4" t="str">
        <f t="shared" si="289"/>
        <v/>
      </c>
      <c r="D1054" s="3" t="str">
        <f t="shared" si="290"/>
        <v/>
      </c>
      <c r="E1054" s="47"/>
      <c r="F1054" s="3" t="str">
        <f t="shared" si="291"/>
        <v/>
      </c>
      <c r="G1054" s="47"/>
      <c r="H1054" s="3" t="str">
        <f t="shared" si="292"/>
        <v/>
      </c>
      <c r="I1054" s="47"/>
      <c r="J1054" s="3" t="str">
        <f t="shared" si="293"/>
        <v/>
      </c>
      <c r="K1054" s="47"/>
      <c r="L1054" s="3" t="str">
        <f t="shared" si="294"/>
        <v/>
      </c>
      <c r="M1054" s="47"/>
      <c r="N1054" s="3" t="str">
        <f t="shared" si="295"/>
        <v/>
      </c>
      <c r="O1054" s="47"/>
      <c r="P1054" s="3" t="str">
        <f t="shared" si="296"/>
        <v/>
      </c>
      <c r="Q1054" s="47"/>
      <c r="R1054" s="3" t="str">
        <f t="shared" si="297"/>
        <v/>
      </c>
      <c r="S1054" s="47"/>
      <c r="T1054" s="1" t="str">
        <f t="shared" si="298"/>
        <v/>
      </c>
      <c r="U1054" s="47"/>
      <c r="V1054" s="1" t="str">
        <f t="shared" si="299"/>
        <v/>
      </c>
      <c r="W1054" s="47"/>
      <c r="X1054" s="1" t="str">
        <f t="shared" si="300"/>
        <v/>
      </c>
      <c r="Y1054" s="47"/>
      <c r="Z1054" s="1" t="str">
        <f t="shared" si="301"/>
        <v/>
      </c>
      <c r="AA1054" s="47"/>
      <c r="AB1054" s="1" t="str">
        <f t="shared" si="302"/>
        <v/>
      </c>
      <c r="AC1054" s="47"/>
      <c r="AD1054" s="1" t="str">
        <f t="shared" si="303"/>
        <v/>
      </c>
      <c r="AE1054" s="47"/>
      <c r="AF1054" s="1" t="str">
        <f t="shared" si="304"/>
        <v/>
      </c>
      <c r="AG1054" s="47"/>
    </row>
    <row r="1055" spans="1:33">
      <c r="A1055">
        <f t="shared" si="288"/>
        <v>0</v>
      </c>
      <c r="B1055" s="2" t="str">
        <f t="shared" si="305"/>
        <v/>
      </c>
      <c r="C1055" s="4" t="str">
        <f t="shared" si="289"/>
        <v/>
      </c>
      <c r="D1055" s="3" t="str">
        <f t="shared" si="290"/>
        <v/>
      </c>
      <c r="E1055" s="47"/>
      <c r="F1055" s="3" t="str">
        <f t="shared" si="291"/>
        <v/>
      </c>
      <c r="G1055" s="47"/>
      <c r="H1055" s="3" t="str">
        <f t="shared" si="292"/>
        <v/>
      </c>
      <c r="I1055" s="47"/>
      <c r="J1055" s="3" t="str">
        <f t="shared" si="293"/>
        <v/>
      </c>
      <c r="K1055" s="47"/>
      <c r="L1055" s="3" t="str">
        <f t="shared" si="294"/>
        <v/>
      </c>
      <c r="M1055" s="47"/>
      <c r="N1055" s="3" t="str">
        <f t="shared" si="295"/>
        <v/>
      </c>
      <c r="O1055" s="47"/>
      <c r="P1055" s="3" t="str">
        <f t="shared" si="296"/>
        <v/>
      </c>
      <c r="Q1055" s="47"/>
      <c r="R1055" s="3" t="str">
        <f t="shared" si="297"/>
        <v/>
      </c>
      <c r="S1055" s="47"/>
      <c r="T1055" s="1" t="str">
        <f t="shared" si="298"/>
        <v/>
      </c>
      <c r="U1055" s="47"/>
      <c r="V1055" s="1" t="str">
        <f t="shared" si="299"/>
        <v/>
      </c>
      <c r="W1055" s="47"/>
      <c r="X1055" s="1" t="str">
        <f t="shared" si="300"/>
        <v/>
      </c>
      <c r="Y1055" s="47"/>
      <c r="Z1055" s="1" t="str">
        <f t="shared" si="301"/>
        <v/>
      </c>
      <c r="AA1055" s="47"/>
      <c r="AB1055" s="1" t="str">
        <f t="shared" si="302"/>
        <v/>
      </c>
      <c r="AC1055" s="47"/>
      <c r="AD1055" s="1" t="str">
        <f t="shared" si="303"/>
        <v/>
      </c>
      <c r="AE1055" s="47"/>
      <c r="AF1055" s="1" t="str">
        <f t="shared" si="304"/>
        <v/>
      </c>
      <c r="AG1055" s="47"/>
    </row>
    <row r="1056" spans="1:33">
      <c r="A1056">
        <f t="shared" si="288"/>
        <v>0</v>
      </c>
      <c r="B1056" s="2" t="str">
        <f t="shared" si="305"/>
        <v/>
      </c>
      <c r="C1056" s="4" t="str">
        <f t="shared" si="289"/>
        <v/>
      </c>
      <c r="D1056" s="3" t="str">
        <f t="shared" si="290"/>
        <v/>
      </c>
      <c r="E1056" s="47"/>
      <c r="F1056" s="3" t="str">
        <f t="shared" si="291"/>
        <v/>
      </c>
      <c r="G1056" s="47"/>
      <c r="H1056" s="3" t="str">
        <f t="shared" si="292"/>
        <v/>
      </c>
      <c r="I1056" s="47"/>
      <c r="J1056" s="3" t="str">
        <f t="shared" si="293"/>
        <v/>
      </c>
      <c r="K1056" s="47"/>
      <c r="L1056" s="3" t="str">
        <f t="shared" si="294"/>
        <v/>
      </c>
      <c r="M1056" s="47"/>
      <c r="N1056" s="3" t="str">
        <f t="shared" si="295"/>
        <v/>
      </c>
      <c r="O1056" s="47"/>
      <c r="P1056" s="3" t="str">
        <f t="shared" si="296"/>
        <v/>
      </c>
      <c r="Q1056" s="47"/>
      <c r="R1056" s="3" t="str">
        <f t="shared" si="297"/>
        <v/>
      </c>
      <c r="S1056" s="47"/>
      <c r="T1056" s="1" t="str">
        <f t="shared" si="298"/>
        <v/>
      </c>
      <c r="U1056" s="47"/>
      <c r="V1056" s="1" t="str">
        <f t="shared" si="299"/>
        <v/>
      </c>
      <c r="W1056" s="47"/>
      <c r="X1056" s="1" t="str">
        <f t="shared" si="300"/>
        <v/>
      </c>
      <c r="Y1056" s="47"/>
      <c r="Z1056" s="1" t="str">
        <f t="shared" si="301"/>
        <v/>
      </c>
      <c r="AA1056" s="47"/>
      <c r="AB1056" s="1" t="str">
        <f t="shared" si="302"/>
        <v/>
      </c>
      <c r="AC1056" s="47"/>
      <c r="AD1056" s="1" t="str">
        <f t="shared" si="303"/>
        <v/>
      </c>
      <c r="AE1056" s="47"/>
      <c r="AF1056" s="1" t="str">
        <f t="shared" si="304"/>
        <v/>
      </c>
      <c r="AG1056" s="47"/>
    </row>
    <row r="1057" spans="1:33">
      <c r="A1057">
        <f t="shared" si="288"/>
        <v>0</v>
      </c>
      <c r="B1057" s="2" t="str">
        <f t="shared" si="305"/>
        <v/>
      </c>
      <c r="C1057" s="4" t="str">
        <f t="shared" si="289"/>
        <v/>
      </c>
      <c r="D1057" s="3" t="str">
        <f t="shared" si="290"/>
        <v/>
      </c>
      <c r="E1057" s="47"/>
      <c r="F1057" s="3" t="str">
        <f t="shared" si="291"/>
        <v/>
      </c>
      <c r="G1057" s="47"/>
      <c r="H1057" s="3" t="str">
        <f t="shared" si="292"/>
        <v/>
      </c>
      <c r="I1057" s="47"/>
      <c r="J1057" s="3" t="str">
        <f t="shared" si="293"/>
        <v/>
      </c>
      <c r="K1057" s="47"/>
      <c r="L1057" s="3" t="str">
        <f t="shared" si="294"/>
        <v/>
      </c>
      <c r="M1057" s="47"/>
      <c r="N1057" s="3" t="str">
        <f t="shared" si="295"/>
        <v/>
      </c>
      <c r="O1057" s="47"/>
      <c r="P1057" s="3" t="str">
        <f t="shared" si="296"/>
        <v/>
      </c>
      <c r="Q1057" s="47"/>
      <c r="R1057" s="3" t="str">
        <f t="shared" si="297"/>
        <v/>
      </c>
      <c r="S1057" s="47"/>
      <c r="T1057" s="1" t="str">
        <f t="shared" si="298"/>
        <v/>
      </c>
      <c r="U1057" s="47"/>
      <c r="V1057" s="1" t="str">
        <f t="shared" si="299"/>
        <v/>
      </c>
      <c r="W1057" s="47"/>
      <c r="X1057" s="1" t="str">
        <f t="shared" si="300"/>
        <v/>
      </c>
      <c r="Y1057" s="47"/>
      <c r="Z1057" s="1" t="str">
        <f t="shared" si="301"/>
        <v/>
      </c>
      <c r="AA1057" s="47"/>
      <c r="AB1057" s="1" t="str">
        <f t="shared" si="302"/>
        <v/>
      </c>
      <c r="AC1057" s="47"/>
      <c r="AD1057" s="1" t="str">
        <f t="shared" si="303"/>
        <v/>
      </c>
      <c r="AE1057" s="47"/>
      <c r="AF1057" s="1" t="str">
        <f t="shared" si="304"/>
        <v/>
      </c>
      <c r="AG1057" s="47"/>
    </row>
    <row r="1058" spans="1:33">
      <c r="A1058">
        <f t="shared" si="288"/>
        <v>0</v>
      </c>
      <c r="B1058" s="2" t="str">
        <f t="shared" si="305"/>
        <v/>
      </c>
      <c r="C1058" s="4" t="str">
        <f t="shared" si="289"/>
        <v/>
      </c>
      <c r="D1058" s="3" t="str">
        <f t="shared" si="290"/>
        <v/>
      </c>
      <c r="E1058" s="47"/>
      <c r="F1058" s="3" t="str">
        <f t="shared" si="291"/>
        <v/>
      </c>
      <c r="G1058" s="47"/>
      <c r="H1058" s="3" t="str">
        <f t="shared" si="292"/>
        <v/>
      </c>
      <c r="I1058" s="47"/>
      <c r="J1058" s="3" t="str">
        <f t="shared" si="293"/>
        <v/>
      </c>
      <c r="K1058" s="47"/>
      <c r="L1058" s="3" t="str">
        <f t="shared" si="294"/>
        <v/>
      </c>
      <c r="M1058" s="47"/>
      <c r="N1058" s="3" t="str">
        <f t="shared" si="295"/>
        <v/>
      </c>
      <c r="O1058" s="47"/>
      <c r="P1058" s="3" t="str">
        <f t="shared" si="296"/>
        <v/>
      </c>
      <c r="Q1058" s="47"/>
      <c r="R1058" s="3" t="str">
        <f t="shared" si="297"/>
        <v/>
      </c>
      <c r="S1058" s="47"/>
      <c r="T1058" s="1" t="str">
        <f t="shared" si="298"/>
        <v/>
      </c>
      <c r="U1058" s="47"/>
      <c r="V1058" s="1" t="str">
        <f t="shared" si="299"/>
        <v/>
      </c>
      <c r="W1058" s="47"/>
      <c r="X1058" s="1" t="str">
        <f t="shared" si="300"/>
        <v/>
      </c>
      <c r="Y1058" s="47"/>
      <c r="Z1058" s="1" t="str">
        <f t="shared" si="301"/>
        <v/>
      </c>
      <c r="AA1058" s="47"/>
      <c r="AB1058" s="1" t="str">
        <f t="shared" si="302"/>
        <v/>
      </c>
      <c r="AC1058" s="47"/>
      <c r="AD1058" s="1" t="str">
        <f t="shared" si="303"/>
        <v/>
      </c>
      <c r="AE1058" s="47"/>
      <c r="AF1058" s="1" t="str">
        <f t="shared" si="304"/>
        <v/>
      </c>
      <c r="AG1058" s="47"/>
    </row>
    <row r="1059" spans="1:33">
      <c r="A1059">
        <f t="shared" si="288"/>
        <v>0</v>
      </c>
      <c r="B1059" s="2" t="str">
        <f t="shared" si="305"/>
        <v/>
      </c>
      <c r="C1059" s="4" t="str">
        <f t="shared" si="289"/>
        <v/>
      </c>
      <c r="D1059" s="3" t="str">
        <f t="shared" si="290"/>
        <v/>
      </c>
      <c r="E1059" s="47"/>
      <c r="F1059" s="3" t="str">
        <f t="shared" si="291"/>
        <v/>
      </c>
      <c r="G1059" s="47"/>
      <c r="H1059" s="3" t="str">
        <f t="shared" si="292"/>
        <v/>
      </c>
      <c r="I1059" s="47"/>
      <c r="J1059" s="3" t="str">
        <f t="shared" si="293"/>
        <v/>
      </c>
      <c r="K1059" s="47"/>
      <c r="L1059" s="3" t="str">
        <f t="shared" si="294"/>
        <v/>
      </c>
      <c r="M1059" s="47"/>
      <c r="N1059" s="3" t="str">
        <f t="shared" si="295"/>
        <v/>
      </c>
      <c r="O1059" s="47"/>
      <c r="P1059" s="3" t="str">
        <f t="shared" si="296"/>
        <v/>
      </c>
      <c r="Q1059" s="47"/>
      <c r="R1059" s="3" t="str">
        <f t="shared" si="297"/>
        <v/>
      </c>
      <c r="S1059" s="47"/>
      <c r="T1059" s="1" t="str">
        <f t="shared" si="298"/>
        <v/>
      </c>
      <c r="U1059" s="47"/>
      <c r="V1059" s="1" t="str">
        <f t="shared" si="299"/>
        <v/>
      </c>
      <c r="W1059" s="47"/>
      <c r="X1059" s="1" t="str">
        <f t="shared" si="300"/>
        <v/>
      </c>
      <c r="Y1059" s="47"/>
      <c r="Z1059" s="1" t="str">
        <f t="shared" si="301"/>
        <v/>
      </c>
      <c r="AA1059" s="47"/>
      <c r="AB1059" s="1" t="str">
        <f t="shared" si="302"/>
        <v/>
      </c>
      <c r="AC1059" s="47"/>
      <c r="AD1059" s="1" t="str">
        <f t="shared" si="303"/>
        <v/>
      </c>
      <c r="AE1059" s="47"/>
      <c r="AF1059" s="1" t="str">
        <f t="shared" si="304"/>
        <v/>
      </c>
      <c r="AG1059" s="47"/>
    </row>
    <row r="1060" spans="1:33">
      <c r="A1060">
        <f t="shared" si="288"/>
        <v>0</v>
      </c>
      <c r="B1060" s="2" t="str">
        <f t="shared" si="305"/>
        <v/>
      </c>
      <c r="C1060" s="4" t="str">
        <f t="shared" si="289"/>
        <v/>
      </c>
      <c r="D1060" s="3" t="str">
        <f t="shared" si="290"/>
        <v/>
      </c>
      <c r="E1060" s="47"/>
      <c r="F1060" s="3" t="str">
        <f t="shared" si="291"/>
        <v/>
      </c>
      <c r="G1060" s="47"/>
      <c r="H1060" s="3" t="str">
        <f t="shared" si="292"/>
        <v/>
      </c>
      <c r="I1060" s="47"/>
      <c r="J1060" s="3" t="str">
        <f t="shared" si="293"/>
        <v/>
      </c>
      <c r="K1060" s="47"/>
      <c r="L1060" s="3" t="str">
        <f t="shared" si="294"/>
        <v/>
      </c>
      <c r="M1060" s="47"/>
      <c r="N1060" s="3" t="str">
        <f t="shared" si="295"/>
        <v/>
      </c>
      <c r="O1060" s="47"/>
      <c r="P1060" s="3" t="str">
        <f t="shared" si="296"/>
        <v/>
      </c>
      <c r="Q1060" s="47"/>
      <c r="R1060" s="3" t="str">
        <f t="shared" si="297"/>
        <v/>
      </c>
      <c r="S1060" s="47"/>
      <c r="T1060" s="1" t="str">
        <f t="shared" si="298"/>
        <v/>
      </c>
      <c r="U1060" s="47"/>
      <c r="V1060" s="1" t="str">
        <f t="shared" si="299"/>
        <v/>
      </c>
      <c r="W1060" s="47"/>
      <c r="X1060" s="1" t="str">
        <f t="shared" si="300"/>
        <v/>
      </c>
      <c r="Y1060" s="47"/>
      <c r="Z1060" s="1" t="str">
        <f t="shared" si="301"/>
        <v/>
      </c>
      <c r="AA1060" s="47"/>
      <c r="AB1060" s="1" t="str">
        <f t="shared" si="302"/>
        <v/>
      </c>
      <c r="AC1060" s="47"/>
      <c r="AD1060" s="1" t="str">
        <f t="shared" si="303"/>
        <v/>
      </c>
      <c r="AE1060" s="47"/>
      <c r="AF1060" s="1" t="str">
        <f t="shared" si="304"/>
        <v/>
      </c>
      <c r="AG1060" s="47"/>
    </row>
    <row r="1061" spans="1:33">
      <c r="A1061">
        <f t="shared" si="288"/>
        <v>0</v>
      </c>
      <c r="B1061" s="2" t="str">
        <f t="shared" si="305"/>
        <v/>
      </c>
      <c r="C1061" s="4" t="str">
        <f t="shared" si="289"/>
        <v/>
      </c>
      <c r="D1061" s="3" t="str">
        <f t="shared" si="290"/>
        <v/>
      </c>
      <c r="E1061" s="47"/>
      <c r="F1061" s="3" t="str">
        <f t="shared" si="291"/>
        <v/>
      </c>
      <c r="G1061" s="47"/>
      <c r="H1061" s="3" t="str">
        <f t="shared" si="292"/>
        <v/>
      </c>
      <c r="I1061" s="47"/>
      <c r="J1061" s="3" t="str">
        <f t="shared" si="293"/>
        <v/>
      </c>
      <c r="K1061" s="47"/>
      <c r="L1061" s="3" t="str">
        <f t="shared" si="294"/>
        <v/>
      </c>
      <c r="M1061" s="47"/>
      <c r="N1061" s="3" t="str">
        <f t="shared" si="295"/>
        <v/>
      </c>
      <c r="O1061" s="47"/>
      <c r="P1061" s="3" t="str">
        <f t="shared" si="296"/>
        <v/>
      </c>
      <c r="Q1061" s="47"/>
      <c r="R1061" s="3" t="str">
        <f t="shared" si="297"/>
        <v/>
      </c>
      <c r="S1061" s="47"/>
      <c r="T1061" s="1" t="str">
        <f t="shared" si="298"/>
        <v/>
      </c>
      <c r="U1061" s="47"/>
      <c r="V1061" s="1" t="str">
        <f t="shared" si="299"/>
        <v/>
      </c>
      <c r="W1061" s="47"/>
      <c r="X1061" s="1" t="str">
        <f t="shared" si="300"/>
        <v/>
      </c>
      <c r="Y1061" s="47"/>
      <c r="Z1061" s="1" t="str">
        <f t="shared" si="301"/>
        <v/>
      </c>
      <c r="AA1061" s="47"/>
      <c r="AB1061" s="1" t="str">
        <f t="shared" si="302"/>
        <v/>
      </c>
      <c r="AC1061" s="47"/>
      <c r="AD1061" s="1" t="str">
        <f t="shared" si="303"/>
        <v/>
      </c>
      <c r="AE1061" s="47"/>
      <c r="AF1061" s="1" t="str">
        <f t="shared" si="304"/>
        <v/>
      </c>
      <c r="AG1061" s="47"/>
    </row>
    <row r="1062" spans="1:33">
      <c r="A1062">
        <f t="shared" si="288"/>
        <v>0</v>
      </c>
      <c r="B1062" s="2" t="str">
        <f t="shared" si="305"/>
        <v/>
      </c>
      <c r="C1062" s="4" t="str">
        <f t="shared" si="289"/>
        <v/>
      </c>
      <c r="D1062" s="3" t="str">
        <f t="shared" si="290"/>
        <v/>
      </c>
      <c r="E1062" s="47"/>
      <c r="F1062" s="3" t="str">
        <f t="shared" si="291"/>
        <v/>
      </c>
      <c r="G1062" s="47"/>
      <c r="H1062" s="3" t="str">
        <f t="shared" si="292"/>
        <v/>
      </c>
      <c r="I1062" s="47"/>
      <c r="J1062" s="3" t="str">
        <f t="shared" si="293"/>
        <v/>
      </c>
      <c r="K1062" s="47"/>
      <c r="L1062" s="3" t="str">
        <f t="shared" si="294"/>
        <v/>
      </c>
      <c r="M1062" s="47"/>
      <c r="N1062" s="3" t="str">
        <f t="shared" si="295"/>
        <v/>
      </c>
      <c r="O1062" s="47"/>
      <c r="P1062" s="3" t="str">
        <f t="shared" si="296"/>
        <v/>
      </c>
      <c r="Q1062" s="47"/>
      <c r="R1062" s="3" t="str">
        <f t="shared" si="297"/>
        <v/>
      </c>
      <c r="S1062" s="47"/>
      <c r="T1062" s="1" t="str">
        <f t="shared" si="298"/>
        <v/>
      </c>
      <c r="U1062" s="47"/>
      <c r="V1062" s="1" t="str">
        <f t="shared" si="299"/>
        <v/>
      </c>
      <c r="W1062" s="47"/>
      <c r="X1062" s="1" t="str">
        <f t="shared" si="300"/>
        <v/>
      </c>
      <c r="Y1062" s="47"/>
      <c r="Z1062" s="1" t="str">
        <f t="shared" si="301"/>
        <v/>
      </c>
      <c r="AA1062" s="47"/>
      <c r="AB1062" s="1" t="str">
        <f t="shared" si="302"/>
        <v/>
      </c>
      <c r="AC1062" s="47"/>
      <c r="AD1062" s="1" t="str">
        <f t="shared" si="303"/>
        <v/>
      </c>
      <c r="AE1062" s="47"/>
      <c r="AF1062" s="1" t="str">
        <f t="shared" si="304"/>
        <v/>
      </c>
      <c r="AG1062" s="47"/>
    </row>
    <row r="1063" spans="1:33">
      <c r="A1063">
        <f t="shared" si="288"/>
        <v>0</v>
      </c>
      <c r="B1063" s="2" t="str">
        <f t="shared" si="305"/>
        <v/>
      </c>
      <c r="C1063" s="4" t="str">
        <f t="shared" si="289"/>
        <v/>
      </c>
      <c r="D1063" s="3" t="str">
        <f t="shared" si="290"/>
        <v/>
      </c>
      <c r="E1063" s="47"/>
      <c r="F1063" s="3" t="str">
        <f t="shared" si="291"/>
        <v/>
      </c>
      <c r="G1063" s="47"/>
      <c r="H1063" s="3" t="str">
        <f t="shared" si="292"/>
        <v/>
      </c>
      <c r="I1063" s="47"/>
      <c r="J1063" s="3" t="str">
        <f t="shared" si="293"/>
        <v/>
      </c>
      <c r="K1063" s="47"/>
      <c r="L1063" s="3" t="str">
        <f t="shared" si="294"/>
        <v/>
      </c>
      <c r="M1063" s="47"/>
      <c r="N1063" s="3" t="str">
        <f t="shared" si="295"/>
        <v/>
      </c>
      <c r="O1063" s="47"/>
      <c r="P1063" s="3" t="str">
        <f t="shared" si="296"/>
        <v/>
      </c>
      <c r="Q1063" s="47"/>
      <c r="R1063" s="3" t="str">
        <f t="shared" si="297"/>
        <v/>
      </c>
      <c r="S1063" s="47"/>
      <c r="T1063" s="1" t="str">
        <f t="shared" si="298"/>
        <v/>
      </c>
      <c r="U1063" s="47"/>
      <c r="V1063" s="1" t="str">
        <f t="shared" si="299"/>
        <v/>
      </c>
      <c r="W1063" s="47"/>
      <c r="X1063" s="1" t="str">
        <f t="shared" si="300"/>
        <v/>
      </c>
      <c r="Y1063" s="47"/>
      <c r="Z1063" s="1" t="str">
        <f t="shared" si="301"/>
        <v/>
      </c>
      <c r="AA1063" s="47"/>
      <c r="AB1063" s="1" t="str">
        <f t="shared" si="302"/>
        <v/>
      </c>
      <c r="AC1063" s="47"/>
      <c r="AD1063" s="1" t="str">
        <f t="shared" si="303"/>
        <v/>
      </c>
      <c r="AE1063" s="47"/>
      <c r="AF1063" s="1" t="str">
        <f t="shared" si="304"/>
        <v/>
      </c>
      <c r="AG1063" s="47"/>
    </row>
    <row r="1064" spans="1:33">
      <c r="A1064">
        <f t="shared" si="288"/>
        <v>0</v>
      </c>
      <c r="B1064" s="2" t="str">
        <f t="shared" si="305"/>
        <v/>
      </c>
      <c r="C1064" s="4" t="str">
        <f t="shared" si="289"/>
        <v/>
      </c>
      <c r="D1064" s="3" t="str">
        <f t="shared" si="290"/>
        <v/>
      </c>
      <c r="E1064" s="47"/>
      <c r="F1064" s="3" t="str">
        <f t="shared" si="291"/>
        <v/>
      </c>
      <c r="G1064" s="47"/>
      <c r="H1064" s="3" t="str">
        <f t="shared" si="292"/>
        <v/>
      </c>
      <c r="I1064" s="47"/>
      <c r="J1064" s="3" t="str">
        <f t="shared" si="293"/>
        <v/>
      </c>
      <c r="K1064" s="47"/>
      <c r="L1064" s="3" t="str">
        <f t="shared" si="294"/>
        <v/>
      </c>
      <c r="M1064" s="47"/>
      <c r="N1064" s="3" t="str">
        <f t="shared" si="295"/>
        <v/>
      </c>
      <c r="O1064" s="47"/>
      <c r="P1064" s="3" t="str">
        <f t="shared" si="296"/>
        <v/>
      </c>
      <c r="Q1064" s="47"/>
      <c r="R1064" s="3" t="str">
        <f t="shared" si="297"/>
        <v/>
      </c>
      <c r="S1064" s="47"/>
      <c r="T1064" s="1" t="str">
        <f t="shared" si="298"/>
        <v/>
      </c>
      <c r="U1064" s="47"/>
      <c r="V1064" s="1" t="str">
        <f t="shared" si="299"/>
        <v/>
      </c>
      <c r="W1064" s="47"/>
      <c r="X1064" s="1" t="str">
        <f t="shared" si="300"/>
        <v/>
      </c>
      <c r="Y1064" s="47"/>
      <c r="Z1064" s="1" t="str">
        <f t="shared" si="301"/>
        <v/>
      </c>
      <c r="AA1064" s="47"/>
      <c r="AB1064" s="1" t="str">
        <f t="shared" si="302"/>
        <v/>
      </c>
      <c r="AC1064" s="47"/>
      <c r="AD1064" s="1" t="str">
        <f t="shared" si="303"/>
        <v/>
      </c>
      <c r="AE1064" s="47"/>
      <c r="AF1064" s="1" t="str">
        <f t="shared" si="304"/>
        <v/>
      </c>
      <c r="AG1064" s="47"/>
    </row>
    <row r="1065" spans="1:33">
      <c r="A1065">
        <f t="shared" si="288"/>
        <v>0</v>
      </c>
      <c r="B1065" s="2" t="str">
        <f t="shared" si="305"/>
        <v/>
      </c>
      <c r="C1065" s="4" t="str">
        <f t="shared" si="289"/>
        <v/>
      </c>
      <c r="D1065" s="3" t="str">
        <f t="shared" si="290"/>
        <v/>
      </c>
      <c r="E1065" s="47"/>
      <c r="F1065" s="3" t="str">
        <f t="shared" si="291"/>
        <v/>
      </c>
      <c r="G1065" s="47"/>
      <c r="H1065" s="3" t="str">
        <f t="shared" si="292"/>
        <v/>
      </c>
      <c r="I1065" s="47"/>
      <c r="J1065" s="3" t="str">
        <f t="shared" si="293"/>
        <v/>
      </c>
      <c r="K1065" s="47"/>
      <c r="L1065" s="3" t="str">
        <f t="shared" si="294"/>
        <v/>
      </c>
      <c r="M1065" s="47"/>
      <c r="N1065" s="3" t="str">
        <f t="shared" si="295"/>
        <v/>
      </c>
      <c r="O1065" s="47"/>
      <c r="P1065" s="3" t="str">
        <f t="shared" si="296"/>
        <v/>
      </c>
      <c r="Q1065" s="47"/>
      <c r="R1065" s="3" t="str">
        <f t="shared" si="297"/>
        <v/>
      </c>
      <c r="S1065" s="47"/>
      <c r="T1065" s="1" t="str">
        <f t="shared" si="298"/>
        <v/>
      </c>
      <c r="U1065" s="47"/>
      <c r="V1065" s="1" t="str">
        <f t="shared" si="299"/>
        <v/>
      </c>
      <c r="W1065" s="47"/>
      <c r="X1065" s="1" t="str">
        <f t="shared" si="300"/>
        <v/>
      </c>
      <c r="Y1065" s="47"/>
      <c r="Z1065" s="1" t="str">
        <f t="shared" si="301"/>
        <v/>
      </c>
      <c r="AA1065" s="47"/>
      <c r="AB1065" s="1" t="str">
        <f t="shared" si="302"/>
        <v/>
      </c>
      <c r="AC1065" s="47"/>
      <c r="AD1065" s="1" t="str">
        <f t="shared" si="303"/>
        <v/>
      </c>
      <c r="AE1065" s="47"/>
      <c r="AF1065" s="1" t="str">
        <f t="shared" si="304"/>
        <v/>
      </c>
      <c r="AG1065" s="47"/>
    </row>
    <row r="1066" spans="1:33">
      <c r="A1066">
        <f t="shared" si="288"/>
        <v>0</v>
      </c>
      <c r="B1066" s="2" t="str">
        <f t="shared" si="305"/>
        <v/>
      </c>
      <c r="C1066" s="4" t="str">
        <f t="shared" si="289"/>
        <v/>
      </c>
      <c r="D1066" s="3" t="str">
        <f t="shared" si="290"/>
        <v/>
      </c>
      <c r="E1066" s="47"/>
      <c r="F1066" s="3" t="str">
        <f t="shared" si="291"/>
        <v/>
      </c>
      <c r="G1066" s="47"/>
      <c r="H1066" s="3" t="str">
        <f t="shared" si="292"/>
        <v/>
      </c>
      <c r="I1066" s="47"/>
      <c r="J1066" s="3" t="str">
        <f t="shared" si="293"/>
        <v/>
      </c>
      <c r="K1066" s="47"/>
      <c r="L1066" s="3" t="str">
        <f t="shared" si="294"/>
        <v/>
      </c>
      <c r="M1066" s="47"/>
      <c r="N1066" s="3" t="str">
        <f t="shared" si="295"/>
        <v/>
      </c>
      <c r="O1066" s="47"/>
      <c r="P1066" s="3" t="str">
        <f t="shared" si="296"/>
        <v/>
      </c>
      <c r="Q1066" s="47"/>
      <c r="R1066" s="3" t="str">
        <f t="shared" si="297"/>
        <v/>
      </c>
      <c r="S1066" s="47"/>
      <c r="T1066" s="1" t="str">
        <f t="shared" si="298"/>
        <v/>
      </c>
      <c r="U1066" s="47"/>
      <c r="V1066" s="1" t="str">
        <f t="shared" si="299"/>
        <v/>
      </c>
      <c r="W1066" s="47"/>
      <c r="X1066" s="1" t="str">
        <f t="shared" si="300"/>
        <v/>
      </c>
      <c r="Y1066" s="47"/>
      <c r="Z1066" s="1" t="str">
        <f t="shared" si="301"/>
        <v/>
      </c>
      <c r="AA1066" s="47"/>
      <c r="AB1066" s="1" t="str">
        <f t="shared" si="302"/>
        <v/>
      </c>
      <c r="AC1066" s="47"/>
      <c r="AD1066" s="1" t="str">
        <f t="shared" si="303"/>
        <v/>
      </c>
      <c r="AE1066" s="47"/>
      <c r="AF1066" s="1" t="str">
        <f t="shared" si="304"/>
        <v/>
      </c>
      <c r="AG1066" s="47"/>
    </row>
    <row r="1067" spans="1:33">
      <c r="A1067">
        <f t="shared" si="288"/>
        <v>0</v>
      </c>
      <c r="B1067" s="2" t="str">
        <f t="shared" si="305"/>
        <v/>
      </c>
      <c r="C1067" s="4" t="str">
        <f t="shared" si="289"/>
        <v/>
      </c>
      <c r="D1067" s="3" t="str">
        <f t="shared" si="290"/>
        <v/>
      </c>
      <c r="E1067" s="47"/>
      <c r="F1067" s="3" t="str">
        <f t="shared" si="291"/>
        <v/>
      </c>
      <c r="G1067" s="47"/>
      <c r="H1067" s="3" t="str">
        <f t="shared" si="292"/>
        <v/>
      </c>
      <c r="I1067" s="47"/>
      <c r="J1067" s="3" t="str">
        <f t="shared" si="293"/>
        <v/>
      </c>
      <c r="K1067" s="47"/>
      <c r="L1067" s="3" t="str">
        <f t="shared" si="294"/>
        <v/>
      </c>
      <c r="M1067" s="47"/>
      <c r="N1067" s="3" t="str">
        <f t="shared" si="295"/>
        <v/>
      </c>
      <c r="O1067" s="47"/>
      <c r="P1067" s="3" t="str">
        <f t="shared" si="296"/>
        <v/>
      </c>
      <c r="Q1067" s="47"/>
      <c r="R1067" s="3" t="str">
        <f t="shared" si="297"/>
        <v/>
      </c>
      <c r="S1067" s="47"/>
      <c r="T1067" s="1" t="str">
        <f t="shared" si="298"/>
        <v/>
      </c>
      <c r="U1067" s="47"/>
      <c r="V1067" s="1" t="str">
        <f t="shared" si="299"/>
        <v/>
      </c>
      <c r="W1067" s="47"/>
      <c r="X1067" s="1" t="str">
        <f t="shared" si="300"/>
        <v/>
      </c>
      <c r="Y1067" s="47"/>
      <c r="Z1067" s="1" t="str">
        <f t="shared" si="301"/>
        <v/>
      </c>
      <c r="AA1067" s="47"/>
      <c r="AB1067" s="1" t="str">
        <f t="shared" si="302"/>
        <v/>
      </c>
      <c r="AC1067" s="47"/>
      <c r="AD1067" s="1" t="str">
        <f t="shared" si="303"/>
        <v/>
      </c>
      <c r="AE1067" s="47"/>
      <c r="AF1067" s="1" t="str">
        <f t="shared" si="304"/>
        <v/>
      </c>
      <c r="AG1067" s="47"/>
    </row>
    <row r="1068" spans="1:33">
      <c r="A1068">
        <f t="shared" si="288"/>
        <v>0</v>
      </c>
      <c r="B1068" s="2" t="str">
        <f t="shared" si="305"/>
        <v/>
      </c>
      <c r="C1068" s="4" t="str">
        <f t="shared" si="289"/>
        <v/>
      </c>
      <c r="D1068" s="3" t="str">
        <f t="shared" si="290"/>
        <v/>
      </c>
      <c r="E1068" s="47"/>
      <c r="F1068" s="3" t="str">
        <f t="shared" si="291"/>
        <v/>
      </c>
      <c r="G1068" s="47"/>
      <c r="H1068" s="3" t="str">
        <f t="shared" si="292"/>
        <v/>
      </c>
      <c r="I1068" s="47"/>
      <c r="J1068" s="3" t="str">
        <f t="shared" si="293"/>
        <v/>
      </c>
      <c r="K1068" s="47"/>
      <c r="L1068" s="3" t="str">
        <f t="shared" si="294"/>
        <v/>
      </c>
      <c r="M1068" s="47"/>
      <c r="N1068" s="3" t="str">
        <f t="shared" si="295"/>
        <v/>
      </c>
      <c r="O1068" s="47"/>
      <c r="P1068" s="3" t="str">
        <f t="shared" si="296"/>
        <v/>
      </c>
      <c r="Q1068" s="47"/>
      <c r="R1068" s="3" t="str">
        <f t="shared" si="297"/>
        <v/>
      </c>
      <c r="S1068" s="47"/>
      <c r="T1068" s="1" t="str">
        <f t="shared" si="298"/>
        <v/>
      </c>
      <c r="U1068" s="47"/>
      <c r="V1068" s="1" t="str">
        <f t="shared" si="299"/>
        <v/>
      </c>
      <c r="W1068" s="47"/>
      <c r="X1068" s="1" t="str">
        <f t="shared" si="300"/>
        <v/>
      </c>
      <c r="Y1068" s="47"/>
      <c r="Z1068" s="1" t="str">
        <f t="shared" si="301"/>
        <v/>
      </c>
      <c r="AA1068" s="47"/>
      <c r="AB1068" s="1" t="str">
        <f t="shared" si="302"/>
        <v/>
      </c>
      <c r="AC1068" s="47"/>
      <c r="AD1068" s="1" t="str">
        <f t="shared" si="303"/>
        <v/>
      </c>
      <c r="AE1068" s="47"/>
      <c r="AF1068" s="1" t="str">
        <f t="shared" si="304"/>
        <v/>
      </c>
      <c r="AG1068" s="47"/>
    </row>
    <row r="1069" spans="1:33">
      <c r="A1069">
        <f t="shared" si="288"/>
        <v>0</v>
      </c>
      <c r="B1069" s="2" t="str">
        <f t="shared" si="305"/>
        <v/>
      </c>
      <c r="C1069" s="4" t="str">
        <f t="shared" si="289"/>
        <v/>
      </c>
      <c r="D1069" s="3" t="str">
        <f t="shared" si="290"/>
        <v/>
      </c>
      <c r="E1069" s="47"/>
      <c r="F1069" s="3" t="str">
        <f t="shared" si="291"/>
        <v/>
      </c>
      <c r="G1069" s="47"/>
      <c r="H1069" s="3" t="str">
        <f t="shared" si="292"/>
        <v/>
      </c>
      <c r="I1069" s="47"/>
      <c r="J1069" s="3" t="str">
        <f t="shared" si="293"/>
        <v/>
      </c>
      <c r="K1069" s="47"/>
      <c r="L1069" s="3" t="str">
        <f t="shared" si="294"/>
        <v/>
      </c>
      <c r="M1069" s="47"/>
      <c r="N1069" s="3" t="str">
        <f t="shared" si="295"/>
        <v/>
      </c>
      <c r="O1069" s="47"/>
      <c r="P1069" s="3" t="str">
        <f t="shared" si="296"/>
        <v/>
      </c>
      <c r="Q1069" s="47"/>
      <c r="R1069" s="3" t="str">
        <f t="shared" si="297"/>
        <v/>
      </c>
      <c r="S1069" s="47"/>
      <c r="T1069" s="1" t="str">
        <f t="shared" si="298"/>
        <v/>
      </c>
      <c r="U1069" s="47"/>
      <c r="V1069" s="1" t="str">
        <f t="shared" si="299"/>
        <v/>
      </c>
      <c r="W1069" s="47"/>
      <c r="X1069" s="1" t="str">
        <f t="shared" si="300"/>
        <v/>
      </c>
      <c r="Y1069" s="47"/>
      <c r="Z1069" s="1" t="str">
        <f t="shared" si="301"/>
        <v/>
      </c>
      <c r="AA1069" s="47"/>
      <c r="AB1069" s="1" t="str">
        <f t="shared" si="302"/>
        <v/>
      </c>
      <c r="AC1069" s="47"/>
      <c r="AD1069" s="1" t="str">
        <f t="shared" si="303"/>
        <v/>
      </c>
      <c r="AE1069" s="47"/>
      <c r="AF1069" s="1" t="str">
        <f t="shared" si="304"/>
        <v/>
      </c>
      <c r="AG1069" s="47"/>
    </row>
    <row r="1070" spans="1:33">
      <c r="A1070">
        <f t="shared" si="288"/>
        <v>0</v>
      </c>
      <c r="B1070" s="2" t="str">
        <f t="shared" si="305"/>
        <v/>
      </c>
      <c r="C1070" s="4" t="str">
        <f t="shared" si="289"/>
        <v/>
      </c>
      <c r="D1070" s="3" t="str">
        <f t="shared" si="290"/>
        <v/>
      </c>
      <c r="E1070" s="47"/>
      <c r="F1070" s="3" t="str">
        <f t="shared" si="291"/>
        <v/>
      </c>
      <c r="G1070" s="47"/>
      <c r="H1070" s="3" t="str">
        <f t="shared" si="292"/>
        <v/>
      </c>
      <c r="I1070" s="47"/>
      <c r="J1070" s="3" t="str">
        <f t="shared" si="293"/>
        <v/>
      </c>
      <c r="K1070" s="47"/>
      <c r="L1070" s="3" t="str">
        <f t="shared" si="294"/>
        <v/>
      </c>
      <c r="M1070" s="47"/>
      <c r="N1070" s="3" t="str">
        <f t="shared" si="295"/>
        <v/>
      </c>
      <c r="O1070" s="47"/>
      <c r="P1070" s="3" t="str">
        <f t="shared" si="296"/>
        <v/>
      </c>
      <c r="Q1070" s="47"/>
      <c r="R1070" s="3" t="str">
        <f t="shared" si="297"/>
        <v/>
      </c>
      <c r="S1070" s="47"/>
      <c r="T1070" s="1" t="str">
        <f t="shared" si="298"/>
        <v/>
      </c>
      <c r="U1070" s="47"/>
      <c r="V1070" s="1" t="str">
        <f t="shared" si="299"/>
        <v/>
      </c>
      <c r="W1070" s="47"/>
      <c r="X1070" s="1" t="str">
        <f t="shared" si="300"/>
        <v/>
      </c>
      <c r="Y1070" s="47"/>
      <c r="Z1070" s="1" t="str">
        <f t="shared" si="301"/>
        <v/>
      </c>
      <c r="AA1070" s="47"/>
      <c r="AB1070" s="1" t="str">
        <f t="shared" si="302"/>
        <v/>
      </c>
      <c r="AC1070" s="47"/>
      <c r="AD1070" s="1" t="str">
        <f t="shared" si="303"/>
        <v/>
      </c>
      <c r="AE1070" s="47"/>
      <c r="AF1070" s="1" t="str">
        <f t="shared" si="304"/>
        <v/>
      </c>
      <c r="AG1070" s="47"/>
    </row>
    <row r="1071" spans="1:33">
      <c r="A1071">
        <f t="shared" si="288"/>
        <v>0</v>
      </c>
      <c r="B1071" s="2" t="str">
        <f t="shared" si="305"/>
        <v/>
      </c>
      <c r="C1071" s="4" t="str">
        <f t="shared" si="289"/>
        <v/>
      </c>
      <c r="D1071" s="3" t="str">
        <f t="shared" si="290"/>
        <v/>
      </c>
      <c r="E1071" s="47"/>
      <c r="F1071" s="3" t="str">
        <f t="shared" si="291"/>
        <v/>
      </c>
      <c r="G1071" s="47"/>
      <c r="H1071" s="3" t="str">
        <f t="shared" si="292"/>
        <v/>
      </c>
      <c r="I1071" s="47"/>
      <c r="J1071" s="3" t="str">
        <f t="shared" si="293"/>
        <v/>
      </c>
      <c r="K1071" s="47"/>
      <c r="L1071" s="3" t="str">
        <f t="shared" si="294"/>
        <v/>
      </c>
      <c r="M1071" s="47"/>
      <c r="N1071" s="3" t="str">
        <f t="shared" si="295"/>
        <v/>
      </c>
      <c r="O1071" s="47"/>
      <c r="P1071" s="3" t="str">
        <f t="shared" si="296"/>
        <v/>
      </c>
      <c r="Q1071" s="47"/>
      <c r="R1071" s="3" t="str">
        <f t="shared" si="297"/>
        <v/>
      </c>
      <c r="S1071" s="47"/>
      <c r="T1071" s="1" t="str">
        <f t="shared" si="298"/>
        <v/>
      </c>
      <c r="U1071" s="47"/>
      <c r="V1071" s="1" t="str">
        <f t="shared" si="299"/>
        <v/>
      </c>
      <c r="W1071" s="47"/>
      <c r="X1071" s="1" t="str">
        <f t="shared" si="300"/>
        <v/>
      </c>
      <c r="Y1071" s="47"/>
      <c r="Z1071" s="1" t="str">
        <f t="shared" si="301"/>
        <v/>
      </c>
      <c r="AA1071" s="47"/>
      <c r="AB1071" s="1" t="str">
        <f t="shared" si="302"/>
        <v/>
      </c>
      <c r="AC1071" s="47"/>
      <c r="AD1071" s="1" t="str">
        <f t="shared" si="303"/>
        <v/>
      </c>
      <c r="AE1071" s="47"/>
      <c r="AF1071" s="1" t="str">
        <f t="shared" si="304"/>
        <v/>
      </c>
      <c r="AG1071" s="47"/>
    </row>
    <row r="1072" spans="1:33">
      <c r="A1072">
        <f t="shared" si="288"/>
        <v>0</v>
      </c>
      <c r="B1072" s="2" t="str">
        <f t="shared" si="305"/>
        <v/>
      </c>
      <c r="C1072" s="4" t="str">
        <f t="shared" si="289"/>
        <v/>
      </c>
      <c r="D1072" s="3" t="str">
        <f t="shared" si="290"/>
        <v/>
      </c>
      <c r="E1072" s="47"/>
      <c r="F1072" s="3" t="str">
        <f t="shared" si="291"/>
        <v/>
      </c>
      <c r="G1072" s="47"/>
      <c r="H1072" s="3" t="str">
        <f t="shared" si="292"/>
        <v/>
      </c>
      <c r="I1072" s="47"/>
      <c r="J1072" s="3" t="str">
        <f t="shared" si="293"/>
        <v/>
      </c>
      <c r="K1072" s="47"/>
      <c r="L1072" s="3" t="str">
        <f t="shared" si="294"/>
        <v/>
      </c>
      <c r="M1072" s="47"/>
      <c r="N1072" s="3" t="str">
        <f t="shared" si="295"/>
        <v/>
      </c>
      <c r="O1072" s="47"/>
      <c r="P1072" s="3" t="str">
        <f t="shared" si="296"/>
        <v/>
      </c>
      <c r="Q1072" s="47"/>
      <c r="R1072" s="3" t="str">
        <f t="shared" si="297"/>
        <v/>
      </c>
      <c r="S1072" s="47"/>
      <c r="T1072" s="1" t="str">
        <f t="shared" si="298"/>
        <v/>
      </c>
      <c r="U1072" s="47"/>
      <c r="V1072" s="1" t="str">
        <f t="shared" si="299"/>
        <v/>
      </c>
      <c r="W1072" s="47"/>
      <c r="X1072" s="1" t="str">
        <f t="shared" si="300"/>
        <v/>
      </c>
      <c r="Y1072" s="47"/>
      <c r="Z1072" s="1" t="str">
        <f t="shared" si="301"/>
        <v/>
      </c>
      <c r="AA1072" s="47"/>
      <c r="AB1072" s="1" t="str">
        <f t="shared" si="302"/>
        <v/>
      </c>
      <c r="AC1072" s="47"/>
      <c r="AD1072" s="1" t="str">
        <f t="shared" si="303"/>
        <v/>
      </c>
      <c r="AE1072" s="47"/>
      <c r="AF1072" s="1" t="str">
        <f t="shared" si="304"/>
        <v/>
      </c>
      <c r="AG1072" s="47"/>
    </row>
    <row r="1073" spans="1:33">
      <c r="A1073">
        <f t="shared" si="288"/>
        <v>0</v>
      </c>
      <c r="B1073" s="2" t="str">
        <f t="shared" si="305"/>
        <v/>
      </c>
      <c r="C1073" s="4" t="str">
        <f t="shared" si="289"/>
        <v/>
      </c>
      <c r="D1073" s="3" t="str">
        <f t="shared" si="290"/>
        <v/>
      </c>
      <c r="E1073" s="47"/>
      <c r="F1073" s="3" t="str">
        <f t="shared" si="291"/>
        <v/>
      </c>
      <c r="G1073" s="47"/>
      <c r="H1073" s="3" t="str">
        <f t="shared" si="292"/>
        <v/>
      </c>
      <c r="I1073" s="47"/>
      <c r="J1073" s="3" t="str">
        <f t="shared" si="293"/>
        <v/>
      </c>
      <c r="K1073" s="47"/>
      <c r="L1073" s="3" t="str">
        <f t="shared" si="294"/>
        <v/>
      </c>
      <c r="M1073" s="47"/>
      <c r="N1073" s="3" t="str">
        <f t="shared" si="295"/>
        <v/>
      </c>
      <c r="O1073" s="47"/>
      <c r="P1073" s="3" t="str">
        <f t="shared" si="296"/>
        <v/>
      </c>
      <c r="Q1073" s="47"/>
      <c r="R1073" s="3" t="str">
        <f t="shared" si="297"/>
        <v/>
      </c>
      <c r="S1073" s="47"/>
      <c r="T1073" s="1" t="str">
        <f t="shared" si="298"/>
        <v/>
      </c>
      <c r="U1073" s="47"/>
      <c r="V1073" s="1" t="str">
        <f t="shared" si="299"/>
        <v/>
      </c>
      <c r="W1073" s="47"/>
      <c r="X1073" s="1" t="str">
        <f t="shared" si="300"/>
        <v/>
      </c>
      <c r="Y1073" s="47"/>
      <c r="Z1073" s="1" t="str">
        <f t="shared" si="301"/>
        <v/>
      </c>
      <c r="AA1073" s="47"/>
      <c r="AB1073" s="1" t="str">
        <f t="shared" si="302"/>
        <v/>
      </c>
      <c r="AC1073" s="47"/>
      <c r="AD1073" s="1" t="str">
        <f t="shared" si="303"/>
        <v/>
      </c>
      <c r="AE1073" s="47"/>
      <c r="AF1073" s="1" t="str">
        <f t="shared" si="304"/>
        <v/>
      </c>
      <c r="AG1073" s="47"/>
    </row>
    <row r="1074" spans="1:33">
      <c r="A1074">
        <f t="shared" si="288"/>
        <v>0</v>
      </c>
      <c r="B1074" s="2" t="str">
        <f t="shared" si="305"/>
        <v/>
      </c>
      <c r="C1074" s="4" t="str">
        <f t="shared" si="289"/>
        <v/>
      </c>
      <c r="D1074" s="3" t="str">
        <f t="shared" si="290"/>
        <v/>
      </c>
      <c r="E1074" s="47"/>
      <c r="F1074" s="3" t="str">
        <f t="shared" si="291"/>
        <v/>
      </c>
      <c r="G1074" s="47"/>
      <c r="H1074" s="3" t="str">
        <f t="shared" si="292"/>
        <v/>
      </c>
      <c r="I1074" s="47"/>
      <c r="J1074" s="3" t="str">
        <f t="shared" si="293"/>
        <v/>
      </c>
      <c r="K1074" s="47"/>
      <c r="L1074" s="3" t="str">
        <f t="shared" si="294"/>
        <v/>
      </c>
      <c r="M1074" s="47"/>
      <c r="N1074" s="3" t="str">
        <f t="shared" si="295"/>
        <v/>
      </c>
      <c r="O1074" s="47"/>
      <c r="P1074" s="3" t="str">
        <f t="shared" si="296"/>
        <v/>
      </c>
      <c r="Q1074" s="47"/>
      <c r="R1074" s="3" t="str">
        <f t="shared" si="297"/>
        <v/>
      </c>
      <c r="S1074" s="47"/>
      <c r="T1074" s="1" t="str">
        <f t="shared" si="298"/>
        <v/>
      </c>
      <c r="U1074" s="47"/>
      <c r="V1074" s="1" t="str">
        <f t="shared" si="299"/>
        <v/>
      </c>
      <c r="W1074" s="47"/>
      <c r="X1074" s="1" t="str">
        <f t="shared" si="300"/>
        <v/>
      </c>
      <c r="Y1074" s="47"/>
      <c r="Z1074" s="1" t="str">
        <f t="shared" si="301"/>
        <v/>
      </c>
      <c r="AA1074" s="47"/>
      <c r="AB1074" s="1" t="str">
        <f t="shared" si="302"/>
        <v/>
      </c>
      <c r="AC1074" s="47"/>
      <c r="AD1074" s="1" t="str">
        <f t="shared" si="303"/>
        <v/>
      </c>
      <c r="AE1074" s="47"/>
      <c r="AF1074" s="1" t="str">
        <f t="shared" si="304"/>
        <v/>
      </c>
      <c r="AG1074" s="47"/>
    </row>
    <row r="1075" spans="1:33">
      <c r="A1075">
        <f t="shared" si="288"/>
        <v>0</v>
      </c>
      <c r="B1075" s="2" t="str">
        <f t="shared" si="305"/>
        <v/>
      </c>
      <c r="C1075" s="4" t="str">
        <f t="shared" si="289"/>
        <v/>
      </c>
      <c r="D1075" s="3" t="str">
        <f t="shared" si="290"/>
        <v/>
      </c>
      <c r="E1075" s="47"/>
      <c r="F1075" s="3" t="str">
        <f t="shared" si="291"/>
        <v/>
      </c>
      <c r="G1075" s="47"/>
      <c r="H1075" s="3" t="str">
        <f t="shared" si="292"/>
        <v/>
      </c>
      <c r="I1075" s="47"/>
      <c r="J1075" s="3" t="str">
        <f t="shared" si="293"/>
        <v/>
      </c>
      <c r="K1075" s="47"/>
      <c r="L1075" s="3" t="str">
        <f t="shared" si="294"/>
        <v/>
      </c>
      <c r="M1075" s="47"/>
      <c r="N1075" s="3" t="str">
        <f t="shared" si="295"/>
        <v/>
      </c>
      <c r="O1075" s="47"/>
      <c r="P1075" s="3" t="str">
        <f t="shared" si="296"/>
        <v/>
      </c>
      <c r="Q1075" s="47"/>
      <c r="R1075" s="3" t="str">
        <f t="shared" si="297"/>
        <v/>
      </c>
      <c r="S1075" s="47"/>
      <c r="T1075" s="1" t="str">
        <f t="shared" si="298"/>
        <v/>
      </c>
      <c r="U1075" s="47"/>
      <c r="V1075" s="1" t="str">
        <f t="shared" si="299"/>
        <v/>
      </c>
      <c r="W1075" s="47"/>
      <c r="X1075" s="1" t="str">
        <f t="shared" si="300"/>
        <v/>
      </c>
      <c r="Y1075" s="47"/>
      <c r="Z1075" s="1" t="str">
        <f t="shared" si="301"/>
        <v/>
      </c>
      <c r="AA1075" s="47"/>
      <c r="AB1075" s="1" t="str">
        <f t="shared" si="302"/>
        <v/>
      </c>
      <c r="AC1075" s="47"/>
      <c r="AD1075" s="1" t="str">
        <f t="shared" si="303"/>
        <v/>
      </c>
      <c r="AE1075" s="47"/>
      <c r="AF1075" s="1" t="str">
        <f t="shared" si="304"/>
        <v/>
      </c>
      <c r="AG1075" s="47"/>
    </row>
    <row r="1076" spans="1:33">
      <c r="A1076">
        <f t="shared" si="288"/>
        <v>0</v>
      </c>
      <c r="B1076" s="2" t="str">
        <f t="shared" si="305"/>
        <v/>
      </c>
      <c r="C1076" s="4" t="str">
        <f t="shared" si="289"/>
        <v/>
      </c>
      <c r="D1076" s="3" t="str">
        <f t="shared" si="290"/>
        <v/>
      </c>
      <c r="E1076" s="47"/>
      <c r="F1076" s="3" t="str">
        <f t="shared" si="291"/>
        <v/>
      </c>
      <c r="G1076" s="47"/>
      <c r="H1076" s="3" t="str">
        <f t="shared" si="292"/>
        <v/>
      </c>
      <c r="I1076" s="47"/>
      <c r="J1076" s="3" t="str">
        <f t="shared" si="293"/>
        <v/>
      </c>
      <c r="K1076" s="47"/>
      <c r="L1076" s="3" t="str">
        <f t="shared" si="294"/>
        <v/>
      </c>
      <c r="M1076" s="47"/>
      <c r="N1076" s="3" t="str">
        <f t="shared" si="295"/>
        <v/>
      </c>
      <c r="O1076" s="47"/>
      <c r="P1076" s="3" t="str">
        <f t="shared" si="296"/>
        <v/>
      </c>
      <c r="Q1076" s="47"/>
      <c r="R1076" s="3" t="str">
        <f t="shared" si="297"/>
        <v/>
      </c>
      <c r="S1076" s="47"/>
      <c r="T1076" s="1" t="str">
        <f t="shared" si="298"/>
        <v/>
      </c>
      <c r="U1076" s="47"/>
      <c r="V1076" s="1" t="str">
        <f t="shared" si="299"/>
        <v/>
      </c>
      <c r="W1076" s="47"/>
      <c r="X1076" s="1" t="str">
        <f t="shared" si="300"/>
        <v/>
      </c>
      <c r="Y1076" s="47"/>
      <c r="Z1076" s="1" t="str">
        <f t="shared" si="301"/>
        <v/>
      </c>
      <c r="AA1076" s="47"/>
      <c r="AB1076" s="1" t="str">
        <f t="shared" si="302"/>
        <v/>
      </c>
      <c r="AC1076" s="47"/>
      <c r="AD1076" s="1" t="str">
        <f t="shared" si="303"/>
        <v/>
      </c>
      <c r="AE1076" s="47"/>
      <c r="AF1076" s="1" t="str">
        <f t="shared" si="304"/>
        <v/>
      </c>
      <c r="AG1076" s="47"/>
    </row>
    <row r="1077" spans="1:33">
      <c r="A1077">
        <f t="shared" si="288"/>
        <v>0</v>
      </c>
      <c r="B1077" s="2" t="str">
        <f t="shared" si="305"/>
        <v/>
      </c>
      <c r="C1077" s="4" t="str">
        <f t="shared" si="289"/>
        <v/>
      </c>
      <c r="D1077" s="3" t="str">
        <f t="shared" si="290"/>
        <v/>
      </c>
      <c r="E1077" s="47"/>
      <c r="F1077" s="3" t="str">
        <f t="shared" si="291"/>
        <v/>
      </c>
      <c r="G1077" s="47"/>
      <c r="H1077" s="3" t="str">
        <f t="shared" si="292"/>
        <v/>
      </c>
      <c r="I1077" s="47"/>
      <c r="J1077" s="3" t="str">
        <f t="shared" si="293"/>
        <v/>
      </c>
      <c r="K1077" s="47"/>
      <c r="L1077" s="3" t="str">
        <f t="shared" si="294"/>
        <v/>
      </c>
      <c r="M1077" s="47"/>
      <c r="N1077" s="3" t="str">
        <f t="shared" si="295"/>
        <v/>
      </c>
      <c r="O1077" s="47"/>
      <c r="P1077" s="3" t="str">
        <f t="shared" si="296"/>
        <v/>
      </c>
      <c r="Q1077" s="47"/>
      <c r="R1077" s="3" t="str">
        <f t="shared" si="297"/>
        <v/>
      </c>
      <c r="S1077" s="47"/>
      <c r="T1077" s="1" t="str">
        <f t="shared" si="298"/>
        <v/>
      </c>
      <c r="U1077" s="47"/>
      <c r="V1077" s="1" t="str">
        <f t="shared" si="299"/>
        <v/>
      </c>
      <c r="W1077" s="47"/>
      <c r="X1077" s="1" t="str">
        <f t="shared" si="300"/>
        <v/>
      </c>
      <c r="Y1077" s="47"/>
      <c r="Z1077" s="1" t="str">
        <f t="shared" si="301"/>
        <v/>
      </c>
      <c r="AA1077" s="47"/>
      <c r="AB1077" s="1" t="str">
        <f t="shared" si="302"/>
        <v/>
      </c>
      <c r="AC1077" s="47"/>
      <c r="AD1077" s="1" t="str">
        <f t="shared" si="303"/>
        <v/>
      </c>
      <c r="AE1077" s="47"/>
      <c r="AF1077" s="1" t="str">
        <f t="shared" si="304"/>
        <v/>
      </c>
      <c r="AG1077" s="47"/>
    </row>
    <row r="1078" spans="1:33">
      <c r="A1078">
        <f t="shared" si="288"/>
        <v>0</v>
      </c>
      <c r="B1078" s="2" t="str">
        <f t="shared" si="305"/>
        <v/>
      </c>
      <c r="C1078" s="4" t="str">
        <f t="shared" si="289"/>
        <v/>
      </c>
      <c r="D1078" s="3" t="str">
        <f t="shared" si="290"/>
        <v/>
      </c>
      <c r="E1078" s="47"/>
      <c r="F1078" s="3" t="str">
        <f t="shared" si="291"/>
        <v/>
      </c>
      <c r="G1078" s="47"/>
      <c r="H1078" s="3" t="str">
        <f t="shared" si="292"/>
        <v/>
      </c>
      <c r="I1078" s="47"/>
      <c r="J1078" s="3" t="str">
        <f t="shared" si="293"/>
        <v/>
      </c>
      <c r="K1078" s="47"/>
      <c r="L1078" s="3" t="str">
        <f t="shared" si="294"/>
        <v/>
      </c>
      <c r="M1078" s="47"/>
      <c r="N1078" s="3" t="str">
        <f t="shared" si="295"/>
        <v/>
      </c>
      <c r="O1078" s="47"/>
      <c r="P1078" s="3" t="str">
        <f t="shared" si="296"/>
        <v/>
      </c>
      <c r="Q1078" s="47"/>
      <c r="R1078" s="3" t="str">
        <f t="shared" si="297"/>
        <v/>
      </c>
      <c r="S1078" s="47"/>
      <c r="T1078" s="1" t="str">
        <f t="shared" si="298"/>
        <v/>
      </c>
      <c r="U1078" s="47"/>
      <c r="V1078" s="1" t="str">
        <f t="shared" si="299"/>
        <v/>
      </c>
      <c r="W1078" s="47"/>
      <c r="X1078" s="1" t="str">
        <f t="shared" si="300"/>
        <v/>
      </c>
      <c r="Y1078" s="47"/>
      <c r="Z1078" s="1" t="str">
        <f t="shared" si="301"/>
        <v/>
      </c>
      <c r="AA1078" s="47"/>
      <c r="AB1078" s="1" t="str">
        <f t="shared" si="302"/>
        <v/>
      </c>
      <c r="AC1078" s="47"/>
      <c r="AD1078" s="1" t="str">
        <f t="shared" si="303"/>
        <v/>
      </c>
      <c r="AE1078" s="47"/>
      <c r="AF1078" s="1" t="str">
        <f t="shared" si="304"/>
        <v/>
      </c>
      <c r="AG1078" s="47"/>
    </row>
    <row r="1079" spans="1:33">
      <c r="A1079">
        <f t="shared" si="288"/>
        <v>0</v>
      </c>
      <c r="B1079" s="2" t="str">
        <f t="shared" si="305"/>
        <v/>
      </c>
      <c r="C1079" s="4" t="str">
        <f t="shared" si="289"/>
        <v/>
      </c>
      <c r="D1079" s="3" t="str">
        <f t="shared" si="290"/>
        <v/>
      </c>
      <c r="E1079" s="47"/>
      <c r="F1079" s="3" t="str">
        <f t="shared" si="291"/>
        <v/>
      </c>
      <c r="G1079" s="47"/>
      <c r="H1079" s="3" t="str">
        <f t="shared" si="292"/>
        <v/>
      </c>
      <c r="I1079" s="47"/>
      <c r="J1079" s="3" t="str">
        <f t="shared" si="293"/>
        <v/>
      </c>
      <c r="K1079" s="47"/>
      <c r="L1079" s="3" t="str">
        <f t="shared" si="294"/>
        <v/>
      </c>
      <c r="M1079" s="47"/>
      <c r="N1079" s="3" t="str">
        <f t="shared" si="295"/>
        <v/>
      </c>
      <c r="O1079" s="47"/>
      <c r="P1079" s="3" t="str">
        <f t="shared" si="296"/>
        <v/>
      </c>
      <c r="Q1079" s="47"/>
      <c r="R1079" s="3" t="str">
        <f t="shared" si="297"/>
        <v/>
      </c>
      <c r="S1079" s="47"/>
      <c r="T1079" s="1" t="str">
        <f t="shared" si="298"/>
        <v/>
      </c>
      <c r="U1079" s="47"/>
      <c r="V1079" s="1" t="str">
        <f t="shared" si="299"/>
        <v/>
      </c>
      <c r="W1079" s="47"/>
      <c r="X1079" s="1" t="str">
        <f t="shared" si="300"/>
        <v/>
      </c>
      <c r="Y1079" s="47"/>
      <c r="Z1079" s="1" t="str">
        <f t="shared" si="301"/>
        <v/>
      </c>
      <c r="AA1079" s="47"/>
      <c r="AB1079" s="1" t="str">
        <f t="shared" si="302"/>
        <v/>
      </c>
      <c r="AC1079" s="47"/>
      <c r="AD1079" s="1" t="str">
        <f t="shared" si="303"/>
        <v/>
      </c>
      <c r="AE1079" s="47"/>
      <c r="AF1079" s="1" t="str">
        <f t="shared" si="304"/>
        <v/>
      </c>
      <c r="AG1079" s="47"/>
    </row>
    <row r="1080" spans="1:33">
      <c r="A1080">
        <f t="shared" si="288"/>
        <v>0</v>
      </c>
      <c r="B1080" s="2" t="str">
        <f t="shared" si="305"/>
        <v/>
      </c>
      <c r="C1080" s="4" t="str">
        <f t="shared" si="289"/>
        <v/>
      </c>
      <c r="D1080" s="3" t="str">
        <f t="shared" si="290"/>
        <v/>
      </c>
      <c r="E1080" s="47"/>
      <c r="F1080" s="3" t="str">
        <f t="shared" si="291"/>
        <v/>
      </c>
      <c r="G1080" s="47"/>
      <c r="H1080" s="3" t="str">
        <f t="shared" si="292"/>
        <v/>
      </c>
      <c r="I1080" s="47"/>
      <c r="J1080" s="3" t="str">
        <f t="shared" si="293"/>
        <v/>
      </c>
      <c r="K1080" s="47"/>
      <c r="L1080" s="3" t="str">
        <f t="shared" si="294"/>
        <v/>
      </c>
      <c r="M1080" s="47"/>
      <c r="N1080" s="3" t="str">
        <f t="shared" si="295"/>
        <v/>
      </c>
      <c r="O1080" s="47"/>
      <c r="P1080" s="3" t="str">
        <f t="shared" si="296"/>
        <v/>
      </c>
      <c r="Q1080" s="47"/>
      <c r="R1080" s="3" t="str">
        <f t="shared" si="297"/>
        <v/>
      </c>
      <c r="S1080" s="47"/>
      <c r="T1080" s="1" t="str">
        <f t="shared" si="298"/>
        <v/>
      </c>
      <c r="U1080" s="47"/>
      <c r="V1080" s="1" t="str">
        <f t="shared" si="299"/>
        <v/>
      </c>
      <c r="W1080" s="47"/>
      <c r="X1080" s="1" t="str">
        <f t="shared" si="300"/>
        <v/>
      </c>
      <c r="Y1080" s="47"/>
      <c r="Z1080" s="1" t="str">
        <f t="shared" si="301"/>
        <v/>
      </c>
      <c r="AA1080" s="47"/>
      <c r="AB1080" s="1" t="str">
        <f t="shared" si="302"/>
        <v/>
      </c>
      <c r="AC1080" s="47"/>
      <c r="AD1080" s="1" t="str">
        <f t="shared" si="303"/>
        <v/>
      </c>
      <c r="AE1080" s="47"/>
      <c r="AF1080" s="1" t="str">
        <f t="shared" si="304"/>
        <v/>
      </c>
      <c r="AG1080" s="47"/>
    </row>
    <row r="1081" spans="1:33">
      <c r="A1081">
        <f t="shared" si="288"/>
        <v>0</v>
      </c>
      <c r="B1081" s="2" t="str">
        <f t="shared" si="305"/>
        <v/>
      </c>
      <c r="C1081" s="4" t="str">
        <f t="shared" si="289"/>
        <v/>
      </c>
      <c r="D1081" s="3" t="str">
        <f t="shared" si="290"/>
        <v/>
      </c>
      <c r="E1081" s="47"/>
      <c r="F1081" s="3" t="str">
        <f t="shared" si="291"/>
        <v/>
      </c>
      <c r="G1081" s="47"/>
      <c r="H1081" s="3" t="str">
        <f t="shared" si="292"/>
        <v/>
      </c>
      <c r="I1081" s="47"/>
      <c r="J1081" s="3" t="str">
        <f t="shared" si="293"/>
        <v/>
      </c>
      <c r="K1081" s="47"/>
      <c r="L1081" s="3" t="str">
        <f t="shared" si="294"/>
        <v/>
      </c>
      <c r="M1081" s="47"/>
      <c r="N1081" s="3" t="str">
        <f t="shared" si="295"/>
        <v/>
      </c>
      <c r="O1081" s="47"/>
      <c r="P1081" s="3" t="str">
        <f t="shared" si="296"/>
        <v/>
      </c>
      <c r="Q1081" s="47"/>
      <c r="R1081" s="3" t="str">
        <f t="shared" si="297"/>
        <v/>
      </c>
      <c r="S1081" s="47"/>
      <c r="T1081" s="1" t="str">
        <f t="shared" si="298"/>
        <v/>
      </c>
      <c r="U1081" s="47"/>
      <c r="V1081" s="1" t="str">
        <f t="shared" si="299"/>
        <v/>
      </c>
      <c r="W1081" s="47"/>
      <c r="X1081" s="1" t="str">
        <f t="shared" si="300"/>
        <v/>
      </c>
      <c r="Y1081" s="47"/>
      <c r="Z1081" s="1" t="str">
        <f t="shared" si="301"/>
        <v/>
      </c>
      <c r="AA1081" s="47"/>
      <c r="AB1081" s="1" t="str">
        <f t="shared" si="302"/>
        <v/>
      </c>
      <c r="AC1081" s="47"/>
      <c r="AD1081" s="1" t="str">
        <f t="shared" si="303"/>
        <v/>
      </c>
      <c r="AE1081" s="47"/>
      <c r="AF1081" s="1" t="str">
        <f t="shared" si="304"/>
        <v/>
      </c>
      <c r="AG1081" s="47"/>
    </row>
    <row r="1082" spans="1:33">
      <c r="A1082">
        <f t="shared" si="288"/>
        <v>0</v>
      </c>
      <c r="B1082" s="2" t="str">
        <f t="shared" si="305"/>
        <v/>
      </c>
      <c r="C1082" s="4" t="str">
        <f t="shared" si="289"/>
        <v/>
      </c>
      <c r="D1082" s="3" t="str">
        <f t="shared" si="290"/>
        <v/>
      </c>
      <c r="E1082" s="47"/>
      <c r="F1082" s="3" t="str">
        <f t="shared" si="291"/>
        <v/>
      </c>
      <c r="G1082" s="47"/>
      <c r="H1082" s="3" t="str">
        <f t="shared" si="292"/>
        <v/>
      </c>
      <c r="I1082" s="47"/>
      <c r="J1082" s="3" t="str">
        <f t="shared" si="293"/>
        <v/>
      </c>
      <c r="K1082" s="47"/>
      <c r="L1082" s="3" t="str">
        <f t="shared" si="294"/>
        <v/>
      </c>
      <c r="M1082" s="47"/>
      <c r="N1082" s="3" t="str">
        <f t="shared" si="295"/>
        <v/>
      </c>
      <c r="O1082" s="47"/>
      <c r="P1082" s="3" t="str">
        <f t="shared" si="296"/>
        <v/>
      </c>
      <c r="Q1082" s="47"/>
      <c r="R1082" s="3" t="str">
        <f t="shared" si="297"/>
        <v/>
      </c>
      <c r="S1082" s="47"/>
      <c r="T1082" s="1" t="str">
        <f t="shared" si="298"/>
        <v/>
      </c>
      <c r="U1082" s="47"/>
      <c r="V1082" s="1" t="str">
        <f t="shared" si="299"/>
        <v/>
      </c>
      <c r="W1082" s="47"/>
      <c r="X1082" s="1" t="str">
        <f t="shared" si="300"/>
        <v/>
      </c>
      <c r="Y1082" s="47"/>
      <c r="Z1082" s="1" t="str">
        <f t="shared" si="301"/>
        <v/>
      </c>
      <c r="AA1082" s="47"/>
      <c r="AB1082" s="1" t="str">
        <f t="shared" si="302"/>
        <v/>
      </c>
      <c r="AC1082" s="47"/>
      <c r="AD1082" s="1" t="str">
        <f t="shared" si="303"/>
        <v/>
      </c>
      <c r="AE1082" s="47"/>
      <c r="AF1082" s="1" t="str">
        <f t="shared" si="304"/>
        <v/>
      </c>
      <c r="AG1082" s="47"/>
    </row>
    <row r="1083" spans="1:33">
      <c r="A1083">
        <f t="shared" si="288"/>
        <v>0</v>
      </c>
      <c r="B1083" s="2" t="str">
        <f t="shared" si="305"/>
        <v/>
      </c>
      <c r="C1083" s="4" t="str">
        <f t="shared" si="289"/>
        <v/>
      </c>
      <c r="D1083" s="3" t="str">
        <f t="shared" si="290"/>
        <v/>
      </c>
      <c r="E1083" s="47"/>
      <c r="F1083" s="3" t="str">
        <f t="shared" si="291"/>
        <v/>
      </c>
      <c r="G1083" s="47"/>
      <c r="H1083" s="3" t="str">
        <f t="shared" si="292"/>
        <v/>
      </c>
      <c r="I1083" s="47"/>
      <c r="J1083" s="3" t="str">
        <f t="shared" si="293"/>
        <v/>
      </c>
      <c r="K1083" s="47"/>
      <c r="L1083" s="3" t="str">
        <f t="shared" si="294"/>
        <v/>
      </c>
      <c r="M1083" s="47"/>
      <c r="N1083" s="3" t="str">
        <f t="shared" si="295"/>
        <v/>
      </c>
      <c r="O1083" s="47"/>
      <c r="P1083" s="3" t="str">
        <f t="shared" si="296"/>
        <v/>
      </c>
      <c r="Q1083" s="47"/>
      <c r="R1083" s="3" t="str">
        <f t="shared" si="297"/>
        <v/>
      </c>
      <c r="S1083" s="47"/>
      <c r="T1083" s="1" t="str">
        <f t="shared" si="298"/>
        <v/>
      </c>
      <c r="U1083" s="47"/>
      <c r="V1083" s="1" t="str">
        <f t="shared" si="299"/>
        <v/>
      </c>
      <c r="W1083" s="47"/>
      <c r="X1083" s="1" t="str">
        <f t="shared" si="300"/>
        <v/>
      </c>
      <c r="Y1083" s="47"/>
      <c r="Z1083" s="1" t="str">
        <f t="shared" si="301"/>
        <v/>
      </c>
      <c r="AA1083" s="47"/>
      <c r="AB1083" s="1" t="str">
        <f t="shared" si="302"/>
        <v/>
      </c>
      <c r="AC1083" s="47"/>
      <c r="AD1083" s="1" t="str">
        <f t="shared" si="303"/>
        <v/>
      </c>
      <c r="AE1083" s="47"/>
      <c r="AF1083" s="1" t="str">
        <f t="shared" si="304"/>
        <v/>
      </c>
      <c r="AG1083" s="47"/>
    </row>
    <row r="1084" spans="1:33">
      <c r="A1084">
        <f t="shared" si="288"/>
        <v>0</v>
      </c>
      <c r="B1084" s="2" t="str">
        <f t="shared" si="305"/>
        <v/>
      </c>
      <c r="C1084" s="4" t="str">
        <f t="shared" si="289"/>
        <v/>
      </c>
      <c r="D1084" s="3" t="str">
        <f t="shared" si="290"/>
        <v/>
      </c>
      <c r="E1084" s="47"/>
      <c r="F1084" s="3" t="str">
        <f t="shared" si="291"/>
        <v/>
      </c>
      <c r="G1084" s="47"/>
      <c r="H1084" s="3" t="str">
        <f t="shared" si="292"/>
        <v/>
      </c>
      <c r="I1084" s="47"/>
      <c r="J1084" s="3" t="str">
        <f t="shared" si="293"/>
        <v/>
      </c>
      <c r="K1084" s="47"/>
      <c r="L1084" s="3" t="str">
        <f t="shared" si="294"/>
        <v/>
      </c>
      <c r="M1084" s="47"/>
      <c r="N1084" s="3" t="str">
        <f t="shared" si="295"/>
        <v/>
      </c>
      <c r="O1084" s="47"/>
      <c r="P1084" s="3" t="str">
        <f t="shared" si="296"/>
        <v/>
      </c>
      <c r="Q1084" s="47"/>
      <c r="R1084" s="3" t="str">
        <f t="shared" si="297"/>
        <v/>
      </c>
      <c r="S1084" s="47"/>
      <c r="T1084" s="1" t="str">
        <f t="shared" si="298"/>
        <v/>
      </c>
      <c r="U1084" s="47"/>
      <c r="V1084" s="1" t="str">
        <f t="shared" si="299"/>
        <v/>
      </c>
      <c r="W1084" s="47"/>
      <c r="X1084" s="1" t="str">
        <f t="shared" si="300"/>
        <v/>
      </c>
      <c r="Y1084" s="47"/>
      <c r="Z1084" s="1" t="str">
        <f t="shared" si="301"/>
        <v/>
      </c>
      <c r="AA1084" s="47"/>
      <c r="AB1084" s="1" t="str">
        <f t="shared" si="302"/>
        <v/>
      </c>
      <c r="AC1084" s="47"/>
      <c r="AD1084" s="1" t="str">
        <f t="shared" si="303"/>
        <v/>
      </c>
      <c r="AE1084" s="47"/>
      <c r="AF1084" s="1" t="str">
        <f t="shared" si="304"/>
        <v/>
      </c>
      <c r="AG1084" s="47"/>
    </row>
    <row r="1085" spans="1:33">
      <c r="A1085">
        <f t="shared" si="288"/>
        <v>0</v>
      </c>
      <c r="B1085" s="2" t="str">
        <f t="shared" si="305"/>
        <v/>
      </c>
      <c r="C1085" s="4" t="str">
        <f t="shared" si="289"/>
        <v/>
      </c>
      <c r="D1085" s="3" t="str">
        <f t="shared" si="290"/>
        <v/>
      </c>
      <c r="E1085" s="47"/>
      <c r="F1085" s="3" t="str">
        <f t="shared" si="291"/>
        <v/>
      </c>
      <c r="G1085" s="47"/>
      <c r="H1085" s="3" t="str">
        <f t="shared" si="292"/>
        <v/>
      </c>
      <c r="I1085" s="47"/>
      <c r="J1085" s="3" t="str">
        <f t="shared" si="293"/>
        <v/>
      </c>
      <c r="K1085" s="47"/>
      <c r="L1085" s="3" t="str">
        <f t="shared" si="294"/>
        <v/>
      </c>
      <c r="M1085" s="47"/>
      <c r="N1085" s="3" t="str">
        <f t="shared" si="295"/>
        <v/>
      </c>
      <c r="O1085" s="47"/>
      <c r="P1085" s="3" t="str">
        <f t="shared" si="296"/>
        <v/>
      </c>
      <c r="Q1085" s="47"/>
      <c r="R1085" s="3" t="str">
        <f t="shared" si="297"/>
        <v/>
      </c>
      <c r="S1085" s="47"/>
      <c r="T1085" s="1" t="str">
        <f t="shared" si="298"/>
        <v/>
      </c>
      <c r="U1085" s="47"/>
      <c r="V1085" s="1" t="str">
        <f t="shared" si="299"/>
        <v/>
      </c>
      <c r="W1085" s="47"/>
      <c r="X1085" s="1" t="str">
        <f t="shared" si="300"/>
        <v/>
      </c>
      <c r="Y1085" s="47"/>
      <c r="Z1085" s="1" t="str">
        <f t="shared" si="301"/>
        <v/>
      </c>
      <c r="AA1085" s="47"/>
      <c r="AB1085" s="1" t="str">
        <f t="shared" si="302"/>
        <v/>
      </c>
      <c r="AC1085" s="47"/>
      <c r="AD1085" s="1" t="str">
        <f t="shared" si="303"/>
        <v/>
      </c>
      <c r="AE1085" s="47"/>
      <c r="AF1085" s="1" t="str">
        <f t="shared" si="304"/>
        <v/>
      </c>
      <c r="AG1085" s="47"/>
    </row>
    <row r="1086" spans="1:33">
      <c r="A1086">
        <f t="shared" si="288"/>
        <v>0</v>
      </c>
      <c r="B1086" s="2" t="str">
        <f t="shared" si="305"/>
        <v/>
      </c>
      <c r="C1086" s="4" t="str">
        <f t="shared" si="289"/>
        <v/>
      </c>
      <c r="D1086" s="3" t="str">
        <f t="shared" si="290"/>
        <v/>
      </c>
      <c r="E1086" s="47"/>
      <c r="F1086" s="3" t="str">
        <f t="shared" si="291"/>
        <v/>
      </c>
      <c r="G1086" s="47"/>
      <c r="H1086" s="3" t="str">
        <f t="shared" si="292"/>
        <v/>
      </c>
      <c r="I1086" s="47"/>
      <c r="J1086" s="3" t="str">
        <f t="shared" si="293"/>
        <v/>
      </c>
      <c r="K1086" s="47"/>
      <c r="L1086" s="3" t="str">
        <f t="shared" si="294"/>
        <v/>
      </c>
      <c r="M1086" s="47"/>
      <c r="N1086" s="3" t="str">
        <f t="shared" si="295"/>
        <v/>
      </c>
      <c r="O1086" s="47"/>
      <c r="P1086" s="3" t="str">
        <f t="shared" si="296"/>
        <v/>
      </c>
      <c r="Q1086" s="47"/>
      <c r="R1086" s="3" t="str">
        <f t="shared" si="297"/>
        <v/>
      </c>
      <c r="S1086" s="47"/>
      <c r="T1086" s="1" t="str">
        <f t="shared" si="298"/>
        <v/>
      </c>
      <c r="U1086" s="47"/>
      <c r="V1086" s="1" t="str">
        <f t="shared" si="299"/>
        <v/>
      </c>
      <c r="W1086" s="47"/>
      <c r="X1086" s="1" t="str">
        <f t="shared" si="300"/>
        <v/>
      </c>
      <c r="Y1086" s="47"/>
      <c r="Z1086" s="1" t="str">
        <f t="shared" si="301"/>
        <v/>
      </c>
      <c r="AA1086" s="47"/>
      <c r="AB1086" s="1" t="str">
        <f t="shared" si="302"/>
        <v/>
      </c>
      <c r="AC1086" s="47"/>
      <c r="AD1086" s="1" t="str">
        <f t="shared" si="303"/>
        <v/>
      </c>
      <c r="AE1086" s="47"/>
      <c r="AF1086" s="1" t="str">
        <f t="shared" si="304"/>
        <v/>
      </c>
      <c r="AG1086" s="47"/>
    </row>
    <row r="1087" spans="1:33">
      <c r="A1087">
        <f t="shared" si="288"/>
        <v>0</v>
      </c>
      <c r="B1087" s="2" t="str">
        <f t="shared" si="305"/>
        <v/>
      </c>
      <c r="C1087" s="4" t="str">
        <f t="shared" si="289"/>
        <v/>
      </c>
      <c r="D1087" s="3" t="str">
        <f t="shared" si="290"/>
        <v/>
      </c>
      <c r="E1087" s="47"/>
      <c r="F1087" s="3" t="str">
        <f t="shared" si="291"/>
        <v/>
      </c>
      <c r="G1087" s="47"/>
      <c r="H1087" s="3" t="str">
        <f t="shared" si="292"/>
        <v/>
      </c>
      <c r="I1087" s="47"/>
      <c r="J1087" s="3" t="str">
        <f t="shared" si="293"/>
        <v/>
      </c>
      <c r="K1087" s="47"/>
      <c r="L1087" s="3" t="str">
        <f t="shared" si="294"/>
        <v/>
      </c>
      <c r="M1087" s="47"/>
      <c r="N1087" s="3" t="str">
        <f t="shared" si="295"/>
        <v/>
      </c>
      <c r="O1087" s="47"/>
      <c r="P1087" s="3" t="str">
        <f t="shared" si="296"/>
        <v/>
      </c>
      <c r="Q1087" s="47"/>
      <c r="R1087" s="3" t="str">
        <f t="shared" si="297"/>
        <v/>
      </c>
      <c r="S1087" s="47"/>
      <c r="T1087" s="1" t="str">
        <f t="shared" si="298"/>
        <v/>
      </c>
      <c r="U1087" s="47"/>
      <c r="V1087" s="1" t="str">
        <f t="shared" si="299"/>
        <v/>
      </c>
      <c r="W1087" s="47"/>
      <c r="X1087" s="1" t="str">
        <f t="shared" si="300"/>
        <v/>
      </c>
      <c r="Y1087" s="47"/>
      <c r="Z1087" s="1" t="str">
        <f t="shared" si="301"/>
        <v/>
      </c>
      <c r="AA1087" s="47"/>
      <c r="AB1087" s="1" t="str">
        <f t="shared" si="302"/>
        <v/>
      </c>
      <c r="AC1087" s="47"/>
      <c r="AD1087" s="1" t="str">
        <f t="shared" si="303"/>
        <v/>
      </c>
      <c r="AE1087" s="47"/>
      <c r="AF1087" s="1" t="str">
        <f t="shared" si="304"/>
        <v/>
      </c>
      <c r="AG1087" s="47"/>
    </row>
    <row r="1088" spans="1:33">
      <c r="A1088">
        <f t="shared" si="288"/>
        <v>0</v>
      </c>
      <c r="B1088" s="2" t="str">
        <f t="shared" si="305"/>
        <v/>
      </c>
      <c r="C1088" s="4" t="str">
        <f t="shared" si="289"/>
        <v/>
      </c>
      <c r="D1088" s="3" t="str">
        <f t="shared" si="290"/>
        <v/>
      </c>
      <c r="E1088" s="47"/>
      <c r="F1088" s="3" t="str">
        <f t="shared" si="291"/>
        <v/>
      </c>
      <c r="G1088" s="47"/>
      <c r="H1088" s="3" t="str">
        <f t="shared" si="292"/>
        <v/>
      </c>
      <c r="I1088" s="47"/>
      <c r="J1088" s="3" t="str">
        <f t="shared" si="293"/>
        <v/>
      </c>
      <c r="K1088" s="47"/>
      <c r="L1088" s="3" t="str">
        <f t="shared" si="294"/>
        <v/>
      </c>
      <c r="M1088" s="47"/>
      <c r="N1088" s="3" t="str">
        <f t="shared" si="295"/>
        <v/>
      </c>
      <c r="O1088" s="47"/>
      <c r="P1088" s="3" t="str">
        <f t="shared" si="296"/>
        <v/>
      </c>
      <c r="Q1088" s="47"/>
      <c r="R1088" s="3" t="str">
        <f t="shared" si="297"/>
        <v/>
      </c>
      <c r="S1088" s="47"/>
      <c r="T1088" s="1" t="str">
        <f t="shared" si="298"/>
        <v/>
      </c>
      <c r="U1088" s="47"/>
      <c r="V1088" s="1" t="str">
        <f t="shared" si="299"/>
        <v/>
      </c>
      <c r="W1088" s="47"/>
      <c r="X1088" s="1" t="str">
        <f t="shared" si="300"/>
        <v/>
      </c>
      <c r="Y1088" s="47"/>
      <c r="Z1088" s="1" t="str">
        <f t="shared" si="301"/>
        <v/>
      </c>
      <c r="AA1088" s="47"/>
      <c r="AB1088" s="1" t="str">
        <f t="shared" si="302"/>
        <v/>
      </c>
      <c r="AC1088" s="47"/>
      <c r="AD1088" s="1" t="str">
        <f t="shared" si="303"/>
        <v/>
      </c>
      <c r="AE1088" s="47"/>
      <c r="AF1088" s="1" t="str">
        <f t="shared" si="304"/>
        <v/>
      </c>
      <c r="AG1088" s="47"/>
    </row>
    <row r="1089" spans="1:33">
      <c r="A1089">
        <f t="shared" si="288"/>
        <v>0</v>
      </c>
      <c r="B1089" s="2" t="str">
        <f t="shared" si="305"/>
        <v/>
      </c>
      <c r="C1089" s="4" t="str">
        <f t="shared" si="289"/>
        <v/>
      </c>
      <c r="D1089" s="3" t="str">
        <f t="shared" si="290"/>
        <v/>
      </c>
      <c r="E1089" s="47"/>
      <c r="F1089" s="3" t="str">
        <f t="shared" si="291"/>
        <v/>
      </c>
      <c r="G1089" s="47"/>
      <c r="H1089" s="3" t="str">
        <f t="shared" si="292"/>
        <v/>
      </c>
      <c r="I1089" s="47"/>
      <c r="J1089" s="3" t="str">
        <f t="shared" si="293"/>
        <v/>
      </c>
      <c r="K1089" s="47"/>
      <c r="L1089" s="3" t="str">
        <f t="shared" si="294"/>
        <v/>
      </c>
      <c r="M1089" s="47"/>
      <c r="N1089" s="3" t="str">
        <f t="shared" si="295"/>
        <v/>
      </c>
      <c r="O1089" s="47"/>
      <c r="P1089" s="3" t="str">
        <f t="shared" si="296"/>
        <v/>
      </c>
      <c r="Q1089" s="47"/>
      <c r="R1089" s="3" t="str">
        <f t="shared" si="297"/>
        <v/>
      </c>
      <c r="S1089" s="47"/>
      <c r="T1089" s="1" t="str">
        <f t="shared" si="298"/>
        <v/>
      </c>
      <c r="U1089" s="47"/>
      <c r="V1089" s="1" t="str">
        <f t="shared" si="299"/>
        <v/>
      </c>
      <c r="W1089" s="47"/>
      <c r="X1089" s="1" t="str">
        <f t="shared" si="300"/>
        <v/>
      </c>
      <c r="Y1089" s="47"/>
      <c r="Z1089" s="1" t="str">
        <f t="shared" si="301"/>
        <v/>
      </c>
      <c r="AA1089" s="47"/>
      <c r="AB1089" s="1" t="str">
        <f t="shared" si="302"/>
        <v/>
      </c>
      <c r="AC1089" s="47"/>
      <c r="AD1089" s="1" t="str">
        <f t="shared" si="303"/>
        <v/>
      </c>
      <c r="AE1089" s="47"/>
      <c r="AF1089" s="1" t="str">
        <f t="shared" si="304"/>
        <v/>
      </c>
      <c r="AG1089" s="47"/>
    </row>
    <row r="1090" spans="1:33">
      <c r="A1090">
        <f t="shared" si="288"/>
        <v>0</v>
      </c>
      <c r="B1090" s="2" t="str">
        <f t="shared" si="305"/>
        <v/>
      </c>
      <c r="C1090" s="4" t="str">
        <f t="shared" si="289"/>
        <v/>
      </c>
      <c r="D1090" s="3" t="str">
        <f t="shared" si="290"/>
        <v/>
      </c>
      <c r="E1090" s="47"/>
      <c r="F1090" s="3" t="str">
        <f t="shared" si="291"/>
        <v/>
      </c>
      <c r="G1090" s="47"/>
      <c r="H1090" s="3" t="str">
        <f t="shared" si="292"/>
        <v/>
      </c>
      <c r="I1090" s="47"/>
      <c r="J1090" s="3" t="str">
        <f t="shared" si="293"/>
        <v/>
      </c>
      <c r="K1090" s="47"/>
      <c r="L1090" s="3" t="str">
        <f t="shared" si="294"/>
        <v/>
      </c>
      <c r="M1090" s="47"/>
      <c r="N1090" s="3" t="str">
        <f t="shared" si="295"/>
        <v/>
      </c>
      <c r="O1090" s="47"/>
      <c r="P1090" s="3" t="str">
        <f t="shared" si="296"/>
        <v/>
      </c>
      <c r="Q1090" s="47"/>
      <c r="R1090" s="3" t="str">
        <f t="shared" si="297"/>
        <v/>
      </c>
      <c r="S1090" s="47"/>
      <c r="T1090" s="1" t="str">
        <f t="shared" si="298"/>
        <v/>
      </c>
      <c r="U1090" s="47"/>
      <c r="V1090" s="1" t="str">
        <f t="shared" si="299"/>
        <v/>
      </c>
      <c r="W1090" s="47"/>
      <c r="X1090" s="1" t="str">
        <f t="shared" si="300"/>
        <v/>
      </c>
      <c r="Y1090" s="47"/>
      <c r="Z1090" s="1" t="str">
        <f t="shared" si="301"/>
        <v/>
      </c>
      <c r="AA1090" s="47"/>
      <c r="AB1090" s="1" t="str">
        <f t="shared" si="302"/>
        <v/>
      </c>
      <c r="AC1090" s="47"/>
      <c r="AD1090" s="1" t="str">
        <f t="shared" si="303"/>
        <v/>
      </c>
      <c r="AE1090" s="47"/>
      <c r="AF1090" s="1" t="str">
        <f t="shared" si="304"/>
        <v/>
      </c>
      <c r="AG1090" s="47"/>
    </row>
    <row r="1091" spans="1:33">
      <c r="A1091">
        <f t="shared" si="288"/>
        <v>0</v>
      </c>
      <c r="B1091" s="2" t="str">
        <f t="shared" si="305"/>
        <v/>
      </c>
      <c r="C1091" s="4" t="str">
        <f t="shared" si="289"/>
        <v/>
      </c>
      <c r="D1091" s="3" t="str">
        <f t="shared" si="290"/>
        <v/>
      </c>
      <c r="E1091" s="47"/>
      <c r="F1091" s="3" t="str">
        <f t="shared" si="291"/>
        <v/>
      </c>
      <c r="G1091" s="47"/>
      <c r="H1091" s="3" t="str">
        <f t="shared" si="292"/>
        <v/>
      </c>
      <c r="I1091" s="47"/>
      <c r="J1091" s="3" t="str">
        <f t="shared" si="293"/>
        <v/>
      </c>
      <c r="K1091" s="47"/>
      <c r="L1091" s="3" t="str">
        <f t="shared" si="294"/>
        <v/>
      </c>
      <c r="M1091" s="47"/>
      <c r="N1091" s="3" t="str">
        <f t="shared" si="295"/>
        <v/>
      </c>
      <c r="O1091" s="47"/>
      <c r="P1091" s="3" t="str">
        <f t="shared" si="296"/>
        <v/>
      </c>
      <c r="Q1091" s="47"/>
      <c r="R1091" s="3" t="str">
        <f t="shared" si="297"/>
        <v/>
      </c>
      <c r="S1091" s="47"/>
      <c r="T1091" s="1" t="str">
        <f t="shared" si="298"/>
        <v/>
      </c>
      <c r="U1091" s="47"/>
      <c r="V1091" s="1" t="str">
        <f t="shared" si="299"/>
        <v/>
      </c>
      <c r="W1091" s="47"/>
      <c r="X1091" s="1" t="str">
        <f t="shared" si="300"/>
        <v/>
      </c>
      <c r="Y1091" s="47"/>
      <c r="Z1091" s="1" t="str">
        <f t="shared" si="301"/>
        <v/>
      </c>
      <c r="AA1091" s="47"/>
      <c r="AB1091" s="1" t="str">
        <f t="shared" si="302"/>
        <v/>
      </c>
      <c r="AC1091" s="47"/>
      <c r="AD1091" s="1" t="str">
        <f t="shared" si="303"/>
        <v/>
      </c>
      <c r="AE1091" s="47"/>
      <c r="AF1091" s="1" t="str">
        <f t="shared" si="304"/>
        <v/>
      </c>
      <c r="AG1091" s="47"/>
    </row>
    <row r="1092" spans="1:33">
      <c r="A1092">
        <f t="shared" si="288"/>
        <v>0</v>
      </c>
      <c r="B1092" s="2" t="str">
        <f t="shared" si="305"/>
        <v/>
      </c>
      <c r="C1092" s="4" t="str">
        <f t="shared" si="289"/>
        <v/>
      </c>
      <c r="D1092" s="3" t="str">
        <f t="shared" si="290"/>
        <v/>
      </c>
      <c r="E1092" s="47"/>
      <c r="F1092" s="3" t="str">
        <f t="shared" si="291"/>
        <v/>
      </c>
      <c r="G1092" s="47"/>
      <c r="H1092" s="3" t="str">
        <f t="shared" si="292"/>
        <v/>
      </c>
      <c r="I1092" s="47"/>
      <c r="J1092" s="3" t="str">
        <f t="shared" si="293"/>
        <v/>
      </c>
      <c r="K1092" s="47"/>
      <c r="L1092" s="3" t="str">
        <f t="shared" si="294"/>
        <v/>
      </c>
      <c r="M1092" s="47"/>
      <c r="N1092" s="3" t="str">
        <f t="shared" si="295"/>
        <v/>
      </c>
      <c r="O1092" s="47"/>
      <c r="P1092" s="3" t="str">
        <f t="shared" si="296"/>
        <v/>
      </c>
      <c r="Q1092" s="47"/>
      <c r="R1092" s="3" t="str">
        <f t="shared" si="297"/>
        <v/>
      </c>
      <c r="S1092" s="47"/>
      <c r="T1092" s="1" t="str">
        <f t="shared" si="298"/>
        <v/>
      </c>
      <c r="U1092" s="47"/>
      <c r="V1092" s="1" t="str">
        <f t="shared" si="299"/>
        <v/>
      </c>
      <c r="W1092" s="47"/>
      <c r="X1092" s="1" t="str">
        <f t="shared" si="300"/>
        <v/>
      </c>
      <c r="Y1092" s="47"/>
      <c r="Z1092" s="1" t="str">
        <f t="shared" si="301"/>
        <v/>
      </c>
      <c r="AA1092" s="47"/>
      <c r="AB1092" s="1" t="str">
        <f t="shared" si="302"/>
        <v/>
      </c>
      <c r="AC1092" s="47"/>
      <c r="AD1092" s="1" t="str">
        <f t="shared" si="303"/>
        <v/>
      </c>
      <c r="AE1092" s="47"/>
      <c r="AF1092" s="1" t="str">
        <f t="shared" si="304"/>
        <v/>
      </c>
      <c r="AG1092" s="47"/>
    </row>
    <row r="1093" spans="1:33">
      <c r="A1093">
        <f t="shared" si="288"/>
        <v>0</v>
      </c>
      <c r="B1093" s="2" t="str">
        <f t="shared" si="305"/>
        <v/>
      </c>
      <c r="C1093" s="4" t="str">
        <f t="shared" si="289"/>
        <v/>
      </c>
      <c r="D1093" s="3" t="str">
        <f t="shared" si="290"/>
        <v/>
      </c>
      <c r="E1093" s="47"/>
      <c r="F1093" s="3" t="str">
        <f t="shared" si="291"/>
        <v/>
      </c>
      <c r="G1093" s="47"/>
      <c r="H1093" s="3" t="str">
        <f t="shared" si="292"/>
        <v/>
      </c>
      <c r="I1093" s="47"/>
      <c r="J1093" s="3" t="str">
        <f t="shared" si="293"/>
        <v/>
      </c>
      <c r="K1093" s="47"/>
      <c r="L1093" s="3" t="str">
        <f t="shared" si="294"/>
        <v/>
      </c>
      <c r="M1093" s="47"/>
      <c r="N1093" s="3" t="str">
        <f t="shared" si="295"/>
        <v/>
      </c>
      <c r="O1093" s="47"/>
      <c r="P1093" s="3" t="str">
        <f t="shared" si="296"/>
        <v/>
      </c>
      <c r="Q1093" s="47"/>
      <c r="R1093" s="3" t="str">
        <f t="shared" si="297"/>
        <v/>
      </c>
      <c r="S1093" s="47"/>
      <c r="T1093" s="1" t="str">
        <f t="shared" si="298"/>
        <v/>
      </c>
      <c r="U1093" s="47"/>
      <c r="V1093" s="1" t="str">
        <f t="shared" si="299"/>
        <v/>
      </c>
      <c r="W1093" s="47"/>
      <c r="X1093" s="1" t="str">
        <f t="shared" si="300"/>
        <v/>
      </c>
      <c r="Y1093" s="47"/>
      <c r="Z1093" s="1" t="str">
        <f t="shared" si="301"/>
        <v/>
      </c>
      <c r="AA1093" s="47"/>
      <c r="AB1093" s="1" t="str">
        <f t="shared" si="302"/>
        <v/>
      </c>
      <c r="AC1093" s="47"/>
      <c r="AD1093" s="1" t="str">
        <f t="shared" si="303"/>
        <v/>
      </c>
      <c r="AE1093" s="47"/>
      <c r="AF1093" s="1" t="str">
        <f t="shared" si="304"/>
        <v/>
      </c>
      <c r="AG1093" s="47"/>
    </row>
    <row r="1094" spans="1:33">
      <c r="A1094">
        <f t="shared" si="288"/>
        <v>0</v>
      </c>
      <c r="B1094" s="2" t="str">
        <f t="shared" si="305"/>
        <v/>
      </c>
      <c r="C1094" s="4" t="str">
        <f t="shared" si="289"/>
        <v/>
      </c>
      <c r="D1094" s="3" t="str">
        <f t="shared" si="290"/>
        <v/>
      </c>
      <c r="E1094" s="47"/>
      <c r="F1094" s="3" t="str">
        <f t="shared" si="291"/>
        <v/>
      </c>
      <c r="G1094" s="47"/>
      <c r="H1094" s="3" t="str">
        <f t="shared" si="292"/>
        <v/>
      </c>
      <c r="I1094" s="47"/>
      <c r="J1094" s="3" t="str">
        <f t="shared" si="293"/>
        <v/>
      </c>
      <c r="K1094" s="47"/>
      <c r="L1094" s="3" t="str">
        <f t="shared" si="294"/>
        <v/>
      </c>
      <c r="M1094" s="47"/>
      <c r="N1094" s="3" t="str">
        <f t="shared" si="295"/>
        <v/>
      </c>
      <c r="O1094" s="47"/>
      <c r="P1094" s="3" t="str">
        <f t="shared" si="296"/>
        <v/>
      </c>
      <c r="Q1094" s="47"/>
      <c r="R1094" s="3" t="str">
        <f t="shared" si="297"/>
        <v/>
      </c>
      <c r="S1094" s="47"/>
      <c r="T1094" s="1" t="str">
        <f t="shared" si="298"/>
        <v/>
      </c>
      <c r="U1094" s="47"/>
      <c r="V1094" s="1" t="str">
        <f t="shared" si="299"/>
        <v/>
      </c>
      <c r="W1094" s="47"/>
      <c r="X1094" s="1" t="str">
        <f t="shared" si="300"/>
        <v/>
      </c>
      <c r="Y1094" s="47"/>
      <c r="Z1094" s="1" t="str">
        <f t="shared" si="301"/>
        <v/>
      </c>
      <c r="AA1094" s="47"/>
      <c r="AB1094" s="1" t="str">
        <f t="shared" si="302"/>
        <v/>
      </c>
      <c r="AC1094" s="47"/>
      <c r="AD1094" s="1" t="str">
        <f t="shared" si="303"/>
        <v/>
      </c>
      <c r="AE1094" s="47"/>
      <c r="AF1094" s="1" t="str">
        <f t="shared" si="304"/>
        <v/>
      </c>
      <c r="AG1094" s="47"/>
    </row>
    <row r="1095" spans="1:33">
      <c r="A1095">
        <f t="shared" ref="A1095:A1101" si="306">$C$1</f>
        <v>0</v>
      </c>
      <c r="B1095" s="2" t="str">
        <f t="shared" si="305"/>
        <v/>
      </c>
      <c r="C1095" s="4" t="str">
        <f t="shared" si="289"/>
        <v/>
      </c>
      <c r="D1095" s="3" t="str">
        <f t="shared" si="290"/>
        <v/>
      </c>
      <c r="E1095" s="47"/>
      <c r="F1095" s="3" t="str">
        <f t="shared" si="291"/>
        <v/>
      </c>
      <c r="G1095" s="47"/>
      <c r="H1095" s="3" t="str">
        <f t="shared" si="292"/>
        <v/>
      </c>
      <c r="I1095" s="47"/>
      <c r="J1095" s="3" t="str">
        <f t="shared" si="293"/>
        <v/>
      </c>
      <c r="K1095" s="47"/>
      <c r="L1095" s="3" t="str">
        <f t="shared" si="294"/>
        <v/>
      </c>
      <c r="M1095" s="47"/>
      <c r="N1095" s="3" t="str">
        <f t="shared" si="295"/>
        <v/>
      </c>
      <c r="O1095" s="47"/>
      <c r="P1095" s="3" t="str">
        <f t="shared" si="296"/>
        <v/>
      </c>
      <c r="Q1095" s="47"/>
      <c r="R1095" s="3" t="str">
        <f t="shared" si="297"/>
        <v/>
      </c>
      <c r="S1095" s="47"/>
      <c r="T1095" s="1" t="str">
        <f t="shared" si="298"/>
        <v/>
      </c>
      <c r="U1095" s="47"/>
      <c r="V1095" s="1" t="str">
        <f t="shared" si="299"/>
        <v/>
      </c>
      <c r="W1095" s="47"/>
      <c r="X1095" s="1" t="str">
        <f t="shared" si="300"/>
        <v/>
      </c>
      <c r="Y1095" s="47"/>
      <c r="Z1095" s="1" t="str">
        <f t="shared" si="301"/>
        <v/>
      </c>
      <c r="AA1095" s="47"/>
      <c r="AB1095" s="1" t="str">
        <f t="shared" si="302"/>
        <v/>
      </c>
      <c r="AC1095" s="47"/>
      <c r="AD1095" s="1" t="str">
        <f t="shared" si="303"/>
        <v/>
      </c>
      <c r="AE1095" s="47"/>
      <c r="AF1095" s="1" t="str">
        <f t="shared" si="304"/>
        <v/>
      </c>
      <c r="AG1095" s="47"/>
    </row>
    <row r="1096" spans="1:33">
      <c r="A1096">
        <f t="shared" si="306"/>
        <v>0</v>
      </c>
      <c r="B1096" s="2" t="str">
        <f t="shared" si="305"/>
        <v/>
      </c>
      <c r="C1096" s="4" t="str">
        <f t="shared" ref="C1096:C1101" si="307">TEXT(B1096,"AAA")</f>
        <v/>
      </c>
      <c r="D1096" s="3" t="str">
        <f t="shared" ref="D1096:D1101" si="308">IF(NOT(AND($F$3&lt;=B1096,B1096&lt;=$F$4)),"",$F$2&amp;"")</f>
        <v/>
      </c>
      <c r="E1096" s="47"/>
      <c r="F1096" s="3" t="str">
        <f t="shared" ref="F1096:F1101" si="309">IF(NOT(AND($G$3&lt;=B1096,B1096&lt;=$G$4)),"",$G$2&amp;"")</f>
        <v/>
      </c>
      <c r="G1096" s="47"/>
      <c r="H1096" s="3" t="str">
        <f t="shared" ref="H1096:H1101" si="310">IF(NOT(AND($H$3&lt;=B1096,B1096&lt;=$H$4)),"",$H$2&amp;"")</f>
        <v/>
      </c>
      <c r="I1096" s="47"/>
      <c r="J1096" s="3" t="str">
        <f t="shared" ref="J1096:J1101" si="311">IF(NOT(AND($I$3&lt;=B1096,B1096&lt;=$I$4)),"",$I$2&amp;"")</f>
        <v/>
      </c>
      <c r="K1096" s="47"/>
      <c r="L1096" s="3" t="str">
        <f t="shared" ref="L1096:L1101" si="312">IF(NOT(AND($J$3&lt;=B1096,B1096&lt;=$J$4)),"",$J$2&amp;"")</f>
        <v/>
      </c>
      <c r="M1096" s="47"/>
      <c r="N1096" s="3" t="str">
        <f t="shared" ref="N1096:N1101" si="313">IF(NOT(AND($K$3&lt;=B1096,B1096&lt;=$K$4)),"",$K$2&amp;"")</f>
        <v/>
      </c>
      <c r="O1096" s="47"/>
      <c r="P1096" s="3" t="str">
        <f t="shared" ref="P1096:P1101" si="314">IF(NOT(AND($L$3&lt;=B1096,B1096&lt;=$L$4)),"",$L$2&amp;"")</f>
        <v/>
      </c>
      <c r="Q1096" s="47"/>
      <c r="R1096" s="3" t="str">
        <f t="shared" ref="R1096:R1101" si="315">IF(NOT(AND($M$3&lt;=B1096,B1096&lt;=$M$4)),"",$M$2&amp;"")</f>
        <v/>
      </c>
      <c r="S1096" s="47"/>
      <c r="T1096" s="1" t="str">
        <f t="shared" ref="T1096:T1101" si="316">IF(NOT(AND($N$3&lt;=B1096,B1096&lt;=$N$4)),"",$N$2&amp;"")</f>
        <v/>
      </c>
      <c r="U1096" s="47"/>
      <c r="V1096" s="1" t="str">
        <f t="shared" ref="V1096:V1101" si="317">IF(NOT(AND($O$3&lt;=B1096,B1096&lt;=$O$4)),"",$O$2&amp;"")</f>
        <v/>
      </c>
      <c r="W1096" s="47"/>
      <c r="X1096" s="1" t="str">
        <f t="shared" ref="X1096:X1101" si="318">IF(NOT(AND($P$3&lt;=B1096,B1096&lt;=$P$4)),"",$P$2&amp;"")</f>
        <v/>
      </c>
      <c r="Y1096" s="47"/>
      <c r="Z1096" s="1" t="str">
        <f t="shared" ref="Z1096:Z1101" si="319">IF(NOT(AND($Q$3&lt;=B1096,B1096&lt;=$Q$4)),"",$Q$2&amp;"")</f>
        <v/>
      </c>
      <c r="AA1096" s="47"/>
      <c r="AB1096" s="1" t="str">
        <f t="shared" ref="AB1096:AB1101" si="320">IF(NOT(AND($R$3&lt;=B1096,B1096&lt;=$R$4)),"",$R$2&amp;"")</f>
        <v/>
      </c>
      <c r="AC1096" s="47"/>
      <c r="AD1096" s="1" t="str">
        <f t="shared" ref="AD1096:AD1101" si="321">IF(NOT(AND($S$3&lt;=B1096,B1096&lt;=$S$4)),"",$S$2&amp;"")</f>
        <v/>
      </c>
      <c r="AE1096" s="47"/>
      <c r="AF1096" s="1" t="str">
        <f t="shared" ref="AF1096:AF1101" si="322">IF(NOT(AND($T$3&lt;=B1096,B1096&lt;=$T$4)),"",$T$2&amp;"")</f>
        <v/>
      </c>
      <c r="AG1096" s="47"/>
    </row>
    <row r="1097" spans="1:33">
      <c r="A1097">
        <f t="shared" si="306"/>
        <v>0</v>
      </c>
      <c r="B1097" s="2" t="str">
        <f t="shared" ref="B1097" si="323">IFERROR(IF(B1096+1&gt;$C$3,"",B1096+1),"")</f>
        <v/>
      </c>
      <c r="C1097" s="4" t="str">
        <f t="shared" si="307"/>
        <v/>
      </c>
      <c r="D1097" s="3" t="str">
        <f t="shared" si="308"/>
        <v/>
      </c>
      <c r="E1097" s="47"/>
      <c r="F1097" s="3" t="str">
        <f t="shared" si="309"/>
        <v/>
      </c>
      <c r="G1097" s="47"/>
      <c r="H1097" s="3" t="str">
        <f t="shared" si="310"/>
        <v/>
      </c>
      <c r="I1097" s="47"/>
      <c r="J1097" s="3" t="str">
        <f t="shared" si="311"/>
        <v/>
      </c>
      <c r="K1097" s="47"/>
      <c r="L1097" s="3" t="str">
        <f t="shared" si="312"/>
        <v/>
      </c>
      <c r="M1097" s="47"/>
      <c r="N1097" s="3" t="str">
        <f t="shared" si="313"/>
        <v/>
      </c>
      <c r="O1097" s="47"/>
      <c r="P1097" s="3" t="str">
        <f t="shared" si="314"/>
        <v/>
      </c>
      <c r="Q1097" s="47"/>
      <c r="R1097" s="3" t="str">
        <f t="shared" si="315"/>
        <v/>
      </c>
      <c r="S1097" s="47"/>
      <c r="T1097" s="1" t="str">
        <f t="shared" si="316"/>
        <v/>
      </c>
      <c r="U1097" s="47"/>
      <c r="V1097" s="1" t="str">
        <f t="shared" si="317"/>
        <v/>
      </c>
      <c r="W1097" s="47"/>
      <c r="X1097" s="1" t="str">
        <f t="shared" si="318"/>
        <v/>
      </c>
      <c r="Y1097" s="47"/>
      <c r="Z1097" s="1" t="str">
        <f t="shared" si="319"/>
        <v/>
      </c>
      <c r="AA1097" s="47"/>
      <c r="AB1097" s="1" t="str">
        <f t="shared" si="320"/>
        <v/>
      </c>
      <c r="AC1097" s="47"/>
      <c r="AD1097" s="1" t="str">
        <f t="shared" si="321"/>
        <v/>
      </c>
      <c r="AE1097" s="47"/>
      <c r="AF1097" s="1" t="str">
        <f t="shared" si="322"/>
        <v/>
      </c>
      <c r="AG1097" s="47"/>
    </row>
    <row r="1098" spans="1:33">
      <c r="A1098">
        <f t="shared" si="306"/>
        <v>0</v>
      </c>
      <c r="B1098" s="2" t="str">
        <f>IFERROR(IF(B1097+1&gt;$C$3,"",B1097+1),"")</f>
        <v/>
      </c>
      <c r="C1098" s="4" t="str">
        <f t="shared" si="307"/>
        <v/>
      </c>
      <c r="D1098" s="3" t="str">
        <f t="shared" si="308"/>
        <v/>
      </c>
      <c r="E1098" s="47"/>
      <c r="F1098" s="3" t="str">
        <f t="shared" si="309"/>
        <v/>
      </c>
      <c r="G1098" s="47"/>
      <c r="H1098" s="3" t="str">
        <f t="shared" si="310"/>
        <v/>
      </c>
      <c r="I1098" s="47"/>
      <c r="J1098" s="3" t="str">
        <f t="shared" si="311"/>
        <v/>
      </c>
      <c r="K1098" s="47"/>
      <c r="L1098" s="3" t="str">
        <f t="shared" si="312"/>
        <v/>
      </c>
      <c r="M1098" s="47"/>
      <c r="N1098" s="3" t="str">
        <f t="shared" si="313"/>
        <v/>
      </c>
      <c r="O1098" s="47"/>
      <c r="P1098" s="3" t="str">
        <f t="shared" si="314"/>
        <v/>
      </c>
      <c r="Q1098" s="47"/>
      <c r="R1098" s="3" t="str">
        <f t="shared" si="315"/>
        <v/>
      </c>
      <c r="S1098" s="47"/>
      <c r="T1098" s="1" t="str">
        <f t="shared" si="316"/>
        <v/>
      </c>
      <c r="U1098" s="47"/>
      <c r="V1098" s="1" t="str">
        <f t="shared" si="317"/>
        <v/>
      </c>
      <c r="W1098" s="47"/>
      <c r="X1098" s="1" t="str">
        <f t="shared" si="318"/>
        <v/>
      </c>
      <c r="Y1098" s="47"/>
      <c r="Z1098" s="1" t="str">
        <f t="shared" si="319"/>
        <v/>
      </c>
      <c r="AA1098" s="47"/>
      <c r="AB1098" s="1" t="str">
        <f t="shared" si="320"/>
        <v/>
      </c>
      <c r="AC1098" s="47"/>
      <c r="AD1098" s="1" t="str">
        <f t="shared" si="321"/>
        <v/>
      </c>
      <c r="AE1098" s="47"/>
      <c r="AF1098" s="1" t="str">
        <f t="shared" si="322"/>
        <v/>
      </c>
      <c r="AG1098" s="47"/>
    </row>
    <row r="1099" spans="1:33">
      <c r="A1099">
        <f t="shared" si="306"/>
        <v>0</v>
      </c>
      <c r="B1099" s="2" t="str">
        <f>IFERROR(IF(B1098+1&gt;$C$3,"",B1098+1),"")</f>
        <v/>
      </c>
      <c r="C1099" s="4" t="str">
        <f t="shared" si="307"/>
        <v/>
      </c>
      <c r="D1099" s="3" t="str">
        <f t="shared" si="308"/>
        <v/>
      </c>
      <c r="E1099" s="47"/>
      <c r="F1099" s="3" t="str">
        <f t="shared" si="309"/>
        <v/>
      </c>
      <c r="G1099" s="47"/>
      <c r="H1099" s="3" t="str">
        <f t="shared" si="310"/>
        <v/>
      </c>
      <c r="I1099" s="47"/>
      <c r="J1099" s="3" t="str">
        <f t="shared" si="311"/>
        <v/>
      </c>
      <c r="K1099" s="47"/>
      <c r="L1099" s="3" t="str">
        <f t="shared" si="312"/>
        <v/>
      </c>
      <c r="M1099" s="47"/>
      <c r="N1099" s="3" t="str">
        <f t="shared" si="313"/>
        <v/>
      </c>
      <c r="O1099" s="47"/>
      <c r="P1099" s="3" t="str">
        <f t="shared" si="314"/>
        <v/>
      </c>
      <c r="Q1099" s="47"/>
      <c r="R1099" s="3" t="str">
        <f t="shared" si="315"/>
        <v/>
      </c>
      <c r="S1099" s="47"/>
      <c r="T1099" s="1" t="str">
        <f t="shared" si="316"/>
        <v/>
      </c>
      <c r="U1099" s="47"/>
      <c r="V1099" s="1" t="str">
        <f t="shared" si="317"/>
        <v/>
      </c>
      <c r="W1099" s="47"/>
      <c r="X1099" s="1" t="str">
        <f t="shared" si="318"/>
        <v/>
      </c>
      <c r="Y1099" s="47"/>
      <c r="Z1099" s="1" t="str">
        <f t="shared" si="319"/>
        <v/>
      </c>
      <c r="AA1099" s="47"/>
      <c r="AB1099" s="1" t="str">
        <f t="shared" si="320"/>
        <v/>
      </c>
      <c r="AC1099" s="47"/>
      <c r="AD1099" s="1" t="str">
        <f t="shared" si="321"/>
        <v/>
      </c>
      <c r="AE1099" s="47"/>
      <c r="AF1099" s="1" t="str">
        <f t="shared" si="322"/>
        <v/>
      </c>
      <c r="AG1099" s="47"/>
    </row>
    <row r="1100" spans="1:33">
      <c r="A1100">
        <f t="shared" si="306"/>
        <v>0</v>
      </c>
      <c r="B1100" s="2" t="str">
        <f>IFERROR(IF(B1099+1&gt;$C$3,"",B1099+1),"")</f>
        <v/>
      </c>
      <c r="C1100" s="4" t="str">
        <f t="shared" si="307"/>
        <v/>
      </c>
      <c r="D1100" s="3" t="str">
        <f t="shared" si="308"/>
        <v/>
      </c>
      <c r="E1100" s="47"/>
      <c r="F1100" s="3" t="str">
        <f t="shared" si="309"/>
        <v/>
      </c>
      <c r="G1100" s="47"/>
      <c r="H1100" s="3" t="str">
        <f t="shared" si="310"/>
        <v/>
      </c>
      <c r="I1100" s="47"/>
      <c r="J1100" s="3" t="str">
        <f t="shared" si="311"/>
        <v/>
      </c>
      <c r="K1100" s="47"/>
      <c r="L1100" s="3" t="str">
        <f t="shared" si="312"/>
        <v/>
      </c>
      <c r="M1100" s="47"/>
      <c r="N1100" s="3" t="str">
        <f t="shared" si="313"/>
        <v/>
      </c>
      <c r="O1100" s="47"/>
      <c r="P1100" s="3" t="str">
        <f t="shared" si="314"/>
        <v/>
      </c>
      <c r="Q1100" s="47"/>
      <c r="R1100" s="3" t="str">
        <f t="shared" si="315"/>
        <v/>
      </c>
      <c r="S1100" s="47"/>
      <c r="T1100" s="1" t="str">
        <f t="shared" si="316"/>
        <v/>
      </c>
      <c r="U1100" s="47"/>
      <c r="V1100" s="1" t="str">
        <f t="shared" si="317"/>
        <v/>
      </c>
      <c r="W1100" s="47"/>
      <c r="X1100" s="1" t="str">
        <f t="shared" si="318"/>
        <v/>
      </c>
      <c r="Y1100" s="47"/>
      <c r="Z1100" s="1" t="str">
        <f t="shared" si="319"/>
        <v/>
      </c>
      <c r="AA1100" s="47"/>
      <c r="AB1100" s="1" t="str">
        <f t="shared" si="320"/>
        <v/>
      </c>
      <c r="AC1100" s="47"/>
      <c r="AD1100" s="1" t="str">
        <f t="shared" si="321"/>
        <v/>
      </c>
      <c r="AE1100" s="47"/>
      <c r="AF1100" s="1" t="str">
        <f t="shared" si="322"/>
        <v/>
      </c>
      <c r="AG1100" s="47"/>
    </row>
    <row r="1101" spans="1:33">
      <c r="A1101">
        <f t="shared" si="306"/>
        <v>0</v>
      </c>
      <c r="B1101" s="2" t="str">
        <f>IFERROR(IF(B1100+1&gt;$C$3,"",B1100+1),"")</f>
        <v/>
      </c>
      <c r="C1101" s="4" t="str">
        <f t="shared" si="307"/>
        <v/>
      </c>
      <c r="D1101" s="3" t="str">
        <f t="shared" si="308"/>
        <v/>
      </c>
      <c r="E1101" s="47"/>
      <c r="F1101" s="3" t="str">
        <f t="shared" si="309"/>
        <v/>
      </c>
      <c r="G1101" s="47"/>
      <c r="H1101" s="3" t="str">
        <f t="shared" si="310"/>
        <v/>
      </c>
      <c r="I1101" s="47"/>
      <c r="J1101" s="3" t="str">
        <f t="shared" si="311"/>
        <v/>
      </c>
      <c r="K1101" s="47"/>
      <c r="L1101" s="3" t="str">
        <f t="shared" si="312"/>
        <v/>
      </c>
      <c r="M1101" s="47"/>
      <c r="N1101" s="3" t="str">
        <f t="shared" si="313"/>
        <v/>
      </c>
      <c r="O1101" s="47"/>
      <c r="P1101" s="3" t="str">
        <f t="shared" si="314"/>
        <v/>
      </c>
      <c r="Q1101" s="47"/>
      <c r="R1101" s="3" t="str">
        <f t="shared" si="315"/>
        <v/>
      </c>
      <c r="S1101" s="47"/>
      <c r="T1101" s="1" t="str">
        <f t="shared" si="316"/>
        <v/>
      </c>
      <c r="U1101" s="47"/>
      <c r="V1101" s="1" t="str">
        <f t="shared" si="317"/>
        <v/>
      </c>
      <c r="W1101" s="47"/>
      <c r="X1101" s="1" t="str">
        <f t="shared" si="318"/>
        <v/>
      </c>
      <c r="Y1101" s="47"/>
      <c r="Z1101" s="1" t="str">
        <f t="shared" si="319"/>
        <v/>
      </c>
      <c r="AA1101" s="47"/>
      <c r="AB1101" s="1" t="str">
        <f t="shared" si="320"/>
        <v/>
      </c>
      <c r="AC1101" s="47"/>
      <c r="AD1101" s="1" t="str">
        <f t="shared" si="321"/>
        <v/>
      </c>
      <c r="AE1101" s="47"/>
      <c r="AF1101" s="1" t="str">
        <f t="shared" si="322"/>
        <v/>
      </c>
      <c r="AG1101" s="47"/>
    </row>
  </sheetData>
  <phoneticPr fontId="1" type="noConversion"/>
  <conditionalFormatting sqref="E7:E1101 G7:G1101 I7:I1101 K7:K1101 M7:M1101 O7:O1101 Q7:Q1101 S7:S1101 U7:U1101 W7:W1101 Y7:Y1101 AA7:AA1101 AC7:AC1101 AE7:AE1101 AG7:AG1101">
    <cfRule type="expression" dxfId="2" priority="3">
      <formula>D7&lt;&gt;""</formula>
    </cfRule>
  </conditionalFormatting>
  <conditionalFormatting sqref="B7:AG1101">
    <cfRule type="expression" dxfId="1" priority="1">
      <formula>$C7="토"</formula>
    </cfRule>
    <cfRule type="expression" dxfId="0" priority="2">
      <formula>$C7="일"</formula>
    </cfRule>
  </conditionalFormatting>
  <dataValidations count="2">
    <dataValidation type="decimal" allowBlank="1" showInputMessage="1" showErrorMessage="1" sqref="AG7:AG1101 AA7:AA1101 O7:O1101 AE7:AE1101 AC7:AC1101 Y7:Y1101 Q7:Q1101 S7:S1101 U7:U1101 W7:W1101">
      <formula1>0</formula1>
      <formula2>1</formula2>
    </dataValidation>
    <dataValidation type="decimal" allowBlank="1" showInputMessage="1" showErrorMessage="1" prompt="0~1 사이의 값 입력_x000a__x000a_1 = 하루" sqref="E7:E1101 I7:I1101 G7:G1101 K7:K1101 M7:M1101">
      <formula1>0</formula1>
      <formula2>1</formula2>
    </dataValidation>
  </dataValidations>
  <pageMargins left="0.7" right="0.7" top="0.75" bottom="0.75" header="0.3" footer="0.3"/>
  <legacyDrawing r:id="rId1"/>
</worksheet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공휴일</vt:lpstr>
      <vt:lpstr>도움말</vt:lpstr>
      <vt:lpstr>프로젝트입력</vt:lpstr>
      <vt:lpstr>실투입취합</vt:lpstr>
      <vt:lpstr>프로젝트별현황</vt:lpstr>
      <vt:lpstr>직원별현황</vt:lpstr>
      <vt:lpstr>Sheet2</vt:lpstr>
      <vt:lpstr>Sheet7</vt:lpstr>
      <vt:lpstr>인력별현황</vt:lpstr>
      <vt:lpstr>월별인력현황</vt:lpstr>
      <vt:lpstr>실투입입력양식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kimdaeho</cp:lastModifiedBy>
  <dcterms:created xsi:type="dcterms:W3CDTF">2021-02-02T02:21:15Z</dcterms:created>
  <dcterms:modified xsi:type="dcterms:W3CDTF">2021-03-22T23:49:50Z</dcterms:modified>
</cp:coreProperties>
</file>